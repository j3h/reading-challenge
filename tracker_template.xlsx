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Entries" sheetId="2" state="visible" r:id="rId2"/>
    <sheet xmlns:r="http://schemas.openxmlformats.org/officeDocument/2006/relationships" name="Prizes" sheetId="3" state="visible" r:id="rId3"/>
    <sheet xmlns:r="http://schemas.openxmlformats.org/officeDocument/2006/relationships" name="Find a child" sheetId="4" state="visible" r:id="rId4"/>
    <sheet xmlns:r="http://schemas.openxmlformats.org/officeDocument/2006/relationships" name="Roster" sheetId="5" state="visible" r:id="rId5"/>
    <sheet xmlns:r="http://schemas.openxmlformats.org/officeDocument/2006/relationships" name="Lev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1F5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5DAE0"/>
      </left>
      <right style="thin">
        <color rgb="00D5DAE0"/>
      </right>
      <top style="thin">
        <color rgb="00D5DAE0"/>
      </top>
      <bottom style="thin">
        <color rgb="00D5DA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/>
    </xf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4" fillId="2" borderId="1" applyAlignment="1" pivotButton="0" quotePrefix="0" xfId="0">
      <alignment vertical="center" wrapText="1"/>
    </xf>
    <xf numFmtId="49" fontId="3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0" fontId="6" fillId="4" borderId="1" pivotButton="0" quotePrefix="0" xfId="0"/>
    <xf numFmtId="0" fontId="3" fillId="0" borderId="0" applyAlignment="1" pivotButton="0" quotePrefix="0" xfId="0">
      <alignment horizontal="left"/>
    </xf>
    <xf numFmtId="3" fontId="3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E3A3"/>
        </patternFill>
      </fill>
    </dxf>
    <dxf>
      <font>
        <name val="Arial"/>
        <strike val="1"/>
        <color rgb="00999999"/>
      </font>
    </dxf>
    <dxf>
      <fill>
        <patternFill patternType="solid">
          <fgColor rgb="00CDEB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0" customWidth="1" min="4" max="4"/>
    <col width="22" customWidth="1" min="5" max="5"/>
    <col width="18" customWidth="1" min="6" max="6"/>
    <col width="26" customWidth="1" min="7" max="7"/>
    <col width="14" customWidth="1" min="8" max="8"/>
  </cols>
  <sheetData>
    <row r="2">
      <c r="B2" s="1" t="inlineStr">
        <is>
          <t>Reading Challenge tracker</t>
        </is>
      </c>
    </row>
    <row r="4">
      <c r="B4" s="2" t="inlineStr">
        <is>
          <t>How this works</t>
        </is>
      </c>
    </row>
    <row r="5">
      <c r="B5" s="3" t="inlineStr">
        <is>
          <t>Type one row on Entries for every paper form, the day it arrives, even if you can't tell who the child is.</t>
        </is>
      </c>
    </row>
    <row r="6">
      <c r="B6" s="3" t="inlineStr">
        <is>
          <t>Gray columns are formulas: don't type in them. White columns are for you.</t>
        </is>
      </c>
    </row>
    <row r="7">
      <c r="B7" s="4" t="inlineStr"/>
    </row>
    <row r="8">
      <c r="B8" s="2" t="inlineStr">
        <is>
          <t>Entering a form (Entries tab)</t>
        </is>
      </c>
    </row>
    <row r="9">
      <c r="B9" s="3" t="inlineStr">
        <is>
          <t>1. Fill in the month, pages, and the name and teacher exactly as written on the form.</t>
        </is>
      </c>
    </row>
    <row r="10">
      <c r="B10" s="3" t="inlineStr">
        <is>
          <t>2. If you know the child, pick them in the “Child” column (type a few letters to narrow the list). Leave it blank if you don't know yet.</t>
        </is>
      </c>
    </row>
    <row r="11">
      <c r="B11" s="3" t="inlineStr">
        <is>
          <t>3. Not sure who “Reid” is? Use the Find a child tab: type part of a name or teacher and it lists every match. Come back later and fill in the Child column.</t>
        </is>
      </c>
    </row>
    <row r="12">
      <c r="B12" s="3" t="inlineStr">
        <is>
          <t>4. Rows whose Status says “Needs child” are orange. Their pages are NOT counted until you pick a child.</t>
        </is>
      </c>
    </row>
    <row r="13">
      <c r="B13" s="3" t="inlineStr">
        <is>
          <t>5. A child's new kid isn't in the list? Add them on the Roster tab first, then pick them.</t>
        </is>
      </c>
    </row>
    <row r="14">
      <c r="B14" s="4" t="inlineStr"/>
    </row>
    <row r="15">
      <c r="B15" s="2" t="inlineStr">
        <is>
          <t>Fixing mistakes</t>
        </is>
      </c>
    </row>
    <row r="16">
      <c r="B16" s="3" t="inlineStr">
        <is>
          <t>Don't overwrite a wrong number. Add a new row at the bottom for the same child and month: the lowest row wins.</t>
        </is>
      </c>
    </row>
    <row r="17">
      <c r="B17" s="3" t="inlineStr">
        <is>
          <t>A duplicate or junk form: put x in the Void column. Don't delete rows and don't sort the Entries tab (use Data &gt; Create a filter view if you want to sort).</t>
        </is>
      </c>
    </row>
    <row r="18">
      <c r="B18" s="4" t="inlineStr"/>
    </row>
    <row r="19">
      <c r="B19" s="2" t="inlineStr">
        <is>
          <t>Handing out prizes (Prizes tab)</t>
        </is>
      </c>
    </row>
    <row r="20">
      <c r="B20" s="3" t="inlineStr">
        <is>
          <t>Add a row when a prize is handed over: pick the child and the level. The Roster tab then shows who is still owed.</t>
        </is>
      </c>
    </row>
    <row r="21">
      <c r="B21" s="4" t="inlineStr"/>
    </row>
    <row r="22">
      <c r="B22" s="2" t="inlineStr">
        <is>
          <t>Privacy</t>
        </is>
      </c>
    </row>
    <row r="23">
      <c r="B23" s="3" t="inlineStr">
        <is>
          <t>This workbook holds children's names. Keep it in the school's Google account, shared only with people who need it.</t>
        </is>
      </c>
    </row>
    <row r="24">
      <c r="B24" s="4" t="inlineStr"/>
    </row>
    <row r="25">
      <c r="B25" s="2" t="inlineStr">
        <is>
          <t>Example (what a filled-in row looks like)</t>
        </is>
      </c>
    </row>
    <row r="26">
      <c r="B26" s="5" t="inlineStr">
        <is>
          <t>Entered at</t>
        </is>
      </c>
      <c r="C26" s="5" t="inlineStr">
        <is>
          <t>Month</t>
        </is>
      </c>
      <c r="D26" s="5" t="inlineStr">
        <is>
          <t>Pages</t>
        </is>
      </c>
      <c r="E26" s="5" t="inlineStr">
        <is>
          <t>Name on form</t>
        </is>
      </c>
      <c r="F26" s="5" t="inlineStr">
        <is>
          <t>Teacher on form</t>
        </is>
      </c>
      <c r="G26" s="5" t="inlineStr">
        <is>
          <t>Child</t>
        </is>
      </c>
      <c r="H26" s="5" t="inlineStr">
        <is>
          <t>Void</t>
        </is>
      </c>
    </row>
    <row r="27">
      <c r="B27" s="6" t="inlineStr">
        <is>
          <t>2026-10-02 14:05</t>
        </is>
      </c>
      <c r="C27" s="6" t="inlineStr">
        <is>
          <t>2026-10</t>
        </is>
      </c>
      <c r="D27" s="6" t="n">
        <v>140</v>
      </c>
      <c r="E27" s="6" t="inlineStr">
        <is>
          <t>Reid</t>
        </is>
      </c>
      <c r="F27" s="6" t="inlineStr">
        <is>
          <t>Lopez</t>
        </is>
      </c>
      <c r="G27" s="6" t="inlineStr">
        <is>
          <t>(pick later)</t>
        </is>
      </c>
      <c r="H27" s="6" t="inlineStr"/>
    </row>
    <row r="29">
      <c r="B29" s="7" t="inlineStr">
        <is>
          <t>Tip: in Google Sheets, Ctrl+Alt+Shift+; types the current date and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24" customWidth="1" min="4" max="4"/>
    <col width="18" customWidth="1" min="5" max="5"/>
    <col width="36" customWidth="1" min="6" max="6"/>
    <col width="8" customWidth="1" min="7" max="7"/>
    <col width="10" customWidth="1" min="8" max="8"/>
    <col width="18" customWidth="1" min="9" max="9"/>
    <col width="10" customWidth="1" min="10" max="10"/>
  </cols>
  <sheetData>
    <row r="1" ht="32" customHeight="1">
      <c r="A1" s="8" t="inlineStr">
        <is>
          <t>Entered at</t>
        </is>
      </c>
      <c r="B1" s="8" t="inlineStr">
        <is>
          <t>Month</t>
        </is>
      </c>
      <c r="C1" s="8" t="inlineStr">
        <is>
          <t>Pages</t>
        </is>
      </c>
      <c r="D1" s="8" t="inlineStr">
        <is>
          <t>Name on form</t>
        </is>
      </c>
      <c r="E1" s="8" t="inlineStr">
        <is>
          <t>Teacher on form</t>
        </is>
      </c>
      <c r="F1" s="8" t="inlineStr">
        <is>
          <t>Child</t>
        </is>
      </c>
      <c r="G1" s="8" t="inlineStr">
        <is>
          <t>Void (x)</t>
        </is>
      </c>
      <c r="H1" s="8" t="inlineStr">
        <is>
          <t>Child ID</t>
        </is>
      </c>
      <c r="I1" s="8" t="inlineStr">
        <is>
          <t>Status</t>
        </is>
      </c>
      <c r="J1" s="8" t="inlineStr">
        <is>
          <t>Pages counted</t>
        </is>
      </c>
      <c r="L1" s="7" t="inlineStr">
        <is>
          <t>To add a month beyond June 2027, edit the Month dropdown (Data &gt; Data validation).</t>
        </is>
      </c>
    </row>
    <row r="2">
      <c r="A2" s="6" t="n"/>
      <c r="B2" s="9" t="n"/>
      <c r="C2" s="6" t="n"/>
      <c r="D2" s="6" t="n"/>
      <c r="E2" s="6" t="n"/>
      <c r="F2" s="6" t="n"/>
      <c r="G2" s="6" t="n"/>
      <c r="H2" s="10">
        <f>IF(F2="","",IFERROR(INDEX(Roster!$A$2:$A$600,MATCH(F2,Roster!$E$2:$E$600,0)),""))</f>
        <v/>
      </c>
      <c r="I2" s="10">
        <f>IF(AND(D2="",C2="",F2=""),"",IF(G2&lt;&gt;"","Void",IF(F2="","Needs child",IF(H2="","Child not found",IF(OR(B2="",NOT(ISNUMBER(C2))),"Needs month/pages","OK")))))</f>
        <v/>
      </c>
      <c r="J2" s="10">
        <f>IF(I2="","",IF(I2="OK",IF(COUNTIFS(H3:H$3001,H2,B3:B$3001,B2,G3:G$3001,"")=0,C2,0),0))</f>
        <v/>
      </c>
    </row>
    <row r="3">
      <c r="A3" s="6" t="n"/>
      <c r="B3" s="9" t="n"/>
      <c r="C3" s="6" t="n"/>
      <c r="D3" s="6" t="n"/>
      <c r="E3" s="6" t="n"/>
      <c r="F3" s="6" t="n"/>
      <c r="G3" s="6" t="n"/>
      <c r="H3" s="10">
        <f>IF(F3="","",IFERROR(INDEX(Roster!$A$2:$A$600,MATCH(F3,Roster!$E$2:$E$600,0)),""))</f>
        <v/>
      </c>
      <c r="I3" s="10">
        <f>IF(AND(D3="",C3="",F3=""),"",IF(G3&lt;&gt;"","Void",IF(F3="","Needs child",IF(H3="","Child not found",IF(OR(B3="",NOT(ISNUMBER(C3))),"Needs month/pages","OK")))))</f>
        <v/>
      </c>
      <c r="J3" s="10">
        <f>IF(I3="","",IF(I3="OK",IF(COUNTIFS(H4:H$3001,H3,B4:B$3001,B3,G4:G$3001,"")=0,C3,0),0))</f>
        <v/>
      </c>
    </row>
    <row r="4">
      <c r="A4" s="6" t="n"/>
      <c r="B4" s="9" t="n"/>
      <c r="C4" s="6" t="n"/>
      <c r="D4" s="6" t="n"/>
      <c r="E4" s="6" t="n"/>
      <c r="F4" s="6" t="n"/>
      <c r="G4" s="6" t="n"/>
      <c r="H4" s="10">
        <f>IF(F4="","",IFERROR(INDEX(Roster!$A$2:$A$600,MATCH(F4,Roster!$E$2:$E$600,0)),""))</f>
        <v/>
      </c>
      <c r="I4" s="10">
        <f>IF(AND(D4="",C4="",F4=""),"",IF(G4&lt;&gt;"","Void",IF(F4="","Needs child",IF(H4="","Child not found",IF(OR(B4="",NOT(ISNUMBER(C4))),"Needs month/pages","OK")))))</f>
        <v/>
      </c>
      <c r="J4" s="10">
        <f>IF(I4="","",IF(I4="OK",IF(COUNTIFS(H5:H$3001,H4,B5:B$3001,B4,G5:G$3001,"")=0,C4,0),0))</f>
        <v/>
      </c>
    </row>
    <row r="5">
      <c r="A5" s="6" t="n"/>
      <c r="B5" s="9" t="n"/>
      <c r="C5" s="6" t="n"/>
      <c r="D5" s="6" t="n"/>
      <c r="E5" s="6" t="n"/>
      <c r="F5" s="6" t="n"/>
      <c r="G5" s="6" t="n"/>
      <c r="H5" s="10">
        <f>IF(F5="","",IFERROR(INDEX(Roster!$A$2:$A$600,MATCH(F5,Roster!$E$2:$E$600,0)),""))</f>
        <v/>
      </c>
      <c r="I5" s="10">
        <f>IF(AND(D5="",C5="",F5=""),"",IF(G5&lt;&gt;"","Void",IF(F5="","Needs child",IF(H5="","Child not found",IF(OR(B5="",NOT(ISNUMBER(C5))),"Needs month/pages","OK")))))</f>
        <v/>
      </c>
      <c r="J5" s="10">
        <f>IF(I5="","",IF(I5="OK",IF(COUNTIFS(H6:H$3001,H5,B6:B$3001,B5,G6:G$3001,"")=0,C5,0),0))</f>
        <v/>
      </c>
    </row>
    <row r="6">
      <c r="A6" s="6" t="n"/>
      <c r="B6" s="9" t="n"/>
      <c r="C6" s="6" t="n"/>
      <c r="D6" s="6" t="n"/>
      <c r="E6" s="6" t="n"/>
      <c r="F6" s="6" t="n"/>
      <c r="G6" s="6" t="n"/>
      <c r="H6" s="10">
        <f>IF(F6="","",IFERROR(INDEX(Roster!$A$2:$A$600,MATCH(F6,Roster!$E$2:$E$600,0)),""))</f>
        <v/>
      </c>
      <c r="I6" s="10">
        <f>IF(AND(D6="",C6="",F6=""),"",IF(G6&lt;&gt;"","Void",IF(F6="","Needs child",IF(H6="","Child not found",IF(OR(B6="",NOT(ISNUMBER(C6))),"Needs month/pages","OK")))))</f>
        <v/>
      </c>
      <c r="J6" s="10">
        <f>IF(I6="","",IF(I6="OK",IF(COUNTIFS(H7:H$3001,H6,B7:B$3001,B6,G7:G$3001,"")=0,C6,0),0))</f>
        <v/>
      </c>
    </row>
    <row r="7">
      <c r="A7" s="6" t="n"/>
      <c r="B7" s="9" t="n"/>
      <c r="C7" s="6" t="n"/>
      <c r="D7" s="6" t="n"/>
      <c r="E7" s="6" t="n"/>
      <c r="F7" s="6" t="n"/>
      <c r="G7" s="6" t="n"/>
      <c r="H7" s="10">
        <f>IF(F7="","",IFERROR(INDEX(Roster!$A$2:$A$600,MATCH(F7,Roster!$E$2:$E$600,0)),""))</f>
        <v/>
      </c>
      <c r="I7" s="10">
        <f>IF(AND(D7="",C7="",F7=""),"",IF(G7&lt;&gt;"","Void",IF(F7="","Needs child",IF(H7="","Child not found",IF(OR(B7="",NOT(ISNUMBER(C7))),"Needs month/pages","OK")))))</f>
        <v/>
      </c>
      <c r="J7" s="10">
        <f>IF(I7="","",IF(I7="OK",IF(COUNTIFS(H8:H$3001,H7,B8:B$3001,B7,G8:G$3001,"")=0,C7,0),0))</f>
        <v/>
      </c>
    </row>
    <row r="8">
      <c r="A8" s="6" t="n"/>
      <c r="B8" s="9" t="n"/>
      <c r="C8" s="6" t="n"/>
      <c r="D8" s="6" t="n"/>
      <c r="E8" s="6" t="n"/>
      <c r="F8" s="6" t="n"/>
      <c r="G8" s="6" t="n"/>
      <c r="H8" s="10">
        <f>IF(F8="","",IFERROR(INDEX(Roster!$A$2:$A$600,MATCH(F8,Roster!$E$2:$E$600,0)),""))</f>
        <v/>
      </c>
      <c r="I8" s="10">
        <f>IF(AND(D8="",C8="",F8=""),"",IF(G8&lt;&gt;"","Void",IF(F8="","Needs child",IF(H8="","Child not found",IF(OR(B8="",NOT(ISNUMBER(C8))),"Needs month/pages","OK")))))</f>
        <v/>
      </c>
      <c r="J8" s="10">
        <f>IF(I8="","",IF(I8="OK",IF(COUNTIFS(H9:H$3001,H8,B9:B$3001,B8,G9:G$3001,"")=0,C8,0),0))</f>
        <v/>
      </c>
    </row>
    <row r="9">
      <c r="A9" s="6" t="n"/>
      <c r="B9" s="9" t="n"/>
      <c r="C9" s="6" t="n"/>
      <c r="D9" s="6" t="n"/>
      <c r="E9" s="6" t="n"/>
      <c r="F9" s="6" t="n"/>
      <c r="G9" s="6" t="n"/>
      <c r="H9" s="10">
        <f>IF(F9="","",IFERROR(INDEX(Roster!$A$2:$A$600,MATCH(F9,Roster!$E$2:$E$600,0)),""))</f>
        <v/>
      </c>
      <c r="I9" s="10">
        <f>IF(AND(D9="",C9="",F9=""),"",IF(G9&lt;&gt;"","Void",IF(F9="","Needs child",IF(H9="","Child not found",IF(OR(B9="",NOT(ISNUMBER(C9))),"Needs month/pages","OK")))))</f>
        <v/>
      </c>
      <c r="J9" s="10">
        <f>IF(I9="","",IF(I9="OK",IF(COUNTIFS(H10:H$3001,H9,B10:B$3001,B9,G10:G$3001,"")=0,C9,0),0))</f>
        <v/>
      </c>
    </row>
    <row r="10">
      <c r="A10" s="6" t="n"/>
      <c r="B10" s="9" t="n"/>
      <c r="C10" s="6" t="n"/>
      <c r="D10" s="6" t="n"/>
      <c r="E10" s="6" t="n"/>
      <c r="F10" s="6" t="n"/>
      <c r="G10" s="6" t="n"/>
      <c r="H10" s="10">
        <f>IF(F10="","",IFERROR(INDEX(Roster!$A$2:$A$600,MATCH(F10,Roster!$E$2:$E$600,0)),""))</f>
        <v/>
      </c>
      <c r="I10" s="10">
        <f>IF(AND(D10="",C10="",F10=""),"",IF(G10&lt;&gt;"","Void",IF(F10="","Needs child",IF(H10="","Child not found",IF(OR(B10="",NOT(ISNUMBER(C10))),"Needs month/pages","OK")))))</f>
        <v/>
      </c>
      <c r="J10" s="10">
        <f>IF(I10="","",IF(I10="OK",IF(COUNTIFS(H11:H$3001,H10,B11:B$3001,B10,G11:G$3001,"")=0,C10,0),0))</f>
        <v/>
      </c>
    </row>
    <row r="11">
      <c r="A11" s="6" t="n"/>
      <c r="B11" s="9" t="n"/>
      <c r="C11" s="6" t="n"/>
      <c r="D11" s="6" t="n"/>
      <c r="E11" s="6" t="n"/>
      <c r="F11" s="6" t="n"/>
      <c r="G11" s="6" t="n"/>
      <c r="H11" s="10">
        <f>IF(F11="","",IFERROR(INDEX(Roster!$A$2:$A$600,MATCH(F11,Roster!$E$2:$E$600,0)),""))</f>
        <v/>
      </c>
      <c r="I11" s="10">
        <f>IF(AND(D11="",C11="",F11=""),"",IF(G11&lt;&gt;"","Void",IF(F11="","Needs child",IF(H11="","Child not found",IF(OR(B11="",NOT(ISNUMBER(C11))),"Needs month/pages","OK")))))</f>
        <v/>
      </c>
      <c r="J11" s="10">
        <f>IF(I11="","",IF(I11="OK",IF(COUNTIFS(H12:H$3001,H11,B12:B$3001,B11,G12:G$3001,"")=0,C11,0),0))</f>
        <v/>
      </c>
    </row>
    <row r="12">
      <c r="A12" s="6" t="n"/>
      <c r="B12" s="9" t="n"/>
      <c r="C12" s="6" t="n"/>
      <c r="D12" s="6" t="n"/>
      <c r="E12" s="6" t="n"/>
      <c r="F12" s="6" t="n"/>
      <c r="G12" s="6" t="n"/>
      <c r="H12" s="10">
        <f>IF(F12="","",IFERROR(INDEX(Roster!$A$2:$A$600,MATCH(F12,Roster!$E$2:$E$600,0)),""))</f>
        <v/>
      </c>
      <c r="I12" s="10">
        <f>IF(AND(D12="",C12="",F12=""),"",IF(G12&lt;&gt;"","Void",IF(F12="","Needs child",IF(H12="","Child not found",IF(OR(B12="",NOT(ISNUMBER(C12))),"Needs month/pages","OK")))))</f>
        <v/>
      </c>
      <c r="J12" s="10">
        <f>IF(I12="","",IF(I12="OK",IF(COUNTIFS(H13:H$3001,H12,B13:B$3001,B12,G13:G$3001,"")=0,C12,0),0))</f>
        <v/>
      </c>
    </row>
    <row r="13">
      <c r="A13" s="6" t="n"/>
      <c r="B13" s="9" t="n"/>
      <c r="C13" s="6" t="n"/>
      <c r="D13" s="6" t="n"/>
      <c r="E13" s="6" t="n"/>
      <c r="F13" s="6" t="n"/>
      <c r="G13" s="6" t="n"/>
      <c r="H13" s="10">
        <f>IF(F13="","",IFERROR(INDEX(Roster!$A$2:$A$600,MATCH(F13,Roster!$E$2:$E$600,0)),""))</f>
        <v/>
      </c>
      <c r="I13" s="10">
        <f>IF(AND(D13="",C13="",F13=""),"",IF(G13&lt;&gt;"","Void",IF(F13="","Needs child",IF(H13="","Child not found",IF(OR(B13="",NOT(ISNUMBER(C13))),"Needs month/pages","OK")))))</f>
        <v/>
      </c>
      <c r="J13" s="10">
        <f>IF(I13="","",IF(I13="OK",IF(COUNTIFS(H14:H$3001,H13,B14:B$3001,B13,G14:G$3001,"")=0,C13,0),0))</f>
        <v/>
      </c>
    </row>
    <row r="14">
      <c r="A14" s="6" t="n"/>
      <c r="B14" s="9" t="n"/>
      <c r="C14" s="6" t="n"/>
      <c r="D14" s="6" t="n"/>
      <c r="E14" s="6" t="n"/>
      <c r="F14" s="6" t="n"/>
      <c r="G14" s="6" t="n"/>
      <c r="H14" s="10">
        <f>IF(F14="","",IFERROR(INDEX(Roster!$A$2:$A$600,MATCH(F14,Roster!$E$2:$E$600,0)),""))</f>
        <v/>
      </c>
      <c r="I14" s="10">
        <f>IF(AND(D14="",C14="",F14=""),"",IF(G14&lt;&gt;"","Void",IF(F14="","Needs child",IF(H14="","Child not found",IF(OR(B14="",NOT(ISNUMBER(C14))),"Needs month/pages","OK")))))</f>
        <v/>
      </c>
      <c r="J14" s="10">
        <f>IF(I14="","",IF(I14="OK",IF(COUNTIFS(H15:H$3001,H14,B15:B$3001,B14,G15:G$3001,"")=0,C14,0),0))</f>
        <v/>
      </c>
    </row>
    <row r="15">
      <c r="A15" s="6" t="n"/>
      <c r="B15" s="9" t="n"/>
      <c r="C15" s="6" t="n"/>
      <c r="D15" s="6" t="n"/>
      <c r="E15" s="6" t="n"/>
      <c r="F15" s="6" t="n"/>
      <c r="G15" s="6" t="n"/>
      <c r="H15" s="10">
        <f>IF(F15="","",IFERROR(INDEX(Roster!$A$2:$A$600,MATCH(F15,Roster!$E$2:$E$600,0)),""))</f>
        <v/>
      </c>
      <c r="I15" s="10">
        <f>IF(AND(D15="",C15="",F15=""),"",IF(G15&lt;&gt;"","Void",IF(F15="","Needs child",IF(H15="","Child not found",IF(OR(B15="",NOT(ISNUMBER(C15))),"Needs month/pages","OK")))))</f>
        <v/>
      </c>
      <c r="J15" s="10">
        <f>IF(I15="","",IF(I15="OK",IF(COUNTIFS(H16:H$3001,H15,B16:B$3001,B15,G16:G$3001,"")=0,C15,0),0))</f>
        <v/>
      </c>
    </row>
    <row r="16">
      <c r="A16" s="6" t="n"/>
      <c r="B16" s="9" t="n"/>
      <c r="C16" s="6" t="n"/>
      <c r="D16" s="6" t="n"/>
      <c r="E16" s="6" t="n"/>
      <c r="F16" s="6" t="n"/>
      <c r="G16" s="6" t="n"/>
      <c r="H16" s="10">
        <f>IF(F16="","",IFERROR(INDEX(Roster!$A$2:$A$600,MATCH(F16,Roster!$E$2:$E$600,0)),""))</f>
        <v/>
      </c>
      <c r="I16" s="10">
        <f>IF(AND(D16="",C16="",F16=""),"",IF(G16&lt;&gt;"","Void",IF(F16="","Needs child",IF(H16="","Child not found",IF(OR(B16="",NOT(ISNUMBER(C16))),"Needs month/pages","OK")))))</f>
        <v/>
      </c>
      <c r="J16" s="10">
        <f>IF(I16="","",IF(I16="OK",IF(COUNTIFS(H17:H$3001,H16,B17:B$3001,B16,G17:G$3001,"")=0,C16,0),0))</f>
        <v/>
      </c>
    </row>
    <row r="17">
      <c r="A17" s="6" t="n"/>
      <c r="B17" s="9" t="n"/>
      <c r="C17" s="6" t="n"/>
      <c r="D17" s="6" t="n"/>
      <c r="E17" s="6" t="n"/>
      <c r="F17" s="6" t="n"/>
      <c r="G17" s="6" t="n"/>
      <c r="H17" s="10">
        <f>IF(F17="","",IFERROR(INDEX(Roster!$A$2:$A$600,MATCH(F17,Roster!$E$2:$E$600,0)),""))</f>
        <v/>
      </c>
      <c r="I17" s="10">
        <f>IF(AND(D17="",C17="",F17=""),"",IF(G17&lt;&gt;"","Void",IF(F17="","Needs child",IF(H17="","Child not found",IF(OR(B17="",NOT(ISNUMBER(C17))),"Needs month/pages","OK")))))</f>
        <v/>
      </c>
      <c r="J17" s="10">
        <f>IF(I17="","",IF(I17="OK",IF(COUNTIFS(H18:H$3001,H17,B18:B$3001,B17,G18:G$3001,"")=0,C17,0),0))</f>
        <v/>
      </c>
    </row>
    <row r="18">
      <c r="A18" s="6" t="n"/>
      <c r="B18" s="9" t="n"/>
      <c r="C18" s="6" t="n"/>
      <c r="D18" s="6" t="n"/>
      <c r="E18" s="6" t="n"/>
      <c r="F18" s="6" t="n"/>
      <c r="G18" s="6" t="n"/>
      <c r="H18" s="10">
        <f>IF(F18="","",IFERROR(INDEX(Roster!$A$2:$A$600,MATCH(F18,Roster!$E$2:$E$600,0)),""))</f>
        <v/>
      </c>
      <c r="I18" s="10">
        <f>IF(AND(D18="",C18="",F18=""),"",IF(G18&lt;&gt;"","Void",IF(F18="","Needs child",IF(H18="","Child not found",IF(OR(B18="",NOT(ISNUMBER(C18))),"Needs month/pages","OK")))))</f>
        <v/>
      </c>
      <c r="J18" s="10">
        <f>IF(I18="","",IF(I18="OK",IF(COUNTIFS(H19:H$3001,H18,B19:B$3001,B18,G19:G$3001,"")=0,C18,0),0))</f>
        <v/>
      </c>
    </row>
    <row r="19">
      <c r="A19" s="6" t="n"/>
      <c r="B19" s="9" t="n"/>
      <c r="C19" s="6" t="n"/>
      <c r="D19" s="6" t="n"/>
      <c r="E19" s="6" t="n"/>
      <c r="F19" s="6" t="n"/>
      <c r="G19" s="6" t="n"/>
      <c r="H19" s="10">
        <f>IF(F19="","",IFERROR(INDEX(Roster!$A$2:$A$600,MATCH(F19,Roster!$E$2:$E$600,0)),""))</f>
        <v/>
      </c>
      <c r="I19" s="10">
        <f>IF(AND(D19="",C19="",F19=""),"",IF(G19&lt;&gt;"","Void",IF(F19="","Needs child",IF(H19="","Child not found",IF(OR(B19="",NOT(ISNUMBER(C19))),"Needs month/pages","OK")))))</f>
        <v/>
      </c>
      <c r="J19" s="10">
        <f>IF(I19="","",IF(I19="OK",IF(COUNTIFS(H20:H$3001,H19,B20:B$3001,B19,G20:G$3001,"")=0,C19,0),0))</f>
        <v/>
      </c>
    </row>
    <row r="20">
      <c r="A20" s="6" t="n"/>
      <c r="B20" s="9" t="n"/>
      <c r="C20" s="6" t="n"/>
      <c r="D20" s="6" t="n"/>
      <c r="E20" s="6" t="n"/>
      <c r="F20" s="6" t="n"/>
      <c r="G20" s="6" t="n"/>
      <c r="H20" s="10">
        <f>IF(F20="","",IFERROR(INDEX(Roster!$A$2:$A$600,MATCH(F20,Roster!$E$2:$E$600,0)),""))</f>
        <v/>
      </c>
      <c r="I20" s="10">
        <f>IF(AND(D20="",C20="",F20=""),"",IF(G20&lt;&gt;"","Void",IF(F20="","Needs child",IF(H20="","Child not found",IF(OR(B20="",NOT(ISNUMBER(C20))),"Needs month/pages","OK")))))</f>
        <v/>
      </c>
      <c r="J20" s="10">
        <f>IF(I20="","",IF(I20="OK",IF(COUNTIFS(H21:H$3001,H20,B21:B$3001,B20,G21:G$3001,"")=0,C20,0),0))</f>
        <v/>
      </c>
    </row>
    <row r="21">
      <c r="A21" s="6" t="n"/>
      <c r="B21" s="9" t="n"/>
      <c r="C21" s="6" t="n"/>
      <c r="D21" s="6" t="n"/>
      <c r="E21" s="6" t="n"/>
      <c r="F21" s="6" t="n"/>
      <c r="G21" s="6" t="n"/>
      <c r="H21" s="10">
        <f>IF(F21="","",IFERROR(INDEX(Roster!$A$2:$A$600,MATCH(F21,Roster!$E$2:$E$600,0)),""))</f>
        <v/>
      </c>
      <c r="I21" s="10">
        <f>IF(AND(D21="",C21="",F21=""),"",IF(G21&lt;&gt;"","Void",IF(F21="","Needs child",IF(H21="","Child not found",IF(OR(B21="",NOT(ISNUMBER(C21))),"Needs month/pages","OK")))))</f>
        <v/>
      </c>
      <c r="J21" s="10">
        <f>IF(I21="","",IF(I21="OK",IF(COUNTIFS(H22:H$3001,H21,B22:B$3001,B21,G22:G$3001,"")=0,C21,0),0))</f>
        <v/>
      </c>
    </row>
    <row r="22">
      <c r="A22" s="6" t="n"/>
      <c r="B22" s="9" t="n"/>
      <c r="C22" s="6" t="n"/>
      <c r="D22" s="6" t="n"/>
      <c r="E22" s="6" t="n"/>
      <c r="F22" s="6" t="n"/>
      <c r="G22" s="6" t="n"/>
      <c r="H22" s="10">
        <f>IF(F22="","",IFERROR(INDEX(Roster!$A$2:$A$600,MATCH(F22,Roster!$E$2:$E$600,0)),""))</f>
        <v/>
      </c>
      <c r="I22" s="10">
        <f>IF(AND(D22="",C22="",F22=""),"",IF(G22&lt;&gt;"","Void",IF(F22="","Needs child",IF(H22="","Child not found",IF(OR(B22="",NOT(ISNUMBER(C22))),"Needs month/pages","OK")))))</f>
        <v/>
      </c>
      <c r="J22" s="10">
        <f>IF(I22="","",IF(I22="OK",IF(COUNTIFS(H23:H$3001,H22,B23:B$3001,B22,G23:G$3001,"")=0,C22,0),0))</f>
        <v/>
      </c>
    </row>
    <row r="23">
      <c r="A23" s="6" t="n"/>
      <c r="B23" s="9" t="n"/>
      <c r="C23" s="6" t="n"/>
      <c r="D23" s="6" t="n"/>
      <c r="E23" s="6" t="n"/>
      <c r="F23" s="6" t="n"/>
      <c r="G23" s="6" t="n"/>
      <c r="H23" s="10">
        <f>IF(F23="","",IFERROR(INDEX(Roster!$A$2:$A$600,MATCH(F23,Roster!$E$2:$E$600,0)),""))</f>
        <v/>
      </c>
      <c r="I23" s="10">
        <f>IF(AND(D23="",C23="",F23=""),"",IF(G23&lt;&gt;"","Void",IF(F23="","Needs child",IF(H23="","Child not found",IF(OR(B23="",NOT(ISNUMBER(C23))),"Needs month/pages","OK")))))</f>
        <v/>
      </c>
      <c r="J23" s="10">
        <f>IF(I23="","",IF(I23="OK",IF(COUNTIFS(H24:H$3001,H23,B24:B$3001,B23,G24:G$3001,"")=0,C23,0),0))</f>
        <v/>
      </c>
    </row>
    <row r="24">
      <c r="A24" s="6" t="n"/>
      <c r="B24" s="9" t="n"/>
      <c r="C24" s="6" t="n"/>
      <c r="D24" s="6" t="n"/>
      <c r="E24" s="6" t="n"/>
      <c r="F24" s="6" t="n"/>
      <c r="G24" s="6" t="n"/>
      <c r="H24" s="10">
        <f>IF(F24="","",IFERROR(INDEX(Roster!$A$2:$A$600,MATCH(F24,Roster!$E$2:$E$600,0)),""))</f>
        <v/>
      </c>
      <c r="I24" s="10">
        <f>IF(AND(D24="",C24="",F24=""),"",IF(G24&lt;&gt;"","Void",IF(F24="","Needs child",IF(H24="","Child not found",IF(OR(B24="",NOT(ISNUMBER(C24))),"Needs month/pages","OK")))))</f>
        <v/>
      </c>
      <c r="J24" s="10">
        <f>IF(I24="","",IF(I24="OK",IF(COUNTIFS(H25:H$3001,H24,B25:B$3001,B24,G25:G$3001,"")=0,C24,0),0))</f>
        <v/>
      </c>
    </row>
    <row r="25">
      <c r="A25" s="6" t="n"/>
      <c r="B25" s="9" t="n"/>
      <c r="C25" s="6" t="n"/>
      <c r="D25" s="6" t="n"/>
      <c r="E25" s="6" t="n"/>
      <c r="F25" s="6" t="n"/>
      <c r="G25" s="6" t="n"/>
      <c r="H25" s="10">
        <f>IF(F25="","",IFERROR(INDEX(Roster!$A$2:$A$600,MATCH(F25,Roster!$E$2:$E$600,0)),""))</f>
        <v/>
      </c>
      <c r="I25" s="10">
        <f>IF(AND(D25="",C25="",F25=""),"",IF(G25&lt;&gt;"","Void",IF(F25="","Needs child",IF(H25="","Child not found",IF(OR(B25="",NOT(ISNUMBER(C25))),"Needs month/pages","OK")))))</f>
        <v/>
      </c>
      <c r="J25" s="10">
        <f>IF(I25="","",IF(I25="OK",IF(COUNTIFS(H26:H$3001,H25,B26:B$3001,B25,G26:G$3001,"")=0,C25,0),0))</f>
        <v/>
      </c>
    </row>
    <row r="26">
      <c r="A26" s="6" t="n"/>
      <c r="B26" s="9" t="n"/>
      <c r="C26" s="6" t="n"/>
      <c r="D26" s="6" t="n"/>
      <c r="E26" s="6" t="n"/>
      <c r="F26" s="6" t="n"/>
      <c r="G26" s="6" t="n"/>
      <c r="H26" s="10">
        <f>IF(F26="","",IFERROR(INDEX(Roster!$A$2:$A$600,MATCH(F26,Roster!$E$2:$E$600,0)),""))</f>
        <v/>
      </c>
      <c r="I26" s="10">
        <f>IF(AND(D26="",C26="",F26=""),"",IF(G26&lt;&gt;"","Void",IF(F26="","Needs child",IF(H26="","Child not found",IF(OR(B26="",NOT(ISNUMBER(C26))),"Needs month/pages","OK")))))</f>
        <v/>
      </c>
      <c r="J26" s="10">
        <f>IF(I26="","",IF(I26="OK",IF(COUNTIFS(H27:H$3001,H26,B27:B$3001,B26,G27:G$3001,"")=0,C26,0),0))</f>
        <v/>
      </c>
    </row>
    <row r="27">
      <c r="A27" s="6" t="n"/>
      <c r="B27" s="9" t="n"/>
      <c r="C27" s="6" t="n"/>
      <c r="D27" s="6" t="n"/>
      <c r="E27" s="6" t="n"/>
      <c r="F27" s="6" t="n"/>
      <c r="G27" s="6" t="n"/>
      <c r="H27" s="10">
        <f>IF(F27="","",IFERROR(INDEX(Roster!$A$2:$A$600,MATCH(F27,Roster!$E$2:$E$600,0)),""))</f>
        <v/>
      </c>
      <c r="I27" s="10">
        <f>IF(AND(D27="",C27="",F27=""),"",IF(G27&lt;&gt;"","Void",IF(F27="","Needs child",IF(H27="","Child not found",IF(OR(B27="",NOT(ISNUMBER(C27))),"Needs month/pages","OK")))))</f>
        <v/>
      </c>
      <c r="J27" s="10">
        <f>IF(I27="","",IF(I27="OK",IF(COUNTIFS(H28:H$3001,H27,B28:B$3001,B27,G28:G$3001,"")=0,C27,0),0))</f>
        <v/>
      </c>
    </row>
    <row r="28">
      <c r="A28" s="6" t="n"/>
      <c r="B28" s="9" t="n"/>
      <c r="C28" s="6" t="n"/>
      <c r="D28" s="6" t="n"/>
      <c r="E28" s="6" t="n"/>
      <c r="F28" s="6" t="n"/>
      <c r="G28" s="6" t="n"/>
      <c r="H28" s="10">
        <f>IF(F28="","",IFERROR(INDEX(Roster!$A$2:$A$600,MATCH(F28,Roster!$E$2:$E$600,0)),""))</f>
        <v/>
      </c>
      <c r="I28" s="10">
        <f>IF(AND(D28="",C28="",F28=""),"",IF(G28&lt;&gt;"","Void",IF(F28="","Needs child",IF(H28="","Child not found",IF(OR(B28="",NOT(ISNUMBER(C28))),"Needs month/pages","OK")))))</f>
        <v/>
      </c>
      <c r="J28" s="10">
        <f>IF(I28="","",IF(I28="OK",IF(COUNTIFS(H29:H$3001,H28,B29:B$3001,B28,G29:G$3001,"")=0,C28,0),0))</f>
        <v/>
      </c>
    </row>
    <row r="29">
      <c r="A29" s="6" t="n"/>
      <c r="B29" s="9" t="n"/>
      <c r="C29" s="6" t="n"/>
      <c r="D29" s="6" t="n"/>
      <c r="E29" s="6" t="n"/>
      <c r="F29" s="6" t="n"/>
      <c r="G29" s="6" t="n"/>
      <c r="H29" s="10">
        <f>IF(F29="","",IFERROR(INDEX(Roster!$A$2:$A$600,MATCH(F29,Roster!$E$2:$E$600,0)),""))</f>
        <v/>
      </c>
      <c r="I29" s="10">
        <f>IF(AND(D29="",C29="",F29=""),"",IF(G29&lt;&gt;"","Void",IF(F29="","Needs child",IF(H29="","Child not found",IF(OR(B29="",NOT(ISNUMBER(C29))),"Needs month/pages","OK")))))</f>
        <v/>
      </c>
      <c r="J29" s="10">
        <f>IF(I29="","",IF(I29="OK",IF(COUNTIFS(H30:H$3001,H29,B30:B$3001,B29,G30:G$3001,"")=0,C29,0),0))</f>
        <v/>
      </c>
    </row>
    <row r="30">
      <c r="A30" s="6" t="n"/>
      <c r="B30" s="9" t="n"/>
      <c r="C30" s="6" t="n"/>
      <c r="D30" s="6" t="n"/>
      <c r="E30" s="6" t="n"/>
      <c r="F30" s="6" t="n"/>
      <c r="G30" s="6" t="n"/>
      <c r="H30" s="10">
        <f>IF(F30="","",IFERROR(INDEX(Roster!$A$2:$A$600,MATCH(F30,Roster!$E$2:$E$600,0)),""))</f>
        <v/>
      </c>
      <c r="I30" s="10">
        <f>IF(AND(D30="",C30="",F30=""),"",IF(G30&lt;&gt;"","Void",IF(F30="","Needs child",IF(H30="","Child not found",IF(OR(B30="",NOT(ISNUMBER(C30))),"Needs month/pages","OK")))))</f>
        <v/>
      </c>
      <c r="J30" s="10">
        <f>IF(I30="","",IF(I30="OK",IF(COUNTIFS(H31:H$3001,H30,B31:B$3001,B30,G31:G$3001,"")=0,C30,0),0))</f>
        <v/>
      </c>
    </row>
    <row r="31">
      <c r="A31" s="6" t="n"/>
      <c r="B31" s="9" t="n"/>
      <c r="C31" s="6" t="n"/>
      <c r="D31" s="6" t="n"/>
      <c r="E31" s="6" t="n"/>
      <c r="F31" s="6" t="n"/>
      <c r="G31" s="6" t="n"/>
      <c r="H31" s="10">
        <f>IF(F31="","",IFERROR(INDEX(Roster!$A$2:$A$600,MATCH(F31,Roster!$E$2:$E$600,0)),""))</f>
        <v/>
      </c>
      <c r="I31" s="10">
        <f>IF(AND(D31="",C31="",F31=""),"",IF(G31&lt;&gt;"","Void",IF(F31="","Needs child",IF(H31="","Child not found",IF(OR(B31="",NOT(ISNUMBER(C31))),"Needs month/pages","OK")))))</f>
        <v/>
      </c>
      <c r="J31" s="10">
        <f>IF(I31="","",IF(I31="OK",IF(COUNTIFS(H32:H$3001,H31,B32:B$3001,B31,G32:G$3001,"")=0,C31,0),0))</f>
        <v/>
      </c>
    </row>
    <row r="32">
      <c r="A32" s="6" t="n"/>
      <c r="B32" s="9" t="n"/>
      <c r="C32" s="6" t="n"/>
      <c r="D32" s="6" t="n"/>
      <c r="E32" s="6" t="n"/>
      <c r="F32" s="6" t="n"/>
      <c r="G32" s="6" t="n"/>
      <c r="H32" s="10">
        <f>IF(F32="","",IFERROR(INDEX(Roster!$A$2:$A$600,MATCH(F32,Roster!$E$2:$E$600,0)),""))</f>
        <v/>
      </c>
      <c r="I32" s="10">
        <f>IF(AND(D32="",C32="",F32=""),"",IF(G32&lt;&gt;"","Void",IF(F32="","Needs child",IF(H32="","Child not found",IF(OR(B32="",NOT(ISNUMBER(C32))),"Needs month/pages","OK")))))</f>
        <v/>
      </c>
      <c r="J32" s="10">
        <f>IF(I32="","",IF(I32="OK",IF(COUNTIFS(H33:H$3001,H32,B33:B$3001,B32,G33:G$3001,"")=0,C32,0),0))</f>
        <v/>
      </c>
    </row>
    <row r="33">
      <c r="A33" s="6" t="n"/>
      <c r="B33" s="9" t="n"/>
      <c r="C33" s="6" t="n"/>
      <c r="D33" s="6" t="n"/>
      <c r="E33" s="6" t="n"/>
      <c r="F33" s="6" t="n"/>
      <c r="G33" s="6" t="n"/>
      <c r="H33" s="10">
        <f>IF(F33="","",IFERROR(INDEX(Roster!$A$2:$A$600,MATCH(F33,Roster!$E$2:$E$600,0)),""))</f>
        <v/>
      </c>
      <c r="I33" s="10">
        <f>IF(AND(D33="",C33="",F33=""),"",IF(G33&lt;&gt;"","Void",IF(F33="","Needs child",IF(H33="","Child not found",IF(OR(B33="",NOT(ISNUMBER(C33))),"Needs month/pages","OK")))))</f>
        <v/>
      </c>
      <c r="J33" s="10">
        <f>IF(I33="","",IF(I33="OK",IF(COUNTIFS(H34:H$3001,H33,B34:B$3001,B33,G34:G$3001,"")=0,C33,0),0))</f>
        <v/>
      </c>
    </row>
    <row r="34">
      <c r="A34" s="6" t="n"/>
      <c r="B34" s="9" t="n"/>
      <c r="C34" s="6" t="n"/>
      <c r="D34" s="6" t="n"/>
      <c r="E34" s="6" t="n"/>
      <c r="F34" s="6" t="n"/>
      <c r="G34" s="6" t="n"/>
      <c r="H34" s="10">
        <f>IF(F34="","",IFERROR(INDEX(Roster!$A$2:$A$600,MATCH(F34,Roster!$E$2:$E$600,0)),""))</f>
        <v/>
      </c>
      <c r="I34" s="10">
        <f>IF(AND(D34="",C34="",F34=""),"",IF(G34&lt;&gt;"","Void",IF(F34="","Needs child",IF(H34="","Child not found",IF(OR(B34="",NOT(ISNUMBER(C34))),"Needs month/pages","OK")))))</f>
        <v/>
      </c>
      <c r="J34" s="10">
        <f>IF(I34="","",IF(I34="OK",IF(COUNTIFS(H35:H$3001,H34,B35:B$3001,B34,G35:G$3001,"")=0,C34,0),0))</f>
        <v/>
      </c>
    </row>
    <row r="35">
      <c r="A35" s="6" t="n"/>
      <c r="B35" s="9" t="n"/>
      <c r="C35" s="6" t="n"/>
      <c r="D35" s="6" t="n"/>
      <c r="E35" s="6" t="n"/>
      <c r="F35" s="6" t="n"/>
      <c r="G35" s="6" t="n"/>
      <c r="H35" s="10">
        <f>IF(F35="","",IFERROR(INDEX(Roster!$A$2:$A$600,MATCH(F35,Roster!$E$2:$E$600,0)),""))</f>
        <v/>
      </c>
      <c r="I35" s="10">
        <f>IF(AND(D35="",C35="",F35=""),"",IF(G35&lt;&gt;"","Void",IF(F35="","Needs child",IF(H35="","Child not found",IF(OR(B35="",NOT(ISNUMBER(C35))),"Needs month/pages","OK")))))</f>
        <v/>
      </c>
      <c r="J35" s="10">
        <f>IF(I35="","",IF(I35="OK",IF(COUNTIFS(H36:H$3001,H35,B36:B$3001,B35,G36:G$3001,"")=0,C35,0),0))</f>
        <v/>
      </c>
    </row>
    <row r="36">
      <c r="A36" s="6" t="n"/>
      <c r="B36" s="9" t="n"/>
      <c r="C36" s="6" t="n"/>
      <c r="D36" s="6" t="n"/>
      <c r="E36" s="6" t="n"/>
      <c r="F36" s="6" t="n"/>
      <c r="G36" s="6" t="n"/>
      <c r="H36" s="10">
        <f>IF(F36="","",IFERROR(INDEX(Roster!$A$2:$A$600,MATCH(F36,Roster!$E$2:$E$600,0)),""))</f>
        <v/>
      </c>
      <c r="I36" s="10">
        <f>IF(AND(D36="",C36="",F36=""),"",IF(G36&lt;&gt;"","Void",IF(F36="","Needs child",IF(H36="","Child not found",IF(OR(B36="",NOT(ISNUMBER(C36))),"Needs month/pages","OK")))))</f>
        <v/>
      </c>
      <c r="J36" s="10">
        <f>IF(I36="","",IF(I36="OK",IF(COUNTIFS(H37:H$3001,H36,B37:B$3001,B36,G37:G$3001,"")=0,C36,0),0))</f>
        <v/>
      </c>
    </row>
    <row r="37">
      <c r="A37" s="6" t="n"/>
      <c r="B37" s="9" t="n"/>
      <c r="C37" s="6" t="n"/>
      <c r="D37" s="6" t="n"/>
      <c r="E37" s="6" t="n"/>
      <c r="F37" s="6" t="n"/>
      <c r="G37" s="6" t="n"/>
      <c r="H37" s="10">
        <f>IF(F37="","",IFERROR(INDEX(Roster!$A$2:$A$600,MATCH(F37,Roster!$E$2:$E$600,0)),""))</f>
        <v/>
      </c>
      <c r="I37" s="10">
        <f>IF(AND(D37="",C37="",F37=""),"",IF(G37&lt;&gt;"","Void",IF(F37="","Needs child",IF(H37="","Child not found",IF(OR(B37="",NOT(ISNUMBER(C37))),"Needs month/pages","OK")))))</f>
        <v/>
      </c>
      <c r="J37" s="10">
        <f>IF(I37="","",IF(I37="OK",IF(COUNTIFS(H38:H$3001,H37,B38:B$3001,B37,G38:G$3001,"")=0,C37,0),0))</f>
        <v/>
      </c>
    </row>
    <row r="38">
      <c r="A38" s="6" t="n"/>
      <c r="B38" s="9" t="n"/>
      <c r="C38" s="6" t="n"/>
      <c r="D38" s="6" t="n"/>
      <c r="E38" s="6" t="n"/>
      <c r="F38" s="6" t="n"/>
      <c r="G38" s="6" t="n"/>
      <c r="H38" s="10">
        <f>IF(F38="","",IFERROR(INDEX(Roster!$A$2:$A$600,MATCH(F38,Roster!$E$2:$E$600,0)),""))</f>
        <v/>
      </c>
      <c r="I38" s="10">
        <f>IF(AND(D38="",C38="",F38=""),"",IF(G38&lt;&gt;"","Void",IF(F38="","Needs child",IF(H38="","Child not found",IF(OR(B38="",NOT(ISNUMBER(C38))),"Needs month/pages","OK")))))</f>
        <v/>
      </c>
      <c r="J38" s="10">
        <f>IF(I38="","",IF(I38="OK",IF(COUNTIFS(H39:H$3001,H38,B39:B$3001,B38,G39:G$3001,"")=0,C38,0),0))</f>
        <v/>
      </c>
    </row>
    <row r="39">
      <c r="A39" s="6" t="n"/>
      <c r="B39" s="9" t="n"/>
      <c r="C39" s="6" t="n"/>
      <c r="D39" s="6" t="n"/>
      <c r="E39" s="6" t="n"/>
      <c r="F39" s="6" t="n"/>
      <c r="G39" s="6" t="n"/>
      <c r="H39" s="10">
        <f>IF(F39="","",IFERROR(INDEX(Roster!$A$2:$A$600,MATCH(F39,Roster!$E$2:$E$600,0)),""))</f>
        <v/>
      </c>
      <c r="I39" s="10">
        <f>IF(AND(D39="",C39="",F39=""),"",IF(G39&lt;&gt;"","Void",IF(F39="","Needs child",IF(H39="","Child not found",IF(OR(B39="",NOT(ISNUMBER(C39))),"Needs month/pages","OK")))))</f>
        <v/>
      </c>
      <c r="J39" s="10">
        <f>IF(I39="","",IF(I39="OK",IF(COUNTIFS(H40:H$3001,H39,B40:B$3001,B39,G40:G$3001,"")=0,C39,0),0))</f>
        <v/>
      </c>
    </row>
    <row r="40">
      <c r="A40" s="6" t="n"/>
      <c r="B40" s="9" t="n"/>
      <c r="C40" s="6" t="n"/>
      <c r="D40" s="6" t="n"/>
      <c r="E40" s="6" t="n"/>
      <c r="F40" s="6" t="n"/>
      <c r="G40" s="6" t="n"/>
      <c r="H40" s="10">
        <f>IF(F40="","",IFERROR(INDEX(Roster!$A$2:$A$600,MATCH(F40,Roster!$E$2:$E$600,0)),""))</f>
        <v/>
      </c>
      <c r="I40" s="10">
        <f>IF(AND(D40="",C40="",F40=""),"",IF(G40&lt;&gt;"","Void",IF(F40="","Needs child",IF(H40="","Child not found",IF(OR(B40="",NOT(ISNUMBER(C40))),"Needs month/pages","OK")))))</f>
        <v/>
      </c>
      <c r="J40" s="10">
        <f>IF(I40="","",IF(I40="OK",IF(COUNTIFS(H41:H$3001,H40,B41:B$3001,B40,G41:G$3001,"")=0,C40,0),0))</f>
        <v/>
      </c>
    </row>
    <row r="41">
      <c r="A41" s="6" t="n"/>
      <c r="B41" s="9" t="n"/>
      <c r="C41" s="6" t="n"/>
      <c r="D41" s="6" t="n"/>
      <c r="E41" s="6" t="n"/>
      <c r="F41" s="6" t="n"/>
      <c r="G41" s="6" t="n"/>
      <c r="H41" s="10">
        <f>IF(F41="","",IFERROR(INDEX(Roster!$A$2:$A$600,MATCH(F41,Roster!$E$2:$E$600,0)),""))</f>
        <v/>
      </c>
      <c r="I41" s="10">
        <f>IF(AND(D41="",C41="",F41=""),"",IF(G41&lt;&gt;"","Void",IF(F41="","Needs child",IF(H41="","Child not found",IF(OR(B41="",NOT(ISNUMBER(C41))),"Needs month/pages","OK")))))</f>
        <v/>
      </c>
      <c r="J41" s="10">
        <f>IF(I41="","",IF(I41="OK",IF(COUNTIFS(H42:H$3001,H41,B42:B$3001,B41,G42:G$3001,"")=0,C41,0),0))</f>
        <v/>
      </c>
    </row>
    <row r="42">
      <c r="A42" s="6" t="n"/>
      <c r="B42" s="9" t="n"/>
      <c r="C42" s="6" t="n"/>
      <c r="D42" s="6" t="n"/>
      <c r="E42" s="6" t="n"/>
      <c r="F42" s="6" t="n"/>
      <c r="G42" s="6" t="n"/>
      <c r="H42" s="10">
        <f>IF(F42="","",IFERROR(INDEX(Roster!$A$2:$A$600,MATCH(F42,Roster!$E$2:$E$600,0)),""))</f>
        <v/>
      </c>
      <c r="I42" s="10">
        <f>IF(AND(D42="",C42="",F42=""),"",IF(G42&lt;&gt;"","Void",IF(F42="","Needs child",IF(H42="","Child not found",IF(OR(B42="",NOT(ISNUMBER(C42))),"Needs month/pages","OK")))))</f>
        <v/>
      </c>
      <c r="J42" s="10">
        <f>IF(I42="","",IF(I42="OK",IF(COUNTIFS(H43:H$3001,H42,B43:B$3001,B42,G43:G$3001,"")=0,C42,0),0))</f>
        <v/>
      </c>
    </row>
    <row r="43">
      <c r="A43" s="6" t="n"/>
      <c r="B43" s="9" t="n"/>
      <c r="C43" s="6" t="n"/>
      <c r="D43" s="6" t="n"/>
      <c r="E43" s="6" t="n"/>
      <c r="F43" s="6" t="n"/>
      <c r="G43" s="6" t="n"/>
      <c r="H43" s="10">
        <f>IF(F43="","",IFERROR(INDEX(Roster!$A$2:$A$600,MATCH(F43,Roster!$E$2:$E$600,0)),""))</f>
        <v/>
      </c>
      <c r="I43" s="10">
        <f>IF(AND(D43="",C43="",F43=""),"",IF(G43&lt;&gt;"","Void",IF(F43="","Needs child",IF(H43="","Child not found",IF(OR(B43="",NOT(ISNUMBER(C43))),"Needs month/pages","OK")))))</f>
        <v/>
      </c>
      <c r="J43" s="10">
        <f>IF(I43="","",IF(I43="OK",IF(COUNTIFS(H44:H$3001,H43,B44:B$3001,B43,G44:G$3001,"")=0,C43,0),0))</f>
        <v/>
      </c>
    </row>
    <row r="44">
      <c r="A44" s="6" t="n"/>
      <c r="B44" s="9" t="n"/>
      <c r="C44" s="6" t="n"/>
      <c r="D44" s="6" t="n"/>
      <c r="E44" s="6" t="n"/>
      <c r="F44" s="6" t="n"/>
      <c r="G44" s="6" t="n"/>
      <c r="H44" s="10">
        <f>IF(F44="","",IFERROR(INDEX(Roster!$A$2:$A$600,MATCH(F44,Roster!$E$2:$E$600,0)),""))</f>
        <v/>
      </c>
      <c r="I44" s="10">
        <f>IF(AND(D44="",C44="",F44=""),"",IF(G44&lt;&gt;"","Void",IF(F44="","Needs child",IF(H44="","Child not found",IF(OR(B44="",NOT(ISNUMBER(C44))),"Needs month/pages","OK")))))</f>
        <v/>
      </c>
      <c r="J44" s="10">
        <f>IF(I44="","",IF(I44="OK",IF(COUNTIFS(H45:H$3001,H44,B45:B$3001,B44,G45:G$3001,"")=0,C44,0),0))</f>
        <v/>
      </c>
    </row>
    <row r="45">
      <c r="A45" s="6" t="n"/>
      <c r="B45" s="9" t="n"/>
      <c r="C45" s="6" t="n"/>
      <c r="D45" s="6" t="n"/>
      <c r="E45" s="6" t="n"/>
      <c r="F45" s="6" t="n"/>
      <c r="G45" s="6" t="n"/>
      <c r="H45" s="10">
        <f>IF(F45="","",IFERROR(INDEX(Roster!$A$2:$A$600,MATCH(F45,Roster!$E$2:$E$600,0)),""))</f>
        <v/>
      </c>
      <c r="I45" s="10">
        <f>IF(AND(D45="",C45="",F45=""),"",IF(G45&lt;&gt;"","Void",IF(F45="","Needs child",IF(H45="","Child not found",IF(OR(B45="",NOT(ISNUMBER(C45))),"Needs month/pages","OK")))))</f>
        <v/>
      </c>
      <c r="J45" s="10">
        <f>IF(I45="","",IF(I45="OK",IF(COUNTIFS(H46:H$3001,H45,B46:B$3001,B45,G46:G$3001,"")=0,C45,0),0))</f>
        <v/>
      </c>
    </row>
    <row r="46">
      <c r="A46" s="6" t="n"/>
      <c r="B46" s="9" t="n"/>
      <c r="C46" s="6" t="n"/>
      <c r="D46" s="6" t="n"/>
      <c r="E46" s="6" t="n"/>
      <c r="F46" s="6" t="n"/>
      <c r="G46" s="6" t="n"/>
      <c r="H46" s="10">
        <f>IF(F46="","",IFERROR(INDEX(Roster!$A$2:$A$600,MATCH(F46,Roster!$E$2:$E$600,0)),""))</f>
        <v/>
      </c>
      <c r="I46" s="10">
        <f>IF(AND(D46="",C46="",F46=""),"",IF(G46&lt;&gt;"","Void",IF(F46="","Needs child",IF(H46="","Child not found",IF(OR(B46="",NOT(ISNUMBER(C46))),"Needs month/pages","OK")))))</f>
        <v/>
      </c>
      <c r="J46" s="10">
        <f>IF(I46="","",IF(I46="OK",IF(COUNTIFS(H47:H$3001,H46,B47:B$3001,B46,G47:G$3001,"")=0,C46,0),0))</f>
        <v/>
      </c>
    </row>
    <row r="47">
      <c r="A47" s="6" t="n"/>
      <c r="B47" s="9" t="n"/>
      <c r="C47" s="6" t="n"/>
      <c r="D47" s="6" t="n"/>
      <c r="E47" s="6" t="n"/>
      <c r="F47" s="6" t="n"/>
      <c r="G47" s="6" t="n"/>
      <c r="H47" s="10">
        <f>IF(F47="","",IFERROR(INDEX(Roster!$A$2:$A$600,MATCH(F47,Roster!$E$2:$E$600,0)),""))</f>
        <v/>
      </c>
      <c r="I47" s="10">
        <f>IF(AND(D47="",C47="",F47=""),"",IF(G47&lt;&gt;"","Void",IF(F47="","Needs child",IF(H47="","Child not found",IF(OR(B47="",NOT(ISNUMBER(C47))),"Needs month/pages","OK")))))</f>
        <v/>
      </c>
      <c r="J47" s="10">
        <f>IF(I47="","",IF(I47="OK",IF(COUNTIFS(H48:H$3001,H47,B48:B$3001,B47,G48:G$3001,"")=0,C47,0),0))</f>
        <v/>
      </c>
    </row>
    <row r="48">
      <c r="A48" s="6" t="n"/>
      <c r="B48" s="9" t="n"/>
      <c r="C48" s="6" t="n"/>
      <c r="D48" s="6" t="n"/>
      <c r="E48" s="6" t="n"/>
      <c r="F48" s="6" t="n"/>
      <c r="G48" s="6" t="n"/>
      <c r="H48" s="10">
        <f>IF(F48="","",IFERROR(INDEX(Roster!$A$2:$A$600,MATCH(F48,Roster!$E$2:$E$600,0)),""))</f>
        <v/>
      </c>
      <c r="I48" s="10">
        <f>IF(AND(D48="",C48="",F48=""),"",IF(G48&lt;&gt;"","Void",IF(F48="","Needs child",IF(H48="","Child not found",IF(OR(B48="",NOT(ISNUMBER(C48))),"Needs month/pages","OK")))))</f>
        <v/>
      </c>
      <c r="J48" s="10">
        <f>IF(I48="","",IF(I48="OK",IF(COUNTIFS(H49:H$3001,H48,B49:B$3001,B48,G49:G$3001,"")=0,C48,0),0))</f>
        <v/>
      </c>
    </row>
    <row r="49">
      <c r="A49" s="6" t="n"/>
      <c r="B49" s="9" t="n"/>
      <c r="C49" s="6" t="n"/>
      <c r="D49" s="6" t="n"/>
      <c r="E49" s="6" t="n"/>
      <c r="F49" s="6" t="n"/>
      <c r="G49" s="6" t="n"/>
      <c r="H49" s="10">
        <f>IF(F49="","",IFERROR(INDEX(Roster!$A$2:$A$600,MATCH(F49,Roster!$E$2:$E$600,0)),""))</f>
        <v/>
      </c>
      <c r="I49" s="10">
        <f>IF(AND(D49="",C49="",F49=""),"",IF(G49&lt;&gt;"","Void",IF(F49="","Needs child",IF(H49="","Child not found",IF(OR(B49="",NOT(ISNUMBER(C49))),"Needs month/pages","OK")))))</f>
        <v/>
      </c>
      <c r="J49" s="10">
        <f>IF(I49="","",IF(I49="OK",IF(COUNTIFS(H50:H$3001,H49,B50:B$3001,B49,G50:G$3001,"")=0,C49,0),0))</f>
        <v/>
      </c>
    </row>
    <row r="50">
      <c r="A50" s="6" t="n"/>
      <c r="B50" s="9" t="n"/>
      <c r="C50" s="6" t="n"/>
      <c r="D50" s="6" t="n"/>
      <c r="E50" s="6" t="n"/>
      <c r="F50" s="6" t="n"/>
      <c r="G50" s="6" t="n"/>
      <c r="H50" s="10">
        <f>IF(F50="","",IFERROR(INDEX(Roster!$A$2:$A$600,MATCH(F50,Roster!$E$2:$E$600,0)),""))</f>
        <v/>
      </c>
      <c r="I50" s="10">
        <f>IF(AND(D50="",C50="",F50=""),"",IF(G50&lt;&gt;"","Void",IF(F50="","Needs child",IF(H50="","Child not found",IF(OR(B50="",NOT(ISNUMBER(C50))),"Needs month/pages","OK")))))</f>
        <v/>
      </c>
      <c r="J50" s="10">
        <f>IF(I50="","",IF(I50="OK",IF(COUNTIFS(H51:H$3001,H50,B51:B$3001,B50,G51:G$3001,"")=0,C50,0),0))</f>
        <v/>
      </c>
    </row>
    <row r="51">
      <c r="A51" s="6" t="n"/>
      <c r="B51" s="9" t="n"/>
      <c r="C51" s="6" t="n"/>
      <c r="D51" s="6" t="n"/>
      <c r="E51" s="6" t="n"/>
      <c r="F51" s="6" t="n"/>
      <c r="G51" s="6" t="n"/>
      <c r="H51" s="10">
        <f>IF(F51="","",IFERROR(INDEX(Roster!$A$2:$A$600,MATCH(F51,Roster!$E$2:$E$600,0)),""))</f>
        <v/>
      </c>
      <c r="I51" s="10">
        <f>IF(AND(D51="",C51="",F51=""),"",IF(G51&lt;&gt;"","Void",IF(F51="","Needs child",IF(H51="","Child not found",IF(OR(B51="",NOT(ISNUMBER(C51))),"Needs month/pages","OK")))))</f>
        <v/>
      </c>
      <c r="J51" s="10">
        <f>IF(I51="","",IF(I51="OK",IF(COUNTIFS(H52:H$3001,H51,B52:B$3001,B51,G52:G$3001,"")=0,C51,0),0))</f>
        <v/>
      </c>
    </row>
    <row r="52">
      <c r="A52" s="6" t="n"/>
      <c r="B52" s="9" t="n"/>
      <c r="C52" s="6" t="n"/>
      <c r="D52" s="6" t="n"/>
      <c r="E52" s="6" t="n"/>
      <c r="F52" s="6" t="n"/>
      <c r="G52" s="6" t="n"/>
      <c r="H52" s="10">
        <f>IF(F52="","",IFERROR(INDEX(Roster!$A$2:$A$600,MATCH(F52,Roster!$E$2:$E$600,0)),""))</f>
        <v/>
      </c>
      <c r="I52" s="10">
        <f>IF(AND(D52="",C52="",F52=""),"",IF(G52&lt;&gt;"","Void",IF(F52="","Needs child",IF(H52="","Child not found",IF(OR(B52="",NOT(ISNUMBER(C52))),"Needs month/pages","OK")))))</f>
        <v/>
      </c>
      <c r="J52" s="10">
        <f>IF(I52="","",IF(I52="OK",IF(COUNTIFS(H53:H$3001,H52,B53:B$3001,B52,G53:G$3001,"")=0,C52,0),0))</f>
        <v/>
      </c>
    </row>
    <row r="53">
      <c r="A53" s="6" t="n"/>
      <c r="B53" s="9" t="n"/>
      <c r="C53" s="6" t="n"/>
      <c r="D53" s="6" t="n"/>
      <c r="E53" s="6" t="n"/>
      <c r="F53" s="6" t="n"/>
      <c r="G53" s="6" t="n"/>
      <c r="H53" s="10">
        <f>IF(F53="","",IFERROR(INDEX(Roster!$A$2:$A$600,MATCH(F53,Roster!$E$2:$E$600,0)),""))</f>
        <v/>
      </c>
      <c r="I53" s="10">
        <f>IF(AND(D53="",C53="",F53=""),"",IF(G53&lt;&gt;"","Void",IF(F53="","Needs child",IF(H53="","Child not found",IF(OR(B53="",NOT(ISNUMBER(C53))),"Needs month/pages","OK")))))</f>
        <v/>
      </c>
      <c r="J53" s="10">
        <f>IF(I53="","",IF(I53="OK",IF(COUNTIFS(H54:H$3001,H53,B54:B$3001,B53,G54:G$3001,"")=0,C53,0),0))</f>
        <v/>
      </c>
    </row>
    <row r="54">
      <c r="A54" s="6" t="n"/>
      <c r="B54" s="9" t="n"/>
      <c r="C54" s="6" t="n"/>
      <c r="D54" s="6" t="n"/>
      <c r="E54" s="6" t="n"/>
      <c r="F54" s="6" t="n"/>
      <c r="G54" s="6" t="n"/>
      <c r="H54" s="10">
        <f>IF(F54="","",IFERROR(INDEX(Roster!$A$2:$A$600,MATCH(F54,Roster!$E$2:$E$600,0)),""))</f>
        <v/>
      </c>
      <c r="I54" s="10">
        <f>IF(AND(D54="",C54="",F54=""),"",IF(G54&lt;&gt;"","Void",IF(F54="","Needs child",IF(H54="","Child not found",IF(OR(B54="",NOT(ISNUMBER(C54))),"Needs month/pages","OK")))))</f>
        <v/>
      </c>
      <c r="J54" s="10">
        <f>IF(I54="","",IF(I54="OK",IF(COUNTIFS(H55:H$3001,H54,B55:B$3001,B54,G55:G$3001,"")=0,C54,0),0))</f>
        <v/>
      </c>
    </row>
    <row r="55">
      <c r="A55" s="6" t="n"/>
      <c r="B55" s="9" t="n"/>
      <c r="C55" s="6" t="n"/>
      <c r="D55" s="6" t="n"/>
      <c r="E55" s="6" t="n"/>
      <c r="F55" s="6" t="n"/>
      <c r="G55" s="6" t="n"/>
      <c r="H55" s="10">
        <f>IF(F55="","",IFERROR(INDEX(Roster!$A$2:$A$600,MATCH(F55,Roster!$E$2:$E$600,0)),""))</f>
        <v/>
      </c>
      <c r="I55" s="10">
        <f>IF(AND(D55="",C55="",F55=""),"",IF(G55&lt;&gt;"","Void",IF(F55="","Needs child",IF(H55="","Child not found",IF(OR(B55="",NOT(ISNUMBER(C55))),"Needs month/pages","OK")))))</f>
        <v/>
      </c>
      <c r="J55" s="10">
        <f>IF(I55="","",IF(I55="OK",IF(COUNTIFS(H56:H$3001,H55,B56:B$3001,B55,G56:G$3001,"")=0,C55,0),0))</f>
        <v/>
      </c>
    </row>
    <row r="56">
      <c r="A56" s="6" t="n"/>
      <c r="B56" s="9" t="n"/>
      <c r="C56" s="6" t="n"/>
      <c r="D56" s="6" t="n"/>
      <c r="E56" s="6" t="n"/>
      <c r="F56" s="6" t="n"/>
      <c r="G56" s="6" t="n"/>
      <c r="H56" s="10">
        <f>IF(F56="","",IFERROR(INDEX(Roster!$A$2:$A$600,MATCH(F56,Roster!$E$2:$E$600,0)),""))</f>
        <v/>
      </c>
      <c r="I56" s="10">
        <f>IF(AND(D56="",C56="",F56=""),"",IF(G56&lt;&gt;"","Void",IF(F56="","Needs child",IF(H56="","Child not found",IF(OR(B56="",NOT(ISNUMBER(C56))),"Needs month/pages","OK")))))</f>
        <v/>
      </c>
      <c r="J56" s="10">
        <f>IF(I56="","",IF(I56="OK",IF(COUNTIFS(H57:H$3001,H56,B57:B$3001,B56,G57:G$3001,"")=0,C56,0),0))</f>
        <v/>
      </c>
    </row>
    <row r="57">
      <c r="A57" s="6" t="n"/>
      <c r="B57" s="9" t="n"/>
      <c r="C57" s="6" t="n"/>
      <c r="D57" s="6" t="n"/>
      <c r="E57" s="6" t="n"/>
      <c r="F57" s="6" t="n"/>
      <c r="G57" s="6" t="n"/>
      <c r="H57" s="10">
        <f>IF(F57="","",IFERROR(INDEX(Roster!$A$2:$A$600,MATCH(F57,Roster!$E$2:$E$600,0)),""))</f>
        <v/>
      </c>
      <c r="I57" s="10">
        <f>IF(AND(D57="",C57="",F57=""),"",IF(G57&lt;&gt;"","Void",IF(F57="","Needs child",IF(H57="","Child not found",IF(OR(B57="",NOT(ISNUMBER(C57))),"Needs month/pages","OK")))))</f>
        <v/>
      </c>
      <c r="J57" s="10">
        <f>IF(I57="","",IF(I57="OK",IF(COUNTIFS(H58:H$3001,H57,B58:B$3001,B57,G58:G$3001,"")=0,C57,0),0))</f>
        <v/>
      </c>
    </row>
    <row r="58">
      <c r="A58" s="6" t="n"/>
      <c r="B58" s="9" t="n"/>
      <c r="C58" s="6" t="n"/>
      <c r="D58" s="6" t="n"/>
      <c r="E58" s="6" t="n"/>
      <c r="F58" s="6" t="n"/>
      <c r="G58" s="6" t="n"/>
      <c r="H58" s="10">
        <f>IF(F58="","",IFERROR(INDEX(Roster!$A$2:$A$600,MATCH(F58,Roster!$E$2:$E$600,0)),""))</f>
        <v/>
      </c>
      <c r="I58" s="10">
        <f>IF(AND(D58="",C58="",F58=""),"",IF(G58&lt;&gt;"","Void",IF(F58="","Needs child",IF(H58="","Child not found",IF(OR(B58="",NOT(ISNUMBER(C58))),"Needs month/pages","OK")))))</f>
        <v/>
      </c>
      <c r="J58" s="10">
        <f>IF(I58="","",IF(I58="OK",IF(COUNTIFS(H59:H$3001,H58,B59:B$3001,B58,G59:G$3001,"")=0,C58,0),0))</f>
        <v/>
      </c>
    </row>
    <row r="59">
      <c r="A59" s="6" t="n"/>
      <c r="B59" s="9" t="n"/>
      <c r="C59" s="6" t="n"/>
      <c r="D59" s="6" t="n"/>
      <c r="E59" s="6" t="n"/>
      <c r="F59" s="6" t="n"/>
      <c r="G59" s="6" t="n"/>
      <c r="H59" s="10">
        <f>IF(F59="","",IFERROR(INDEX(Roster!$A$2:$A$600,MATCH(F59,Roster!$E$2:$E$600,0)),""))</f>
        <v/>
      </c>
      <c r="I59" s="10">
        <f>IF(AND(D59="",C59="",F59=""),"",IF(G59&lt;&gt;"","Void",IF(F59="","Needs child",IF(H59="","Child not found",IF(OR(B59="",NOT(ISNUMBER(C59))),"Needs month/pages","OK")))))</f>
        <v/>
      </c>
      <c r="J59" s="10">
        <f>IF(I59="","",IF(I59="OK",IF(COUNTIFS(H60:H$3001,H59,B60:B$3001,B59,G60:G$3001,"")=0,C59,0),0))</f>
        <v/>
      </c>
    </row>
    <row r="60">
      <c r="A60" s="6" t="n"/>
      <c r="B60" s="9" t="n"/>
      <c r="C60" s="6" t="n"/>
      <c r="D60" s="6" t="n"/>
      <c r="E60" s="6" t="n"/>
      <c r="F60" s="6" t="n"/>
      <c r="G60" s="6" t="n"/>
      <c r="H60" s="10">
        <f>IF(F60="","",IFERROR(INDEX(Roster!$A$2:$A$600,MATCH(F60,Roster!$E$2:$E$600,0)),""))</f>
        <v/>
      </c>
      <c r="I60" s="10">
        <f>IF(AND(D60="",C60="",F60=""),"",IF(G60&lt;&gt;"","Void",IF(F60="","Needs child",IF(H60="","Child not found",IF(OR(B60="",NOT(ISNUMBER(C60))),"Needs month/pages","OK")))))</f>
        <v/>
      </c>
      <c r="J60" s="10">
        <f>IF(I60="","",IF(I60="OK",IF(COUNTIFS(H61:H$3001,H60,B61:B$3001,B60,G61:G$3001,"")=0,C60,0),0))</f>
        <v/>
      </c>
    </row>
    <row r="61">
      <c r="A61" s="6" t="n"/>
      <c r="B61" s="9" t="n"/>
      <c r="C61" s="6" t="n"/>
      <c r="D61" s="6" t="n"/>
      <c r="E61" s="6" t="n"/>
      <c r="F61" s="6" t="n"/>
      <c r="G61" s="6" t="n"/>
      <c r="H61" s="10">
        <f>IF(F61="","",IFERROR(INDEX(Roster!$A$2:$A$600,MATCH(F61,Roster!$E$2:$E$600,0)),""))</f>
        <v/>
      </c>
      <c r="I61" s="10">
        <f>IF(AND(D61="",C61="",F61=""),"",IF(G61&lt;&gt;"","Void",IF(F61="","Needs child",IF(H61="","Child not found",IF(OR(B61="",NOT(ISNUMBER(C61))),"Needs month/pages","OK")))))</f>
        <v/>
      </c>
      <c r="J61" s="10">
        <f>IF(I61="","",IF(I61="OK",IF(COUNTIFS(H62:H$3001,H61,B62:B$3001,B61,G62:G$3001,"")=0,C61,0),0))</f>
        <v/>
      </c>
    </row>
    <row r="62">
      <c r="A62" s="6" t="n"/>
      <c r="B62" s="9" t="n"/>
      <c r="C62" s="6" t="n"/>
      <c r="D62" s="6" t="n"/>
      <c r="E62" s="6" t="n"/>
      <c r="F62" s="6" t="n"/>
      <c r="G62" s="6" t="n"/>
      <c r="H62" s="10">
        <f>IF(F62="","",IFERROR(INDEX(Roster!$A$2:$A$600,MATCH(F62,Roster!$E$2:$E$600,0)),""))</f>
        <v/>
      </c>
      <c r="I62" s="10">
        <f>IF(AND(D62="",C62="",F62=""),"",IF(G62&lt;&gt;"","Void",IF(F62="","Needs child",IF(H62="","Child not found",IF(OR(B62="",NOT(ISNUMBER(C62))),"Needs month/pages","OK")))))</f>
        <v/>
      </c>
      <c r="J62" s="10">
        <f>IF(I62="","",IF(I62="OK",IF(COUNTIFS(H63:H$3001,H62,B63:B$3001,B62,G63:G$3001,"")=0,C62,0),0))</f>
        <v/>
      </c>
    </row>
    <row r="63">
      <c r="A63" s="6" t="n"/>
      <c r="B63" s="9" t="n"/>
      <c r="C63" s="6" t="n"/>
      <c r="D63" s="6" t="n"/>
      <c r="E63" s="6" t="n"/>
      <c r="F63" s="6" t="n"/>
      <c r="G63" s="6" t="n"/>
      <c r="H63" s="10">
        <f>IF(F63="","",IFERROR(INDEX(Roster!$A$2:$A$600,MATCH(F63,Roster!$E$2:$E$600,0)),""))</f>
        <v/>
      </c>
      <c r="I63" s="10">
        <f>IF(AND(D63="",C63="",F63=""),"",IF(G63&lt;&gt;"","Void",IF(F63="","Needs child",IF(H63="","Child not found",IF(OR(B63="",NOT(ISNUMBER(C63))),"Needs month/pages","OK")))))</f>
        <v/>
      </c>
      <c r="J63" s="10">
        <f>IF(I63="","",IF(I63="OK",IF(COUNTIFS(H64:H$3001,H63,B64:B$3001,B63,G64:G$3001,"")=0,C63,0),0))</f>
        <v/>
      </c>
    </row>
    <row r="64">
      <c r="A64" s="6" t="n"/>
      <c r="B64" s="9" t="n"/>
      <c r="C64" s="6" t="n"/>
      <c r="D64" s="6" t="n"/>
      <c r="E64" s="6" t="n"/>
      <c r="F64" s="6" t="n"/>
      <c r="G64" s="6" t="n"/>
      <c r="H64" s="10">
        <f>IF(F64="","",IFERROR(INDEX(Roster!$A$2:$A$600,MATCH(F64,Roster!$E$2:$E$600,0)),""))</f>
        <v/>
      </c>
      <c r="I64" s="10">
        <f>IF(AND(D64="",C64="",F64=""),"",IF(G64&lt;&gt;"","Void",IF(F64="","Needs child",IF(H64="","Child not found",IF(OR(B64="",NOT(ISNUMBER(C64))),"Needs month/pages","OK")))))</f>
        <v/>
      </c>
      <c r="J64" s="10">
        <f>IF(I64="","",IF(I64="OK",IF(COUNTIFS(H65:H$3001,H64,B65:B$3001,B64,G65:G$3001,"")=0,C64,0),0))</f>
        <v/>
      </c>
    </row>
    <row r="65">
      <c r="A65" s="6" t="n"/>
      <c r="B65" s="9" t="n"/>
      <c r="C65" s="6" t="n"/>
      <c r="D65" s="6" t="n"/>
      <c r="E65" s="6" t="n"/>
      <c r="F65" s="6" t="n"/>
      <c r="G65" s="6" t="n"/>
      <c r="H65" s="10">
        <f>IF(F65="","",IFERROR(INDEX(Roster!$A$2:$A$600,MATCH(F65,Roster!$E$2:$E$600,0)),""))</f>
        <v/>
      </c>
      <c r="I65" s="10">
        <f>IF(AND(D65="",C65="",F65=""),"",IF(G65&lt;&gt;"","Void",IF(F65="","Needs child",IF(H65="","Child not found",IF(OR(B65="",NOT(ISNUMBER(C65))),"Needs month/pages","OK")))))</f>
        <v/>
      </c>
      <c r="J65" s="10">
        <f>IF(I65="","",IF(I65="OK",IF(COUNTIFS(H66:H$3001,H65,B66:B$3001,B65,G66:G$3001,"")=0,C65,0),0))</f>
        <v/>
      </c>
    </row>
    <row r="66">
      <c r="A66" s="6" t="n"/>
      <c r="B66" s="9" t="n"/>
      <c r="C66" s="6" t="n"/>
      <c r="D66" s="6" t="n"/>
      <c r="E66" s="6" t="n"/>
      <c r="F66" s="6" t="n"/>
      <c r="G66" s="6" t="n"/>
      <c r="H66" s="10">
        <f>IF(F66="","",IFERROR(INDEX(Roster!$A$2:$A$600,MATCH(F66,Roster!$E$2:$E$600,0)),""))</f>
        <v/>
      </c>
      <c r="I66" s="10">
        <f>IF(AND(D66="",C66="",F66=""),"",IF(G66&lt;&gt;"","Void",IF(F66="","Needs child",IF(H66="","Child not found",IF(OR(B66="",NOT(ISNUMBER(C66))),"Needs month/pages","OK")))))</f>
        <v/>
      </c>
      <c r="J66" s="10">
        <f>IF(I66="","",IF(I66="OK",IF(COUNTIFS(H67:H$3001,H66,B67:B$3001,B66,G67:G$3001,"")=0,C66,0),0))</f>
        <v/>
      </c>
    </row>
    <row r="67">
      <c r="A67" s="6" t="n"/>
      <c r="B67" s="9" t="n"/>
      <c r="C67" s="6" t="n"/>
      <c r="D67" s="6" t="n"/>
      <c r="E67" s="6" t="n"/>
      <c r="F67" s="6" t="n"/>
      <c r="G67" s="6" t="n"/>
      <c r="H67" s="10">
        <f>IF(F67="","",IFERROR(INDEX(Roster!$A$2:$A$600,MATCH(F67,Roster!$E$2:$E$600,0)),""))</f>
        <v/>
      </c>
      <c r="I67" s="10">
        <f>IF(AND(D67="",C67="",F67=""),"",IF(G67&lt;&gt;"","Void",IF(F67="","Needs child",IF(H67="","Child not found",IF(OR(B67="",NOT(ISNUMBER(C67))),"Needs month/pages","OK")))))</f>
        <v/>
      </c>
      <c r="J67" s="10">
        <f>IF(I67="","",IF(I67="OK",IF(COUNTIFS(H68:H$3001,H67,B68:B$3001,B67,G68:G$3001,"")=0,C67,0),0))</f>
        <v/>
      </c>
    </row>
    <row r="68">
      <c r="A68" s="6" t="n"/>
      <c r="B68" s="9" t="n"/>
      <c r="C68" s="6" t="n"/>
      <c r="D68" s="6" t="n"/>
      <c r="E68" s="6" t="n"/>
      <c r="F68" s="6" t="n"/>
      <c r="G68" s="6" t="n"/>
      <c r="H68" s="10">
        <f>IF(F68="","",IFERROR(INDEX(Roster!$A$2:$A$600,MATCH(F68,Roster!$E$2:$E$600,0)),""))</f>
        <v/>
      </c>
      <c r="I68" s="10">
        <f>IF(AND(D68="",C68="",F68=""),"",IF(G68&lt;&gt;"","Void",IF(F68="","Needs child",IF(H68="","Child not found",IF(OR(B68="",NOT(ISNUMBER(C68))),"Needs month/pages","OK")))))</f>
        <v/>
      </c>
      <c r="J68" s="10">
        <f>IF(I68="","",IF(I68="OK",IF(COUNTIFS(H69:H$3001,H68,B69:B$3001,B68,G69:G$3001,"")=0,C68,0),0))</f>
        <v/>
      </c>
    </row>
    <row r="69">
      <c r="A69" s="6" t="n"/>
      <c r="B69" s="9" t="n"/>
      <c r="C69" s="6" t="n"/>
      <c r="D69" s="6" t="n"/>
      <c r="E69" s="6" t="n"/>
      <c r="F69" s="6" t="n"/>
      <c r="G69" s="6" t="n"/>
      <c r="H69" s="10">
        <f>IF(F69="","",IFERROR(INDEX(Roster!$A$2:$A$600,MATCH(F69,Roster!$E$2:$E$600,0)),""))</f>
        <v/>
      </c>
      <c r="I69" s="10">
        <f>IF(AND(D69="",C69="",F69=""),"",IF(G69&lt;&gt;"","Void",IF(F69="","Needs child",IF(H69="","Child not found",IF(OR(B69="",NOT(ISNUMBER(C69))),"Needs month/pages","OK")))))</f>
        <v/>
      </c>
      <c r="J69" s="10">
        <f>IF(I69="","",IF(I69="OK",IF(COUNTIFS(H70:H$3001,H69,B70:B$3001,B69,G70:G$3001,"")=0,C69,0),0))</f>
        <v/>
      </c>
    </row>
    <row r="70">
      <c r="A70" s="6" t="n"/>
      <c r="B70" s="9" t="n"/>
      <c r="C70" s="6" t="n"/>
      <c r="D70" s="6" t="n"/>
      <c r="E70" s="6" t="n"/>
      <c r="F70" s="6" t="n"/>
      <c r="G70" s="6" t="n"/>
      <c r="H70" s="10">
        <f>IF(F70="","",IFERROR(INDEX(Roster!$A$2:$A$600,MATCH(F70,Roster!$E$2:$E$600,0)),""))</f>
        <v/>
      </c>
      <c r="I70" s="10">
        <f>IF(AND(D70="",C70="",F70=""),"",IF(G70&lt;&gt;"","Void",IF(F70="","Needs child",IF(H70="","Child not found",IF(OR(B70="",NOT(ISNUMBER(C70))),"Needs month/pages","OK")))))</f>
        <v/>
      </c>
      <c r="J70" s="10">
        <f>IF(I70="","",IF(I70="OK",IF(COUNTIFS(H71:H$3001,H70,B71:B$3001,B70,G71:G$3001,"")=0,C70,0),0))</f>
        <v/>
      </c>
    </row>
    <row r="71">
      <c r="A71" s="6" t="n"/>
      <c r="B71" s="9" t="n"/>
      <c r="C71" s="6" t="n"/>
      <c r="D71" s="6" t="n"/>
      <c r="E71" s="6" t="n"/>
      <c r="F71" s="6" t="n"/>
      <c r="G71" s="6" t="n"/>
      <c r="H71" s="10">
        <f>IF(F71="","",IFERROR(INDEX(Roster!$A$2:$A$600,MATCH(F71,Roster!$E$2:$E$600,0)),""))</f>
        <v/>
      </c>
      <c r="I71" s="10">
        <f>IF(AND(D71="",C71="",F71=""),"",IF(G71&lt;&gt;"","Void",IF(F71="","Needs child",IF(H71="","Child not found",IF(OR(B71="",NOT(ISNUMBER(C71))),"Needs month/pages","OK")))))</f>
        <v/>
      </c>
      <c r="J71" s="10">
        <f>IF(I71="","",IF(I71="OK",IF(COUNTIFS(H72:H$3001,H71,B72:B$3001,B71,G72:G$3001,"")=0,C71,0),0))</f>
        <v/>
      </c>
    </row>
    <row r="72">
      <c r="A72" s="6" t="n"/>
      <c r="B72" s="9" t="n"/>
      <c r="C72" s="6" t="n"/>
      <c r="D72" s="6" t="n"/>
      <c r="E72" s="6" t="n"/>
      <c r="F72" s="6" t="n"/>
      <c r="G72" s="6" t="n"/>
      <c r="H72" s="10">
        <f>IF(F72="","",IFERROR(INDEX(Roster!$A$2:$A$600,MATCH(F72,Roster!$E$2:$E$600,0)),""))</f>
        <v/>
      </c>
      <c r="I72" s="10">
        <f>IF(AND(D72="",C72="",F72=""),"",IF(G72&lt;&gt;"","Void",IF(F72="","Needs child",IF(H72="","Child not found",IF(OR(B72="",NOT(ISNUMBER(C72))),"Needs month/pages","OK")))))</f>
        <v/>
      </c>
      <c r="J72" s="10">
        <f>IF(I72="","",IF(I72="OK",IF(COUNTIFS(H73:H$3001,H72,B73:B$3001,B72,G73:G$3001,"")=0,C72,0),0))</f>
        <v/>
      </c>
    </row>
    <row r="73">
      <c r="A73" s="6" t="n"/>
      <c r="B73" s="9" t="n"/>
      <c r="C73" s="6" t="n"/>
      <c r="D73" s="6" t="n"/>
      <c r="E73" s="6" t="n"/>
      <c r="F73" s="6" t="n"/>
      <c r="G73" s="6" t="n"/>
      <c r="H73" s="10">
        <f>IF(F73="","",IFERROR(INDEX(Roster!$A$2:$A$600,MATCH(F73,Roster!$E$2:$E$600,0)),""))</f>
        <v/>
      </c>
      <c r="I73" s="10">
        <f>IF(AND(D73="",C73="",F73=""),"",IF(G73&lt;&gt;"","Void",IF(F73="","Needs child",IF(H73="","Child not found",IF(OR(B73="",NOT(ISNUMBER(C73))),"Needs month/pages","OK")))))</f>
        <v/>
      </c>
      <c r="J73" s="10">
        <f>IF(I73="","",IF(I73="OK",IF(COUNTIFS(H74:H$3001,H73,B74:B$3001,B73,G74:G$3001,"")=0,C73,0),0))</f>
        <v/>
      </c>
    </row>
    <row r="74">
      <c r="A74" s="6" t="n"/>
      <c r="B74" s="9" t="n"/>
      <c r="C74" s="6" t="n"/>
      <c r="D74" s="6" t="n"/>
      <c r="E74" s="6" t="n"/>
      <c r="F74" s="6" t="n"/>
      <c r="G74" s="6" t="n"/>
      <c r="H74" s="10">
        <f>IF(F74="","",IFERROR(INDEX(Roster!$A$2:$A$600,MATCH(F74,Roster!$E$2:$E$600,0)),""))</f>
        <v/>
      </c>
      <c r="I74" s="10">
        <f>IF(AND(D74="",C74="",F74=""),"",IF(G74&lt;&gt;"","Void",IF(F74="","Needs child",IF(H74="","Child not found",IF(OR(B74="",NOT(ISNUMBER(C74))),"Needs month/pages","OK")))))</f>
        <v/>
      </c>
      <c r="J74" s="10">
        <f>IF(I74="","",IF(I74="OK",IF(COUNTIFS(H75:H$3001,H74,B75:B$3001,B74,G75:G$3001,"")=0,C74,0),0))</f>
        <v/>
      </c>
    </row>
    <row r="75">
      <c r="A75" s="6" t="n"/>
      <c r="B75" s="9" t="n"/>
      <c r="C75" s="6" t="n"/>
      <c r="D75" s="6" t="n"/>
      <c r="E75" s="6" t="n"/>
      <c r="F75" s="6" t="n"/>
      <c r="G75" s="6" t="n"/>
      <c r="H75" s="10">
        <f>IF(F75="","",IFERROR(INDEX(Roster!$A$2:$A$600,MATCH(F75,Roster!$E$2:$E$600,0)),""))</f>
        <v/>
      </c>
      <c r="I75" s="10">
        <f>IF(AND(D75="",C75="",F75=""),"",IF(G75&lt;&gt;"","Void",IF(F75="","Needs child",IF(H75="","Child not found",IF(OR(B75="",NOT(ISNUMBER(C75))),"Needs month/pages","OK")))))</f>
        <v/>
      </c>
      <c r="J75" s="10">
        <f>IF(I75="","",IF(I75="OK",IF(COUNTIFS(H76:H$3001,H75,B76:B$3001,B75,G76:G$3001,"")=0,C75,0),0))</f>
        <v/>
      </c>
    </row>
    <row r="76">
      <c r="A76" s="6" t="n"/>
      <c r="B76" s="9" t="n"/>
      <c r="C76" s="6" t="n"/>
      <c r="D76" s="6" t="n"/>
      <c r="E76" s="6" t="n"/>
      <c r="F76" s="6" t="n"/>
      <c r="G76" s="6" t="n"/>
      <c r="H76" s="10">
        <f>IF(F76="","",IFERROR(INDEX(Roster!$A$2:$A$600,MATCH(F76,Roster!$E$2:$E$600,0)),""))</f>
        <v/>
      </c>
      <c r="I76" s="10">
        <f>IF(AND(D76="",C76="",F76=""),"",IF(G76&lt;&gt;"","Void",IF(F76="","Needs child",IF(H76="","Child not found",IF(OR(B76="",NOT(ISNUMBER(C76))),"Needs month/pages","OK")))))</f>
        <v/>
      </c>
      <c r="J76" s="10">
        <f>IF(I76="","",IF(I76="OK",IF(COUNTIFS(H77:H$3001,H76,B77:B$3001,B76,G77:G$3001,"")=0,C76,0),0))</f>
        <v/>
      </c>
    </row>
    <row r="77">
      <c r="A77" s="6" t="n"/>
      <c r="B77" s="9" t="n"/>
      <c r="C77" s="6" t="n"/>
      <c r="D77" s="6" t="n"/>
      <c r="E77" s="6" t="n"/>
      <c r="F77" s="6" t="n"/>
      <c r="G77" s="6" t="n"/>
      <c r="H77" s="10">
        <f>IF(F77="","",IFERROR(INDEX(Roster!$A$2:$A$600,MATCH(F77,Roster!$E$2:$E$600,0)),""))</f>
        <v/>
      </c>
      <c r="I77" s="10">
        <f>IF(AND(D77="",C77="",F77=""),"",IF(G77&lt;&gt;"","Void",IF(F77="","Needs child",IF(H77="","Child not found",IF(OR(B77="",NOT(ISNUMBER(C77))),"Needs month/pages","OK")))))</f>
        <v/>
      </c>
      <c r="J77" s="10">
        <f>IF(I77="","",IF(I77="OK",IF(COUNTIFS(H78:H$3001,H77,B78:B$3001,B77,G78:G$3001,"")=0,C77,0),0))</f>
        <v/>
      </c>
    </row>
    <row r="78">
      <c r="A78" s="6" t="n"/>
      <c r="B78" s="9" t="n"/>
      <c r="C78" s="6" t="n"/>
      <c r="D78" s="6" t="n"/>
      <c r="E78" s="6" t="n"/>
      <c r="F78" s="6" t="n"/>
      <c r="G78" s="6" t="n"/>
      <c r="H78" s="10">
        <f>IF(F78="","",IFERROR(INDEX(Roster!$A$2:$A$600,MATCH(F78,Roster!$E$2:$E$600,0)),""))</f>
        <v/>
      </c>
      <c r="I78" s="10">
        <f>IF(AND(D78="",C78="",F78=""),"",IF(G78&lt;&gt;"","Void",IF(F78="","Needs child",IF(H78="","Child not found",IF(OR(B78="",NOT(ISNUMBER(C78))),"Needs month/pages","OK")))))</f>
        <v/>
      </c>
      <c r="J78" s="10">
        <f>IF(I78="","",IF(I78="OK",IF(COUNTIFS(H79:H$3001,H78,B79:B$3001,B78,G79:G$3001,"")=0,C78,0),0))</f>
        <v/>
      </c>
    </row>
    <row r="79">
      <c r="A79" s="6" t="n"/>
      <c r="B79" s="9" t="n"/>
      <c r="C79" s="6" t="n"/>
      <c r="D79" s="6" t="n"/>
      <c r="E79" s="6" t="n"/>
      <c r="F79" s="6" t="n"/>
      <c r="G79" s="6" t="n"/>
      <c r="H79" s="10">
        <f>IF(F79="","",IFERROR(INDEX(Roster!$A$2:$A$600,MATCH(F79,Roster!$E$2:$E$600,0)),""))</f>
        <v/>
      </c>
      <c r="I79" s="10">
        <f>IF(AND(D79="",C79="",F79=""),"",IF(G79&lt;&gt;"","Void",IF(F79="","Needs child",IF(H79="","Child not found",IF(OR(B79="",NOT(ISNUMBER(C79))),"Needs month/pages","OK")))))</f>
        <v/>
      </c>
      <c r="J79" s="10">
        <f>IF(I79="","",IF(I79="OK",IF(COUNTIFS(H80:H$3001,H79,B80:B$3001,B79,G80:G$3001,"")=0,C79,0),0))</f>
        <v/>
      </c>
    </row>
    <row r="80">
      <c r="A80" s="6" t="n"/>
      <c r="B80" s="9" t="n"/>
      <c r="C80" s="6" t="n"/>
      <c r="D80" s="6" t="n"/>
      <c r="E80" s="6" t="n"/>
      <c r="F80" s="6" t="n"/>
      <c r="G80" s="6" t="n"/>
      <c r="H80" s="10">
        <f>IF(F80="","",IFERROR(INDEX(Roster!$A$2:$A$600,MATCH(F80,Roster!$E$2:$E$600,0)),""))</f>
        <v/>
      </c>
      <c r="I80" s="10">
        <f>IF(AND(D80="",C80="",F80=""),"",IF(G80&lt;&gt;"","Void",IF(F80="","Needs child",IF(H80="","Child not found",IF(OR(B80="",NOT(ISNUMBER(C80))),"Needs month/pages","OK")))))</f>
        <v/>
      </c>
      <c r="J80" s="10">
        <f>IF(I80="","",IF(I80="OK",IF(COUNTIFS(H81:H$3001,H80,B81:B$3001,B80,G81:G$3001,"")=0,C80,0),0))</f>
        <v/>
      </c>
    </row>
    <row r="81">
      <c r="A81" s="6" t="n"/>
      <c r="B81" s="9" t="n"/>
      <c r="C81" s="6" t="n"/>
      <c r="D81" s="6" t="n"/>
      <c r="E81" s="6" t="n"/>
      <c r="F81" s="6" t="n"/>
      <c r="G81" s="6" t="n"/>
      <c r="H81" s="10">
        <f>IF(F81="","",IFERROR(INDEX(Roster!$A$2:$A$600,MATCH(F81,Roster!$E$2:$E$600,0)),""))</f>
        <v/>
      </c>
      <c r="I81" s="10">
        <f>IF(AND(D81="",C81="",F81=""),"",IF(G81&lt;&gt;"","Void",IF(F81="","Needs child",IF(H81="","Child not found",IF(OR(B81="",NOT(ISNUMBER(C81))),"Needs month/pages","OK")))))</f>
        <v/>
      </c>
      <c r="J81" s="10">
        <f>IF(I81="","",IF(I81="OK",IF(COUNTIFS(H82:H$3001,H81,B82:B$3001,B81,G82:G$3001,"")=0,C81,0),0))</f>
        <v/>
      </c>
    </row>
    <row r="82">
      <c r="A82" s="6" t="n"/>
      <c r="B82" s="9" t="n"/>
      <c r="C82" s="6" t="n"/>
      <c r="D82" s="6" t="n"/>
      <c r="E82" s="6" t="n"/>
      <c r="F82" s="6" t="n"/>
      <c r="G82" s="6" t="n"/>
      <c r="H82" s="10">
        <f>IF(F82="","",IFERROR(INDEX(Roster!$A$2:$A$600,MATCH(F82,Roster!$E$2:$E$600,0)),""))</f>
        <v/>
      </c>
      <c r="I82" s="10">
        <f>IF(AND(D82="",C82="",F82=""),"",IF(G82&lt;&gt;"","Void",IF(F82="","Needs child",IF(H82="","Child not found",IF(OR(B82="",NOT(ISNUMBER(C82))),"Needs month/pages","OK")))))</f>
        <v/>
      </c>
      <c r="J82" s="10">
        <f>IF(I82="","",IF(I82="OK",IF(COUNTIFS(H83:H$3001,H82,B83:B$3001,B82,G83:G$3001,"")=0,C82,0),0))</f>
        <v/>
      </c>
    </row>
    <row r="83">
      <c r="A83" s="6" t="n"/>
      <c r="B83" s="9" t="n"/>
      <c r="C83" s="6" t="n"/>
      <c r="D83" s="6" t="n"/>
      <c r="E83" s="6" t="n"/>
      <c r="F83" s="6" t="n"/>
      <c r="G83" s="6" t="n"/>
      <c r="H83" s="10">
        <f>IF(F83="","",IFERROR(INDEX(Roster!$A$2:$A$600,MATCH(F83,Roster!$E$2:$E$600,0)),""))</f>
        <v/>
      </c>
      <c r="I83" s="10">
        <f>IF(AND(D83="",C83="",F83=""),"",IF(G83&lt;&gt;"","Void",IF(F83="","Needs child",IF(H83="","Child not found",IF(OR(B83="",NOT(ISNUMBER(C83))),"Needs month/pages","OK")))))</f>
        <v/>
      </c>
      <c r="J83" s="10">
        <f>IF(I83="","",IF(I83="OK",IF(COUNTIFS(H84:H$3001,H83,B84:B$3001,B83,G84:G$3001,"")=0,C83,0),0))</f>
        <v/>
      </c>
    </row>
    <row r="84">
      <c r="A84" s="6" t="n"/>
      <c r="B84" s="9" t="n"/>
      <c r="C84" s="6" t="n"/>
      <c r="D84" s="6" t="n"/>
      <c r="E84" s="6" t="n"/>
      <c r="F84" s="6" t="n"/>
      <c r="G84" s="6" t="n"/>
      <c r="H84" s="10">
        <f>IF(F84="","",IFERROR(INDEX(Roster!$A$2:$A$600,MATCH(F84,Roster!$E$2:$E$600,0)),""))</f>
        <v/>
      </c>
      <c r="I84" s="10">
        <f>IF(AND(D84="",C84="",F84=""),"",IF(G84&lt;&gt;"","Void",IF(F84="","Needs child",IF(H84="","Child not found",IF(OR(B84="",NOT(ISNUMBER(C84))),"Needs month/pages","OK")))))</f>
        <v/>
      </c>
      <c r="J84" s="10">
        <f>IF(I84="","",IF(I84="OK",IF(COUNTIFS(H85:H$3001,H84,B85:B$3001,B84,G85:G$3001,"")=0,C84,0),0))</f>
        <v/>
      </c>
    </row>
    <row r="85">
      <c r="A85" s="6" t="n"/>
      <c r="B85" s="9" t="n"/>
      <c r="C85" s="6" t="n"/>
      <c r="D85" s="6" t="n"/>
      <c r="E85" s="6" t="n"/>
      <c r="F85" s="6" t="n"/>
      <c r="G85" s="6" t="n"/>
      <c r="H85" s="10">
        <f>IF(F85="","",IFERROR(INDEX(Roster!$A$2:$A$600,MATCH(F85,Roster!$E$2:$E$600,0)),""))</f>
        <v/>
      </c>
      <c r="I85" s="10">
        <f>IF(AND(D85="",C85="",F85=""),"",IF(G85&lt;&gt;"","Void",IF(F85="","Needs child",IF(H85="","Child not found",IF(OR(B85="",NOT(ISNUMBER(C85))),"Needs month/pages","OK")))))</f>
        <v/>
      </c>
      <c r="J85" s="10">
        <f>IF(I85="","",IF(I85="OK",IF(COUNTIFS(H86:H$3001,H85,B86:B$3001,B85,G86:G$3001,"")=0,C85,0),0))</f>
        <v/>
      </c>
    </row>
    <row r="86">
      <c r="A86" s="6" t="n"/>
      <c r="B86" s="9" t="n"/>
      <c r="C86" s="6" t="n"/>
      <c r="D86" s="6" t="n"/>
      <c r="E86" s="6" t="n"/>
      <c r="F86" s="6" t="n"/>
      <c r="G86" s="6" t="n"/>
      <c r="H86" s="10">
        <f>IF(F86="","",IFERROR(INDEX(Roster!$A$2:$A$600,MATCH(F86,Roster!$E$2:$E$600,0)),""))</f>
        <v/>
      </c>
      <c r="I86" s="10">
        <f>IF(AND(D86="",C86="",F86=""),"",IF(G86&lt;&gt;"","Void",IF(F86="","Needs child",IF(H86="","Child not found",IF(OR(B86="",NOT(ISNUMBER(C86))),"Needs month/pages","OK")))))</f>
        <v/>
      </c>
      <c r="J86" s="10">
        <f>IF(I86="","",IF(I86="OK",IF(COUNTIFS(H87:H$3001,H86,B87:B$3001,B86,G87:G$3001,"")=0,C86,0),0))</f>
        <v/>
      </c>
    </row>
    <row r="87">
      <c r="A87" s="6" t="n"/>
      <c r="B87" s="9" t="n"/>
      <c r="C87" s="6" t="n"/>
      <c r="D87" s="6" t="n"/>
      <c r="E87" s="6" t="n"/>
      <c r="F87" s="6" t="n"/>
      <c r="G87" s="6" t="n"/>
      <c r="H87" s="10">
        <f>IF(F87="","",IFERROR(INDEX(Roster!$A$2:$A$600,MATCH(F87,Roster!$E$2:$E$600,0)),""))</f>
        <v/>
      </c>
      <c r="I87" s="10">
        <f>IF(AND(D87="",C87="",F87=""),"",IF(G87&lt;&gt;"","Void",IF(F87="","Needs child",IF(H87="","Child not found",IF(OR(B87="",NOT(ISNUMBER(C87))),"Needs month/pages","OK")))))</f>
        <v/>
      </c>
      <c r="J87" s="10">
        <f>IF(I87="","",IF(I87="OK",IF(COUNTIFS(H88:H$3001,H87,B88:B$3001,B87,G88:G$3001,"")=0,C87,0),0))</f>
        <v/>
      </c>
    </row>
    <row r="88">
      <c r="A88" s="6" t="n"/>
      <c r="B88" s="9" t="n"/>
      <c r="C88" s="6" t="n"/>
      <c r="D88" s="6" t="n"/>
      <c r="E88" s="6" t="n"/>
      <c r="F88" s="6" t="n"/>
      <c r="G88" s="6" t="n"/>
      <c r="H88" s="10">
        <f>IF(F88="","",IFERROR(INDEX(Roster!$A$2:$A$600,MATCH(F88,Roster!$E$2:$E$600,0)),""))</f>
        <v/>
      </c>
      <c r="I88" s="10">
        <f>IF(AND(D88="",C88="",F88=""),"",IF(G88&lt;&gt;"","Void",IF(F88="","Needs child",IF(H88="","Child not found",IF(OR(B88="",NOT(ISNUMBER(C88))),"Needs month/pages","OK")))))</f>
        <v/>
      </c>
      <c r="J88" s="10">
        <f>IF(I88="","",IF(I88="OK",IF(COUNTIFS(H89:H$3001,H88,B89:B$3001,B88,G89:G$3001,"")=0,C88,0),0))</f>
        <v/>
      </c>
    </row>
    <row r="89">
      <c r="A89" s="6" t="n"/>
      <c r="B89" s="9" t="n"/>
      <c r="C89" s="6" t="n"/>
      <c r="D89" s="6" t="n"/>
      <c r="E89" s="6" t="n"/>
      <c r="F89" s="6" t="n"/>
      <c r="G89" s="6" t="n"/>
      <c r="H89" s="10">
        <f>IF(F89="","",IFERROR(INDEX(Roster!$A$2:$A$600,MATCH(F89,Roster!$E$2:$E$600,0)),""))</f>
        <v/>
      </c>
      <c r="I89" s="10">
        <f>IF(AND(D89="",C89="",F89=""),"",IF(G89&lt;&gt;"","Void",IF(F89="","Needs child",IF(H89="","Child not found",IF(OR(B89="",NOT(ISNUMBER(C89))),"Needs month/pages","OK")))))</f>
        <v/>
      </c>
      <c r="J89" s="10">
        <f>IF(I89="","",IF(I89="OK",IF(COUNTIFS(H90:H$3001,H89,B90:B$3001,B89,G90:G$3001,"")=0,C89,0),0))</f>
        <v/>
      </c>
    </row>
    <row r="90">
      <c r="A90" s="6" t="n"/>
      <c r="B90" s="9" t="n"/>
      <c r="C90" s="6" t="n"/>
      <c r="D90" s="6" t="n"/>
      <c r="E90" s="6" t="n"/>
      <c r="F90" s="6" t="n"/>
      <c r="G90" s="6" t="n"/>
      <c r="H90" s="10">
        <f>IF(F90="","",IFERROR(INDEX(Roster!$A$2:$A$600,MATCH(F90,Roster!$E$2:$E$600,0)),""))</f>
        <v/>
      </c>
      <c r="I90" s="10">
        <f>IF(AND(D90="",C90="",F90=""),"",IF(G90&lt;&gt;"","Void",IF(F90="","Needs child",IF(H90="","Child not found",IF(OR(B90="",NOT(ISNUMBER(C90))),"Needs month/pages","OK")))))</f>
        <v/>
      </c>
      <c r="J90" s="10">
        <f>IF(I90="","",IF(I90="OK",IF(COUNTIFS(H91:H$3001,H90,B91:B$3001,B90,G91:G$3001,"")=0,C90,0),0))</f>
        <v/>
      </c>
    </row>
    <row r="91">
      <c r="A91" s="6" t="n"/>
      <c r="B91" s="9" t="n"/>
      <c r="C91" s="6" t="n"/>
      <c r="D91" s="6" t="n"/>
      <c r="E91" s="6" t="n"/>
      <c r="F91" s="6" t="n"/>
      <c r="G91" s="6" t="n"/>
      <c r="H91" s="10">
        <f>IF(F91="","",IFERROR(INDEX(Roster!$A$2:$A$600,MATCH(F91,Roster!$E$2:$E$600,0)),""))</f>
        <v/>
      </c>
      <c r="I91" s="10">
        <f>IF(AND(D91="",C91="",F91=""),"",IF(G91&lt;&gt;"","Void",IF(F91="","Needs child",IF(H91="","Child not found",IF(OR(B91="",NOT(ISNUMBER(C91))),"Needs month/pages","OK")))))</f>
        <v/>
      </c>
      <c r="J91" s="10">
        <f>IF(I91="","",IF(I91="OK",IF(COUNTIFS(H92:H$3001,H91,B92:B$3001,B91,G92:G$3001,"")=0,C91,0),0))</f>
        <v/>
      </c>
    </row>
    <row r="92">
      <c r="A92" s="6" t="n"/>
      <c r="B92" s="9" t="n"/>
      <c r="C92" s="6" t="n"/>
      <c r="D92" s="6" t="n"/>
      <c r="E92" s="6" t="n"/>
      <c r="F92" s="6" t="n"/>
      <c r="G92" s="6" t="n"/>
      <c r="H92" s="10">
        <f>IF(F92="","",IFERROR(INDEX(Roster!$A$2:$A$600,MATCH(F92,Roster!$E$2:$E$600,0)),""))</f>
        <v/>
      </c>
      <c r="I92" s="10">
        <f>IF(AND(D92="",C92="",F92=""),"",IF(G92&lt;&gt;"","Void",IF(F92="","Needs child",IF(H92="","Child not found",IF(OR(B92="",NOT(ISNUMBER(C92))),"Needs month/pages","OK")))))</f>
        <v/>
      </c>
      <c r="J92" s="10">
        <f>IF(I92="","",IF(I92="OK",IF(COUNTIFS(H93:H$3001,H92,B93:B$3001,B92,G93:G$3001,"")=0,C92,0),0))</f>
        <v/>
      </c>
    </row>
    <row r="93">
      <c r="A93" s="6" t="n"/>
      <c r="B93" s="9" t="n"/>
      <c r="C93" s="6" t="n"/>
      <c r="D93" s="6" t="n"/>
      <c r="E93" s="6" t="n"/>
      <c r="F93" s="6" t="n"/>
      <c r="G93" s="6" t="n"/>
      <c r="H93" s="10">
        <f>IF(F93="","",IFERROR(INDEX(Roster!$A$2:$A$600,MATCH(F93,Roster!$E$2:$E$600,0)),""))</f>
        <v/>
      </c>
      <c r="I93" s="10">
        <f>IF(AND(D93="",C93="",F93=""),"",IF(G93&lt;&gt;"","Void",IF(F93="","Needs child",IF(H93="","Child not found",IF(OR(B93="",NOT(ISNUMBER(C93))),"Needs month/pages","OK")))))</f>
        <v/>
      </c>
      <c r="J93" s="10">
        <f>IF(I93="","",IF(I93="OK",IF(COUNTIFS(H94:H$3001,H93,B94:B$3001,B93,G94:G$3001,"")=0,C93,0),0))</f>
        <v/>
      </c>
    </row>
    <row r="94">
      <c r="A94" s="6" t="n"/>
      <c r="B94" s="9" t="n"/>
      <c r="C94" s="6" t="n"/>
      <c r="D94" s="6" t="n"/>
      <c r="E94" s="6" t="n"/>
      <c r="F94" s="6" t="n"/>
      <c r="G94" s="6" t="n"/>
      <c r="H94" s="10">
        <f>IF(F94="","",IFERROR(INDEX(Roster!$A$2:$A$600,MATCH(F94,Roster!$E$2:$E$600,0)),""))</f>
        <v/>
      </c>
      <c r="I94" s="10">
        <f>IF(AND(D94="",C94="",F94=""),"",IF(G94&lt;&gt;"","Void",IF(F94="","Needs child",IF(H94="","Child not found",IF(OR(B94="",NOT(ISNUMBER(C94))),"Needs month/pages","OK")))))</f>
        <v/>
      </c>
      <c r="J94" s="10">
        <f>IF(I94="","",IF(I94="OK",IF(COUNTIFS(H95:H$3001,H94,B95:B$3001,B94,G95:G$3001,"")=0,C94,0),0))</f>
        <v/>
      </c>
    </row>
    <row r="95">
      <c r="A95" s="6" t="n"/>
      <c r="B95" s="9" t="n"/>
      <c r="C95" s="6" t="n"/>
      <c r="D95" s="6" t="n"/>
      <c r="E95" s="6" t="n"/>
      <c r="F95" s="6" t="n"/>
      <c r="G95" s="6" t="n"/>
      <c r="H95" s="10">
        <f>IF(F95="","",IFERROR(INDEX(Roster!$A$2:$A$600,MATCH(F95,Roster!$E$2:$E$600,0)),""))</f>
        <v/>
      </c>
      <c r="I95" s="10">
        <f>IF(AND(D95="",C95="",F95=""),"",IF(G95&lt;&gt;"","Void",IF(F95="","Needs child",IF(H95="","Child not found",IF(OR(B95="",NOT(ISNUMBER(C95))),"Needs month/pages","OK")))))</f>
        <v/>
      </c>
      <c r="J95" s="10">
        <f>IF(I95="","",IF(I95="OK",IF(COUNTIFS(H96:H$3001,H95,B96:B$3001,B95,G96:G$3001,"")=0,C95,0),0))</f>
        <v/>
      </c>
    </row>
    <row r="96">
      <c r="A96" s="6" t="n"/>
      <c r="B96" s="9" t="n"/>
      <c r="C96" s="6" t="n"/>
      <c r="D96" s="6" t="n"/>
      <c r="E96" s="6" t="n"/>
      <c r="F96" s="6" t="n"/>
      <c r="G96" s="6" t="n"/>
      <c r="H96" s="10">
        <f>IF(F96="","",IFERROR(INDEX(Roster!$A$2:$A$600,MATCH(F96,Roster!$E$2:$E$600,0)),""))</f>
        <v/>
      </c>
      <c r="I96" s="10">
        <f>IF(AND(D96="",C96="",F96=""),"",IF(G96&lt;&gt;"","Void",IF(F96="","Needs child",IF(H96="","Child not found",IF(OR(B96="",NOT(ISNUMBER(C96))),"Needs month/pages","OK")))))</f>
        <v/>
      </c>
      <c r="J96" s="10">
        <f>IF(I96="","",IF(I96="OK",IF(COUNTIFS(H97:H$3001,H96,B97:B$3001,B96,G97:G$3001,"")=0,C96,0),0))</f>
        <v/>
      </c>
    </row>
    <row r="97">
      <c r="A97" s="6" t="n"/>
      <c r="B97" s="9" t="n"/>
      <c r="C97" s="6" t="n"/>
      <c r="D97" s="6" t="n"/>
      <c r="E97" s="6" t="n"/>
      <c r="F97" s="6" t="n"/>
      <c r="G97" s="6" t="n"/>
      <c r="H97" s="10">
        <f>IF(F97="","",IFERROR(INDEX(Roster!$A$2:$A$600,MATCH(F97,Roster!$E$2:$E$600,0)),""))</f>
        <v/>
      </c>
      <c r="I97" s="10">
        <f>IF(AND(D97="",C97="",F97=""),"",IF(G97&lt;&gt;"","Void",IF(F97="","Needs child",IF(H97="","Child not found",IF(OR(B97="",NOT(ISNUMBER(C97))),"Needs month/pages","OK")))))</f>
        <v/>
      </c>
      <c r="J97" s="10">
        <f>IF(I97="","",IF(I97="OK",IF(COUNTIFS(H98:H$3001,H97,B98:B$3001,B97,G98:G$3001,"")=0,C97,0),0))</f>
        <v/>
      </c>
    </row>
    <row r="98">
      <c r="A98" s="6" t="n"/>
      <c r="B98" s="9" t="n"/>
      <c r="C98" s="6" t="n"/>
      <c r="D98" s="6" t="n"/>
      <c r="E98" s="6" t="n"/>
      <c r="F98" s="6" t="n"/>
      <c r="G98" s="6" t="n"/>
      <c r="H98" s="10">
        <f>IF(F98="","",IFERROR(INDEX(Roster!$A$2:$A$600,MATCH(F98,Roster!$E$2:$E$600,0)),""))</f>
        <v/>
      </c>
      <c r="I98" s="10">
        <f>IF(AND(D98="",C98="",F98=""),"",IF(G98&lt;&gt;"","Void",IF(F98="","Needs child",IF(H98="","Child not found",IF(OR(B98="",NOT(ISNUMBER(C98))),"Needs month/pages","OK")))))</f>
        <v/>
      </c>
      <c r="J98" s="10">
        <f>IF(I98="","",IF(I98="OK",IF(COUNTIFS(H99:H$3001,H98,B99:B$3001,B98,G99:G$3001,"")=0,C98,0),0))</f>
        <v/>
      </c>
    </row>
    <row r="99">
      <c r="A99" s="6" t="n"/>
      <c r="B99" s="9" t="n"/>
      <c r="C99" s="6" t="n"/>
      <c r="D99" s="6" t="n"/>
      <c r="E99" s="6" t="n"/>
      <c r="F99" s="6" t="n"/>
      <c r="G99" s="6" t="n"/>
      <c r="H99" s="10">
        <f>IF(F99="","",IFERROR(INDEX(Roster!$A$2:$A$600,MATCH(F99,Roster!$E$2:$E$600,0)),""))</f>
        <v/>
      </c>
      <c r="I99" s="10">
        <f>IF(AND(D99="",C99="",F99=""),"",IF(G99&lt;&gt;"","Void",IF(F99="","Needs child",IF(H99="","Child not found",IF(OR(B99="",NOT(ISNUMBER(C99))),"Needs month/pages","OK")))))</f>
        <v/>
      </c>
      <c r="J99" s="10">
        <f>IF(I99="","",IF(I99="OK",IF(COUNTIFS(H100:H$3001,H99,B100:B$3001,B99,G100:G$3001,"")=0,C99,0),0))</f>
        <v/>
      </c>
    </row>
    <row r="100">
      <c r="A100" s="6" t="n"/>
      <c r="B100" s="9" t="n"/>
      <c r="C100" s="6" t="n"/>
      <c r="D100" s="6" t="n"/>
      <c r="E100" s="6" t="n"/>
      <c r="F100" s="6" t="n"/>
      <c r="G100" s="6" t="n"/>
      <c r="H100" s="10">
        <f>IF(F100="","",IFERROR(INDEX(Roster!$A$2:$A$600,MATCH(F100,Roster!$E$2:$E$600,0)),""))</f>
        <v/>
      </c>
      <c r="I100" s="10">
        <f>IF(AND(D100="",C100="",F100=""),"",IF(G100&lt;&gt;"","Void",IF(F100="","Needs child",IF(H100="","Child not found",IF(OR(B100="",NOT(ISNUMBER(C100))),"Needs month/pages","OK")))))</f>
        <v/>
      </c>
      <c r="J100" s="10">
        <f>IF(I100="","",IF(I100="OK",IF(COUNTIFS(H101:H$3001,H100,B101:B$3001,B100,G101:G$3001,"")=0,C100,0),0))</f>
        <v/>
      </c>
    </row>
    <row r="101">
      <c r="A101" s="6" t="n"/>
      <c r="B101" s="9" t="n"/>
      <c r="C101" s="6" t="n"/>
      <c r="D101" s="6" t="n"/>
      <c r="E101" s="6" t="n"/>
      <c r="F101" s="6" t="n"/>
      <c r="G101" s="6" t="n"/>
      <c r="H101" s="10">
        <f>IF(F101="","",IFERROR(INDEX(Roster!$A$2:$A$600,MATCH(F101,Roster!$E$2:$E$600,0)),""))</f>
        <v/>
      </c>
      <c r="I101" s="10">
        <f>IF(AND(D101="",C101="",F101=""),"",IF(G101&lt;&gt;"","Void",IF(F101="","Needs child",IF(H101="","Child not found",IF(OR(B101="",NOT(ISNUMBER(C101))),"Needs month/pages","OK")))))</f>
        <v/>
      </c>
      <c r="J101" s="10">
        <f>IF(I101="","",IF(I101="OK",IF(COUNTIFS(H102:H$3001,H101,B102:B$3001,B101,G102:G$3001,"")=0,C101,0),0))</f>
        <v/>
      </c>
    </row>
    <row r="102">
      <c r="A102" s="6" t="n"/>
      <c r="B102" s="9" t="n"/>
      <c r="C102" s="6" t="n"/>
      <c r="D102" s="6" t="n"/>
      <c r="E102" s="6" t="n"/>
      <c r="F102" s="6" t="n"/>
      <c r="G102" s="6" t="n"/>
      <c r="H102" s="10">
        <f>IF(F102="","",IFERROR(INDEX(Roster!$A$2:$A$600,MATCH(F102,Roster!$E$2:$E$600,0)),""))</f>
        <v/>
      </c>
      <c r="I102" s="10">
        <f>IF(AND(D102="",C102="",F102=""),"",IF(G102&lt;&gt;"","Void",IF(F102="","Needs child",IF(H102="","Child not found",IF(OR(B102="",NOT(ISNUMBER(C102))),"Needs month/pages","OK")))))</f>
        <v/>
      </c>
      <c r="J102" s="10">
        <f>IF(I102="","",IF(I102="OK",IF(COUNTIFS(H103:H$3001,H102,B103:B$3001,B102,G103:G$3001,"")=0,C102,0),0))</f>
        <v/>
      </c>
    </row>
    <row r="103">
      <c r="A103" s="6" t="n"/>
      <c r="B103" s="9" t="n"/>
      <c r="C103" s="6" t="n"/>
      <c r="D103" s="6" t="n"/>
      <c r="E103" s="6" t="n"/>
      <c r="F103" s="6" t="n"/>
      <c r="G103" s="6" t="n"/>
      <c r="H103" s="10">
        <f>IF(F103="","",IFERROR(INDEX(Roster!$A$2:$A$600,MATCH(F103,Roster!$E$2:$E$600,0)),""))</f>
        <v/>
      </c>
      <c r="I103" s="10">
        <f>IF(AND(D103="",C103="",F103=""),"",IF(G103&lt;&gt;"","Void",IF(F103="","Needs child",IF(H103="","Child not found",IF(OR(B103="",NOT(ISNUMBER(C103))),"Needs month/pages","OK")))))</f>
        <v/>
      </c>
      <c r="J103" s="10">
        <f>IF(I103="","",IF(I103="OK",IF(COUNTIFS(H104:H$3001,H103,B104:B$3001,B103,G104:G$3001,"")=0,C103,0),0))</f>
        <v/>
      </c>
    </row>
    <row r="104">
      <c r="A104" s="6" t="n"/>
      <c r="B104" s="9" t="n"/>
      <c r="C104" s="6" t="n"/>
      <c r="D104" s="6" t="n"/>
      <c r="E104" s="6" t="n"/>
      <c r="F104" s="6" t="n"/>
      <c r="G104" s="6" t="n"/>
      <c r="H104" s="10">
        <f>IF(F104="","",IFERROR(INDEX(Roster!$A$2:$A$600,MATCH(F104,Roster!$E$2:$E$600,0)),""))</f>
        <v/>
      </c>
      <c r="I104" s="10">
        <f>IF(AND(D104="",C104="",F104=""),"",IF(G104&lt;&gt;"","Void",IF(F104="","Needs child",IF(H104="","Child not found",IF(OR(B104="",NOT(ISNUMBER(C104))),"Needs month/pages","OK")))))</f>
        <v/>
      </c>
      <c r="J104" s="10">
        <f>IF(I104="","",IF(I104="OK",IF(COUNTIFS(H105:H$3001,H104,B105:B$3001,B104,G105:G$3001,"")=0,C104,0),0))</f>
        <v/>
      </c>
    </row>
    <row r="105">
      <c r="A105" s="6" t="n"/>
      <c r="B105" s="9" t="n"/>
      <c r="C105" s="6" t="n"/>
      <c r="D105" s="6" t="n"/>
      <c r="E105" s="6" t="n"/>
      <c r="F105" s="6" t="n"/>
      <c r="G105" s="6" t="n"/>
      <c r="H105" s="10">
        <f>IF(F105="","",IFERROR(INDEX(Roster!$A$2:$A$600,MATCH(F105,Roster!$E$2:$E$600,0)),""))</f>
        <v/>
      </c>
      <c r="I105" s="10">
        <f>IF(AND(D105="",C105="",F105=""),"",IF(G105&lt;&gt;"","Void",IF(F105="","Needs child",IF(H105="","Child not found",IF(OR(B105="",NOT(ISNUMBER(C105))),"Needs month/pages","OK")))))</f>
        <v/>
      </c>
      <c r="J105" s="10">
        <f>IF(I105="","",IF(I105="OK",IF(COUNTIFS(H106:H$3001,H105,B106:B$3001,B105,G106:G$3001,"")=0,C105,0),0))</f>
        <v/>
      </c>
    </row>
    <row r="106">
      <c r="A106" s="6" t="n"/>
      <c r="B106" s="9" t="n"/>
      <c r="C106" s="6" t="n"/>
      <c r="D106" s="6" t="n"/>
      <c r="E106" s="6" t="n"/>
      <c r="F106" s="6" t="n"/>
      <c r="G106" s="6" t="n"/>
      <c r="H106" s="10">
        <f>IF(F106="","",IFERROR(INDEX(Roster!$A$2:$A$600,MATCH(F106,Roster!$E$2:$E$600,0)),""))</f>
        <v/>
      </c>
      <c r="I106" s="10">
        <f>IF(AND(D106="",C106="",F106=""),"",IF(G106&lt;&gt;"","Void",IF(F106="","Needs child",IF(H106="","Child not found",IF(OR(B106="",NOT(ISNUMBER(C106))),"Needs month/pages","OK")))))</f>
        <v/>
      </c>
      <c r="J106" s="10">
        <f>IF(I106="","",IF(I106="OK",IF(COUNTIFS(H107:H$3001,H106,B107:B$3001,B106,G107:G$3001,"")=0,C106,0),0))</f>
        <v/>
      </c>
    </row>
    <row r="107">
      <c r="A107" s="6" t="n"/>
      <c r="B107" s="9" t="n"/>
      <c r="C107" s="6" t="n"/>
      <c r="D107" s="6" t="n"/>
      <c r="E107" s="6" t="n"/>
      <c r="F107" s="6" t="n"/>
      <c r="G107" s="6" t="n"/>
      <c r="H107" s="10">
        <f>IF(F107="","",IFERROR(INDEX(Roster!$A$2:$A$600,MATCH(F107,Roster!$E$2:$E$600,0)),""))</f>
        <v/>
      </c>
      <c r="I107" s="10">
        <f>IF(AND(D107="",C107="",F107=""),"",IF(G107&lt;&gt;"","Void",IF(F107="","Needs child",IF(H107="","Child not found",IF(OR(B107="",NOT(ISNUMBER(C107))),"Needs month/pages","OK")))))</f>
        <v/>
      </c>
      <c r="J107" s="10">
        <f>IF(I107="","",IF(I107="OK",IF(COUNTIFS(H108:H$3001,H107,B108:B$3001,B107,G108:G$3001,"")=0,C107,0),0))</f>
        <v/>
      </c>
    </row>
    <row r="108">
      <c r="A108" s="6" t="n"/>
      <c r="B108" s="9" t="n"/>
      <c r="C108" s="6" t="n"/>
      <c r="D108" s="6" t="n"/>
      <c r="E108" s="6" t="n"/>
      <c r="F108" s="6" t="n"/>
      <c r="G108" s="6" t="n"/>
      <c r="H108" s="10">
        <f>IF(F108="","",IFERROR(INDEX(Roster!$A$2:$A$600,MATCH(F108,Roster!$E$2:$E$600,0)),""))</f>
        <v/>
      </c>
      <c r="I108" s="10">
        <f>IF(AND(D108="",C108="",F108=""),"",IF(G108&lt;&gt;"","Void",IF(F108="","Needs child",IF(H108="","Child not found",IF(OR(B108="",NOT(ISNUMBER(C108))),"Needs month/pages","OK")))))</f>
        <v/>
      </c>
      <c r="J108" s="10">
        <f>IF(I108="","",IF(I108="OK",IF(COUNTIFS(H109:H$3001,H108,B109:B$3001,B108,G109:G$3001,"")=0,C108,0),0))</f>
        <v/>
      </c>
    </row>
    <row r="109">
      <c r="A109" s="6" t="n"/>
      <c r="B109" s="9" t="n"/>
      <c r="C109" s="6" t="n"/>
      <c r="D109" s="6" t="n"/>
      <c r="E109" s="6" t="n"/>
      <c r="F109" s="6" t="n"/>
      <c r="G109" s="6" t="n"/>
      <c r="H109" s="10">
        <f>IF(F109="","",IFERROR(INDEX(Roster!$A$2:$A$600,MATCH(F109,Roster!$E$2:$E$600,0)),""))</f>
        <v/>
      </c>
      <c r="I109" s="10">
        <f>IF(AND(D109="",C109="",F109=""),"",IF(G109&lt;&gt;"","Void",IF(F109="","Needs child",IF(H109="","Child not found",IF(OR(B109="",NOT(ISNUMBER(C109))),"Needs month/pages","OK")))))</f>
        <v/>
      </c>
      <c r="J109" s="10">
        <f>IF(I109="","",IF(I109="OK",IF(COUNTIFS(H110:H$3001,H109,B110:B$3001,B109,G110:G$3001,"")=0,C109,0),0))</f>
        <v/>
      </c>
    </row>
    <row r="110">
      <c r="A110" s="6" t="n"/>
      <c r="B110" s="9" t="n"/>
      <c r="C110" s="6" t="n"/>
      <c r="D110" s="6" t="n"/>
      <c r="E110" s="6" t="n"/>
      <c r="F110" s="6" t="n"/>
      <c r="G110" s="6" t="n"/>
      <c r="H110" s="10">
        <f>IF(F110="","",IFERROR(INDEX(Roster!$A$2:$A$600,MATCH(F110,Roster!$E$2:$E$600,0)),""))</f>
        <v/>
      </c>
      <c r="I110" s="10">
        <f>IF(AND(D110="",C110="",F110=""),"",IF(G110&lt;&gt;"","Void",IF(F110="","Needs child",IF(H110="","Child not found",IF(OR(B110="",NOT(ISNUMBER(C110))),"Needs month/pages","OK")))))</f>
        <v/>
      </c>
      <c r="J110" s="10">
        <f>IF(I110="","",IF(I110="OK",IF(COUNTIFS(H111:H$3001,H110,B111:B$3001,B110,G111:G$3001,"")=0,C110,0),0))</f>
        <v/>
      </c>
    </row>
    <row r="111">
      <c r="A111" s="6" t="n"/>
      <c r="B111" s="9" t="n"/>
      <c r="C111" s="6" t="n"/>
      <c r="D111" s="6" t="n"/>
      <c r="E111" s="6" t="n"/>
      <c r="F111" s="6" t="n"/>
      <c r="G111" s="6" t="n"/>
      <c r="H111" s="10">
        <f>IF(F111="","",IFERROR(INDEX(Roster!$A$2:$A$600,MATCH(F111,Roster!$E$2:$E$600,0)),""))</f>
        <v/>
      </c>
      <c r="I111" s="10">
        <f>IF(AND(D111="",C111="",F111=""),"",IF(G111&lt;&gt;"","Void",IF(F111="","Needs child",IF(H111="","Child not found",IF(OR(B111="",NOT(ISNUMBER(C111))),"Needs month/pages","OK")))))</f>
        <v/>
      </c>
      <c r="J111" s="10">
        <f>IF(I111="","",IF(I111="OK",IF(COUNTIFS(H112:H$3001,H111,B112:B$3001,B111,G112:G$3001,"")=0,C111,0),0))</f>
        <v/>
      </c>
    </row>
    <row r="112">
      <c r="A112" s="6" t="n"/>
      <c r="B112" s="9" t="n"/>
      <c r="C112" s="6" t="n"/>
      <c r="D112" s="6" t="n"/>
      <c r="E112" s="6" t="n"/>
      <c r="F112" s="6" t="n"/>
      <c r="G112" s="6" t="n"/>
      <c r="H112" s="10">
        <f>IF(F112="","",IFERROR(INDEX(Roster!$A$2:$A$600,MATCH(F112,Roster!$E$2:$E$600,0)),""))</f>
        <v/>
      </c>
      <c r="I112" s="10">
        <f>IF(AND(D112="",C112="",F112=""),"",IF(G112&lt;&gt;"","Void",IF(F112="","Needs child",IF(H112="","Child not found",IF(OR(B112="",NOT(ISNUMBER(C112))),"Needs month/pages","OK")))))</f>
        <v/>
      </c>
      <c r="J112" s="10">
        <f>IF(I112="","",IF(I112="OK",IF(COUNTIFS(H113:H$3001,H112,B113:B$3001,B112,G113:G$3001,"")=0,C112,0),0))</f>
        <v/>
      </c>
    </row>
    <row r="113">
      <c r="A113" s="6" t="n"/>
      <c r="B113" s="9" t="n"/>
      <c r="C113" s="6" t="n"/>
      <c r="D113" s="6" t="n"/>
      <c r="E113" s="6" t="n"/>
      <c r="F113" s="6" t="n"/>
      <c r="G113" s="6" t="n"/>
      <c r="H113" s="10">
        <f>IF(F113="","",IFERROR(INDEX(Roster!$A$2:$A$600,MATCH(F113,Roster!$E$2:$E$600,0)),""))</f>
        <v/>
      </c>
      <c r="I113" s="10">
        <f>IF(AND(D113="",C113="",F113=""),"",IF(G113&lt;&gt;"","Void",IF(F113="","Needs child",IF(H113="","Child not found",IF(OR(B113="",NOT(ISNUMBER(C113))),"Needs month/pages","OK")))))</f>
        <v/>
      </c>
      <c r="J113" s="10">
        <f>IF(I113="","",IF(I113="OK",IF(COUNTIFS(H114:H$3001,H113,B114:B$3001,B113,G114:G$3001,"")=0,C113,0),0))</f>
        <v/>
      </c>
    </row>
    <row r="114">
      <c r="A114" s="6" t="n"/>
      <c r="B114" s="9" t="n"/>
      <c r="C114" s="6" t="n"/>
      <c r="D114" s="6" t="n"/>
      <c r="E114" s="6" t="n"/>
      <c r="F114" s="6" t="n"/>
      <c r="G114" s="6" t="n"/>
      <c r="H114" s="10">
        <f>IF(F114="","",IFERROR(INDEX(Roster!$A$2:$A$600,MATCH(F114,Roster!$E$2:$E$600,0)),""))</f>
        <v/>
      </c>
      <c r="I114" s="10">
        <f>IF(AND(D114="",C114="",F114=""),"",IF(G114&lt;&gt;"","Void",IF(F114="","Needs child",IF(H114="","Child not found",IF(OR(B114="",NOT(ISNUMBER(C114))),"Needs month/pages","OK")))))</f>
        <v/>
      </c>
      <c r="J114" s="10">
        <f>IF(I114="","",IF(I114="OK",IF(COUNTIFS(H115:H$3001,H114,B115:B$3001,B114,G115:G$3001,"")=0,C114,0),0))</f>
        <v/>
      </c>
    </row>
    <row r="115">
      <c r="A115" s="6" t="n"/>
      <c r="B115" s="9" t="n"/>
      <c r="C115" s="6" t="n"/>
      <c r="D115" s="6" t="n"/>
      <c r="E115" s="6" t="n"/>
      <c r="F115" s="6" t="n"/>
      <c r="G115" s="6" t="n"/>
      <c r="H115" s="10">
        <f>IF(F115="","",IFERROR(INDEX(Roster!$A$2:$A$600,MATCH(F115,Roster!$E$2:$E$600,0)),""))</f>
        <v/>
      </c>
      <c r="I115" s="10">
        <f>IF(AND(D115="",C115="",F115=""),"",IF(G115&lt;&gt;"","Void",IF(F115="","Needs child",IF(H115="","Child not found",IF(OR(B115="",NOT(ISNUMBER(C115))),"Needs month/pages","OK")))))</f>
        <v/>
      </c>
      <c r="J115" s="10">
        <f>IF(I115="","",IF(I115="OK",IF(COUNTIFS(H116:H$3001,H115,B116:B$3001,B115,G116:G$3001,"")=0,C115,0),0))</f>
        <v/>
      </c>
    </row>
    <row r="116">
      <c r="A116" s="6" t="n"/>
      <c r="B116" s="9" t="n"/>
      <c r="C116" s="6" t="n"/>
      <c r="D116" s="6" t="n"/>
      <c r="E116" s="6" t="n"/>
      <c r="F116" s="6" t="n"/>
      <c r="G116" s="6" t="n"/>
      <c r="H116" s="10">
        <f>IF(F116="","",IFERROR(INDEX(Roster!$A$2:$A$600,MATCH(F116,Roster!$E$2:$E$600,0)),""))</f>
        <v/>
      </c>
      <c r="I116" s="10">
        <f>IF(AND(D116="",C116="",F116=""),"",IF(G116&lt;&gt;"","Void",IF(F116="","Needs child",IF(H116="","Child not found",IF(OR(B116="",NOT(ISNUMBER(C116))),"Needs month/pages","OK")))))</f>
        <v/>
      </c>
      <c r="J116" s="10">
        <f>IF(I116="","",IF(I116="OK",IF(COUNTIFS(H117:H$3001,H116,B117:B$3001,B116,G117:G$3001,"")=0,C116,0),0))</f>
        <v/>
      </c>
    </row>
    <row r="117">
      <c r="A117" s="6" t="n"/>
      <c r="B117" s="9" t="n"/>
      <c r="C117" s="6" t="n"/>
      <c r="D117" s="6" t="n"/>
      <c r="E117" s="6" t="n"/>
      <c r="F117" s="6" t="n"/>
      <c r="G117" s="6" t="n"/>
      <c r="H117" s="10">
        <f>IF(F117="","",IFERROR(INDEX(Roster!$A$2:$A$600,MATCH(F117,Roster!$E$2:$E$600,0)),""))</f>
        <v/>
      </c>
      <c r="I117" s="10">
        <f>IF(AND(D117="",C117="",F117=""),"",IF(G117&lt;&gt;"","Void",IF(F117="","Needs child",IF(H117="","Child not found",IF(OR(B117="",NOT(ISNUMBER(C117))),"Needs month/pages","OK")))))</f>
        <v/>
      </c>
      <c r="J117" s="10">
        <f>IF(I117="","",IF(I117="OK",IF(COUNTIFS(H118:H$3001,H117,B118:B$3001,B117,G118:G$3001,"")=0,C117,0),0))</f>
        <v/>
      </c>
    </row>
    <row r="118">
      <c r="A118" s="6" t="n"/>
      <c r="B118" s="9" t="n"/>
      <c r="C118" s="6" t="n"/>
      <c r="D118" s="6" t="n"/>
      <c r="E118" s="6" t="n"/>
      <c r="F118" s="6" t="n"/>
      <c r="G118" s="6" t="n"/>
      <c r="H118" s="10">
        <f>IF(F118="","",IFERROR(INDEX(Roster!$A$2:$A$600,MATCH(F118,Roster!$E$2:$E$600,0)),""))</f>
        <v/>
      </c>
      <c r="I118" s="10">
        <f>IF(AND(D118="",C118="",F118=""),"",IF(G118&lt;&gt;"","Void",IF(F118="","Needs child",IF(H118="","Child not found",IF(OR(B118="",NOT(ISNUMBER(C118))),"Needs month/pages","OK")))))</f>
        <v/>
      </c>
      <c r="J118" s="10">
        <f>IF(I118="","",IF(I118="OK",IF(COUNTIFS(H119:H$3001,H118,B119:B$3001,B118,G119:G$3001,"")=0,C118,0),0))</f>
        <v/>
      </c>
    </row>
    <row r="119">
      <c r="A119" s="6" t="n"/>
      <c r="B119" s="9" t="n"/>
      <c r="C119" s="6" t="n"/>
      <c r="D119" s="6" t="n"/>
      <c r="E119" s="6" t="n"/>
      <c r="F119" s="6" t="n"/>
      <c r="G119" s="6" t="n"/>
      <c r="H119" s="10">
        <f>IF(F119="","",IFERROR(INDEX(Roster!$A$2:$A$600,MATCH(F119,Roster!$E$2:$E$600,0)),""))</f>
        <v/>
      </c>
      <c r="I119" s="10">
        <f>IF(AND(D119="",C119="",F119=""),"",IF(G119&lt;&gt;"","Void",IF(F119="","Needs child",IF(H119="","Child not found",IF(OR(B119="",NOT(ISNUMBER(C119))),"Needs month/pages","OK")))))</f>
        <v/>
      </c>
      <c r="J119" s="10">
        <f>IF(I119="","",IF(I119="OK",IF(COUNTIFS(H120:H$3001,H119,B120:B$3001,B119,G120:G$3001,"")=0,C119,0),0))</f>
        <v/>
      </c>
    </row>
    <row r="120">
      <c r="A120" s="6" t="n"/>
      <c r="B120" s="9" t="n"/>
      <c r="C120" s="6" t="n"/>
      <c r="D120" s="6" t="n"/>
      <c r="E120" s="6" t="n"/>
      <c r="F120" s="6" t="n"/>
      <c r="G120" s="6" t="n"/>
      <c r="H120" s="10">
        <f>IF(F120="","",IFERROR(INDEX(Roster!$A$2:$A$600,MATCH(F120,Roster!$E$2:$E$600,0)),""))</f>
        <v/>
      </c>
      <c r="I120" s="10">
        <f>IF(AND(D120="",C120="",F120=""),"",IF(G120&lt;&gt;"","Void",IF(F120="","Needs child",IF(H120="","Child not found",IF(OR(B120="",NOT(ISNUMBER(C120))),"Needs month/pages","OK")))))</f>
        <v/>
      </c>
      <c r="J120" s="10">
        <f>IF(I120="","",IF(I120="OK",IF(COUNTIFS(H121:H$3001,H120,B121:B$3001,B120,G121:G$3001,"")=0,C120,0),0))</f>
        <v/>
      </c>
    </row>
    <row r="121">
      <c r="A121" s="6" t="n"/>
      <c r="B121" s="9" t="n"/>
      <c r="C121" s="6" t="n"/>
      <c r="D121" s="6" t="n"/>
      <c r="E121" s="6" t="n"/>
      <c r="F121" s="6" t="n"/>
      <c r="G121" s="6" t="n"/>
      <c r="H121" s="10">
        <f>IF(F121="","",IFERROR(INDEX(Roster!$A$2:$A$600,MATCH(F121,Roster!$E$2:$E$600,0)),""))</f>
        <v/>
      </c>
      <c r="I121" s="10">
        <f>IF(AND(D121="",C121="",F121=""),"",IF(G121&lt;&gt;"","Void",IF(F121="","Needs child",IF(H121="","Child not found",IF(OR(B121="",NOT(ISNUMBER(C121))),"Needs month/pages","OK")))))</f>
        <v/>
      </c>
      <c r="J121" s="10">
        <f>IF(I121="","",IF(I121="OK",IF(COUNTIFS(H122:H$3001,H121,B122:B$3001,B121,G122:G$3001,"")=0,C121,0),0))</f>
        <v/>
      </c>
    </row>
    <row r="122">
      <c r="A122" s="6" t="n"/>
      <c r="B122" s="9" t="n"/>
      <c r="C122" s="6" t="n"/>
      <c r="D122" s="6" t="n"/>
      <c r="E122" s="6" t="n"/>
      <c r="F122" s="6" t="n"/>
      <c r="G122" s="6" t="n"/>
      <c r="H122" s="10">
        <f>IF(F122="","",IFERROR(INDEX(Roster!$A$2:$A$600,MATCH(F122,Roster!$E$2:$E$600,0)),""))</f>
        <v/>
      </c>
      <c r="I122" s="10">
        <f>IF(AND(D122="",C122="",F122=""),"",IF(G122&lt;&gt;"","Void",IF(F122="","Needs child",IF(H122="","Child not found",IF(OR(B122="",NOT(ISNUMBER(C122))),"Needs month/pages","OK")))))</f>
        <v/>
      </c>
      <c r="J122" s="10">
        <f>IF(I122="","",IF(I122="OK",IF(COUNTIFS(H123:H$3001,H122,B123:B$3001,B122,G123:G$3001,"")=0,C122,0),0))</f>
        <v/>
      </c>
    </row>
    <row r="123">
      <c r="A123" s="6" t="n"/>
      <c r="B123" s="9" t="n"/>
      <c r="C123" s="6" t="n"/>
      <c r="D123" s="6" t="n"/>
      <c r="E123" s="6" t="n"/>
      <c r="F123" s="6" t="n"/>
      <c r="G123" s="6" t="n"/>
      <c r="H123" s="10">
        <f>IF(F123="","",IFERROR(INDEX(Roster!$A$2:$A$600,MATCH(F123,Roster!$E$2:$E$600,0)),""))</f>
        <v/>
      </c>
      <c r="I123" s="10">
        <f>IF(AND(D123="",C123="",F123=""),"",IF(G123&lt;&gt;"","Void",IF(F123="","Needs child",IF(H123="","Child not found",IF(OR(B123="",NOT(ISNUMBER(C123))),"Needs month/pages","OK")))))</f>
        <v/>
      </c>
      <c r="J123" s="10">
        <f>IF(I123="","",IF(I123="OK",IF(COUNTIFS(H124:H$3001,H123,B124:B$3001,B123,G124:G$3001,"")=0,C123,0),0))</f>
        <v/>
      </c>
    </row>
    <row r="124">
      <c r="A124" s="6" t="n"/>
      <c r="B124" s="9" t="n"/>
      <c r="C124" s="6" t="n"/>
      <c r="D124" s="6" t="n"/>
      <c r="E124" s="6" t="n"/>
      <c r="F124" s="6" t="n"/>
      <c r="G124" s="6" t="n"/>
      <c r="H124" s="10">
        <f>IF(F124="","",IFERROR(INDEX(Roster!$A$2:$A$600,MATCH(F124,Roster!$E$2:$E$600,0)),""))</f>
        <v/>
      </c>
      <c r="I124" s="10">
        <f>IF(AND(D124="",C124="",F124=""),"",IF(G124&lt;&gt;"","Void",IF(F124="","Needs child",IF(H124="","Child not found",IF(OR(B124="",NOT(ISNUMBER(C124))),"Needs month/pages","OK")))))</f>
        <v/>
      </c>
      <c r="J124" s="10">
        <f>IF(I124="","",IF(I124="OK",IF(COUNTIFS(H125:H$3001,H124,B125:B$3001,B124,G125:G$3001,"")=0,C124,0),0))</f>
        <v/>
      </c>
    </row>
    <row r="125">
      <c r="A125" s="6" t="n"/>
      <c r="B125" s="9" t="n"/>
      <c r="C125" s="6" t="n"/>
      <c r="D125" s="6" t="n"/>
      <c r="E125" s="6" t="n"/>
      <c r="F125" s="6" t="n"/>
      <c r="G125" s="6" t="n"/>
      <c r="H125" s="10">
        <f>IF(F125="","",IFERROR(INDEX(Roster!$A$2:$A$600,MATCH(F125,Roster!$E$2:$E$600,0)),""))</f>
        <v/>
      </c>
      <c r="I125" s="10">
        <f>IF(AND(D125="",C125="",F125=""),"",IF(G125&lt;&gt;"","Void",IF(F125="","Needs child",IF(H125="","Child not found",IF(OR(B125="",NOT(ISNUMBER(C125))),"Needs month/pages","OK")))))</f>
        <v/>
      </c>
      <c r="J125" s="10">
        <f>IF(I125="","",IF(I125="OK",IF(COUNTIFS(H126:H$3001,H125,B126:B$3001,B125,G126:G$3001,"")=0,C125,0),0))</f>
        <v/>
      </c>
    </row>
    <row r="126">
      <c r="A126" s="6" t="n"/>
      <c r="B126" s="9" t="n"/>
      <c r="C126" s="6" t="n"/>
      <c r="D126" s="6" t="n"/>
      <c r="E126" s="6" t="n"/>
      <c r="F126" s="6" t="n"/>
      <c r="G126" s="6" t="n"/>
      <c r="H126" s="10">
        <f>IF(F126="","",IFERROR(INDEX(Roster!$A$2:$A$600,MATCH(F126,Roster!$E$2:$E$600,0)),""))</f>
        <v/>
      </c>
      <c r="I126" s="10">
        <f>IF(AND(D126="",C126="",F126=""),"",IF(G126&lt;&gt;"","Void",IF(F126="","Needs child",IF(H126="","Child not found",IF(OR(B126="",NOT(ISNUMBER(C126))),"Needs month/pages","OK")))))</f>
        <v/>
      </c>
      <c r="J126" s="10">
        <f>IF(I126="","",IF(I126="OK",IF(COUNTIFS(H127:H$3001,H126,B127:B$3001,B126,G127:G$3001,"")=0,C126,0),0))</f>
        <v/>
      </c>
    </row>
    <row r="127">
      <c r="A127" s="6" t="n"/>
      <c r="B127" s="9" t="n"/>
      <c r="C127" s="6" t="n"/>
      <c r="D127" s="6" t="n"/>
      <c r="E127" s="6" t="n"/>
      <c r="F127" s="6" t="n"/>
      <c r="G127" s="6" t="n"/>
      <c r="H127" s="10">
        <f>IF(F127="","",IFERROR(INDEX(Roster!$A$2:$A$600,MATCH(F127,Roster!$E$2:$E$600,0)),""))</f>
        <v/>
      </c>
      <c r="I127" s="10">
        <f>IF(AND(D127="",C127="",F127=""),"",IF(G127&lt;&gt;"","Void",IF(F127="","Needs child",IF(H127="","Child not found",IF(OR(B127="",NOT(ISNUMBER(C127))),"Needs month/pages","OK")))))</f>
        <v/>
      </c>
      <c r="J127" s="10">
        <f>IF(I127="","",IF(I127="OK",IF(COUNTIFS(H128:H$3001,H127,B128:B$3001,B127,G128:G$3001,"")=0,C127,0),0))</f>
        <v/>
      </c>
    </row>
    <row r="128">
      <c r="A128" s="6" t="n"/>
      <c r="B128" s="9" t="n"/>
      <c r="C128" s="6" t="n"/>
      <c r="D128" s="6" t="n"/>
      <c r="E128" s="6" t="n"/>
      <c r="F128" s="6" t="n"/>
      <c r="G128" s="6" t="n"/>
      <c r="H128" s="10">
        <f>IF(F128="","",IFERROR(INDEX(Roster!$A$2:$A$600,MATCH(F128,Roster!$E$2:$E$600,0)),""))</f>
        <v/>
      </c>
      <c r="I128" s="10">
        <f>IF(AND(D128="",C128="",F128=""),"",IF(G128&lt;&gt;"","Void",IF(F128="","Needs child",IF(H128="","Child not found",IF(OR(B128="",NOT(ISNUMBER(C128))),"Needs month/pages","OK")))))</f>
        <v/>
      </c>
      <c r="J128" s="10">
        <f>IF(I128="","",IF(I128="OK",IF(COUNTIFS(H129:H$3001,H128,B129:B$3001,B128,G129:G$3001,"")=0,C128,0),0))</f>
        <v/>
      </c>
    </row>
    <row r="129">
      <c r="A129" s="6" t="n"/>
      <c r="B129" s="9" t="n"/>
      <c r="C129" s="6" t="n"/>
      <c r="D129" s="6" t="n"/>
      <c r="E129" s="6" t="n"/>
      <c r="F129" s="6" t="n"/>
      <c r="G129" s="6" t="n"/>
      <c r="H129" s="10">
        <f>IF(F129="","",IFERROR(INDEX(Roster!$A$2:$A$600,MATCH(F129,Roster!$E$2:$E$600,0)),""))</f>
        <v/>
      </c>
      <c r="I129" s="10">
        <f>IF(AND(D129="",C129="",F129=""),"",IF(G129&lt;&gt;"","Void",IF(F129="","Needs child",IF(H129="","Child not found",IF(OR(B129="",NOT(ISNUMBER(C129))),"Needs month/pages","OK")))))</f>
        <v/>
      </c>
      <c r="J129" s="10">
        <f>IF(I129="","",IF(I129="OK",IF(COUNTIFS(H130:H$3001,H129,B130:B$3001,B129,G130:G$3001,"")=0,C129,0),0))</f>
        <v/>
      </c>
    </row>
    <row r="130">
      <c r="A130" s="6" t="n"/>
      <c r="B130" s="9" t="n"/>
      <c r="C130" s="6" t="n"/>
      <c r="D130" s="6" t="n"/>
      <c r="E130" s="6" t="n"/>
      <c r="F130" s="6" t="n"/>
      <c r="G130" s="6" t="n"/>
      <c r="H130" s="10">
        <f>IF(F130="","",IFERROR(INDEX(Roster!$A$2:$A$600,MATCH(F130,Roster!$E$2:$E$600,0)),""))</f>
        <v/>
      </c>
      <c r="I130" s="10">
        <f>IF(AND(D130="",C130="",F130=""),"",IF(G130&lt;&gt;"","Void",IF(F130="","Needs child",IF(H130="","Child not found",IF(OR(B130="",NOT(ISNUMBER(C130))),"Needs month/pages","OK")))))</f>
        <v/>
      </c>
      <c r="J130" s="10">
        <f>IF(I130="","",IF(I130="OK",IF(COUNTIFS(H131:H$3001,H130,B131:B$3001,B130,G131:G$3001,"")=0,C130,0),0))</f>
        <v/>
      </c>
    </row>
    <row r="131">
      <c r="A131" s="6" t="n"/>
      <c r="B131" s="9" t="n"/>
      <c r="C131" s="6" t="n"/>
      <c r="D131" s="6" t="n"/>
      <c r="E131" s="6" t="n"/>
      <c r="F131" s="6" t="n"/>
      <c r="G131" s="6" t="n"/>
      <c r="H131" s="10">
        <f>IF(F131="","",IFERROR(INDEX(Roster!$A$2:$A$600,MATCH(F131,Roster!$E$2:$E$600,0)),""))</f>
        <v/>
      </c>
      <c r="I131" s="10">
        <f>IF(AND(D131="",C131="",F131=""),"",IF(G131&lt;&gt;"","Void",IF(F131="","Needs child",IF(H131="","Child not found",IF(OR(B131="",NOT(ISNUMBER(C131))),"Needs month/pages","OK")))))</f>
        <v/>
      </c>
      <c r="J131" s="10">
        <f>IF(I131="","",IF(I131="OK",IF(COUNTIFS(H132:H$3001,H131,B132:B$3001,B131,G132:G$3001,"")=0,C131,0),0))</f>
        <v/>
      </c>
    </row>
    <row r="132">
      <c r="A132" s="6" t="n"/>
      <c r="B132" s="9" t="n"/>
      <c r="C132" s="6" t="n"/>
      <c r="D132" s="6" t="n"/>
      <c r="E132" s="6" t="n"/>
      <c r="F132" s="6" t="n"/>
      <c r="G132" s="6" t="n"/>
      <c r="H132" s="10">
        <f>IF(F132="","",IFERROR(INDEX(Roster!$A$2:$A$600,MATCH(F132,Roster!$E$2:$E$600,0)),""))</f>
        <v/>
      </c>
      <c r="I132" s="10">
        <f>IF(AND(D132="",C132="",F132=""),"",IF(G132&lt;&gt;"","Void",IF(F132="","Needs child",IF(H132="","Child not found",IF(OR(B132="",NOT(ISNUMBER(C132))),"Needs month/pages","OK")))))</f>
        <v/>
      </c>
      <c r="J132" s="10">
        <f>IF(I132="","",IF(I132="OK",IF(COUNTIFS(H133:H$3001,H132,B133:B$3001,B132,G133:G$3001,"")=0,C132,0),0))</f>
        <v/>
      </c>
    </row>
    <row r="133">
      <c r="A133" s="6" t="n"/>
      <c r="B133" s="9" t="n"/>
      <c r="C133" s="6" t="n"/>
      <c r="D133" s="6" t="n"/>
      <c r="E133" s="6" t="n"/>
      <c r="F133" s="6" t="n"/>
      <c r="G133" s="6" t="n"/>
      <c r="H133" s="10">
        <f>IF(F133="","",IFERROR(INDEX(Roster!$A$2:$A$600,MATCH(F133,Roster!$E$2:$E$600,0)),""))</f>
        <v/>
      </c>
      <c r="I133" s="10">
        <f>IF(AND(D133="",C133="",F133=""),"",IF(G133&lt;&gt;"","Void",IF(F133="","Needs child",IF(H133="","Child not found",IF(OR(B133="",NOT(ISNUMBER(C133))),"Needs month/pages","OK")))))</f>
        <v/>
      </c>
      <c r="J133" s="10">
        <f>IF(I133="","",IF(I133="OK",IF(COUNTIFS(H134:H$3001,H133,B134:B$3001,B133,G134:G$3001,"")=0,C133,0),0))</f>
        <v/>
      </c>
    </row>
    <row r="134">
      <c r="A134" s="6" t="n"/>
      <c r="B134" s="9" t="n"/>
      <c r="C134" s="6" t="n"/>
      <c r="D134" s="6" t="n"/>
      <c r="E134" s="6" t="n"/>
      <c r="F134" s="6" t="n"/>
      <c r="G134" s="6" t="n"/>
      <c r="H134" s="10">
        <f>IF(F134="","",IFERROR(INDEX(Roster!$A$2:$A$600,MATCH(F134,Roster!$E$2:$E$600,0)),""))</f>
        <v/>
      </c>
      <c r="I134" s="10">
        <f>IF(AND(D134="",C134="",F134=""),"",IF(G134&lt;&gt;"","Void",IF(F134="","Needs child",IF(H134="","Child not found",IF(OR(B134="",NOT(ISNUMBER(C134))),"Needs month/pages","OK")))))</f>
        <v/>
      </c>
      <c r="J134" s="10">
        <f>IF(I134="","",IF(I134="OK",IF(COUNTIFS(H135:H$3001,H134,B135:B$3001,B134,G135:G$3001,"")=0,C134,0),0))</f>
        <v/>
      </c>
    </row>
    <row r="135">
      <c r="A135" s="6" t="n"/>
      <c r="B135" s="9" t="n"/>
      <c r="C135" s="6" t="n"/>
      <c r="D135" s="6" t="n"/>
      <c r="E135" s="6" t="n"/>
      <c r="F135" s="6" t="n"/>
      <c r="G135" s="6" t="n"/>
      <c r="H135" s="10">
        <f>IF(F135="","",IFERROR(INDEX(Roster!$A$2:$A$600,MATCH(F135,Roster!$E$2:$E$600,0)),""))</f>
        <v/>
      </c>
      <c r="I135" s="10">
        <f>IF(AND(D135="",C135="",F135=""),"",IF(G135&lt;&gt;"","Void",IF(F135="","Needs child",IF(H135="","Child not found",IF(OR(B135="",NOT(ISNUMBER(C135))),"Needs month/pages","OK")))))</f>
        <v/>
      </c>
      <c r="J135" s="10">
        <f>IF(I135="","",IF(I135="OK",IF(COUNTIFS(H136:H$3001,H135,B136:B$3001,B135,G136:G$3001,"")=0,C135,0),0))</f>
        <v/>
      </c>
    </row>
    <row r="136">
      <c r="A136" s="6" t="n"/>
      <c r="B136" s="9" t="n"/>
      <c r="C136" s="6" t="n"/>
      <c r="D136" s="6" t="n"/>
      <c r="E136" s="6" t="n"/>
      <c r="F136" s="6" t="n"/>
      <c r="G136" s="6" t="n"/>
      <c r="H136" s="10">
        <f>IF(F136="","",IFERROR(INDEX(Roster!$A$2:$A$600,MATCH(F136,Roster!$E$2:$E$600,0)),""))</f>
        <v/>
      </c>
      <c r="I136" s="10">
        <f>IF(AND(D136="",C136="",F136=""),"",IF(G136&lt;&gt;"","Void",IF(F136="","Needs child",IF(H136="","Child not found",IF(OR(B136="",NOT(ISNUMBER(C136))),"Needs month/pages","OK")))))</f>
        <v/>
      </c>
      <c r="J136" s="10">
        <f>IF(I136="","",IF(I136="OK",IF(COUNTIFS(H137:H$3001,H136,B137:B$3001,B136,G137:G$3001,"")=0,C136,0),0))</f>
        <v/>
      </c>
    </row>
    <row r="137">
      <c r="A137" s="6" t="n"/>
      <c r="B137" s="9" t="n"/>
      <c r="C137" s="6" t="n"/>
      <c r="D137" s="6" t="n"/>
      <c r="E137" s="6" t="n"/>
      <c r="F137" s="6" t="n"/>
      <c r="G137" s="6" t="n"/>
      <c r="H137" s="10">
        <f>IF(F137="","",IFERROR(INDEX(Roster!$A$2:$A$600,MATCH(F137,Roster!$E$2:$E$600,0)),""))</f>
        <v/>
      </c>
      <c r="I137" s="10">
        <f>IF(AND(D137="",C137="",F137=""),"",IF(G137&lt;&gt;"","Void",IF(F137="","Needs child",IF(H137="","Child not found",IF(OR(B137="",NOT(ISNUMBER(C137))),"Needs month/pages","OK")))))</f>
        <v/>
      </c>
      <c r="J137" s="10">
        <f>IF(I137="","",IF(I137="OK",IF(COUNTIFS(H138:H$3001,H137,B138:B$3001,B137,G138:G$3001,"")=0,C137,0),0))</f>
        <v/>
      </c>
    </row>
    <row r="138">
      <c r="A138" s="6" t="n"/>
      <c r="B138" s="9" t="n"/>
      <c r="C138" s="6" t="n"/>
      <c r="D138" s="6" t="n"/>
      <c r="E138" s="6" t="n"/>
      <c r="F138" s="6" t="n"/>
      <c r="G138" s="6" t="n"/>
      <c r="H138" s="10">
        <f>IF(F138="","",IFERROR(INDEX(Roster!$A$2:$A$600,MATCH(F138,Roster!$E$2:$E$600,0)),""))</f>
        <v/>
      </c>
      <c r="I138" s="10">
        <f>IF(AND(D138="",C138="",F138=""),"",IF(G138&lt;&gt;"","Void",IF(F138="","Needs child",IF(H138="","Child not found",IF(OR(B138="",NOT(ISNUMBER(C138))),"Needs month/pages","OK")))))</f>
        <v/>
      </c>
      <c r="J138" s="10">
        <f>IF(I138="","",IF(I138="OK",IF(COUNTIFS(H139:H$3001,H138,B139:B$3001,B138,G139:G$3001,"")=0,C138,0),0))</f>
        <v/>
      </c>
    </row>
    <row r="139">
      <c r="A139" s="6" t="n"/>
      <c r="B139" s="9" t="n"/>
      <c r="C139" s="6" t="n"/>
      <c r="D139" s="6" t="n"/>
      <c r="E139" s="6" t="n"/>
      <c r="F139" s="6" t="n"/>
      <c r="G139" s="6" t="n"/>
      <c r="H139" s="10">
        <f>IF(F139="","",IFERROR(INDEX(Roster!$A$2:$A$600,MATCH(F139,Roster!$E$2:$E$600,0)),""))</f>
        <v/>
      </c>
      <c r="I139" s="10">
        <f>IF(AND(D139="",C139="",F139=""),"",IF(G139&lt;&gt;"","Void",IF(F139="","Needs child",IF(H139="","Child not found",IF(OR(B139="",NOT(ISNUMBER(C139))),"Needs month/pages","OK")))))</f>
        <v/>
      </c>
      <c r="J139" s="10">
        <f>IF(I139="","",IF(I139="OK",IF(COUNTIFS(H140:H$3001,H139,B140:B$3001,B139,G140:G$3001,"")=0,C139,0),0))</f>
        <v/>
      </c>
    </row>
    <row r="140">
      <c r="A140" s="6" t="n"/>
      <c r="B140" s="9" t="n"/>
      <c r="C140" s="6" t="n"/>
      <c r="D140" s="6" t="n"/>
      <c r="E140" s="6" t="n"/>
      <c r="F140" s="6" t="n"/>
      <c r="G140" s="6" t="n"/>
      <c r="H140" s="10">
        <f>IF(F140="","",IFERROR(INDEX(Roster!$A$2:$A$600,MATCH(F140,Roster!$E$2:$E$600,0)),""))</f>
        <v/>
      </c>
      <c r="I140" s="10">
        <f>IF(AND(D140="",C140="",F140=""),"",IF(G140&lt;&gt;"","Void",IF(F140="","Needs child",IF(H140="","Child not found",IF(OR(B140="",NOT(ISNUMBER(C140))),"Needs month/pages","OK")))))</f>
        <v/>
      </c>
      <c r="J140" s="10">
        <f>IF(I140="","",IF(I140="OK",IF(COUNTIFS(H141:H$3001,H140,B141:B$3001,B140,G141:G$3001,"")=0,C140,0),0))</f>
        <v/>
      </c>
    </row>
    <row r="141">
      <c r="A141" s="6" t="n"/>
      <c r="B141" s="9" t="n"/>
      <c r="C141" s="6" t="n"/>
      <c r="D141" s="6" t="n"/>
      <c r="E141" s="6" t="n"/>
      <c r="F141" s="6" t="n"/>
      <c r="G141" s="6" t="n"/>
      <c r="H141" s="10">
        <f>IF(F141="","",IFERROR(INDEX(Roster!$A$2:$A$600,MATCH(F141,Roster!$E$2:$E$600,0)),""))</f>
        <v/>
      </c>
      <c r="I141" s="10">
        <f>IF(AND(D141="",C141="",F141=""),"",IF(G141&lt;&gt;"","Void",IF(F141="","Needs child",IF(H141="","Child not found",IF(OR(B141="",NOT(ISNUMBER(C141))),"Needs month/pages","OK")))))</f>
        <v/>
      </c>
      <c r="J141" s="10">
        <f>IF(I141="","",IF(I141="OK",IF(COUNTIFS(H142:H$3001,H141,B142:B$3001,B141,G142:G$3001,"")=0,C141,0),0))</f>
        <v/>
      </c>
    </row>
    <row r="142">
      <c r="A142" s="6" t="n"/>
      <c r="B142" s="9" t="n"/>
      <c r="C142" s="6" t="n"/>
      <c r="D142" s="6" t="n"/>
      <c r="E142" s="6" t="n"/>
      <c r="F142" s="6" t="n"/>
      <c r="G142" s="6" t="n"/>
      <c r="H142" s="10">
        <f>IF(F142="","",IFERROR(INDEX(Roster!$A$2:$A$600,MATCH(F142,Roster!$E$2:$E$600,0)),""))</f>
        <v/>
      </c>
      <c r="I142" s="10">
        <f>IF(AND(D142="",C142="",F142=""),"",IF(G142&lt;&gt;"","Void",IF(F142="","Needs child",IF(H142="","Child not found",IF(OR(B142="",NOT(ISNUMBER(C142))),"Needs month/pages","OK")))))</f>
        <v/>
      </c>
      <c r="J142" s="10">
        <f>IF(I142="","",IF(I142="OK",IF(COUNTIFS(H143:H$3001,H142,B143:B$3001,B142,G143:G$3001,"")=0,C142,0),0))</f>
        <v/>
      </c>
    </row>
    <row r="143">
      <c r="A143" s="6" t="n"/>
      <c r="B143" s="9" t="n"/>
      <c r="C143" s="6" t="n"/>
      <c r="D143" s="6" t="n"/>
      <c r="E143" s="6" t="n"/>
      <c r="F143" s="6" t="n"/>
      <c r="G143" s="6" t="n"/>
      <c r="H143" s="10">
        <f>IF(F143="","",IFERROR(INDEX(Roster!$A$2:$A$600,MATCH(F143,Roster!$E$2:$E$600,0)),""))</f>
        <v/>
      </c>
      <c r="I143" s="10">
        <f>IF(AND(D143="",C143="",F143=""),"",IF(G143&lt;&gt;"","Void",IF(F143="","Needs child",IF(H143="","Child not found",IF(OR(B143="",NOT(ISNUMBER(C143))),"Needs month/pages","OK")))))</f>
        <v/>
      </c>
      <c r="J143" s="10">
        <f>IF(I143="","",IF(I143="OK",IF(COUNTIFS(H144:H$3001,H143,B144:B$3001,B143,G144:G$3001,"")=0,C143,0),0))</f>
        <v/>
      </c>
    </row>
    <row r="144">
      <c r="A144" s="6" t="n"/>
      <c r="B144" s="9" t="n"/>
      <c r="C144" s="6" t="n"/>
      <c r="D144" s="6" t="n"/>
      <c r="E144" s="6" t="n"/>
      <c r="F144" s="6" t="n"/>
      <c r="G144" s="6" t="n"/>
      <c r="H144" s="10">
        <f>IF(F144="","",IFERROR(INDEX(Roster!$A$2:$A$600,MATCH(F144,Roster!$E$2:$E$600,0)),""))</f>
        <v/>
      </c>
      <c r="I144" s="10">
        <f>IF(AND(D144="",C144="",F144=""),"",IF(G144&lt;&gt;"","Void",IF(F144="","Needs child",IF(H144="","Child not found",IF(OR(B144="",NOT(ISNUMBER(C144))),"Needs month/pages","OK")))))</f>
        <v/>
      </c>
      <c r="J144" s="10">
        <f>IF(I144="","",IF(I144="OK",IF(COUNTIFS(H145:H$3001,H144,B145:B$3001,B144,G145:G$3001,"")=0,C144,0),0))</f>
        <v/>
      </c>
    </row>
    <row r="145">
      <c r="A145" s="6" t="n"/>
      <c r="B145" s="9" t="n"/>
      <c r="C145" s="6" t="n"/>
      <c r="D145" s="6" t="n"/>
      <c r="E145" s="6" t="n"/>
      <c r="F145" s="6" t="n"/>
      <c r="G145" s="6" t="n"/>
      <c r="H145" s="10">
        <f>IF(F145="","",IFERROR(INDEX(Roster!$A$2:$A$600,MATCH(F145,Roster!$E$2:$E$600,0)),""))</f>
        <v/>
      </c>
      <c r="I145" s="10">
        <f>IF(AND(D145="",C145="",F145=""),"",IF(G145&lt;&gt;"","Void",IF(F145="","Needs child",IF(H145="","Child not found",IF(OR(B145="",NOT(ISNUMBER(C145))),"Needs month/pages","OK")))))</f>
        <v/>
      </c>
      <c r="J145" s="10">
        <f>IF(I145="","",IF(I145="OK",IF(COUNTIFS(H146:H$3001,H145,B146:B$3001,B145,G146:G$3001,"")=0,C145,0),0))</f>
        <v/>
      </c>
    </row>
    <row r="146">
      <c r="A146" s="6" t="n"/>
      <c r="B146" s="9" t="n"/>
      <c r="C146" s="6" t="n"/>
      <c r="D146" s="6" t="n"/>
      <c r="E146" s="6" t="n"/>
      <c r="F146" s="6" t="n"/>
      <c r="G146" s="6" t="n"/>
      <c r="H146" s="10">
        <f>IF(F146="","",IFERROR(INDEX(Roster!$A$2:$A$600,MATCH(F146,Roster!$E$2:$E$600,0)),""))</f>
        <v/>
      </c>
      <c r="I146" s="10">
        <f>IF(AND(D146="",C146="",F146=""),"",IF(G146&lt;&gt;"","Void",IF(F146="","Needs child",IF(H146="","Child not found",IF(OR(B146="",NOT(ISNUMBER(C146))),"Needs month/pages","OK")))))</f>
        <v/>
      </c>
      <c r="J146" s="10">
        <f>IF(I146="","",IF(I146="OK",IF(COUNTIFS(H147:H$3001,H146,B147:B$3001,B146,G147:G$3001,"")=0,C146,0),0))</f>
        <v/>
      </c>
    </row>
    <row r="147">
      <c r="A147" s="6" t="n"/>
      <c r="B147" s="9" t="n"/>
      <c r="C147" s="6" t="n"/>
      <c r="D147" s="6" t="n"/>
      <c r="E147" s="6" t="n"/>
      <c r="F147" s="6" t="n"/>
      <c r="G147" s="6" t="n"/>
      <c r="H147" s="10">
        <f>IF(F147="","",IFERROR(INDEX(Roster!$A$2:$A$600,MATCH(F147,Roster!$E$2:$E$600,0)),""))</f>
        <v/>
      </c>
      <c r="I147" s="10">
        <f>IF(AND(D147="",C147="",F147=""),"",IF(G147&lt;&gt;"","Void",IF(F147="","Needs child",IF(H147="","Child not found",IF(OR(B147="",NOT(ISNUMBER(C147))),"Needs month/pages","OK")))))</f>
        <v/>
      </c>
      <c r="J147" s="10">
        <f>IF(I147="","",IF(I147="OK",IF(COUNTIFS(H148:H$3001,H147,B148:B$3001,B147,G148:G$3001,"")=0,C147,0),0))</f>
        <v/>
      </c>
    </row>
    <row r="148">
      <c r="A148" s="6" t="n"/>
      <c r="B148" s="9" t="n"/>
      <c r="C148" s="6" t="n"/>
      <c r="D148" s="6" t="n"/>
      <c r="E148" s="6" t="n"/>
      <c r="F148" s="6" t="n"/>
      <c r="G148" s="6" t="n"/>
      <c r="H148" s="10">
        <f>IF(F148="","",IFERROR(INDEX(Roster!$A$2:$A$600,MATCH(F148,Roster!$E$2:$E$600,0)),""))</f>
        <v/>
      </c>
      <c r="I148" s="10">
        <f>IF(AND(D148="",C148="",F148=""),"",IF(G148&lt;&gt;"","Void",IF(F148="","Needs child",IF(H148="","Child not found",IF(OR(B148="",NOT(ISNUMBER(C148))),"Needs month/pages","OK")))))</f>
        <v/>
      </c>
      <c r="J148" s="10">
        <f>IF(I148="","",IF(I148="OK",IF(COUNTIFS(H149:H$3001,H148,B149:B$3001,B148,G149:G$3001,"")=0,C148,0),0))</f>
        <v/>
      </c>
    </row>
    <row r="149">
      <c r="A149" s="6" t="n"/>
      <c r="B149" s="9" t="n"/>
      <c r="C149" s="6" t="n"/>
      <c r="D149" s="6" t="n"/>
      <c r="E149" s="6" t="n"/>
      <c r="F149" s="6" t="n"/>
      <c r="G149" s="6" t="n"/>
      <c r="H149" s="10">
        <f>IF(F149="","",IFERROR(INDEX(Roster!$A$2:$A$600,MATCH(F149,Roster!$E$2:$E$600,0)),""))</f>
        <v/>
      </c>
      <c r="I149" s="10">
        <f>IF(AND(D149="",C149="",F149=""),"",IF(G149&lt;&gt;"","Void",IF(F149="","Needs child",IF(H149="","Child not found",IF(OR(B149="",NOT(ISNUMBER(C149))),"Needs month/pages","OK")))))</f>
        <v/>
      </c>
      <c r="J149" s="10">
        <f>IF(I149="","",IF(I149="OK",IF(COUNTIFS(H150:H$3001,H149,B150:B$3001,B149,G150:G$3001,"")=0,C149,0),0))</f>
        <v/>
      </c>
    </row>
    <row r="150">
      <c r="A150" s="6" t="n"/>
      <c r="B150" s="9" t="n"/>
      <c r="C150" s="6" t="n"/>
      <c r="D150" s="6" t="n"/>
      <c r="E150" s="6" t="n"/>
      <c r="F150" s="6" t="n"/>
      <c r="G150" s="6" t="n"/>
      <c r="H150" s="10">
        <f>IF(F150="","",IFERROR(INDEX(Roster!$A$2:$A$600,MATCH(F150,Roster!$E$2:$E$600,0)),""))</f>
        <v/>
      </c>
      <c r="I150" s="10">
        <f>IF(AND(D150="",C150="",F150=""),"",IF(G150&lt;&gt;"","Void",IF(F150="","Needs child",IF(H150="","Child not found",IF(OR(B150="",NOT(ISNUMBER(C150))),"Needs month/pages","OK")))))</f>
        <v/>
      </c>
      <c r="J150" s="10">
        <f>IF(I150="","",IF(I150="OK",IF(COUNTIFS(H151:H$3001,H150,B151:B$3001,B150,G151:G$3001,"")=0,C150,0),0))</f>
        <v/>
      </c>
    </row>
    <row r="151">
      <c r="A151" s="6" t="n"/>
      <c r="B151" s="9" t="n"/>
      <c r="C151" s="6" t="n"/>
      <c r="D151" s="6" t="n"/>
      <c r="E151" s="6" t="n"/>
      <c r="F151" s="6" t="n"/>
      <c r="G151" s="6" t="n"/>
      <c r="H151" s="10">
        <f>IF(F151="","",IFERROR(INDEX(Roster!$A$2:$A$600,MATCH(F151,Roster!$E$2:$E$600,0)),""))</f>
        <v/>
      </c>
      <c r="I151" s="10">
        <f>IF(AND(D151="",C151="",F151=""),"",IF(G151&lt;&gt;"","Void",IF(F151="","Needs child",IF(H151="","Child not found",IF(OR(B151="",NOT(ISNUMBER(C151))),"Needs month/pages","OK")))))</f>
        <v/>
      </c>
      <c r="J151" s="10">
        <f>IF(I151="","",IF(I151="OK",IF(COUNTIFS(H152:H$3001,H151,B152:B$3001,B151,G152:G$3001,"")=0,C151,0),0))</f>
        <v/>
      </c>
    </row>
    <row r="152">
      <c r="A152" s="6" t="n"/>
      <c r="B152" s="9" t="n"/>
      <c r="C152" s="6" t="n"/>
      <c r="D152" s="6" t="n"/>
      <c r="E152" s="6" t="n"/>
      <c r="F152" s="6" t="n"/>
      <c r="G152" s="6" t="n"/>
      <c r="H152" s="10">
        <f>IF(F152="","",IFERROR(INDEX(Roster!$A$2:$A$600,MATCH(F152,Roster!$E$2:$E$600,0)),""))</f>
        <v/>
      </c>
      <c r="I152" s="10">
        <f>IF(AND(D152="",C152="",F152=""),"",IF(G152&lt;&gt;"","Void",IF(F152="","Needs child",IF(H152="","Child not found",IF(OR(B152="",NOT(ISNUMBER(C152))),"Needs month/pages","OK")))))</f>
        <v/>
      </c>
      <c r="J152" s="10">
        <f>IF(I152="","",IF(I152="OK",IF(COUNTIFS(H153:H$3001,H152,B153:B$3001,B152,G153:G$3001,"")=0,C152,0),0))</f>
        <v/>
      </c>
    </row>
    <row r="153">
      <c r="A153" s="6" t="n"/>
      <c r="B153" s="9" t="n"/>
      <c r="C153" s="6" t="n"/>
      <c r="D153" s="6" t="n"/>
      <c r="E153" s="6" t="n"/>
      <c r="F153" s="6" t="n"/>
      <c r="G153" s="6" t="n"/>
      <c r="H153" s="10">
        <f>IF(F153="","",IFERROR(INDEX(Roster!$A$2:$A$600,MATCH(F153,Roster!$E$2:$E$600,0)),""))</f>
        <v/>
      </c>
      <c r="I153" s="10">
        <f>IF(AND(D153="",C153="",F153=""),"",IF(G153&lt;&gt;"","Void",IF(F153="","Needs child",IF(H153="","Child not found",IF(OR(B153="",NOT(ISNUMBER(C153))),"Needs month/pages","OK")))))</f>
        <v/>
      </c>
      <c r="J153" s="10">
        <f>IF(I153="","",IF(I153="OK",IF(COUNTIFS(H154:H$3001,H153,B154:B$3001,B153,G154:G$3001,"")=0,C153,0),0))</f>
        <v/>
      </c>
    </row>
    <row r="154">
      <c r="A154" s="6" t="n"/>
      <c r="B154" s="9" t="n"/>
      <c r="C154" s="6" t="n"/>
      <c r="D154" s="6" t="n"/>
      <c r="E154" s="6" t="n"/>
      <c r="F154" s="6" t="n"/>
      <c r="G154" s="6" t="n"/>
      <c r="H154" s="10">
        <f>IF(F154="","",IFERROR(INDEX(Roster!$A$2:$A$600,MATCH(F154,Roster!$E$2:$E$600,0)),""))</f>
        <v/>
      </c>
      <c r="I154" s="10">
        <f>IF(AND(D154="",C154="",F154=""),"",IF(G154&lt;&gt;"","Void",IF(F154="","Needs child",IF(H154="","Child not found",IF(OR(B154="",NOT(ISNUMBER(C154))),"Needs month/pages","OK")))))</f>
        <v/>
      </c>
      <c r="J154" s="10">
        <f>IF(I154="","",IF(I154="OK",IF(COUNTIFS(H155:H$3001,H154,B155:B$3001,B154,G155:G$3001,"")=0,C154,0),0))</f>
        <v/>
      </c>
    </row>
    <row r="155">
      <c r="A155" s="6" t="n"/>
      <c r="B155" s="9" t="n"/>
      <c r="C155" s="6" t="n"/>
      <c r="D155" s="6" t="n"/>
      <c r="E155" s="6" t="n"/>
      <c r="F155" s="6" t="n"/>
      <c r="G155" s="6" t="n"/>
      <c r="H155" s="10">
        <f>IF(F155="","",IFERROR(INDEX(Roster!$A$2:$A$600,MATCH(F155,Roster!$E$2:$E$600,0)),""))</f>
        <v/>
      </c>
      <c r="I155" s="10">
        <f>IF(AND(D155="",C155="",F155=""),"",IF(G155&lt;&gt;"","Void",IF(F155="","Needs child",IF(H155="","Child not found",IF(OR(B155="",NOT(ISNUMBER(C155))),"Needs month/pages","OK")))))</f>
        <v/>
      </c>
      <c r="J155" s="10">
        <f>IF(I155="","",IF(I155="OK",IF(COUNTIFS(H156:H$3001,H155,B156:B$3001,B155,G156:G$3001,"")=0,C155,0),0))</f>
        <v/>
      </c>
    </row>
    <row r="156">
      <c r="A156" s="6" t="n"/>
      <c r="B156" s="9" t="n"/>
      <c r="C156" s="6" t="n"/>
      <c r="D156" s="6" t="n"/>
      <c r="E156" s="6" t="n"/>
      <c r="F156" s="6" t="n"/>
      <c r="G156" s="6" t="n"/>
      <c r="H156" s="10">
        <f>IF(F156="","",IFERROR(INDEX(Roster!$A$2:$A$600,MATCH(F156,Roster!$E$2:$E$600,0)),""))</f>
        <v/>
      </c>
      <c r="I156" s="10">
        <f>IF(AND(D156="",C156="",F156=""),"",IF(G156&lt;&gt;"","Void",IF(F156="","Needs child",IF(H156="","Child not found",IF(OR(B156="",NOT(ISNUMBER(C156))),"Needs month/pages","OK")))))</f>
        <v/>
      </c>
      <c r="J156" s="10">
        <f>IF(I156="","",IF(I156="OK",IF(COUNTIFS(H157:H$3001,H156,B157:B$3001,B156,G157:G$3001,"")=0,C156,0),0))</f>
        <v/>
      </c>
    </row>
    <row r="157">
      <c r="A157" s="6" t="n"/>
      <c r="B157" s="9" t="n"/>
      <c r="C157" s="6" t="n"/>
      <c r="D157" s="6" t="n"/>
      <c r="E157" s="6" t="n"/>
      <c r="F157" s="6" t="n"/>
      <c r="G157" s="6" t="n"/>
      <c r="H157" s="10">
        <f>IF(F157="","",IFERROR(INDEX(Roster!$A$2:$A$600,MATCH(F157,Roster!$E$2:$E$600,0)),""))</f>
        <v/>
      </c>
      <c r="I157" s="10">
        <f>IF(AND(D157="",C157="",F157=""),"",IF(G157&lt;&gt;"","Void",IF(F157="","Needs child",IF(H157="","Child not found",IF(OR(B157="",NOT(ISNUMBER(C157))),"Needs month/pages","OK")))))</f>
        <v/>
      </c>
      <c r="J157" s="10">
        <f>IF(I157="","",IF(I157="OK",IF(COUNTIFS(H158:H$3001,H157,B158:B$3001,B157,G158:G$3001,"")=0,C157,0),0))</f>
        <v/>
      </c>
    </row>
    <row r="158">
      <c r="A158" s="6" t="n"/>
      <c r="B158" s="9" t="n"/>
      <c r="C158" s="6" t="n"/>
      <c r="D158" s="6" t="n"/>
      <c r="E158" s="6" t="n"/>
      <c r="F158" s="6" t="n"/>
      <c r="G158" s="6" t="n"/>
      <c r="H158" s="10">
        <f>IF(F158="","",IFERROR(INDEX(Roster!$A$2:$A$600,MATCH(F158,Roster!$E$2:$E$600,0)),""))</f>
        <v/>
      </c>
      <c r="I158" s="10">
        <f>IF(AND(D158="",C158="",F158=""),"",IF(G158&lt;&gt;"","Void",IF(F158="","Needs child",IF(H158="","Child not found",IF(OR(B158="",NOT(ISNUMBER(C158))),"Needs month/pages","OK")))))</f>
        <v/>
      </c>
      <c r="J158" s="10">
        <f>IF(I158="","",IF(I158="OK",IF(COUNTIFS(H159:H$3001,H158,B159:B$3001,B158,G159:G$3001,"")=0,C158,0),0))</f>
        <v/>
      </c>
    </row>
    <row r="159">
      <c r="A159" s="6" t="n"/>
      <c r="B159" s="9" t="n"/>
      <c r="C159" s="6" t="n"/>
      <c r="D159" s="6" t="n"/>
      <c r="E159" s="6" t="n"/>
      <c r="F159" s="6" t="n"/>
      <c r="G159" s="6" t="n"/>
      <c r="H159" s="10">
        <f>IF(F159="","",IFERROR(INDEX(Roster!$A$2:$A$600,MATCH(F159,Roster!$E$2:$E$600,0)),""))</f>
        <v/>
      </c>
      <c r="I159" s="10">
        <f>IF(AND(D159="",C159="",F159=""),"",IF(G159&lt;&gt;"","Void",IF(F159="","Needs child",IF(H159="","Child not found",IF(OR(B159="",NOT(ISNUMBER(C159))),"Needs month/pages","OK")))))</f>
        <v/>
      </c>
      <c r="J159" s="10">
        <f>IF(I159="","",IF(I159="OK",IF(COUNTIFS(H160:H$3001,H159,B160:B$3001,B159,G160:G$3001,"")=0,C159,0),0))</f>
        <v/>
      </c>
    </row>
    <row r="160">
      <c r="A160" s="6" t="n"/>
      <c r="B160" s="9" t="n"/>
      <c r="C160" s="6" t="n"/>
      <c r="D160" s="6" t="n"/>
      <c r="E160" s="6" t="n"/>
      <c r="F160" s="6" t="n"/>
      <c r="G160" s="6" t="n"/>
      <c r="H160" s="10">
        <f>IF(F160="","",IFERROR(INDEX(Roster!$A$2:$A$600,MATCH(F160,Roster!$E$2:$E$600,0)),""))</f>
        <v/>
      </c>
      <c r="I160" s="10">
        <f>IF(AND(D160="",C160="",F160=""),"",IF(G160&lt;&gt;"","Void",IF(F160="","Needs child",IF(H160="","Child not found",IF(OR(B160="",NOT(ISNUMBER(C160))),"Needs month/pages","OK")))))</f>
        <v/>
      </c>
      <c r="J160" s="10">
        <f>IF(I160="","",IF(I160="OK",IF(COUNTIFS(H161:H$3001,H160,B161:B$3001,B160,G161:G$3001,"")=0,C160,0),0))</f>
        <v/>
      </c>
    </row>
    <row r="161">
      <c r="A161" s="6" t="n"/>
      <c r="B161" s="9" t="n"/>
      <c r="C161" s="6" t="n"/>
      <c r="D161" s="6" t="n"/>
      <c r="E161" s="6" t="n"/>
      <c r="F161" s="6" t="n"/>
      <c r="G161" s="6" t="n"/>
      <c r="H161" s="10">
        <f>IF(F161="","",IFERROR(INDEX(Roster!$A$2:$A$600,MATCH(F161,Roster!$E$2:$E$600,0)),""))</f>
        <v/>
      </c>
      <c r="I161" s="10">
        <f>IF(AND(D161="",C161="",F161=""),"",IF(G161&lt;&gt;"","Void",IF(F161="","Needs child",IF(H161="","Child not found",IF(OR(B161="",NOT(ISNUMBER(C161))),"Needs month/pages","OK")))))</f>
        <v/>
      </c>
      <c r="J161" s="10">
        <f>IF(I161="","",IF(I161="OK",IF(COUNTIFS(H162:H$3001,H161,B162:B$3001,B161,G162:G$3001,"")=0,C161,0),0))</f>
        <v/>
      </c>
    </row>
    <row r="162">
      <c r="A162" s="6" t="n"/>
      <c r="B162" s="9" t="n"/>
      <c r="C162" s="6" t="n"/>
      <c r="D162" s="6" t="n"/>
      <c r="E162" s="6" t="n"/>
      <c r="F162" s="6" t="n"/>
      <c r="G162" s="6" t="n"/>
      <c r="H162" s="10">
        <f>IF(F162="","",IFERROR(INDEX(Roster!$A$2:$A$600,MATCH(F162,Roster!$E$2:$E$600,0)),""))</f>
        <v/>
      </c>
      <c r="I162" s="10">
        <f>IF(AND(D162="",C162="",F162=""),"",IF(G162&lt;&gt;"","Void",IF(F162="","Needs child",IF(H162="","Child not found",IF(OR(B162="",NOT(ISNUMBER(C162))),"Needs month/pages","OK")))))</f>
        <v/>
      </c>
      <c r="J162" s="10">
        <f>IF(I162="","",IF(I162="OK",IF(COUNTIFS(H163:H$3001,H162,B163:B$3001,B162,G163:G$3001,"")=0,C162,0),0))</f>
        <v/>
      </c>
    </row>
    <row r="163">
      <c r="A163" s="6" t="n"/>
      <c r="B163" s="9" t="n"/>
      <c r="C163" s="6" t="n"/>
      <c r="D163" s="6" t="n"/>
      <c r="E163" s="6" t="n"/>
      <c r="F163" s="6" t="n"/>
      <c r="G163" s="6" t="n"/>
      <c r="H163" s="10">
        <f>IF(F163="","",IFERROR(INDEX(Roster!$A$2:$A$600,MATCH(F163,Roster!$E$2:$E$600,0)),""))</f>
        <v/>
      </c>
      <c r="I163" s="10">
        <f>IF(AND(D163="",C163="",F163=""),"",IF(G163&lt;&gt;"","Void",IF(F163="","Needs child",IF(H163="","Child not found",IF(OR(B163="",NOT(ISNUMBER(C163))),"Needs month/pages","OK")))))</f>
        <v/>
      </c>
      <c r="J163" s="10">
        <f>IF(I163="","",IF(I163="OK",IF(COUNTIFS(H164:H$3001,H163,B164:B$3001,B163,G164:G$3001,"")=0,C163,0),0))</f>
        <v/>
      </c>
    </row>
    <row r="164">
      <c r="A164" s="6" t="n"/>
      <c r="B164" s="9" t="n"/>
      <c r="C164" s="6" t="n"/>
      <c r="D164" s="6" t="n"/>
      <c r="E164" s="6" t="n"/>
      <c r="F164" s="6" t="n"/>
      <c r="G164" s="6" t="n"/>
      <c r="H164" s="10">
        <f>IF(F164="","",IFERROR(INDEX(Roster!$A$2:$A$600,MATCH(F164,Roster!$E$2:$E$600,0)),""))</f>
        <v/>
      </c>
      <c r="I164" s="10">
        <f>IF(AND(D164="",C164="",F164=""),"",IF(G164&lt;&gt;"","Void",IF(F164="","Needs child",IF(H164="","Child not found",IF(OR(B164="",NOT(ISNUMBER(C164))),"Needs month/pages","OK")))))</f>
        <v/>
      </c>
      <c r="J164" s="10">
        <f>IF(I164="","",IF(I164="OK",IF(COUNTIFS(H165:H$3001,H164,B165:B$3001,B164,G165:G$3001,"")=0,C164,0),0))</f>
        <v/>
      </c>
    </row>
    <row r="165">
      <c r="A165" s="6" t="n"/>
      <c r="B165" s="9" t="n"/>
      <c r="C165" s="6" t="n"/>
      <c r="D165" s="6" t="n"/>
      <c r="E165" s="6" t="n"/>
      <c r="F165" s="6" t="n"/>
      <c r="G165" s="6" t="n"/>
      <c r="H165" s="10">
        <f>IF(F165="","",IFERROR(INDEX(Roster!$A$2:$A$600,MATCH(F165,Roster!$E$2:$E$600,0)),""))</f>
        <v/>
      </c>
      <c r="I165" s="10">
        <f>IF(AND(D165="",C165="",F165=""),"",IF(G165&lt;&gt;"","Void",IF(F165="","Needs child",IF(H165="","Child not found",IF(OR(B165="",NOT(ISNUMBER(C165))),"Needs month/pages","OK")))))</f>
        <v/>
      </c>
      <c r="J165" s="10">
        <f>IF(I165="","",IF(I165="OK",IF(COUNTIFS(H166:H$3001,H165,B166:B$3001,B165,G166:G$3001,"")=0,C165,0),0))</f>
        <v/>
      </c>
    </row>
    <row r="166">
      <c r="A166" s="6" t="n"/>
      <c r="B166" s="9" t="n"/>
      <c r="C166" s="6" t="n"/>
      <c r="D166" s="6" t="n"/>
      <c r="E166" s="6" t="n"/>
      <c r="F166" s="6" t="n"/>
      <c r="G166" s="6" t="n"/>
      <c r="H166" s="10">
        <f>IF(F166="","",IFERROR(INDEX(Roster!$A$2:$A$600,MATCH(F166,Roster!$E$2:$E$600,0)),""))</f>
        <v/>
      </c>
      <c r="I166" s="10">
        <f>IF(AND(D166="",C166="",F166=""),"",IF(G166&lt;&gt;"","Void",IF(F166="","Needs child",IF(H166="","Child not found",IF(OR(B166="",NOT(ISNUMBER(C166))),"Needs month/pages","OK")))))</f>
        <v/>
      </c>
      <c r="J166" s="10">
        <f>IF(I166="","",IF(I166="OK",IF(COUNTIFS(H167:H$3001,H166,B167:B$3001,B166,G167:G$3001,"")=0,C166,0),0))</f>
        <v/>
      </c>
    </row>
    <row r="167">
      <c r="A167" s="6" t="n"/>
      <c r="B167" s="9" t="n"/>
      <c r="C167" s="6" t="n"/>
      <c r="D167" s="6" t="n"/>
      <c r="E167" s="6" t="n"/>
      <c r="F167" s="6" t="n"/>
      <c r="G167" s="6" t="n"/>
      <c r="H167" s="10">
        <f>IF(F167="","",IFERROR(INDEX(Roster!$A$2:$A$600,MATCH(F167,Roster!$E$2:$E$600,0)),""))</f>
        <v/>
      </c>
      <c r="I167" s="10">
        <f>IF(AND(D167="",C167="",F167=""),"",IF(G167&lt;&gt;"","Void",IF(F167="","Needs child",IF(H167="","Child not found",IF(OR(B167="",NOT(ISNUMBER(C167))),"Needs month/pages","OK")))))</f>
        <v/>
      </c>
      <c r="J167" s="10">
        <f>IF(I167="","",IF(I167="OK",IF(COUNTIFS(H168:H$3001,H167,B168:B$3001,B167,G168:G$3001,"")=0,C167,0),0))</f>
        <v/>
      </c>
    </row>
    <row r="168">
      <c r="A168" s="6" t="n"/>
      <c r="B168" s="9" t="n"/>
      <c r="C168" s="6" t="n"/>
      <c r="D168" s="6" t="n"/>
      <c r="E168" s="6" t="n"/>
      <c r="F168" s="6" t="n"/>
      <c r="G168" s="6" t="n"/>
      <c r="H168" s="10">
        <f>IF(F168="","",IFERROR(INDEX(Roster!$A$2:$A$600,MATCH(F168,Roster!$E$2:$E$600,0)),""))</f>
        <v/>
      </c>
      <c r="I168" s="10">
        <f>IF(AND(D168="",C168="",F168=""),"",IF(G168&lt;&gt;"","Void",IF(F168="","Needs child",IF(H168="","Child not found",IF(OR(B168="",NOT(ISNUMBER(C168))),"Needs month/pages","OK")))))</f>
        <v/>
      </c>
      <c r="J168" s="10">
        <f>IF(I168="","",IF(I168="OK",IF(COUNTIFS(H169:H$3001,H168,B169:B$3001,B168,G169:G$3001,"")=0,C168,0),0))</f>
        <v/>
      </c>
    </row>
    <row r="169">
      <c r="A169" s="6" t="n"/>
      <c r="B169" s="9" t="n"/>
      <c r="C169" s="6" t="n"/>
      <c r="D169" s="6" t="n"/>
      <c r="E169" s="6" t="n"/>
      <c r="F169" s="6" t="n"/>
      <c r="G169" s="6" t="n"/>
      <c r="H169" s="10">
        <f>IF(F169="","",IFERROR(INDEX(Roster!$A$2:$A$600,MATCH(F169,Roster!$E$2:$E$600,0)),""))</f>
        <v/>
      </c>
      <c r="I169" s="10">
        <f>IF(AND(D169="",C169="",F169=""),"",IF(G169&lt;&gt;"","Void",IF(F169="","Needs child",IF(H169="","Child not found",IF(OR(B169="",NOT(ISNUMBER(C169))),"Needs month/pages","OK")))))</f>
        <v/>
      </c>
      <c r="J169" s="10">
        <f>IF(I169="","",IF(I169="OK",IF(COUNTIFS(H170:H$3001,H169,B170:B$3001,B169,G170:G$3001,"")=0,C169,0),0))</f>
        <v/>
      </c>
    </row>
    <row r="170">
      <c r="A170" s="6" t="n"/>
      <c r="B170" s="9" t="n"/>
      <c r="C170" s="6" t="n"/>
      <c r="D170" s="6" t="n"/>
      <c r="E170" s="6" t="n"/>
      <c r="F170" s="6" t="n"/>
      <c r="G170" s="6" t="n"/>
      <c r="H170" s="10">
        <f>IF(F170="","",IFERROR(INDEX(Roster!$A$2:$A$600,MATCH(F170,Roster!$E$2:$E$600,0)),""))</f>
        <v/>
      </c>
      <c r="I170" s="10">
        <f>IF(AND(D170="",C170="",F170=""),"",IF(G170&lt;&gt;"","Void",IF(F170="","Needs child",IF(H170="","Child not found",IF(OR(B170="",NOT(ISNUMBER(C170))),"Needs month/pages","OK")))))</f>
        <v/>
      </c>
      <c r="J170" s="10">
        <f>IF(I170="","",IF(I170="OK",IF(COUNTIFS(H171:H$3001,H170,B171:B$3001,B170,G171:G$3001,"")=0,C170,0),0))</f>
        <v/>
      </c>
    </row>
    <row r="171">
      <c r="A171" s="6" t="n"/>
      <c r="B171" s="9" t="n"/>
      <c r="C171" s="6" t="n"/>
      <c r="D171" s="6" t="n"/>
      <c r="E171" s="6" t="n"/>
      <c r="F171" s="6" t="n"/>
      <c r="G171" s="6" t="n"/>
      <c r="H171" s="10">
        <f>IF(F171="","",IFERROR(INDEX(Roster!$A$2:$A$600,MATCH(F171,Roster!$E$2:$E$600,0)),""))</f>
        <v/>
      </c>
      <c r="I171" s="10">
        <f>IF(AND(D171="",C171="",F171=""),"",IF(G171&lt;&gt;"","Void",IF(F171="","Needs child",IF(H171="","Child not found",IF(OR(B171="",NOT(ISNUMBER(C171))),"Needs month/pages","OK")))))</f>
        <v/>
      </c>
      <c r="J171" s="10">
        <f>IF(I171="","",IF(I171="OK",IF(COUNTIFS(H172:H$3001,H171,B172:B$3001,B171,G172:G$3001,"")=0,C171,0),0))</f>
        <v/>
      </c>
    </row>
    <row r="172">
      <c r="A172" s="6" t="n"/>
      <c r="B172" s="9" t="n"/>
      <c r="C172" s="6" t="n"/>
      <c r="D172" s="6" t="n"/>
      <c r="E172" s="6" t="n"/>
      <c r="F172" s="6" t="n"/>
      <c r="G172" s="6" t="n"/>
      <c r="H172" s="10">
        <f>IF(F172="","",IFERROR(INDEX(Roster!$A$2:$A$600,MATCH(F172,Roster!$E$2:$E$600,0)),""))</f>
        <v/>
      </c>
      <c r="I172" s="10">
        <f>IF(AND(D172="",C172="",F172=""),"",IF(G172&lt;&gt;"","Void",IF(F172="","Needs child",IF(H172="","Child not found",IF(OR(B172="",NOT(ISNUMBER(C172))),"Needs month/pages","OK")))))</f>
        <v/>
      </c>
      <c r="J172" s="10">
        <f>IF(I172="","",IF(I172="OK",IF(COUNTIFS(H173:H$3001,H172,B173:B$3001,B172,G173:G$3001,"")=0,C172,0),0))</f>
        <v/>
      </c>
    </row>
    <row r="173">
      <c r="A173" s="6" t="n"/>
      <c r="B173" s="9" t="n"/>
      <c r="C173" s="6" t="n"/>
      <c r="D173" s="6" t="n"/>
      <c r="E173" s="6" t="n"/>
      <c r="F173" s="6" t="n"/>
      <c r="G173" s="6" t="n"/>
      <c r="H173" s="10">
        <f>IF(F173="","",IFERROR(INDEX(Roster!$A$2:$A$600,MATCH(F173,Roster!$E$2:$E$600,0)),""))</f>
        <v/>
      </c>
      <c r="I173" s="10">
        <f>IF(AND(D173="",C173="",F173=""),"",IF(G173&lt;&gt;"","Void",IF(F173="","Needs child",IF(H173="","Child not found",IF(OR(B173="",NOT(ISNUMBER(C173))),"Needs month/pages","OK")))))</f>
        <v/>
      </c>
      <c r="J173" s="10">
        <f>IF(I173="","",IF(I173="OK",IF(COUNTIFS(H174:H$3001,H173,B174:B$3001,B173,G174:G$3001,"")=0,C173,0),0))</f>
        <v/>
      </c>
    </row>
    <row r="174">
      <c r="A174" s="6" t="n"/>
      <c r="B174" s="9" t="n"/>
      <c r="C174" s="6" t="n"/>
      <c r="D174" s="6" t="n"/>
      <c r="E174" s="6" t="n"/>
      <c r="F174" s="6" t="n"/>
      <c r="G174" s="6" t="n"/>
      <c r="H174" s="10">
        <f>IF(F174="","",IFERROR(INDEX(Roster!$A$2:$A$600,MATCH(F174,Roster!$E$2:$E$600,0)),""))</f>
        <v/>
      </c>
      <c r="I174" s="10">
        <f>IF(AND(D174="",C174="",F174=""),"",IF(G174&lt;&gt;"","Void",IF(F174="","Needs child",IF(H174="","Child not found",IF(OR(B174="",NOT(ISNUMBER(C174))),"Needs month/pages","OK")))))</f>
        <v/>
      </c>
      <c r="J174" s="10">
        <f>IF(I174="","",IF(I174="OK",IF(COUNTIFS(H175:H$3001,H174,B175:B$3001,B174,G175:G$3001,"")=0,C174,0),0))</f>
        <v/>
      </c>
    </row>
    <row r="175">
      <c r="A175" s="6" t="n"/>
      <c r="B175" s="9" t="n"/>
      <c r="C175" s="6" t="n"/>
      <c r="D175" s="6" t="n"/>
      <c r="E175" s="6" t="n"/>
      <c r="F175" s="6" t="n"/>
      <c r="G175" s="6" t="n"/>
      <c r="H175" s="10">
        <f>IF(F175="","",IFERROR(INDEX(Roster!$A$2:$A$600,MATCH(F175,Roster!$E$2:$E$600,0)),""))</f>
        <v/>
      </c>
      <c r="I175" s="10">
        <f>IF(AND(D175="",C175="",F175=""),"",IF(G175&lt;&gt;"","Void",IF(F175="","Needs child",IF(H175="","Child not found",IF(OR(B175="",NOT(ISNUMBER(C175))),"Needs month/pages","OK")))))</f>
        <v/>
      </c>
      <c r="J175" s="10">
        <f>IF(I175="","",IF(I175="OK",IF(COUNTIFS(H176:H$3001,H175,B176:B$3001,B175,G176:G$3001,"")=0,C175,0),0))</f>
        <v/>
      </c>
    </row>
    <row r="176">
      <c r="A176" s="6" t="n"/>
      <c r="B176" s="9" t="n"/>
      <c r="C176" s="6" t="n"/>
      <c r="D176" s="6" t="n"/>
      <c r="E176" s="6" t="n"/>
      <c r="F176" s="6" t="n"/>
      <c r="G176" s="6" t="n"/>
      <c r="H176" s="10">
        <f>IF(F176="","",IFERROR(INDEX(Roster!$A$2:$A$600,MATCH(F176,Roster!$E$2:$E$600,0)),""))</f>
        <v/>
      </c>
      <c r="I176" s="10">
        <f>IF(AND(D176="",C176="",F176=""),"",IF(G176&lt;&gt;"","Void",IF(F176="","Needs child",IF(H176="","Child not found",IF(OR(B176="",NOT(ISNUMBER(C176))),"Needs month/pages","OK")))))</f>
        <v/>
      </c>
      <c r="J176" s="10">
        <f>IF(I176="","",IF(I176="OK",IF(COUNTIFS(H177:H$3001,H176,B177:B$3001,B176,G177:G$3001,"")=0,C176,0),0))</f>
        <v/>
      </c>
    </row>
    <row r="177">
      <c r="A177" s="6" t="n"/>
      <c r="B177" s="9" t="n"/>
      <c r="C177" s="6" t="n"/>
      <c r="D177" s="6" t="n"/>
      <c r="E177" s="6" t="n"/>
      <c r="F177" s="6" t="n"/>
      <c r="G177" s="6" t="n"/>
      <c r="H177" s="10">
        <f>IF(F177="","",IFERROR(INDEX(Roster!$A$2:$A$600,MATCH(F177,Roster!$E$2:$E$600,0)),""))</f>
        <v/>
      </c>
      <c r="I177" s="10">
        <f>IF(AND(D177="",C177="",F177=""),"",IF(G177&lt;&gt;"","Void",IF(F177="","Needs child",IF(H177="","Child not found",IF(OR(B177="",NOT(ISNUMBER(C177))),"Needs month/pages","OK")))))</f>
        <v/>
      </c>
      <c r="J177" s="10">
        <f>IF(I177="","",IF(I177="OK",IF(COUNTIFS(H178:H$3001,H177,B178:B$3001,B177,G178:G$3001,"")=0,C177,0),0))</f>
        <v/>
      </c>
    </row>
    <row r="178">
      <c r="A178" s="6" t="n"/>
      <c r="B178" s="9" t="n"/>
      <c r="C178" s="6" t="n"/>
      <c r="D178" s="6" t="n"/>
      <c r="E178" s="6" t="n"/>
      <c r="F178" s="6" t="n"/>
      <c r="G178" s="6" t="n"/>
      <c r="H178" s="10">
        <f>IF(F178="","",IFERROR(INDEX(Roster!$A$2:$A$600,MATCH(F178,Roster!$E$2:$E$600,0)),""))</f>
        <v/>
      </c>
      <c r="I178" s="10">
        <f>IF(AND(D178="",C178="",F178=""),"",IF(G178&lt;&gt;"","Void",IF(F178="","Needs child",IF(H178="","Child not found",IF(OR(B178="",NOT(ISNUMBER(C178))),"Needs month/pages","OK")))))</f>
        <v/>
      </c>
      <c r="J178" s="10">
        <f>IF(I178="","",IF(I178="OK",IF(COUNTIFS(H179:H$3001,H178,B179:B$3001,B178,G179:G$3001,"")=0,C178,0),0))</f>
        <v/>
      </c>
    </row>
    <row r="179">
      <c r="A179" s="6" t="n"/>
      <c r="B179" s="9" t="n"/>
      <c r="C179" s="6" t="n"/>
      <c r="D179" s="6" t="n"/>
      <c r="E179" s="6" t="n"/>
      <c r="F179" s="6" t="n"/>
      <c r="G179" s="6" t="n"/>
      <c r="H179" s="10">
        <f>IF(F179="","",IFERROR(INDEX(Roster!$A$2:$A$600,MATCH(F179,Roster!$E$2:$E$600,0)),""))</f>
        <v/>
      </c>
      <c r="I179" s="10">
        <f>IF(AND(D179="",C179="",F179=""),"",IF(G179&lt;&gt;"","Void",IF(F179="","Needs child",IF(H179="","Child not found",IF(OR(B179="",NOT(ISNUMBER(C179))),"Needs month/pages","OK")))))</f>
        <v/>
      </c>
      <c r="J179" s="10">
        <f>IF(I179="","",IF(I179="OK",IF(COUNTIFS(H180:H$3001,H179,B180:B$3001,B179,G180:G$3001,"")=0,C179,0),0))</f>
        <v/>
      </c>
    </row>
    <row r="180">
      <c r="A180" s="6" t="n"/>
      <c r="B180" s="9" t="n"/>
      <c r="C180" s="6" t="n"/>
      <c r="D180" s="6" t="n"/>
      <c r="E180" s="6" t="n"/>
      <c r="F180" s="6" t="n"/>
      <c r="G180" s="6" t="n"/>
      <c r="H180" s="10">
        <f>IF(F180="","",IFERROR(INDEX(Roster!$A$2:$A$600,MATCH(F180,Roster!$E$2:$E$600,0)),""))</f>
        <v/>
      </c>
      <c r="I180" s="10">
        <f>IF(AND(D180="",C180="",F180=""),"",IF(G180&lt;&gt;"","Void",IF(F180="","Needs child",IF(H180="","Child not found",IF(OR(B180="",NOT(ISNUMBER(C180))),"Needs month/pages","OK")))))</f>
        <v/>
      </c>
      <c r="J180" s="10">
        <f>IF(I180="","",IF(I180="OK",IF(COUNTIFS(H181:H$3001,H180,B181:B$3001,B180,G181:G$3001,"")=0,C180,0),0))</f>
        <v/>
      </c>
    </row>
    <row r="181">
      <c r="A181" s="6" t="n"/>
      <c r="B181" s="9" t="n"/>
      <c r="C181" s="6" t="n"/>
      <c r="D181" s="6" t="n"/>
      <c r="E181" s="6" t="n"/>
      <c r="F181" s="6" t="n"/>
      <c r="G181" s="6" t="n"/>
      <c r="H181" s="10">
        <f>IF(F181="","",IFERROR(INDEX(Roster!$A$2:$A$600,MATCH(F181,Roster!$E$2:$E$600,0)),""))</f>
        <v/>
      </c>
      <c r="I181" s="10">
        <f>IF(AND(D181="",C181="",F181=""),"",IF(G181&lt;&gt;"","Void",IF(F181="","Needs child",IF(H181="","Child not found",IF(OR(B181="",NOT(ISNUMBER(C181))),"Needs month/pages","OK")))))</f>
        <v/>
      </c>
      <c r="J181" s="10">
        <f>IF(I181="","",IF(I181="OK",IF(COUNTIFS(H182:H$3001,H181,B182:B$3001,B181,G182:G$3001,"")=0,C181,0),0))</f>
        <v/>
      </c>
    </row>
    <row r="182">
      <c r="A182" s="6" t="n"/>
      <c r="B182" s="9" t="n"/>
      <c r="C182" s="6" t="n"/>
      <c r="D182" s="6" t="n"/>
      <c r="E182" s="6" t="n"/>
      <c r="F182" s="6" t="n"/>
      <c r="G182" s="6" t="n"/>
      <c r="H182" s="10">
        <f>IF(F182="","",IFERROR(INDEX(Roster!$A$2:$A$600,MATCH(F182,Roster!$E$2:$E$600,0)),""))</f>
        <v/>
      </c>
      <c r="I182" s="10">
        <f>IF(AND(D182="",C182="",F182=""),"",IF(G182&lt;&gt;"","Void",IF(F182="","Needs child",IF(H182="","Child not found",IF(OR(B182="",NOT(ISNUMBER(C182))),"Needs month/pages","OK")))))</f>
        <v/>
      </c>
      <c r="J182" s="10">
        <f>IF(I182="","",IF(I182="OK",IF(COUNTIFS(H183:H$3001,H182,B183:B$3001,B182,G183:G$3001,"")=0,C182,0),0))</f>
        <v/>
      </c>
    </row>
    <row r="183">
      <c r="A183" s="6" t="n"/>
      <c r="B183" s="9" t="n"/>
      <c r="C183" s="6" t="n"/>
      <c r="D183" s="6" t="n"/>
      <c r="E183" s="6" t="n"/>
      <c r="F183" s="6" t="n"/>
      <c r="G183" s="6" t="n"/>
      <c r="H183" s="10">
        <f>IF(F183="","",IFERROR(INDEX(Roster!$A$2:$A$600,MATCH(F183,Roster!$E$2:$E$600,0)),""))</f>
        <v/>
      </c>
      <c r="I183" s="10">
        <f>IF(AND(D183="",C183="",F183=""),"",IF(G183&lt;&gt;"","Void",IF(F183="","Needs child",IF(H183="","Child not found",IF(OR(B183="",NOT(ISNUMBER(C183))),"Needs month/pages","OK")))))</f>
        <v/>
      </c>
      <c r="J183" s="10">
        <f>IF(I183="","",IF(I183="OK",IF(COUNTIFS(H184:H$3001,H183,B184:B$3001,B183,G184:G$3001,"")=0,C183,0),0))</f>
        <v/>
      </c>
    </row>
    <row r="184">
      <c r="A184" s="6" t="n"/>
      <c r="B184" s="9" t="n"/>
      <c r="C184" s="6" t="n"/>
      <c r="D184" s="6" t="n"/>
      <c r="E184" s="6" t="n"/>
      <c r="F184" s="6" t="n"/>
      <c r="G184" s="6" t="n"/>
      <c r="H184" s="10">
        <f>IF(F184="","",IFERROR(INDEX(Roster!$A$2:$A$600,MATCH(F184,Roster!$E$2:$E$600,0)),""))</f>
        <v/>
      </c>
      <c r="I184" s="10">
        <f>IF(AND(D184="",C184="",F184=""),"",IF(G184&lt;&gt;"","Void",IF(F184="","Needs child",IF(H184="","Child not found",IF(OR(B184="",NOT(ISNUMBER(C184))),"Needs month/pages","OK")))))</f>
        <v/>
      </c>
      <c r="J184" s="10">
        <f>IF(I184="","",IF(I184="OK",IF(COUNTIFS(H185:H$3001,H184,B185:B$3001,B184,G185:G$3001,"")=0,C184,0),0))</f>
        <v/>
      </c>
    </row>
    <row r="185">
      <c r="A185" s="6" t="n"/>
      <c r="B185" s="9" t="n"/>
      <c r="C185" s="6" t="n"/>
      <c r="D185" s="6" t="n"/>
      <c r="E185" s="6" t="n"/>
      <c r="F185" s="6" t="n"/>
      <c r="G185" s="6" t="n"/>
      <c r="H185" s="10">
        <f>IF(F185="","",IFERROR(INDEX(Roster!$A$2:$A$600,MATCH(F185,Roster!$E$2:$E$600,0)),""))</f>
        <v/>
      </c>
      <c r="I185" s="10">
        <f>IF(AND(D185="",C185="",F185=""),"",IF(G185&lt;&gt;"","Void",IF(F185="","Needs child",IF(H185="","Child not found",IF(OR(B185="",NOT(ISNUMBER(C185))),"Needs month/pages","OK")))))</f>
        <v/>
      </c>
      <c r="J185" s="10">
        <f>IF(I185="","",IF(I185="OK",IF(COUNTIFS(H186:H$3001,H185,B186:B$3001,B185,G186:G$3001,"")=0,C185,0),0))</f>
        <v/>
      </c>
    </row>
    <row r="186">
      <c r="A186" s="6" t="n"/>
      <c r="B186" s="9" t="n"/>
      <c r="C186" s="6" t="n"/>
      <c r="D186" s="6" t="n"/>
      <c r="E186" s="6" t="n"/>
      <c r="F186" s="6" t="n"/>
      <c r="G186" s="6" t="n"/>
      <c r="H186" s="10">
        <f>IF(F186="","",IFERROR(INDEX(Roster!$A$2:$A$600,MATCH(F186,Roster!$E$2:$E$600,0)),""))</f>
        <v/>
      </c>
      <c r="I186" s="10">
        <f>IF(AND(D186="",C186="",F186=""),"",IF(G186&lt;&gt;"","Void",IF(F186="","Needs child",IF(H186="","Child not found",IF(OR(B186="",NOT(ISNUMBER(C186))),"Needs month/pages","OK")))))</f>
        <v/>
      </c>
      <c r="J186" s="10">
        <f>IF(I186="","",IF(I186="OK",IF(COUNTIFS(H187:H$3001,H186,B187:B$3001,B186,G187:G$3001,"")=0,C186,0),0))</f>
        <v/>
      </c>
    </row>
    <row r="187">
      <c r="A187" s="6" t="n"/>
      <c r="B187" s="9" t="n"/>
      <c r="C187" s="6" t="n"/>
      <c r="D187" s="6" t="n"/>
      <c r="E187" s="6" t="n"/>
      <c r="F187" s="6" t="n"/>
      <c r="G187" s="6" t="n"/>
      <c r="H187" s="10">
        <f>IF(F187="","",IFERROR(INDEX(Roster!$A$2:$A$600,MATCH(F187,Roster!$E$2:$E$600,0)),""))</f>
        <v/>
      </c>
      <c r="I187" s="10">
        <f>IF(AND(D187="",C187="",F187=""),"",IF(G187&lt;&gt;"","Void",IF(F187="","Needs child",IF(H187="","Child not found",IF(OR(B187="",NOT(ISNUMBER(C187))),"Needs month/pages","OK")))))</f>
        <v/>
      </c>
      <c r="J187" s="10">
        <f>IF(I187="","",IF(I187="OK",IF(COUNTIFS(H188:H$3001,H187,B188:B$3001,B187,G188:G$3001,"")=0,C187,0),0))</f>
        <v/>
      </c>
    </row>
    <row r="188">
      <c r="A188" s="6" t="n"/>
      <c r="B188" s="9" t="n"/>
      <c r="C188" s="6" t="n"/>
      <c r="D188" s="6" t="n"/>
      <c r="E188" s="6" t="n"/>
      <c r="F188" s="6" t="n"/>
      <c r="G188" s="6" t="n"/>
      <c r="H188" s="10">
        <f>IF(F188="","",IFERROR(INDEX(Roster!$A$2:$A$600,MATCH(F188,Roster!$E$2:$E$600,0)),""))</f>
        <v/>
      </c>
      <c r="I188" s="10">
        <f>IF(AND(D188="",C188="",F188=""),"",IF(G188&lt;&gt;"","Void",IF(F188="","Needs child",IF(H188="","Child not found",IF(OR(B188="",NOT(ISNUMBER(C188))),"Needs month/pages","OK")))))</f>
        <v/>
      </c>
      <c r="J188" s="10">
        <f>IF(I188="","",IF(I188="OK",IF(COUNTIFS(H189:H$3001,H188,B189:B$3001,B188,G189:G$3001,"")=0,C188,0),0))</f>
        <v/>
      </c>
    </row>
    <row r="189">
      <c r="A189" s="6" t="n"/>
      <c r="B189" s="9" t="n"/>
      <c r="C189" s="6" t="n"/>
      <c r="D189" s="6" t="n"/>
      <c r="E189" s="6" t="n"/>
      <c r="F189" s="6" t="n"/>
      <c r="G189" s="6" t="n"/>
      <c r="H189" s="10">
        <f>IF(F189="","",IFERROR(INDEX(Roster!$A$2:$A$600,MATCH(F189,Roster!$E$2:$E$600,0)),""))</f>
        <v/>
      </c>
      <c r="I189" s="10">
        <f>IF(AND(D189="",C189="",F189=""),"",IF(G189&lt;&gt;"","Void",IF(F189="","Needs child",IF(H189="","Child not found",IF(OR(B189="",NOT(ISNUMBER(C189))),"Needs month/pages","OK")))))</f>
        <v/>
      </c>
      <c r="J189" s="10">
        <f>IF(I189="","",IF(I189="OK",IF(COUNTIFS(H190:H$3001,H189,B190:B$3001,B189,G190:G$3001,"")=0,C189,0),0))</f>
        <v/>
      </c>
    </row>
    <row r="190">
      <c r="A190" s="6" t="n"/>
      <c r="B190" s="9" t="n"/>
      <c r="C190" s="6" t="n"/>
      <c r="D190" s="6" t="n"/>
      <c r="E190" s="6" t="n"/>
      <c r="F190" s="6" t="n"/>
      <c r="G190" s="6" t="n"/>
      <c r="H190" s="10">
        <f>IF(F190="","",IFERROR(INDEX(Roster!$A$2:$A$600,MATCH(F190,Roster!$E$2:$E$600,0)),""))</f>
        <v/>
      </c>
      <c r="I190" s="10">
        <f>IF(AND(D190="",C190="",F190=""),"",IF(G190&lt;&gt;"","Void",IF(F190="","Needs child",IF(H190="","Child not found",IF(OR(B190="",NOT(ISNUMBER(C190))),"Needs month/pages","OK")))))</f>
        <v/>
      </c>
      <c r="J190" s="10">
        <f>IF(I190="","",IF(I190="OK",IF(COUNTIFS(H191:H$3001,H190,B191:B$3001,B190,G191:G$3001,"")=0,C190,0),0))</f>
        <v/>
      </c>
    </row>
    <row r="191">
      <c r="A191" s="6" t="n"/>
      <c r="B191" s="9" t="n"/>
      <c r="C191" s="6" t="n"/>
      <c r="D191" s="6" t="n"/>
      <c r="E191" s="6" t="n"/>
      <c r="F191" s="6" t="n"/>
      <c r="G191" s="6" t="n"/>
      <c r="H191" s="10">
        <f>IF(F191="","",IFERROR(INDEX(Roster!$A$2:$A$600,MATCH(F191,Roster!$E$2:$E$600,0)),""))</f>
        <v/>
      </c>
      <c r="I191" s="10">
        <f>IF(AND(D191="",C191="",F191=""),"",IF(G191&lt;&gt;"","Void",IF(F191="","Needs child",IF(H191="","Child not found",IF(OR(B191="",NOT(ISNUMBER(C191))),"Needs month/pages","OK")))))</f>
        <v/>
      </c>
      <c r="J191" s="10">
        <f>IF(I191="","",IF(I191="OK",IF(COUNTIFS(H192:H$3001,H191,B192:B$3001,B191,G192:G$3001,"")=0,C191,0),0))</f>
        <v/>
      </c>
    </row>
    <row r="192">
      <c r="A192" s="6" t="n"/>
      <c r="B192" s="9" t="n"/>
      <c r="C192" s="6" t="n"/>
      <c r="D192" s="6" t="n"/>
      <c r="E192" s="6" t="n"/>
      <c r="F192" s="6" t="n"/>
      <c r="G192" s="6" t="n"/>
      <c r="H192" s="10">
        <f>IF(F192="","",IFERROR(INDEX(Roster!$A$2:$A$600,MATCH(F192,Roster!$E$2:$E$600,0)),""))</f>
        <v/>
      </c>
      <c r="I192" s="10">
        <f>IF(AND(D192="",C192="",F192=""),"",IF(G192&lt;&gt;"","Void",IF(F192="","Needs child",IF(H192="","Child not found",IF(OR(B192="",NOT(ISNUMBER(C192))),"Needs month/pages","OK")))))</f>
        <v/>
      </c>
      <c r="J192" s="10">
        <f>IF(I192="","",IF(I192="OK",IF(COUNTIFS(H193:H$3001,H192,B193:B$3001,B192,G193:G$3001,"")=0,C192,0),0))</f>
        <v/>
      </c>
    </row>
    <row r="193">
      <c r="A193" s="6" t="n"/>
      <c r="B193" s="9" t="n"/>
      <c r="C193" s="6" t="n"/>
      <c r="D193" s="6" t="n"/>
      <c r="E193" s="6" t="n"/>
      <c r="F193" s="6" t="n"/>
      <c r="G193" s="6" t="n"/>
      <c r="H193" s="10">
        <f>IF(F193="","",IFERROR(INDEX(Roster!$A$2:$A$600,MATCH(F193,Roster!$E$2:$E$600,0)),""))</f>
        <v/>
      </c>
      <c r="I193" s="10">
        <f>IF(AND(D193="",C193="",F193=""),"",IF(G193&lt;&gt;"","Void",IF(F193="","Needs child",IF(H193="","Child not found",IF(OR(B193="",NOT(ISNUMBER(C193))),"Needs month/pages","OK")))))</f>
        <v/>
      </c>
      <c r="J193" s="10">
        <f>IF(I193="","",IF(I193="OK",IF(COUNTIFS(H194:H$3001,H193,B194:B$3001,B193,G194:G$3001,"")=0,C193,0),0))</f>
        <v/>
      </c>
    </row>
    <row r="194">
      <c r="A194" s="6" t="n"/>
      <c r="B194" s="9" t="n"/>
      <c r="C194" s="6" t="n"/>
      <c r="D194" s="6" t="n"/>
      <c r="E194" s="6" t="n"/>
      <c r="F194" s="6" t="n"/>
      <c r="G194" s="6" t="n"/>
      <c r="H194" s="10">
        <f>IF(F194="","",IFERROR(INDEX(Roster!$A$2:$A$600,MATCH(F194,Roster!$E$2:$E$600,0)),""))</f>
        <v/>
      </c>
      <c r="I194" s="10">
        <f>IF(AND(D194="",C194="",F194=""),"",IF(G194&lt;&gt;"","Void",IF(F194="","Needs child",IF(H194="","Child not found",IF(OR(B194="",NOT(ISNUMBER(C194))),"Needs month/pages","OK")))))</f>
        <v/>
      </c>
      <c r="J194" s="10">
        <f>IF(I194="","",IF(I194="OK",IF(COUNTIFS(H195:H$3001,H194,B195:B$3001,B194,G195:G$3001,"")=0,C194,0),0))</f>
        <v/>
      </c>
    </row>
    <row r="195">
      <c r="A195" s="6" t="n"/>
      <c r="B195" s="9" t="n"/>
      <c r="C195" s="6" t="n"/>
      <c r="D195" s="6" t="n"/>
      <c r="E195" s="6" t="n"/>
      <c r="F195" s="6" t="n"/>
      <c r="G195" s="6" t="n"/>
      <c r="H195" s="10">
        <f>IF(F195="","",IFERROR(INDEX(Roster!$A$2:$A$600,MATCH(F195,Roster!$E$2:$E$600,0)),""))</f>
        <v/>
      </c>
      <c r="I195" s="10">
        <f>IF(AND(D195="",C195="",F195=""),"",IF(G195&lt;&gt;"","Void",IF(F195="","Needs child",IF(H195="","Child not found",IF(OR(B195="",NOT(ISNUMBER(C195))),"Needs month/pages","OK")))))</f>
        <v/>
      </c>
      <c r="J195" s="10">
        <f>IF(I195="","",IF(I195="OK",IF(COUNTIFS(H196:H$3001,H195,B196:B$3001,B195,G196:G$3001,"")=0,C195,0),0))</f>
        <v/>
      </c>
    </row>
    <row r="196">
      <c r="A196" s="6" t="n"/>
      <c r="B196" s="9" t="n"/>
      <c r="C196" s="6" t="n"/>
      <c r="D196" s="6" t="n"/>
      <c r="E196" s="6" t="n"/>
      <c r="F196" s="6" t="n"/>
      <c r="G196" s="6" t="n"/>
      <c r="H196" s="10">
        <f>IF(F196="","",IFERROR(INDEX(Roster!$A$2:$A$600,MATCH(F196,Roster!$E$2:$E$600,0)),""))</f>
        <v/>
      </c>
      <c r="I196" s="10">
        <f>IF(AND(D196="",C196="",F196=""),"",IF(G196&lt;&gt;"","Void",IF(F196="","Needs child",IF(H196="","Child not found",IF(OR(B196="",NOT(ISNUMBER(C196))),"Needs month/pages","OK")))))</f>
        <v/>
      </c>
      <c r="J196" s="10">
        <f>IF(I196="","",IF(I196="OK",IF(COUNTIFS(H197:H$3001,H196,B197:B$3001,B196,G197:G$3001,"")=0,C196,0),0))</f>
        <v/>
      </c>
    </row>
    <row r="197">
      <c r="A197" s="6" t="n"/>
      <c r="B197" s="9" t="n"/>
      <c r="C197" s="6" t="n"/>
      <c r="D197" s="6" t="n"/>
      <c r="E197" s="6" t="n"/>
      <c r="F197" s="6" t="n"/>
      <c r="G197" s="6" t="n"/>
      <c r="H197" s="10">
        <f>IF(F197="","",IFERROR(INDEX(Roster!$A$2:$A$600,MATCH(F197,Roster!$E$2:$E$600,0)),""))</f>
        <v/>
      </c>
      <c r="I197" s="10">
        <f>IF(AND(D197="",C197="",F197=""),"",IF(G197&lt;&gt;"","Void",IF(F197="","Needs child",IF(H197="","Child not found",IF(OR(B197="",NOT(ISNUMBER(C197))),"Needs month/pages","OK")))))</f>
        <v/>
      </c>
      <c r="J197" s="10">
        <f>IF(I197="","",IF(I197="OK",IF(COUNTIFS(H198:H$3001,H197,B198:B$3001,B197,G198:G$3001,"")=0,C197,0),0))</f>
        <v/>
      </c>
    </row>
    <row r="198">
      <c r="A198" s="6" t="n"/>
      <c r="B198" s="9" t="n"/>
      <c r="C198" s="6" t="n"/>
      <c r="D198" s="6" t="n"/>
      <c r="E198" s="6" t="n"/>
      <c r="F198" s="6" t="n"/>
      <c r="G198" s="6" t="n"/>
      <c r="H198" s="10">
        <f>IF(F198="","",IFERROR(INDEX(Roster!$A$2:$A$600,MATCH(F198,Roster!$E$2:$E$600,0)),""))</f>
        <v/>
      </c>
      <c r="I198" s="10">
        <f>IF(AND(D198="",C198="",F198=""),"",IF(G198&lt;&gt;"","Void",IF(F198="","Needs child",IF(H198="","Child not found",IF(OR(B198="",NOT(ISNUMBER(C198))),"Needs month/pages","OK")))))</f>
        <v/>
      </c>
      <c r="J198" s="10">
        <f>IF(I198="","",IF(I198="OK",IF(COUNTIFS(H199:H$3001,H198,B199:B$3001,B198,G199:G$3001,"")=0,C198,0),0))</f>
        <v/>
      </c>
    </row>
    <row r="199">
      <c r="A199" s="6" t="n"/>
      <c r="B199" s="9" t="n"/>
      <c r="C199" s="6" t="n"/>
      <c r="D199" s="6" t="n"/>
      <c r="E199" s="6" t="n"/>
      <c r="F199" s="6" t="n"/>
      <c r="G199" s="6" t="n"/>
      <c r="H199" s="10">
        <f>IF(F199="","",IFERROR(INDEX(Roster!$A$2:$A$600,MATCH(F199,Roster!$E$2:$E$600,0)),""))</f>
        <v/>
      </c>
      <c r="I199" s="10">
        <f>IF(AND(D199="",C199="",F199=""),"",IF(G199&lt;&gt;"","Void",IF(F199="","Needs child",IF(H199="","Child not found",IF(OR(B199="",NOT(ISNUMBER(C199))),"Needs month/pages","OK")))))</f>
        <v/>
      </c>
      <c r="J199" s="10">
        <f>IF(I199="","",IF(I199="OK",IF(COUNTIFS(H200:H$3001,H199,B200:B$3001,B199,G200:G$3001,"")=0,C199,0),0))</f>
        <v/>
      </c>
    </row>
    <row r="200">
      <c r="A200" s="6" t="n"/>
      <c r="B200" s="9" t="n"/>
      <c r="C200" s="6" t="n"/>
      <c r="D200" s="6" t="n"/>
      <c r="E200" s="6" t="n"/>
      <c r="F200" s="6" t="n"/>
      <c r="G200" s="6" t="n"/>
      <c r="H200" s="10">
        <f>IF(F200="","",IFERROR(INDEX(Roster!$A$2:$A$600,MATCH(F200,Roster!$E$2:$E$600,0)),""))</f>
        <v/>
      </c>
      <c r="I200" s="10">
        <f>IF(AND(D200="",C200="",F200=""),"",IF(G200&lt;&gt;"","Void",IF(F200="","Needs child",IF(H200="","Child not found",IF(OR(B200="",NOT(ISNUMBER(C200))),"Needs month/pages","OK")))))</f>
        <v/>
      </c>
      <c r="J200" s="10">
        <f>IF(I200="","",IF(I200="OK",IF(COUNTIFS(H201:H$3001,H200,B201:B$3001,B200,G201:G$3001,"")=0,C200,0),0))</f>
        <v/>
      </c>
    </row>
    <row r="201">
      <c r="A201" s="6" t="n"/>
      <c r="B201" s="9" t="n"/>
      <c r="C201" s="6" t="n"/>
      <c r="D201" s="6" t="n"/>
      <c r="E201" s="6" t="n"/>
      <c r="F201" s="6" t="n"/>
      <c r="G201" s="6" t="n"/>
      <c r="H201" s="10">
        <f>IF(F201="","",IFERROR(INDEX(Roster!$A$2:$A$600,MATCH(F201,Roster!$E$2:$E$600,0)),""))</f>
        <v/>
      </c>
      <c r="I201" s="10">
        <f>IF(AND(D201="",C201="",F201=""),"",IF(G201&lt;&gt;"","Void",IF(F201="","Needs child",IF(H201="","Child not found",IF(OR(B201="",NOT(ISNUMBER(C201))),"Needs month/pages","OK")))))</f>
        <v/>
      </c>
      <c r="J201" s="10">
        <f>IF(I201="","",IF(I201="OK",IF(COUNTIFS(H202:H$3001,H201,B202:B$3001,B201,G202:G$3001,"")=0,C201,0),0))</f>
        <v/>
      </c>
    </row>
    <row r="202">
      <c r="A202" s="6" t="n"/>
      <c r="B202" s="9" t="n"/>
      <c r="C202" s="6" t="n"/>
      <c r="D202" s="6" t="n"/>
      <c r="E202" s="6" t="n"/>
      <c r="F202" s="6" t="n"/>
      <c r="G202" s="6" t="n"/>
      <c r="H202" s="10">
        <f>IF(F202="","",IFERROR(INDEX(Roster!$A$2:$A$600,MATCH(F202,Roster!$E$2:$E$600,0)),""))</f>
        <v/>
      </c>
      <c r="I202" s="10">
        <f>IF(AND(D202="",C202="",F202=""),"",IF(G202&lt;&gt;"","Void",IF(F202="","Needs child",IF(H202="","Child not found",IF(OR(B202="",NOT(ISNUMBER(C202))),"Needs month/pages","OK")))))</f>
        <v/>
      </c>
      <c r="J202" s="10">
        <f>IF(I202="","",IF(I202="OK",IF(COUNTIFS(H203:H$3001,H202,B203:B$3001,B202,G203:G$3001,"")=0,C202,0),0))</f>
        <v/>
      </c>
    </row>
    <row r="203">
      <c r="A203" s="6" t="n"/>
      <c r="B203" s="9" t="n"/>
      <c r="C203" s="6" t="n"/>
      <c r="D203" s="6" t="n"/>
      <c r="E203" s="6" t="n"/>
      <c r="F203" s="6" t="n"/>
      <c r="G203" s="6" t="n"/>
      <c r="H203" s="10">
        <f>IF(F203="","",IFERROR(INDEX(Roster!$A$2:$A$600,MATCH(F203,Roster!$E$2:$E$600,0)),""))</f>
        <v/>
      </c>
      <c r="I203" s="10">
        <f>IF(AND(D203="",C203="",F203=""),"",IF(G203&lt;&gt;"","Void",IF(F203="","Needs child",IF(H203="","Child not found",IF(OR(B203="",NOT(ISNUMBER(C203))),"Needs month/pages","OK")))))</f>
        <v/>
      </c>
      <c r="J203" s="10">
        <f>IF(I203="","",IF(I203="OK",IF(COUNTIFS(H204:H$3001,H203,B204:B$3001,B203,G204:G$3001,"")=0,C203,0),0))</f>
        <v/>
      </c>
    </row>
    <row r="204">
      <c r="A204" s="6" t="n"/>
      <c r="B204" s="9" t="n"/>
      <c r="C204" s="6" t="n"/>
      <c r="D204" s="6" t="n"/>
      <c r="E204" s="6" t="n"/>
      <c r="F204" s="6" t="n"/>
      <c r="G204" s="6" t="n"/>
      <c r="H204" s="10">
        <f>IF(F204="","",IFERROR(INDEX(Roster!$A$2:$A$600,MATCH(F204,Roster!$E$2:$E$600,0)),""))</f>
        <v/>
      </c>
      <c r="I204" s="10">
        <f>IF(AND(D204="",C204="",F204=""),"",IF(G204&lt;&gt;"","Void",IF(F204="","Needs child",IF(H204="","Child not found",IF(OR(B204="",NOT(ISNUMBER(C204))),"Needs month/pages","OK")))))</f>
        <v/>
      </c>
      <c r="J204" s="10">
        <f>IF(I204="","",IF(I204="OK",IF(COUNTIFS(H205:H$3001,H204,B205:B$3001,B204,G205:G$3001,"")=0,C204,0),0))</f>
        <v/>
      </c>
    </row>
    <row r="205">
      <c r="A205" s="6" t="n"/>
      <c r="B205" s="9" t="n"/>
      <c r="C205" s="6" t="n"/>
      <c r="D205" s="6" t="n"/>
      <c r="E205" s="6" t="n"/>
      <c r="F205" s="6" t="n"/>
      <c r="G205" s="6" t="n"/>
      <c r="H205" s="10">
        <f>IF(F205="","",IFERROR(INDEX(Roster!$A$2:$A$600,MATCH(F205,Roster!$E$2:$E$600,0)),""))</f>
        <v/>
      </c>
      <c r="I205" s="10">
        <f>IF(AND(D205="",C205="",F205=""),"",IF(G205&lt;&gt;"","Void",IF(F205="","Needs child",IF(H205="","Child not found",IF(OR(B205="",NOT(ISNUMBER(C205))),"Needs month/pages","OK")))))</f>
        <v/>
      </c>
      <c r="J205" s="10">
        <f>IF(I205="","",IF(I205="OK",IF(COUNTIFS(H206:H$3001,H205,B206:B$3001,B205,G206:G$3001,"")=0,C205,0),0))</f>
        <v/>
      </c>
    </row>
    <row r="206">
      <c r="A206" s="6" t="n"/>
      <c r="B206" s="9" t="n"/>
      <c r="C206" s="6" t="n"/>
      <c r="D206" s="6" t="n"/>
      <c r="E206" s="6" t="n"/>
      <c r="F206" s="6" t="n"/>
      <c r="G206" s="6" t="n"/>
      <c r="H206" s="10">
        <f>IF(F206="","",IFERROR(INDEX(Roster!$A$2:$A$600,MATCH(F206,Roster!$E$2:$E$600,0)),""))</f>
        <v/>
      </c>
      <c r="I206" s="10">
        <f>IF(AND(D206="",C206="",F206=""),"",IF(G206&lt;&gt;"","Void",IF(F206="","Needs child",IF(H206="","Child not found",IF(OR(B206="",NOT(ISNUMBER(C206))),"Needs month/pages","OK")))))</f>
        <v/>
      </c>
      <c r="J206" s="10">
        <f>IF(I206="","",IF(I206="OK",IF(COUNTIFS(H207:H$3001,H206,B207:B$3001,B206,G207:G$3001,"")=0,C206,0),0))</f>
        <v/>
      </c>
    </row>
    <row r="207">
      <c r="A207" s="6" t="n"/>
      <c r="B207" s="9" t="n"/>
      <c r="C207" s="6" t="n"/>
      <c r="D207" s="6" t="n"/>
      <c r="E207" s="6" t="n"/>
      <c r="F207" s="6" t="n"/>
      <c r="G207" s="6" t="n"/>
      <c r="H207" s="10">
        <f>IF(F207="","",IFERROR(INDEX(Roster!$A$2:$A$600,MATCH(F207,Roster!$E$2:$E$600,0)),""))</f>
        <v/>
      </c>
      <c r="I207" s="10">
        <f>IF(AND(D207="",C207="",F207=""),"",IF(G207&lt;&gt;"","Void",IF(F207="","Needs child",IF(H207="","Child not found",IF(OR(B207="",NOT(ISNUMBER(C207))),"Needs month/pages","OK")))))</f>
        <v/>
      </c>
      <c r="J207" s="10">
        <f>IF(I207="","",IF(I207="OK",IF(COUNTIFS(H208:H$3001,H207,B208:B$3001,B207,G208:G$3001,"")=0,C207,0),0))</f>
        <v/>
      </c>
    </row>
    <row r="208">
      <c r="A208" s="6" t="n"/>
      <c r="B208" s="9" t="n"/>
      <c r="C208" s="6" t="n"/>
      <c r="D208" s="6" t="n"/>
      <c r="E208" s="6" t="n"/>
      <c r="F208" s="6" t="n"/>
      <c r="G208" s="6" t="n"/>
      <c r="H208" s="10">
        <f>IF(F208="","",IFERROR(INDEX(Roster!$A$2:$A$600,MATCH(F208,Roster!$E$2:$E$600,0)),""))</f>
        <v/>
      </c>
      <c r="I208" s="10">
        <f>IF(AND(D208="",C208="",F208=""),"",IF(G208&lt;&gt;"","Void",IF(F208="","Needs child",IF(H208="","Child not found",IF(OR(B208="",NOT(ISNUMBER(C208))),"Needs month/pages","OK")))))</f>
        <v/>
      </c>
      <c r="J208" s="10">
        <f>IF(I208="","",IF(I208="OK",IF(COUNTIFS(H209:H$3001,H208,B209:B$3001,B208,G209:G$3001,"")=0,C208,0),0))</f>
        <v/>
      </c>
    </row>
    <row r="209">
      <c r="A209" s="6" t="n"/>
      <c r="B209" s="9" t="n"/>
      <c r="C209" s="6" t="n"/>
      <c r="D209" s="6" t="n"/>
      <c r="E209" s="6" t="n"/>
      <c r="F209" s="6" t="n"/>
      <c r="G209" s="6" t="n"/>
      <c r="H209" s="10">
        <f>IF(F209="","",IFERROR(INDEX(Roster!$A$2:$A$600,MATCH(F209,Roster!$E$2:$E$600,0)),""))</f>
        <v/>
      </c>
      <c r="I209" s="10">
        <f>IF(AND(D209="",C209="",F209=""),"",IF(G209&lt;&gt;"","Void",IF(F209="","Needs child",IF(H209="","Child not found",IF(OR(B209="",NOT(ISNUMBER(C209))),"Needs month/pages","OK")))))</f>
        <v/>
      </c>
      <c r="J209" s="10">
        <f>IF(I209="","",IF(I209="OK",IF(COUNTIFS(H210:H$3001,H209,B210:B$3001,B209,G210:G$3001,"")=0,C209,0),0))</f>
        <v/>
      </c>
    </row>
    <row r="210">
      <c r="A210" s="6" t="n"/>
      <c r="B210" s="9" t="n"/>
      <c r="C210" s="6" t="n"/>
      <c r="D210" s="6" t="n"/>
      <c r="E210" s="6" t="n"/>
      <c r="F210" s="6" t="n"/>
      <c r="G210" s="6" t="n"/>
      <c r="H210" s="10">
        <f>IF(F210="","",IFERROR(INDEX(Roster!$A$2:$A$600,MATCH(F210,Roster!$E$2:$E$600,0)),""))</f>
        <v/>
      </c>
      <c r="I210" s="10">
        <f>IF(AND(D210="",C210="",F210=""),"",IF(G210&lt;&gt;"","Void",IF(F210="","Needs child",IF(H210="","Child not found",IF(OR(B210="",NOT(ISNUMBER(C210))),"Needs month/pages","OK")))))</f>
        <v/>
      </c>
      <c r="J210" s="10">
        <f>IF(I210="","",IF(I210="OK",IF(COUNTIFS(H211:H$3001,H210,B211:B$3001,B210,G211:G$3001,"")=0,C210,0),0))</f>
        <v/>
      </c>
    </row>
    <row r="211">
      <c r="A211" s="6" t="n"/>
      <c r="B211" s="9" t="n"/>
      <c r="C211" s="6" t="n"/>
      <c r="D211" s="6" t="n"/>
      <c r="E211" s="6" t="n"/>
      <c r="F211" s="6" t="n"/>
      <c r="G211" s="6" t="n"/>
      <c r="H211" s="10">
        <f>IF(F211="","",IFERROR(INDEX(Roster!$A$2:$A$600,MATCH(F211,Roster!$E$2:$E$600,0)),""))</f>
        <v/>
      </c>
      <c r="I211" s="10">
        <f>IF(AND(D211="",C211="",F211=""),"",IF(G211&lt;&gt;"","Void",IF(F211="","Needs child",IF(H211="","Child not found",IF(OR(B211="",NOT(ISNUMBER(C211))),"Needs month/pages","OK")))))</f>
        <v/>
      </c>
      <c r="J211" s="10">
        <f>IF(I211="","",IF(I211="OK",IF(COUNTIFS(H212:H$3001,H211,B212:B$3001,B211,G212:G$3001,"")=0,C211,0),0))</f>
        <v/>
      </c>
    </row>
    <row r="212">
      <c r="A212" s="6" t="n"/>
      <c r="B212" s="9" t="n"/>
      <c r="C212" s="6" t="n"/>
      <c r="D212" s="6" t="n"/>
      <c r="E212" s="6" t="n"/>
      <c r="F212" s="6" t="n"/>
      <c r="G212" s="6" t="n"/>
      <c r="H212" s="10">
        <f>IF(F212="","",IFERROR(INDEX(Roster!$A$2:$A$600,MATCH(F212,Roster!$E$2:$E$600,0)),""))</f>
        <v/>
      </c>
      <c r="I212" s="10">
        <f>IF(AND(D212="",C212="",F212=""),"",IF(G212&lt;&gt;"","Void",IF(F212="","Needs child",IF(H212="","Child not found",IF(OR(B212="",NOT(ISNUMBER(C212))),"Needs month/pages","OK")))))</f>
        <v/>
      </c>
      <c r="J212" s="10">
        <f>IF(I212="","",IF(I212="OK",IF(COUNTIFS(H213:H$3001,H212,B213:B$3001,B212,G213:G$3001,"")=0,C212,0),0))</f>
        <v/>
      </c>
    </row>
    <row r="213">
      <c r="A213" s="6" t="n"/>
      <c r="B213" s="9" t="n"/>
      <c r="C213" s="6" t="n"/>
      <c r="D213" s="6" t="n"/>
      <c r="E213" s="6" t="n"/>
      <c r="F213" s="6" t="n"/>
      <c r="G213" s="6" t="n"/>
      <c r="H213" s="10">
        <f>IF(F213="","",IFERROR(INDEX(Roster!$A$2:$A$600,MATCH(F213,Roster!$E$2:$E$600,0)),""))</f>
        <v/>
      </c>
      <c r="I213" s="10">
        <f>IF(AND(D213="",C213="",F213=""),"",IF(G213&lt;&gt;"","Void",IF(F213="","Needs child",IF(H213="","Child not found",IF(OR(B213="",NOT(ISNUMBER(C213))),"Needs month/pages","OK")))))</f>
        <v/>
      </c>
      <c r="J213" s="10">
        <f>IF(I213="","",IF(I213="OK",IF(COUNTIFS(H214:H$3001,H213,B214:B$3001,B213,G214:G$3001,"")=0,C213,0),0))</f>
        <v/>
      </c>
    </row>
    <row r="214">
      <c r="A214" s="6" t="n"/>
      <c r="B214" s="9" t="n"/>
      <c r="C214" s="6" t="n"/>
      <c r="D214" s="6" t="n"/>
      <c r="E214" s="6" t="n"/>
      <c r="F214" s="6" t="n"/>
      <c r="G214" s="6" t="n"/>
      <c r="H214" s="10">
        <f>IF(F214="","",IFERROR(INDEX(Roster!$A$2:$A$600,MATCH(F214,Roster!$E$2:$E$600,0)),""))</f>
        <v/>
      </c>
      <c r="I214" s="10">
        <f>IF(AND(D214="",C214="",F214=""),"",IF(G214&lt;&gt;"","Void",IF(F214="","Needs child",IF(H214="","Child not found",IF(OR(B214="",NOT(ISNUMBER(C214))),"Needs month/pages","OK")))))</f>
        <v/>
      </c>
      <c r="J214" s="10">
        <f>IF(I214="","",IF(I214="OK",IF(COUNTIFS(H215:H$3001,H214,B215:B$3001,B214,G215:G$3001,"")=0,C214,0),0))</f>
        <v/>
      </c>
    </row>
    <row r="215">
      <c r="A215" s="6" t="n"/>
      <c r="B215" s="9" t="n"/>
      <c r="C215" s="6" t="n"/>
      <c r="D215" s="6" t="n"/>
      <c r="E215" s="6" t="n"/>
      <c r="F215" s="6" t="n"/>
      <c r="G215" s="6" t="n"/>
      <c r="H215" s="10">
        <f>IF(F215="","",IFERROR(INDEX(Roster!$A$2:$A$600,MATCH(F215,Roster!$E$2:$E$600,0)),""))</f>
        <v/>
      </c>
      <c r="I215" s="10">
        <f>IF(AND(D215="",C215="",F215=""),"",IF(G215&lt;&gt;"","Void",IF(F215="","Needs child",IF(H215="","Child not found",IF(OR(B215="",NOT(ISNUMBER(C215))),"Needs month/pages","OK")))))</f>
        <v/>
      </c>
      <c r="J215" s="10">
        <f>IF(I215="","",IF(I215="OK",IF(COUNTIFS(H216:H$3001,H215,B216:B$3001,B215,G216:G$3001,"")=0,C215,0),0))</f>
        <v/>
      </c>
    </row>
    <row r="216">
      <c r="A216" s="6" t="n"/>
      <c r="B216" s="9" t="n"/>
      <c r="C216" s="6" t="n"/>
      <c r="D216" s="6" t="n"/>
      <c r="E216" s="6" t="n"/>
      <c r="F216" s="6" t="n"/>
      <c r="G216" s="6" t="n"/>
      <c r="H216" s="10">
        <f>IF(F216="","",IFERROR(INDEX(Roster!$A$2:$A$600,MATCH(F216,Roster!$E$2:$E$600,0)),""))</f>
        <v/>
      </c>
      <c r="I216" s="10">
        <f>IF(AND(D216="",C216="",F216=""),"",IF(G216&lt;&gt;"","Void",IF(F216="","Needs child",IF(H216="","Child not found",IF(OR(B216="",NOT(ISNUMBER(C216))),"Needs month/pages","OK")))))</f>
        <v/>
      </c>
      <c r="J216" s="10">
        <f>IF(I216="","",IF(I216="OK",IF(COUNTIFS(H217:H$3001,H216,B217:B$3001,B216,G217:G$3001,"")=0,C216,0),0))</f>
        <v/>
      </c>
    </row>
    <row r="217">
      <c r="A217" s="6" t="n"/>
      <c r="B217" s="9" t="n"/>
      <c r="C217" s="6" t="n"/>
      <c r="D217" s="6" t="n"/>
      <c r="E217" s="6" t="n"/>
      <c r="F217" s="6" t="n"/>
      <c r="G217" s="6" t="n"/>
      <c r="H217" s="10">
        <f>IF(F217="","",IFERROR(INDEX(Roster!$A$2:$A$600,MATCH(F217,Roster!$E$2:$E$600,0)),""))</f>
        <v/>
      </c>
      <c r="I217" s="10">
        <f>IF(AND(D217="",C217="",F217=""),"",IF(G217&lt;&gt;"","Void",IF(F217="","Needs child",IF(H217="","Child not found",IF(OR(B217="",NOT(ISNUMBER(C217))),"Needs month/pages","OK")))))</f>
        <v/>
      </c>
      <c r="J217" s="10">
        <f>IF(I217="","",IF(I217="OK",IF(COUNTIFS(H218:H$3001,H217,B218:B$3001,B217,G218:G$3001,"")=0,C217,0),0))</f>
        <v/>
      </c>
    </row>
    <row r="218">
      <c r="A218" s="6" t="n"/>
      <c r="B218" s="9" t="n"/>
      <c r="C218" s="6" t="n"/>
      <c r="D218" s="6" t="n"/>
      <c r="E218" s="6" t="n"/>
      <c r="F218" s="6" t="n"/>
      <c r="G218" s="6" t="n"/>
      <c r="H218" s="10">
        <f>IF(F218="","",IFERROR(INDEX(Roster!$A$2:$A$600,MATCH(F218,Roster!$E$2:$E$600,0)),""))</f>
        <v/>
      </c>
      <c r="I218" s="10">
        <f>IF(AND(D218="",C218="",F218=""),"",IF(G218&lt;&gt;"","Void",IF(F218="","Needs child",IF(H218="","Child not found",IF(OR(B218="",NOT(ISNUMBER(C218))),"Needs month/pages","OK")))))</f>
        <v/>
      </c>
      <c r="J218" s="10">
        <f>IF(I218="","",IF(I218="OK",IF(COUNTIFS(H219:H$3001,H218,B219:B$3001,B218,G219:G$3001,"")=0,C218,0),0))</f>
        <v/>
      </c>
    </row>
    <row r="219">
      <c r="A219" s="6" t="n"/>
      <c r="B219" s="9" t="n"/>
      <c r="C219" s="6" t="n"/>
      <c r="D219" s="6" t="n"/>
      <c r="E219" s="6" t="n"/>
      <c r="F219" s="6" t="n"/>
      <c r="G219" s="6" t="n"/>
      <c r="H219" s="10">
        <f>IF(F219="","",IFERROR(INDEX(Roster!$A$2:$A$600,MATCH(F219,Roster!$E$2:$E$600,0)),""))</f>
        <v/>
      </c>
      <c r="I219" s="10">
        <f>IF(AND(D219="",C219="",F219=""),"",IF(G219&lt;&gt;"","Void",IF(F219="","Needs child",IF(H219="","Child not found",IF(OR(B219="",NOT(ISNUMBER(C219))),"Needs month/pages","OK")))))</f>
        <v/>
      </c>
      <c r="J219" s="10">
        <f>IF(I219="","",IF(I219="OK",IF(COUNTIFS(H220:H$3001,H219,B220:B$3001,B219,G220:G$3001,"")=0,C219,0),0))</f>
        <v/>
      </c>
    </row>
    <row r="220">
      <c r="A220" s="6" t="n"/>
      <c r="B220" s="9" t="n"/>
      <c r="C220" s="6" t="n"/>
      <c r="D220" s="6" t="n"/>
      <c r="E220" s="6" t="n"/>
      <c r="F220" s="6" t="n"/>
      <c r="G220" s="6" t="n"/>
      <c r="H220" s="10">
        <f>IF(F220="","",IFERROR(INDEX(Roster!$A$2:$A$600,MATCH(F220,Roster!$E$2:$E$600,0)),""))</f>
        <v/>
      </c>
      <c r="I220" s="10">
        <f>IF(AND(D220="",C220="",F220=""),"",IF(G220&lt;&gt;"","Void",IF(F220="","Needs child",IF(H220="","Child not found",IF(OR(B220="",NOT(ISNUMBER(C220))),"Needs month/pages","OK")))))</f>
        <v/>
      </c>
      <c r="J220" s="10">
        <f>IF(I220="","",IF(I220="OK",IF(COUNTIFS(H221:H$3001,H220,B221:B$3001,B220,G221:G$3001,"")=0,C220,0),0))</f>
        <v/>
      </c>
    </row>
    <row r="221">
      <c r="A221" s="6" t="n"/>
      <c r="B221" s="9" t="n"/>
      <c r="C221" s="6" t="n"/>
      <c r="D221" s="6" t="n"/>
      <c r="E221" s="6" t="n"/>
      <c r="F221" s="6" t="n"/>
      <c r="G221" s="6" t="n"/>
      <c r="H221" s="10">
        <f>IF(F221="","",IFERROR(INDEX(Roster!$A$2:$A$600,MATCH(F221,Roster!$E$2:$E$600,0)),""))</f>
        <v/>
      </c>
      <c r="I221" s="10">
        <f>IF(AND(D221="",C221="",F221=""),"",IF(G221&lt;&gt;"","Void",IF(F221="","Needs child",IF(H221="","Child not found",IF(OR(B221="",NOT(ISNUMBER(C221))),"Needs month/pages","OK")))))</f>
        <v/>
      </c>
      <c r="J221" s="10">
        <f>IF(I221="","",IF(I221="OK",IF(COUNTIFS(H222:H$3001,H221,B222:B$3001,B221,G222:G$3001,"")=0,C221,0),0))</f>
        <v/>
      </c>
    </row>
    <row r="222">
      <c r="A222" s="6" t="n"/>
      <c r="B222" s="9" t="n"/>
      <c r="C222" s="6" t="n"/>
      <c r="D222" s="6" t="n"/>
      <c r="E222" s="6" t="n"/>
      <c r="F222" s="6" t="n"/>
      <c r="G222" s="6" t="n"/>
      <c r="H222" s="10">
        <f>IF(F222="","",IFERROR(INDEX(Roster!$A$2:$A$600,MATCH(F222,Roster!$E$2:$E$600,0)),""))</f>
        <v/>
      </c>
      <c r="I222" s="10">
        <f>IF(AND(D222="",C222="",F222=""),"",IF(G222&lt;&gt;"","Void",IF(F222="","Needs child",IF(H222="","Child not found",IF(OR(B222="",NOT(ISNUMBER(C222))),"Needs month/pages","OK")))))</f>
        <v/>
      </c>
      <c r="J222" s="10">
        <f>IF(I222="","",IF(I222="OK",IF(COUNTIFS(H223:H$3001,H222,B223:B$3001,B222,G223:G$3001,"")=0,C222,0),0))</f>
        <v/>
      </c>
    </row>
    <row r="223">
      <c r="A223" s="6" t="n"/>
      <c r="B223" s="9" t="n"/>
      <c r="C223" s="6" t="n"/>
      <c r="D223" s="6" t="n"/>
      <c r="E223" s="6" t="n"/>
      <c r="F223" s="6" t="n"/>
      <c r="G223" s="6" t="n"/>
      <c r="H223" s="10">
        <f>IF(F223="","",IFERROR(INDEX(Roster!$A$2:$A$600,MATCH(F223,Roster!$E$2:$E$600,0)),""))</f>
        <v/>
      </c>
      <c r="I223" s="10">
        <f>IF(AND(D223="",C223="",F223=""),"",IF(G223&lt;&gt;"","Void",IF(F223="","Needs child",IF(H223="","Child not found",IF(OR(B223="",NOT(ISNUMBER(C223))),"Needs month/pages","OK")))))</f>
        <v/>
      </c>
      <c r="J223" s="10">
        <f>IF(I223="","",IF(I223="OK",IF(COUNTIFS(H224:H$3001,H223,B224:B$3001,B223,G224:G$3001,"")=0,C223,0),0))</f>
        <v/>
      </c>
    </row>
    <row r="224">
      <c r="A224" s="6" t="n"/>
      <c r="B224" s="9" t="n"/>
      <c r="C224" s="6" t="n"/>
      <c r="D224" s="6" t="n"/>
      <c r="E224" s="6" t="n"/>
      <c r="F224" s="6" t="n"/>
      <c r="G224" s="6" t="n"/>
      <c r="H224" s="10">
        <f>IF(F224="","",IFERROR(INDEX(Roster!$A$2:$A$600,MATCH(F224,Roster!$E$2:$E$600,0)),""))</f>
        <v/>
      </c>
      <c r="I224" s="10">
        <f>IF(AND(D224="",C224="",F224=""),"",IF(G224&lt;&gt;"","Void",IF(F224="","Needs child",IF(H224="","Child not found",IF(OR(B224="",NOT(ISNUMBER(C224))),"Needs month/pages","OK")))))</f>
        <v/>
      </c>
      <c r="J224" s="10">
        <f>IF(I224="","",IF(I224="OK",IF(COUNTIFS(H225:H$3001,H224,B225:B$3001,B224,G225:G$3001,"")=0,C224,0),0))</f>
        <v/>
      </c>
    </row>
    <row r="225">
      <c r="A225" s="6" t="n"/>
      <c r="B225" s="9" t="n"/>
      <c r="C225" s="6" t="n"/>
      <c r="D225" s="6" t="n"/>
      <c r="E225" s="6" t="n"/>
      <c r="F225" s="6" t="n"/>
      <c r="G225" s="6" t="n"/>
      <c r="H225" s="10">
        <f>IF(F225="","",IFERROR(INDEX(Roster!$A$2:$A$600,MATCH(F225,Roster!$E$2:$E$600,0)),""))</f>
        <v/>
      </c>
      <c r="I225" s="10">
        <f>IF(AND(D225="",C225="",F225=""),"",IF(G225&lt;&gt;"","Void",IF(F225="","Needs child",IF(H225="","Child not found",IF(OR(B225="",NOT(ISNUMBER(C225))),"Needs month/pages","OK")))))</f>
        <v/>
      </c>
      <c r="J225" s="10">
        <f>IF(I225="","",IF(I225="OK",IF(COUNTIFS(H226:H$3001,H225,B226:B$3001,B225,G226:G$3001,"")=0,C225,0),0))</f>
        <v/>
      </c>
    </row>
    <row r="226">
      <c r="A226" s="6" t="n"/>
      <c r="B226" s="9" t="n"/>
      <c r="C226" s="6" t="n"/>
      <c r="D226" s="6" t="n"/>
      <c r="E226" s="6" t="n"/>
      <c r="F226" s="6" t="n"/>
      <c r="G226" s="6" t="n"/>
      <c r="H226" s="10">
        <f>IF(F226="","",IFERROR(INDEX(Roster!$A$2:$A$600,MATCH(F226,Roster!$E$2:$E$600,0)),""))</f>
        <v/>
      </c>
      <c r="I226" s="10">
        <f>IF(AND(D226="",C226="",F226=""),"",IF(G226&lt;&gt;"","Void",IF(F226="","Needs child",IF(H226="","Child not found",IF(OR(B226="",NOT(ISNUMBER(C226))),"Needs month/pages","OK")))))</f>
        <v/>
      </c>
      <c r="J226" s="10">
        <f>IF(I226="","",IF(I226="OK",IF(COUNTIFS(H227:H$3001,H226,B227:B$3001,B226,G227:G$3001,"")=0,C226,0),0))</f>
        <v/>
      </c>
    </row>
    <row r="227">
      <c r="A227" s="6" t="n"/>
      <c r="B227" s="9" t="n"/>
      <c r="C227" s="6" t="n"/>
      <c r="D227" s="6" t="n"/>
      <c r="E227" s="6" t="n"/>
      <c r="F227" s="6" t="n"/>
      <c r="G227" s="6" t="n"/>
      <c r="H227" s="10">
        <f>IF(F227="","",IFERROR(INDEX(Roster!$A$2:$A$600,MATCH(F227,Roster!$E$2:$E$600,0)),""))</f>
        <v/>
      </c>
      <c r="I227" s="10">
        <f>IF(AND(D227="",C227="",F227=""),"",IF(G227&lt;&gt;"","Void",IF(F227="","Needs child",IF(H227="","Child not found",IF(OR(B227="",NOT(ISNUMBER(C227))),"Needs month/pages","OK")))))</f>
        <v/>
      </c>
      <c r="J227" s="10">
        <f>IF(I227="","",IF(I227="OK",IF(COUNTIFS(H228:H$3001,H227,B228:B$3001,B227,G228:G$3001,"")=0,C227,0),0))</f>
        <v/>
      </c>
    </row>
    <row r="228">
      <c r="A228" s="6" t="n"/>
      <c r="B228" s="9" t="n"/>
      <c r="C228" s="6" t="n"/>
      <c r="D228" s="6" t="n"/>
      <c r="E228" s="6" t="n"/>
      <c r="F228" s="6" t="n"/>
      <c r="G228" s="6" t="n"/>
      <c r="H228" s="10">
        <f>IF(F228="","",IFERROR(INDEX(Roster!$A$2:$A$600,MATCH(F228,Roster!$E$2:$E$600,0)),""))</f>
        <v/>
      </c>
      <c r="I228" s="10">
        <f>IF(AND(D228="",C228="",F228=""),"",IF(G228&lt;&gt;"","Void",IF(F228="","Needs child",IF(H228="","Child not found",IF(OR(B228="",NOT(ISNUMBER(C228))),"Needs month/pages","OK")))))</f>
        <v/>
      </c>
      <c r="J228" s="10">
        <f>IF(I228="","",IF(I228="OK",IF(COUNTIFS(H229:H$3001,H228,B229:B$3001,B228,G229:G$3001,"")=0,C228,0),0))</f>
        <v/>
      </c>
    </row>
    <row r="229">
      <c r="A229" s="6" t="n"/>
      <c r="B229" s="9" t="n"/>
      <c r="C229" s="6" t="n"/>
      <c r="D229" s="6" t="n"/>
      <c r="E229" s="6" t="n"/>
      <c r="F229" s="6" t="n"/>
      <c r="G229" s="6" t="n"/>
      <c r="H229" s="10">
        <f>IF(F229="","",IFERROR(INDEX(Roster!$A$2:$A$600,MATCH(F229,Roster!$E$2:$E$600,0)),""))</f>
        <v/>
      </c>
      <c r="I229" s="10">
        <f>IF(AND(D229="",C229="",F229=""),"",IF(G229&lt;&gt;"","Void",IF(F229="","Needs child",IF(H229="","Child not found",IF(OR(B229="",NOT(ISNUMBER(C229))),"Needs month/pages","OK")))))</f>
        <v/>
      </c>
      <c r="J229" s="10">
        <f>IF(I229="","",IF(I229="OK",IF(COUNTIFS(H230:H$3001,H229,B230:B$3001,B229,G230:G$3001,"")=0,C229,0),0))</f>
        <v/>
      </c>
    </row>
    <row r="230">
      <c r="A230" s="6" t="n"/>
      <c r="B230" s="9" t="n"/>
      <c r="C230" s="6" t="n"/>
      <c r="D230" s="6" t="n"/>
      <c r="E230" s="6" t="n"/>
      <c r="F230" s="6" t="n"/>
      <c r="G230" s="6" t="n"/>
      <c r="H230" s="10">
        <f>IF(F230="","",IFERROR(INDEX(Roster!$A$2:$A$600,MATCH(F230,Roster!$E$2:$E$600,0)),""))</f>
        <v/>
      </c>
      <c r="I230" s="10">
        <f>IF(AND(D230="",C230="",F230=""),"",IF(G230&lt;&gt;"","Void",IF(F230="","Needs child",IF(H230="","Child not found",IF(OR(B230="",NOT(ISNUMBER(C230))),"Needs month/pages","OK")))))</f>
        <v/>
      </c>
      <c r="J230" s="10">
        <f>IF(I230="","",IF(I230="OK",IF(COUNTIFS(H231:H$3001,H230,B231:B$3001,B230,G231:G$3001,"")=0,C230,0),0))</f>
        <v/>
      </c>
    </row>
    <row r="231">
      <c r="A231" s="6" t="n"/>
      <c r="B231" s="9" t="n"/>
      <c r="C231" s="6" t="n"/>
      <c r="D231" s="6" t="n"/>
      <c r="E231" s="6" t="n"/>
      <c r="F231" s="6" t="n"/>
      <c r="G231" s="6" t="n"/>
      <c r="H231" s="10">
        <f>IF(F231="","",IFERROR(INDEX(Roster!$A$2:$A$600,MATCH(F231,Roster!$E$2:$E$600,0)),""))</f>
        <v/>
      </c>
      <c r="I231" s="10">
        <f>IF(AND(D231="",C231="",F231=""),"",IF(G231&lt;&gt;"","Void",IF(F231="","Needs child",IF(H231="","Child not found",IF(OR(B231="",NOT(ISNUMBER(C231))),"Needs month/pages","OK")))))</f>
        <v/>
      </c>
      <c r="J231" s="10">
        <f>IF(I231="","",IF(I231="OK",IF(COUNTIFS(H232:H$3001,H231,B232:B$3001,B231,G232:G$3001,"")=0,C231,0),0))</f>
        <v/>
      </c>
    </row>
    <row r="232">
      <c r="A232" s="6" t="n"/>
      <c r="B232" s="9" t="n"/>
      <c r="C232" s="6" t="n"/>
      <c r="D232" s="6" t="n"/>
      <c r="E232" s="6" t="n"/>
      <c r="F232" s="6" t="n"/>
      <c r="G232" s="6" t="n"/>
      <c r="H232" s="10">
        <f>IF(F232="","",IFERROR(INDEX(Roster!$A$2:$A$600,MATCH(F232,Roster!$E$2:$E$600,0)),""))</f>
        <v/>
      </c>
      <c r="I232" s="10">
        <f>IF(AND(D232="",C232="",F232=""),"",IF(G232&lt;&gt;"","Void",IF(F232="","Needs child",IF(H232="","Child not found",IF(OR(B232="",NOT(ISNUMBER(C232))),"Needs month/pages","OK")))))</f>
        <v/>
      </c>
      <c r="J232" s="10">
        <f>IF(I232="","",IF(I232="OK",IF(COUNTIFS(H233:H$3001,H232,B233:B$3001,B232,G233:G$3001,"")=0,C232,0),0))</f>
        <v/>
      </c>
    </row>
    <row r="233">
      <c r="A233" s="6" t="n"/>
      <c r="B233" s="9" t="n"/>
      <c r="C233" s="6" t="n"/>
      <c r="D233" s="6" t="n"/>
      <c r="E233" s="6" t="n"/>
      <c r="F233" s="6" t="n"/>
      <c r="G233" s="6" t="n"/>
      <c r="H233" s="10">
        <f>IF(F233="","",IFERROR(INDEX(Roster!$A$2:$A$600,MATCH(F233,Roster!$E$2:$E$600,0)),""))</f>
        <v/>
      </c>
      <c r="I233" s="10">
        <f>IF(AND(D233="",C233="",F233=""),"",IF(G233&lt;&gt;"","Void",IF(F233="","Needs child",IF(H233="","Child not found",IF(OR(B233="",NOT(ISNUMBER(C233))),"Needs month/pages","OK")))))</f>
        <v/>
      </c>
      <c r="J233" s="10">
        <f>IF(I233="","",IF(I233="OK",IF(COUNTIFS(H234:H$3001,H233,B234:B$3001,B233,G234:G$3001,"")=0,C233,0),0))</f>
        <v/>
      </c>
    </row>
    <row r="234">
      <c r="A234" s="6" t="n"/>
      <c r="B234" s="9" t="n"/>
      <c r="C234" s="6" t="n"/>
      <c r="D234" s="6" t="n"/>
      <c r="E234" s="6" t="n"/>
      <c r="F234" s="6" t="n"/>
      <c r="G234" s="6" t="n"/>
      <c r="H234" s="10">
        <f>IF(F234="","",IFERROR(INDEX(Roster!$A$2:$A$600,MATCH(F234,Roster!$E$2:$E$600,0)),""))</f>
        <v/>
      </c>
      <c r="I234" s="10">
        <f>IF(AND(D234="",C234="",F234=""),"",IF(G234&lt;&gt;"","Void",IF(F234="","Needs child",IF(H234="","Child not found",IF(OR(B234="",NOT(ISNUMBER(C234))),"Needs month/pages","OK")))))</f>
        <v/>
      </c>
      <c r="J234" s="10">
        <f>IF(I234="","",IF(I234="OK",IF(COUNTIFS(H235:H$3001,H234,B235:B$3001,B234,G235:G$3001,"")=0,C234,0),0))</f>
        <v/>
      </c>
    </row>
    <row r="235">
      <c r="A235" s="6" t="n"/>
      <c r="B235" s="9" t="n"/>
      <c r="C235" s="6" t="n"/>
      <c r="D235" s="6" t="n"/>
      <c r="E235" s="6" t="n"/>
      <c r="F235" s="6" t="n"/>
      <c r="G235" s="6" t="n"/>
      <c r="H235" s="10">
        <f>IF(F235="","",IFERROR(INDEX(Roster!$A$2:$A$600,MATCH(F235,Roster!$E$2:$E$600,0)),""))</f>
        <v/>
      </c>
      <c r="I235" s="10">
        <f>IF(AND(D235="",C235="",F235=""),"",IF(G235&lt;&gt;"","Void",IF(F235="","Needs child",IF(H235="","Child not found",IF(OR(B235="",NOT(ISNUMBER(C235))),"Needs month/pages","OK")))))</f>
        <v/>
      </c>
      <c r="J235" s="10">
        <f>IF(I235="","",IF(I235="OK",IF(COUNTIFS(H236:H$3001,H235,B236:B$3001,B235,G236:G$3001,"")=0,C235,0),0))</f>
        <v/>
      </c>
    </row>
    <row r="236">
      <c r="A236" s="6" t="n"/>
      <c r="B236" s="9" t="n"/>
      <c r="C236" s="6" t="n"/>
      <c r="D236" s="6" t="n"/>
      <c r="E236" s="6" t="n"/>
      <c r="F236" s="6" t="n"/>
      <c r="G236" s="6" t="n"/>
      <c r="H236" s="10">
        <f>IF(F236="","",IFERROR(INDEX(Roster!$A$2:$A$600,MATCH(F236,Roster!$E$2:$E$600,0)),""))</f>
        <v/>
      </c>
      <c r="I236" s="10">
        <f>IF(AND(D236="",C236="",F236=""),"",IF(G236&lt;&gt;"","Void",IF(F236="","Needs child",IF(H236="","Child not found",IF(OR(B236="",NOT(ISNUMBER(C236))),"Needs month/pages","OK")))))</f>
        <v/>
      </c>
      <c r="J236" s="10">
        <f>IF(I236="","",IF(I236="OK",IF(COUNTIFS(H237:H$3001,H236,B237:B$3001,B236,G237:G$3001,"")=0,C236,0),0))</f>
        <v/>
      </c>
    </row>
    <row r="237">
      <c r="A237" s="6" t="n"/>
      <c r="B237" s="9" t="n"/>
      <c r="C237" s="6" t="n"/>
      <c r="D237" s="6" t="n"/>
      <c r="E237" s="6" t="n"/>
      <c r="F237" s="6" t="n"/>
      <c r="G237" s="6" t="n"/>
      <c r="H237" s="10">
        <f>IF(F237="","",IFERROR(INDEX(Roster!$A$2:$A$600,MATCH(F237,Roster!$E$2:$E$600,0)),""))</f>
        <v/>
      </c>
      <c r="I237" s="10">
        <f>IF(AND(D237="",C237="",F237=""),"",IF(G237&lt;&gt;"","Void",IF(F237="","Needs child",IF(H237="","Child not found",IF(OR(B237="",NOT(ISNUMBER(C237))),"Needs month/pages","OK")))))</f>
        <v/>
      </c>
      <c r="J237" s="10">
        <f>IF(I237="","",IF(I237="OK",IF(COUNTIFS(H238:H$3001,H237,B238:B$3001,B237,G238:G$3001,"")=0,C237,0),0))</f>
        <v/>
      </c>
    </row>
    <row r="238">
      <c r="A238" s="6" t="n"/>
      <c r="B238" s="9" t="n"/>
      <c r="C238" s="6" t="n"/>
      <c r="D238" s="6" t="n"/>
      <c r="E238" s="6" t="n"/>
      <c r="F238" s="6" t="n"/>
      <c r="G238" s="6" t="n"/>
      <c r="H238" s="10">
        <f>IF(F238="","",IFERROR(INDEX(Roster!$A$2:$A$600,MATCH(F238,Roster!$E$2:$E$600,0)),""))</f>
        <v/>
      </c>
      <c r="I238" s="10">
        <f>IF(AND(D238="",C238="",F238=""),"",IF(G238&lt;&gt;"","Void",IF(F238="","Needs child",IF(H238="","Child not found",IF(OR(B238="",NOT(ISNUMBER(C238))),"Needs month/pages","OK")))))</f>
        <v/>
      </c>
      <c r="J238" s="10">
        <f>IF(I238="","",IF(I238="OK",IF(COUNTIFS(H239:H$3001,H238,B239:B$3001,B238,G239:G$3001,"")=0,C238,0),0))</f>
        <v/>
      </c>
    </row>
    <row r="239">
      <c r="A239" s="6" t="n"/>
      <c r="B239" s="9" t="n"/>
      <c r="C239" s="6" t="n"/>
      <c r="D239" s="6" t="n"/>
      <c r="E239" s="6" t="n"/>
      <c r="F239" s="6" t="n"/>
      <c r="G239" s="6" t="n"/>
      <c r="H239" s="10">
        <f>IF(F239="","",IFERROR(INDEX(Roster!$A$2:$A$600,MATCH(F239,Roster!$E$2:$E$600,0)),""))</f>
        <v/>
      </c>
      <c r="I239" s="10">
        <f>IF(AND(D239="",C239="",F239=""),"",IF(G239&lt;&gt;"","Void",IF(F239="","Needs child",IF(H239="","Child not found",IF(OR(B239="",NOT(ISNUMBER(C239))),"Needs month/pages","OK")))))</f>
        <v/>
      </c>
      <c r="J239" s="10">
        <f>IF(I239="","",IF(I239="OK",IF(COUNTIFS(H240:H$3001,H239,B240:B$3001,B239,G240:G$3001,"")=0,C239,0),0))</f>
        <v/>
      </c>
    </row>
    <row r="240">
      <c r="A240" s="6" t="n"/>
      <c r="B240" s="9" t="n"/>
      <c r="C240" s="6" t="n"/>
      <c r="D240" s="6" t="n"/>
      <c r="E240" s="6" t="n"/>
      <c r="F240" s="6" t="n"/>
      <c r="G240" s="6" t="n"/>
      <c r="H240" s="10">
        <f>IF(F240="","",IFERROR(INDEX(Roster!$A$2:$A$600,MATCH(F240,Roster!$E$2:$E$600,0)),""))</f>
        <v/>
      </c>
      <c r="I240" s="10">
        <f>IF(AND(D240="",C240="",F240=""),"",IF(G240&lt;&gt;"","Void",IF(F240="","Needs child",IF(H240="","Child not found",IF(OR(B240="",NOT(ISNUMBER(C240))),"Needs month/pages","OK")))))</f>
        <v/>
      </c>
      <c r="J240" s="10">
        <f>IF(I240="","",IF(I240="OK",IF(COUNTIFS(H241:H$3001,H240,B241:B$3001,B240,G241:G$3001,"")=0,C240,0),0))</f>
        <v/>
      </c>
    </row>
    <row r="241">
      <c r="A241" s="6" t="n"/>
      <c r="B241" s="9" t="n"/>
      <c r="C241" s="6" t="n"/>
      <c r="D241" s="6" t="n"/>
      <c r="E241" s="6" t="n"/>
      <c r="F241" s="6" t="n"/>
      <c r="G241" s="6" t="n"/>
      <c r="H241" s="10">
        <f>IF(F241="","",IFERROR(INDEX(Roster!$A$2:$A$600,MATCH(F241,Roster!$E$2:$E$600,0)),""))</f>
        <v/>
      </c>
      <c r="I241" s="10">
        <f>IF(AND(D241="",C241="",F241=""),"",IF(G241&lt;&gt;"","Void",IF(F241="","Needs child",IF(H241="","Child not found",IF(OR(B241="",NOT(ISNUMBER(C241))),"Needs month/pages","OK")))))</f>
        <v/>
      </c>
      <c r="J241" s="10">
        <f>IF(I241="","",IF(I241="OK",IF(COUNTIFS(H242:H$3001,H241,B242:B$3001,B241,G242:G$3001,"")=0,C241,0),0))</f>
        <v/>
      </c>
    </row>
    <row r="242">
      <c r="A242" s="6" t="n"/>
      <c r="B242" s="9" t="n"/>
      <c r="C242" s="6" t="n"/>
      <c r="D242" s="6" t="n"/>
      <c r="E242" s="6" t="n"/>
      <c r="F242" s="6" t="n"/>
      <c r="G242" s="6" t="n"/>
      <c r="H242" s="10">
        <f>IF(F242="","",IFERROR(INDEX(Roster!$A$2:$A$600,MATCH(F242,Roster!$E$2:$E$600,0)),""))</f>
        <v/>
      </c>
      <c r="I242" s="10">
        <f>IF(AND(D242="",C242="",F242=""),"",IF(G242&lt;&gt;"","Void",IF(F242="","Needs child",IF(H242="","Child not found",IF(OR(B242="",NOT(ISNUMBER(C242))),"Needs month/pages","OK")))))</f>
        <v/>
      </c>
      <c r="J242" s="10">
        <f>IF(I242="","",IF(I242="OK",IF(COUNTIFS(H243:H$3001,H242,B243:B$3001,B242,G243:G$3001,"")=0,C242,0),0))</f>
        <v/>
      </c>
    </row>
    <row r="243">
      <c r="A243" s="6" t="n"/>
      <c r="B243" s="9" t="n"/>
      <c r="C243" s="6" t="n"/>
      <c r="D243" s="6" t="n"/>
      <c r="E243" s="6" t="n"/>
      <c r="F243" s="6" t="n"/>
      <c r="G243" s="6" t="n"/>
      <c r="H243" s="10">
        <f>IF(F243="","",IFERROR(INDEX(Roster!$A$2:$A$600,MATCH(F243,Roster!$E$2:$E$600,0)),""))</f>
        <v/>
      </c>
      <c r="I243" s="10">
        <f>IF(AND(D243="",C243="",F243=""),"",IF(G243&lt;&gt;"","Void",IF(F243="","Needs child",IF(H243="","Child not found",IF(OR(B243="",NOT(ISNUMBER(C243))),"Needs month/pages","OK")))))</f>
        <v/>
      </c>
      <c r="J243" s="10">
        <f>IF(I243="","",IF(I243="OK",IF(COUNTIFS(H244:H$3001,H243,B244:B$3001,B243,G244:G$3001,"")=0,C243,0),0))</f>
        <v/>
      </c>
    </row>
    <row r="244">
      <c r="A244" s="6" t="n"/>
      <c r="B244" s="9" t="n"/>
      <c r="C244" s="6" t="n"/>
      <c r="D244" s="6" t="n"/>
      <c r="E244" s="6" t="n"/>
      <c r="F244" s="6" t="n"/>
      <c r="G244" s="6" t="n"/>
      <c r="H244" s="10">
        <f>IF(F244="","",IFERROR(INDEX(Roster!$A$2:$A$600,MATCH(F244,Roster!$E$2:$E$600,0)),""))</f>
        <v/>
      </c>
      <c r="I244" s="10">
        <f>IF(AND(D244="",C244="",F244=""),"",IF(G244&lt;&gt;"","Void",IF(F244="","Needs child",IF(H244="","Child not found",IF(OR(B244="",NOT(ISNUMBER(C244))),"Needs month/pages","OK")))))</f>
        <v/>
      </c>
      <c r="J244" s="10">
        <f>IF(I244="","",IF(I244="OK",IF(COUNTIFS(H245:H$3001,H244,B245:B$3001,B244,G245:G$3001,"")=0,C244,0),0))</f>
        <v/>
      </c>
    </row>
    <row r="245">
      <c r="A245" s="6" t="n"/>
      <c r="B245" s="9" t="n"/>
      <c r="C245" s="6" t="n"/>
      <c r="D245" s="6" t="n"/>
      <c r="E245" s="6" t="n"/>
      <c r="F245" s="6" t="n"/>
      <c r="G245" s="6" t="n"/>
      <c r="H245" s="10">
        <f>IF(F245="","",IFERROR(INDEX(Roster!$A$2:$A$600,MATCH(F245,Roster!$E$2:$E$600,0)),""))</f>
        <v/>
      </c>
      <c r="I245" s="10">
        <f>IF(AND(D245="",C245="",F245=""),"",IF(G245&lt;&gt;"","Void",IF(F245="","Needs child",IF(H245="","Child not found",IF(OR(B245="",NOT(ISNUMBER(C245))),"Needs month/pages","OK")))))</f>
        <v/>
      </c>
      <c r="J245" s="10">
        <f>IF(I245="","",IF(I245="OK",IF(COUNTIFS(H246:H$3001,H245,B246:B$3001,B245,G246:G$3001,"")=0,C245,0),0))</f>
        <v/>
      </c>
    </row>
    <row r="246">
      <c r="A246" s="6" t="n"/>
      <c r="B246" s="9" t="n"/>
      <c r="C246" s="6" t="n"/>
      <c r="D246" s="6" t="n"/>
      <c r="E246" s="6" t="n"/>
      <c r="F246" s="6" t="n"/>
      <c r="G246" s="6" t="n"/>
      <c r="H246" s="10">
        <f>IF(F246="","",IFERROR(INDEX(Roster!$A$2:$A$600,MATCH(F246,Roster!$E$2:$E$600,0)),""))</f>
        <v/>
      </c>
      <c r="I246" s="10">
        <f>IF(AND(D246="",C246="",F246=""),"",IF(G246&lt;&gt;"","Void",IF(F246="","Needs child",IF(H246="","Child not found",IF(OR(B246="",NOT(ISNUMBER(C246))),"Needs month/pages","OK")))))</f>
        <v/>
      </c>
      <c r="J246" s="10">
        <f>IF(I246="","",IF(I246="OK",IF(COUNTIFS(H247:H$3001,H246,B247:B$3001,B246,G247:G$3001,"")=0,C246,0),0))</f>
        <v/>
      </c>
    </row>
    <row r="247">
      <c r="A247" s="6" t="n"/>
      <c r="B247" s="9" t="n"/>
      <c r="C247" s="6" t="n"/>
      <c r="D247" s="6" t="n"/>
      <c r="E247" s="6" t="n"/>
      <c r="F247" s="6" t="n"/>
      <c r="G247" s="6" t="n"/>
      <c r="H247" s="10">
        <f>IF(F247="","",IFERROR(INDEX(Roster!$A$2:$A$600,MATCH(F247,Roster!$E$2:$E$600,0)),""))</f>
        <v/>
      </c>
      <c r="I247" s="10">
        <f>IF(AND(D247="",C247="",F247=""),"",IF(G247&lt;&gt;"","Void",IF(F247="","Needs child",IF(H247="","Child not found",IF(OR(B247="",NOT(ISNUMBER(C247))),"Needs month/pages","OK")))))</f>
        <v/>
      </c>
      <c r="J247" s="10">
        <f>IF(I247="","",IF(I247="OK",IF(COUNTIFS(H248:H$3001,H247,B248:B$3001,B247,G248:G$3001,"")=0,C247,0),0))</f>
        <v/>
      </c>
    </row>
    <row r="248">
      <c r="A248" s="6" t="n"/>
      <c r="B248" s="9" t="n"/>
      <c r="C248" s="6" t="n"/>
      <c r="D248" s="6" t="n"/>
      <c r="E248" s="6" t="n"/>
      <c r="F248" s="6" t="n"/>
      <c r="G248" s="6" t="n"/>
      <c r="H248" s="10">
        <f>IF(F248="","",IFERROR(INDEX(Roster!$A$2:$A$600,MATCH(F248,Roster!$E$2:$E$600,0)),""))</f>
        <v/>
      </c>
      <c r="I248" s="10">
        <f>IF(AND(D248="",C248="",F248=""),"",IF(G248&lt;&gt;"","Void",IF(F248="","Needs child",IF(H248="","Child not found",IF(OR(B248="",NOT(ISNUMBER(C248))),"Needs month/pages","OK")))))</f>
        <v/>
      </c>
      <c r="J248" s="10">
        <f>IF(I248="","",IF(I248="OK",IF(COUNTIFS(H249:H$3001,H248,B249:B$3001,B248,G249:G$3001,"")=0,C248,0),0))</f>
        <v/>
      </c>
    </row>
    <row r="249">
      <c r="A249" s="6" t="n"/>
      <c r="B249" s="9" t="n"/>
      <c r="C249" s="6" t="n"/>
      <c r="D249" s="6" t="n"/>
      <c r="E249" s="6" t="n"/>
      <c r="F249" s="6" t="n"/>
      <c r="G249" s="6" t="n"/>
      <c r="H249" s="10">
        <f>IF(F249="","",IFERROR(INDEX(Roster!$A$2:$A$600,MATCH(F249,Roster!$E$2:$E$600,0)),""))</f>
        <v/>
      </c>
      <c r="I249" s="10">
        <f>IF(AND(D249="",C249="",F249=""),"",IF(G249&lt;&gt;"","Void",IF(F249="","Needs child",IF(H249="","Child not found",IF(OR(B249="",NOT(ISNUMBER(C249))),"Needs month/pages","OK")))))</f>
        <v/>
      </c>
      <c r="J249" s="10">
        <f>IF(I249="","",IF(I249="OK",IF(COUNTIFS(H250:H$3001,H249,B250:B$3001,B249,G250:G$3001,"")=0,C249,0),0))</f>
        <v/>
      </c>
    </row>
    <row r="250">
      <c r="A250" s="6" t="n"/>
      <c r="B250" s="9" t="n"/>
      <c r="C250" s="6" t="n"/>
      <c r="D250" s="6" t="n"/>
      <c r="E250" s="6" t="n"/>
      <c r="F250" s="6" t="n"/>
      <c r="G250" s="6" t="n"/>
      <c r="H250" s="10">
        <f>IF(F250="","",IFERROR(INDEX(Roster!$A$2:$A$600,MATCH(F250,Roster!$E$2:$E$600,0)),""))</f>
        <v/>
      </c>
      <c r="I250" s="10">
        <f>IF(AND(D250="",C250="",F250=""),"",IF(G250&lt;&gt;"","Void",IF(F250="","Needs child",IF(H250="","Child not found",IF(OR(B250="",NOT(ISNUMBER(C250))),"Needs month/pages","OK")))))</f>
        <v/>
      </c>
      <c r="J250" s="10">
        <f>IF(I250="","",IF(I250="OK",IF(COUNTIFS(H251:H$3001,H250,B251:B$3001,B250,G251:G$3001,"")=0,C250,0),0))</f>
        <v/>
      </c>
    </row>
    <row r="251">
      <c r="A251" s="6" t="n"/>
      <c r="B251" s="9" t="n"/>
      <c r="C251" s="6" t="n"/>
      <c r="D251" s="6" t="n"/>
      <c r="E251" s="6" t="n"/>
      <c r="F251" s="6" t="n"/>
      <c r="G251" s="6" t="n"/>
      <c r="H251" s="10">
        <f>IF(F251="","",IFERROR(INDEX(Roster!$A$2:$A$600,MATCH(F251,Roster!$E$2:$E$600,0)),""))</f>
        <v/>
      </c>
      <c r="I251" s="10">
        <f>IF(AND(D251="",C251="",F251=""),"",IF(G251&lt;&gt;"","Void",IF(F251="","Needs child",IF(H251="","Child not found",IF(OR(B251="",NOT(ISNUMBER(C251))),"Needs month/pages","OK")))))</f>
        <v/>
      </c>
      <c r="J251" s="10">
        <f>IF(I251="","",IF(I251="OK",IF(COUNTIFS(H252:H$3001,H251,B252:B$3001,B251,G252:G$3001,"")=0,C251,0),0))</f>
        <v/>
      </c>
    </row>
    <row r="252">
      <c r="A252" s="6" t="n"/>
      <c r="B252" s="9" t="n"/>
      <c r="C252" s="6" t="n"/>
      <c r="D252" s="6" t="n"/>
      <c r="E252" s="6" t="n"/>
      <c r="F252" s="6" t="n"/>
      <c r="G252" s="6" t="n"/>
      <c r="H252" s="10">
        <f>IF(F252="","",IFERROR(INDEX(Roster!$A$2:$A$600,MATCH(F252,Roster!$E$2:$E$600,0)),""))</f>
        <v/>
      </c>
      <c r="I252" s="10">
        <f>IF(AND(D252="",C252="",F252=""),"",IF(G252&lt;&gt;"","Void",IF(F252="","Needs child",IF(H252="","Child not found",IF(OR(B252="",NOT(ISNUMBER(C252))),"Needs month/pages","OK")))))</f>
        <v/>
      </c>
      <c r="J252" s="10">
        <f>IF(I252="","",IF(I252="OK",IF(COUNTIFS(H253:H$3001,H252,B253:B$3001,B252,G253:G$3001,"")=0,C252,0),0))</f>
        <v/>
      </c>
    </row>
    <row r="253">
      <c r="A253" s="6" t="n"/>
      <c r="B253" s="9" t="n"/>
      <c r="C253" s="6" t="n"/>
      <c r="D253" s="6" t="n"/>
      <c r="E253" s="6" t="n"/>
      <c r="F253" s="6" t="n"/>
      <c r="G253" s="6" t="n"/>
      <c r="H253" s="10">
        <f>IF(F253="","",IFERROR(INDEX(Roster!$A$2:$A$600,MATCH(F253,Roster!$E$2:$E$600,0)),""))</f>
        <v/>
      </c>
      <c r="I253" s="10">
        <f>IF(AND(D253="",C253="",F253=""),"",IF(G253&lt;&gt;"","Void",IF(F253="","Needs child",IF(H253="","Child not found",IF(OR(B253="",NOT(ISNUMBER(C253))),"Needs month/pages","OK")))))</f>
        <v/>
      </c>
      <c r="J253" s="10">
        <f>IF(I253="","",IF(I253="OK",IF(COUNTIFS(H254:H$3001,H253,B254:B$3001,B253,G254:G$3001,"")=0,C253,0),0))</f>
        <v/>
      </c>
    </row>
    <row r="254">
      <c r="A254" s="6" t="n"/>
      <c r="B254" s="9" t="n"/>
      <c r="C254" s="6" t="n"/>
      <c r="D254" s="6" t="n"/>
      <c r="E254" s="6" t="n"/>
      <c r="F254" s="6" t="n"/>
      <c r="G254" s="6" t="n"/>
      <c r="H254" s="10">
        <f>IF(F254="","",IFERROR(INDEX(Roster!$A$2:$A$600,MATCH(F254,Roster!$E$2:$E$600,0)),""))</f>
        <v/>
      </c>
      <c r="I254" s="10">
        <f>IF(AND(D254="",C254="",F254=""),"",IF(G254&lt;&gt;"","Void",IF(F254="","Needs child",IF(H254="","Child not found",IF(OR(B254="",NOT(ISNUMBER(C254))),"Needs month/pages","OK")))))</f>
        <v/>
      </c>
      <c r="J254" s="10">
        <f>IF(I254="","",IF(I254="OK",IF(COUNTIFS(H255:H$3001,H254,B255:B$3001,B254,G255:G$3001,"")=0,C254,0),0))</f>
        <v/>
      </c>
    </row>
    <row r="255">
      <c r="A255" s="6" t="n"/>
      <c r="B255" s="9" t="n"/>
      <c r="C255" s="6" t="n"/>
      <c r="D255" s="6" t="n"/>
      <c r="E255" s="6" t="n"/>
      <c r="F255" s="6" t="n"/>
      <c r="G255" s="6" t="n"/>
      <c r="H255" s="10">
        <f>IF(F255="","",IFERROR(INDEX(Roster!$A$2:$A$600,MATCH(F255,Roster!$E$2:$E$600,0)),""))</f>
        <v/>
      </c>
      <c r="I255" s="10">
        <f>IF(AND(D255="",C255="",F255=""),"",IF(G255&lt;&gt;"","Void",IF(F255="","Needs child",IF(H255="","Child not found",IF(OR(B255="",NOT(ISNUMBER(C255))),"Needs month/pages","OK")))))</f>
        <v/>
      </c>
      <c r="J255" s="10">
        <f>IF(I255="","",IF(I255="OK",IF(COUNTIFS(H256:H$3001,H255,B256:B$3001,B255,G256:G$3001,"")=0,C255,0),0))</f>
        <v/>
      </c>
    </row>
    <row r="256">
      <c r="A256" s="6" t="n"/>
      <c r="B256" s="9" t="n"/>
      <c r="C256" s="6" t="n"/>
      <c r="D256" s="6" t="n"/>
      <c r="E256" s="6" t="n"/>
      <c r="F256" s="6" t="n"/>
      <c r="G256" s="6" t="n"/>
      <c r="H256" s="10">
        <f>IF(F256="","",IFERROR(INDEX(Roster!$A$2:$A$600,MATCH(F256,Roster!$E$2:$E$600,0)),""))</f>
        <v/>
      </c>
      <c r="I256" s="10">
        <f>IF(AND(D256="",C256="",F256=""),"",IF(G256&lt;&gt;"","Void",IF(F256="","Needs child",IF(H256="","Child not found",IF(OR(B256="",NOT(ISNUMBER(C256))),"Needs month/pages","OK")))))</f>
        <v/>
      </c>
      <c r="J256" s="10">
        <f>IF(I256="","",IF(I256="OK",IF(COUNTIFS(H257:H$3001,H256,B257:B$3001,B256,G257:G$3001,"")=0,C256,0),0))</f>
        <v/>
      </c>
    </row>
    <row r="257">
      <c r="A257" s="6" t="n"/>
      <c r="B257" s="9" t="n"/>
      <c r="C257" s="6" t="n"/>
      <c r="D257" s="6" t="n"/>
      <c r="E257" s="6" t="n"/>
      <c r="F257" s="6" t="n"/>
      <c r="G257" s="6" t="n"/>
      <c r="H257" s="10">
        <f>IF(F257="","",IFERROR(INDEX(Roster!$A$2:$A$600,MATCH(F257,Roster!$E$2:$E$600,0)),""))</f>
        <v/>
      </c>
      <c r="I257" s="10">
        <f>IF(AND(D257="",C257="",F257=""),"",IF(G257&lt;&gt;"","Void",IF(F257="","Needs child",IF(H257="","Child not found",IF(OR(B257="",NOT(ISNUMBER(C257))),"Needs month/pages","OK")))))</f>
        <v/>
      </c>
      <c r="J257" s="10">
        <f>IF(I257="","",IF(I257="OK",IF(COUNTIFS(H258:H$3001,H257,B258:B$3001,B257,G258:G$3001,"")=0,C257,0),0))</f>
        <v/>
      </c>
    </row>
    <row r="258">
      <c r="A258" s="6" t="n"/>
      <c r="B258" s="9" t="n"/>
      <c r="C258" s="6" t="n"/>
      <c r="D258" s="6" t="n"/>
      <c r="E258" s="6" t="n"/>
      <c r="F258" s="6" t="n"/>
      <c r="G258" s="6" t="n"/>
      <c r="H258" s="10">
        <f>IF(F258="","",IFERROR(INDEX(Roster!$A$2:$A$600,MATCH(F258,Roster!$E$2:$E$600,0)),""))</f>
        <v/>
      </c>
      <c r="I258" s="10">
        <f>IF(AND(D258="",C258="",F258=""),"",IF(G258&lt;&gt;"","Void",IF(F258="","Needs child",IF(H258="","Child not found",IF(OR(B258="",NOT(ISNUMBER(C258))),"Needs month/pages","OK")))))</f>
        <v/>
      </c>
      <c r="J258" s="10">
        <f>IF(I258="","",IF(I258="OK",IF(COUNTIFS(H259:H$3001,H258,B259:B$3001,B258,G259:G$3001,"")=0,C258,0),0))</f>
        <v/>
      </c>
    </row>
    <row r="259">
      <c r="A259" s="6" t="n"/>
      <c r="B259" s="9" t="n"/>
      <c r="C259" s="6" t="n"/>
      <c r="D259" s="6" t="n"/>
      <c r="E259" s="6" t="n"/>
      <c r="F259" s="6" t="n"/>
      <c r="G259" s="6" t="n"/>
      <c r="H259" s="10">
        <f>IF(F259="","",IFERROR(INDEX(Roster!$A$2:$A$600,MATCH(F259,Roster!$E$2:$E$600,0)),""))</f>
        <v/>
      </c>
      <c r="I259" s="10">
        <f>IF(AND(D259="",C259="",F259=""),"",IF(G259&lt;&gt;"","Void",IF(F259="","Needs child",IF(H259="","Child not found",IF(OR(B259="",NOT(ISNUMBER(C259))),"Needs month/pages","OK")))))</f>
        <v/>
      </c>
      <c r="J259" s="10">
        <f>IF(I259="","",IF(I259="OK",IF(COUNTIFS(H260:H$3001,H259,B260:B$3001,B259,G260:G$3001,"")=0,C259,0),0))</f>
        <v/>
      </c>
    </row>
    <row r="260">
      <c r="A260" s="6" t="n"/>
      <c r="B260" s="9" t="n"/>
      <c r="C260" s="6" t="n"/>
      <c r="D260" s="6" t="n"/>
      <c r="E260" s="6" t="n"/>
      <c r="F260" s="6" t="n"/>
      <c r="G260" s="6" t="n"/>
      <c r="H260" s="10">
        <f>IF(F260="","",IFERROR(INDEX(Roster!$A$2:$A$600,MATCH(F260,Roster!$E$2:$E$600,0)),""))</f>
        <v/>
      </c>
      <c r="I260" s="10">
        <f>IF(AND(D260="",C260="",F260=""),"",IF(G260&lt;&gt;"","Void",IF(F260="","Needs child",IF(H260="","Child not found",IF(OR(B260="",NOT(ISNUMBER(C260))),"Needs month/pages","OK")))))</f>
        <v/>
      </c>
      <c r="J260" s="10">
        <f>IF(I260="","",IF(I260="OK",IF(COUNTIFS(H261:H$3001,H260,B261:B$3001,B260,G261:G$3001,"")=0,C260,0),0))</f>
        <v/>
      </c>
    </row>
    <row r="261">
      <c r="A261" s="6" t="n"/>
      <c r="B261" s="9" t="n"/>
      <c r="C261" s="6" t="n"/>
      <c r="D261" s="6" t="n"/>
      <c r="E261" s="6" t="n"/>
      <c r="F261" s="6" t="n"/>
      <c r="G261" s="6" t="n"/>
      <c r="H261" s="10">
        <f>IF(F261="","",IFERROR(INDEX(Roster!$A$2:$A$600,MATCH(F261,Roster!$E$2:$E$600,0)),""))</f>
        <v/>
      </c>
      <c r="I261" s="10">
        <f>IF(AND(D261="",C261="",F261=""),"",IF(G261&lt;&gt;"","Void",IF(F261="","Needs child",IF(H261="","Child not found",IF(OR(B261="",NOT(ISNUMBER(C261))),"Needs month/pages","OK")))))</f>
        <v/>
      </c>
      <c r="J261" s="10">
        <f>IF(I261="","",IF(I261="OK",IF(COUNTIFS(H262:H$3001,H261,B262:B$3001,B261,G262:G$3001,"")=0,C261,0),0))</f>
        <v/>
      </c>
    </row>
    <row r="262">
      <c r="A262" s="6" t="n"/>
      <c r="B262" s="9" t="n"/>
      <c r="C262" s="6" t="n"/>
      <c r="D262" s="6" t="n"/>
      <c r="E262" s="6" t="n"/>
      <c r="F262" s="6" t="n"/>
      <c r="G262" s="6" t="n"/>
      <c r="H262" s="10">
        <f>IF(F262="","",IFERROR(INDEX(Roster!$A$2:$A$600,MATCH(F262,Roster!$E$2:$E$600,0)),""))</f>
        <v/>
      </c>
      <c r="I262" s="10">
        <f>IF(AND(D262="",C262="",F262=""),"",IF(G262&lt;&gt;"","Void",IF(F262="","Needs child",IF(H262="","Child not found",IF(OR(B262="",NOT(ISNUMBER(C262))),"Needs month/pages","OK")))))</f>
        <v/>
      </c>
      <c r="J262" s="10">
        <f>IF(I262="","",IF(I262="OK",IF(COUNTIFS(H263:H$3001,H262,B263:B$3001,B262,G263:G$3001,"")=0,C262,0),0))</f>
        <v/>
      </c>
    </row>
    <row r="263">
      <c r="A263" s="6" t="n"/>
      <c r="B263" s="9" t="n"/>
      <c r="C263" s="6" t="n"/>
      <c r="D263" s="6" t="n"/>
      <c r="E263" s="6" t="n"/>
      <c r="F263" s="6" t="n"/>
      <c r="G263" s="6" t="n"/>
      <c r="H263" s="10">
        <f>IF(F263="","",IFERROR(INDEX(Roster!$A$2:$A$600,MATCH(F263,Roster!$E$2:$E$600,0)),""))</f>
        <v/>
      </c>
      <c r="I263" s="10">
        <f>IF(AND(D263="",C263="",F263=""),"",IF(G263&lt;&gt;"","Void",IF(F263="","Needs child",IF(H263="","Child not found",IF(OR(B263="",NOT(ISNUMBER(C263))),"Needs month/pages","OK")))))</f>
        <v/>
      </c>
      <c r="J263" s="10">
        <f>IF(I263="","",IF(I263="OK",IF(COUNTIFS(H264:H$3001,H263,B264:B$3001,B263,G264:G$3001,"")=0,C263,0),0))</f>
        <v/>
      </c>
    </row>
    <row r="264">
      <c r="A264" s="6" t="n"/>
      <c r="B264" s="9" t="n"/>
      <c r="C264" s="6" t="n"/>
      <c r="D264" s="6" t="n"/>
      <c r="E264" s="6" t="n"/>
      <c r="F264" s="6" t="n"/>
      <c r="G264" s="6" t="n"/>
      <c r="H264" s="10">
        <f>IF(F264="","",IFERROR(INDEX(Roster!$A$2:$A$600,MATCH(F264,Roster!$E$2:$E$600,0)),""))</f>
        <v/>
      </c>
      <c r="I264" s="10">
        <f>IF(AND(D264="",C264="",F264=""),"",IF(G264&lt;&gt;"","Void",IF(F264="","Needs child",IF(H264="","Child not found",IF(OR(B264="",NOT(ISNUMBER(C264))),"Needs month/pages","OK")))))</f>
        <v/>
      </c>
      <c r="J264" s="10">
        <f>IF(I264="","",IF(I264="OK",IF(COUNTIFS(H265:H$3001,H264,B265:B$3001,B264,G265:G$3001,"")=0,C264,0),0))</f>
        <v/>
      </c>
    </row>
    <row r="265">
      <c r="A265" s="6" t="n"/>
      <c r="B265" s="9" t="n"/>
      <c r="C265" s="6" t="n"/>
      <c r="D265" s="6" t="n"/>
      <c r="E265" s="6" t="n"/>
      <c r="F265" s="6" t="n"/>
      <c r="G265" s="6" t="n"/>
      <c r="H265" s="10">
        <f>IF(F265="","",IFERROR(INDEX(Roster!$A$2:$A$600,MATCH(F265,Roster!$E$2:$E$600,0)),""))</f>
        <v/>
      </c>
      <c r="I265" s="10">
        <f>IF(AND(D265="",C265="",F265=""),"",IF(G265&lt;&gt;"","Void",IF(F265="","Needs child",IF(H265="","Child not found",IF(OR(B265="",NOT(ISNUMBER(C265))),"Needs month/pages","OK")))))</f>
        <v/>
      </c>
      <c r="J265" s="10">
        <f>IF(I265="","",IF(I265="OK",IF(COUNTIFS(H266:H$3001,H265,B266:B$3001,B265,G266:G$3001,"")=0,C265,0),0))</f>
        <v/>
      </c>
    </row>
    <row r="266">
      <c r="A266" s="6" t="n"/>
      <c r="B266" s="9" t="n"/>
      <c r="C266" s="6" t="n"/>
      <c r="D266" s="6" t="n"/>
      <c r="E266" s="6" t="n"/>
      <c r="F266" s="6" t="n"/>
      <c r="G266" s="6" t="n"/>
      <c r="H266" s="10">
        <f>IF(F266="","",IFERROR(INDEX(Roster!$A$2:$A$600,MATCH(F266,Roster!$E$2:$E$600,0)),""))</f>
        <v/>
      </c>
      <c r="I266" s="10">
        <f>IF(AND(D266="",C266="",F266=""),"",IF(G266&lt;&gt;"","Void",IF(F266="","Needs child",IF(H266="","Child not found",IF(OR(B266="",NOT(ISNUMBER(C266))),"Needs month/pages","OK")))))</f>
        <v/>
      </c>
      <c r="J266" s="10">
        <f>IF(I266="","",IF(I266="OK",IF(COUNTIFS(H267:H$3001,H266,B267:B$3001,B266,G267:G$3001,"")=0,C266,0),0))</f>
        <v/>
      </c>
    </row>
    <row r="267">
      <c r="A267" s="6" t="n"/>
      <c r="B267" s="9" t="n"/>
      <c r="C267" s="6" t="n"/>
      <c r="D267" s="6" t="n"/>
      <c r="E267" s="6" t="n"/>
      <c r="F267" s="6" t="n"/>
      <c r="G267" s="6" t="n"/>
      <c r="H267" s="10">
        <f>IF(F267="","",IFERROR(INDEX(Roster!$A$2:$A$600,MATCH(F267,Roster!$E$2:$E$600,0)),""))</f>
        <v/>
      </c>
      <c r="I267" s="10">
        <f>IF(AND(D267="",C267="",F267=""),"",IF(G267&lt;&gt;"","Void",IF(F267="","Needs child",IF(H267="","Child not found",IF(OR(B267="",NOT(ISNUMBER(C267))),"Needs month/pages","OK")))))</f>
        <v/>
      </c>
      <c r="J267" s="10">
        <f>IF(I267="","",IF(I267="OK",IF(COUNTIFS(H268:H$3001,H267,B268:B$3001,B267,G268:G$3001,"")=0,C267,0),0))</f>
        <v/>
      </c>
    </row>
    <row r="268">
      <c r="A268" s="6" t="n"/>
      <c r="B268" s="9" t="n"/>
      <c r="C268" s="6" t="n"/>
      <c r="D268" s="6" t="n"/>
      <c r="E268" s="6" t="n"/>
      <c r="F268" s="6" t="n"/>
      <c r="G268" s="6" t="n"/>
      <c r="H268" s="10">
        <f>IF(F268="","",IFERROR(INDEX(Roster!$A$2:$A$600,MATCH(F268,Roster!$E$2:$E$600,0)),""))</f>
        <v/>
      </c>
      <c r="I268" s="10">
        <f>IF(AND(D268="",C268="",F268=""),"",IF(G268&lt;&gt;"","Void",IF(F268="","Needs child",IF(H268="","Child not found",IF(OR(B268="",NOT(ISNUMBER(C268))),"Needs month/pages","OK")))))</f>
        <v/>
      </c>
      <c r="J268" s="10">
        <f>IF(I268="","",IF(I268="OK",IF(COUNTIFS(H269:H$3001,H268,B269:B$3001,B268,G269:G$3001,"")=0,C268,0),0))</f>
        <v/>
      </c>
    </row>
    <row r="269">
      <c r="A269" s="6" t="n"/>
      <c r="B269" s="9" t="n"/>
      <c r="C269" s="6" t="n"/>
      <c r="D269" s="6" t="n"/>
      <c r="E269" s="6" t="n"/>
      <c r="F269" s="6" t="n"/>
      <c r="G269" s="6" t="n"/>
      <c r="H269" s="10">
        <f>IF(F269="","",IFERROR(INDEX(Roster!$A$2:$A$600,MATCH(F269,Roster!$E$2:$E$600,0)),""))</f>
        <v/>
      </c>
      <c r="I269" s="10">
        <f>IF(AND(D269="",C269="",F269=""),"",IF(G269&lt;&gt;"","Void",IF(F269="","Needs child",IF(H269="","Child not found",IF(OR(B269="",NOT(ISNUMBER(C269))),"Needs month/pages","OK")))))</f>
        <v/>
      </c>
      <c r="J269" s="10">
        <f>IF(I269="","",IF(I269="OK",IF(COUNTIFS(H270:H$3001,H269,B270:B$3001,B269,G270:G$3001,"")=0,C269,0),0))</f>
        <v/>
      </c>
    </row>
    <row r="270">
      <c r="A270" s="6" t="n"/>
      <c r="B270" s="9" t="n"/>
      <c r="C270" s="6" t="n"/>
      <c r="D270" s="6" t="n"/>
      <c r="E270" s="6" t="n"/>
      <c r="F270" s="6" t="n"/>
      <c r="G270" s="6" t="n"/>
      <c r="H270" s="10">
        <f>IF(F270="","",IFERROR(INDEX(Roster!$A$2:$A$600,MATCH(F270,Roster!$E$2:$E$600,0)),""))</f>
        <v/>
      </c>
      <c r="I270" s="10">
        <f>IF(AND(D270="",C270="",F270=""),"",IF(G270&lt;&gt;"","Void",IF(F270="","Needs child",IF(H270="","Child not found",IF(OR(B270="",NOT(ISNUMBER(C270))),"Needs month/pages","OK")))))</f>
        <v/>
      </c>
      <c r="J270" s="10">
        <f>IF(I270="","",IF(I270="OK",IF(COUNTIFS(H271:H$3001,H270,B271:B$3001,B270,G271:G$3001,"")=0,C270,0),0))</f>
        <v/>
      </c>
    </row>
    <row r="271">
      <c r="A271" s="6" t="n"/>
      <c r="B271" s="9" t="n"/>
      <c r="C271" s="6" t="n"/>
      <c r="D271" s="6" t="n"/>
      <c r="E271" s="6" t="n"/>
      <c r="F271" s="6" t="n"/>
      <c r="G271" s="6" t="n"/>
      <c r="H271" s="10">
        <f>IF(F271="","",IFERROR(INDEX(Roster!$A$2:$A$600,MATCH(F271,Roster!$E$2:$E$600,0)),""))</f>
        <v/>
      </c>
      <c r="I271" s="10">
        <f>IF(AND(D271="",C271="",F271=""),"",IF(G271&lt;&gt;"","Void",IF(F271="","Needs child",IF(H271="","Child not found",IF(OR(B271="",NOT(ISNUMBER(C271))),"Needs month/pages","OK")))))</f>
        <v/>
      </c>
      <c r="J271" s="10">
        <f>IF(I271="","",IF(I271="OK",IF(COUNTIFS(H272:H$3001,H271,B272:B$3001,B271,G272:G$3001,"")=0,C271,0),0))</f>
        <v/>
      </c>
    </row>
    <row r="272">
      <c r="A272" s="6" t="n"/>
      <c r="B272" s="9" t="n"/>
      <c r="C272" s="6" t="n"/>
      <c r="D272" s="6" t="n"/>
      <c r="E272" s="6" t="n"/>
      <c r="F272" s="6" t="n"/>
      <c r="G272" s="6" t="n"/>
      <c r="H272" s="10">
        <f>IF(F272="","",IFERROR(INDEX(Roster!$A$2:$A$600,MATCH(F272,Roster!$E$2:$E$600,0)),""))</f>
        <v/>
      </c>
      <c r="I272" s="10">
        <f>IF(AND(D272="",C272="",F272=""),"",IF(G272&lt;&gt;"","Void",IF(F272="","Needs child",IF(H272="","Child not found",IF(OR(B272="",NOT(ISNUMBER(C272))),"Needs month/pages","OK")))))</f>
        <v/>
      </c>
      <c r="J272" s="10">
        <f>IF(I272="","",IF(I272="OK",IF(COUNTIFS(H273:H$3001,H272,B273:B$3001,B272,G273:G$3001,"")=0,C272,0),0))</f>
        <v/>
      </c>
    </row>
    <row r="273">
      <c r="A273" s="6" t="n"/>
      <c r="B273" s="9" t="n"/>
      <c r="C273" s="6" t="n"/>
      <c r="D273" s="6" t="n"/>
      <c r="E273" s="6" t="n"/>
      <c r="F273" s="6" t="n"/>
      <c r="G273" s="6" t="n"/>
      <c r="H273" s="10">
        <f>IF(F273="","",IFERROR(INDEX(Roster!$A$2:$A$600,MATCH(F273,Roster!$E$2:$E$600,0)),""))</f>
        <v/>
      </c>
      <c r="I273" s="10">
        <f>IF(AND(D273="",C273="",F273=""),"",IF(G273&lt;&gt;"","Void",IF(F273="","Needs child",IF(H273="","Child not found",IF(OR(B273="",NOT(ISNUMBER(C273))),"Needs month/pages","OK")))))</f>
        <v/>
      </c>
      <c r="J273" s="10">
        <f>IF(I273="","",IF(I273="OK",IF(COUNTIFS(H274:H$3001,H273,B274:B$3001,B273,G274:G$3001,"")=0,C273,0),0))</f>
        <v/>
      </c>
    </row>
    <row r="274">
      <c r="A274" s="6" t="n"/>
      <c r="B274" s="9" t="n"/>
      <c r="C274" s="6" t="n"/>
      <c r="D274" s="6" t="n"/>
      <c r="E274" s="6" t="n"/>
      <c r="F274" s="6" t="n"/>
      <c r="G274" s="6" t="n"/>
      <c r="H274" s="10">
        <f>IF(F274="","",IFERROR(INDEX(Roster!$A$2:$A$600,MATCH(F274,Roster!$E$2:$E$600,0)),""))</f>
        <v/>
      </c>
      <c r="I274" s="10">
        <f>IF(AND(D274="",C274="",F274=""),"",IF(G274&lt;&gt;"","Void",IF(F274="","Needs child",IF(H274="","Child not found",IF(OR(B274="",NOT(ISNUMBER(C274))),"Needs month/pages","OK")))))</f>
        <v/>
      </c>
      <c r="J274" s="10">
        <f>IF(I274="","",IF(I274="OK",IF(COUNTIFS(H275:H$3001,H274,B275:B$3001,B274,G275:G$3001,"")=0,C274,0),0))</f>
        <v/>
      </c>
    </row>
    <row r="275">
      <c r="A275" s="6" t="n"/>
      <c r="B275" s="9" t="n"/>
      <c r="C275" s="6" t="n"/>
      <c r="D275" s="6" t="n"/>
      <c r="E275" s="6" t="n"/>
      <c r="F275" s="6" t="n"/>
      <c r="G275" s="6" t="n"/>
      <c r="H275" s="10">
        <f>IF(F275="","",IFERROR(INDEX(Roster!$A$2:$A$600,MATCH(F275,Roster!$E$2:$E$600,0)),""))</f>
        <v/>
      </c>
      <c r="I275" s="10">
        <f>IF(AND(D275="",C275="",F275=""),"",IF(G275&lt;&gt;"","Void",IF(F275="","Needs child",IF(H275="","Child not found",IF(OR(B275="",NOT(ISNUMBER(C275))),"Needs month/pages","OK")))))</f>
        <v/>
      </c>
      <c r="J275" s="10">
        <f>IF(I275="","",IF(I275="OK",IF(COUNTIFS(H276:H$3001,H275,B276:B$3001,B275,G276:G$3001,"")=0,C275,0),0))</f>
        <v/>
      </c>
    </row>
    <row r="276">
      <c r="A276" s="6" t="n"/>
      <c r="B276" s="9" t="n"/>
      <c r="C276" s="6" t="n"/>
      <c r="D276" s="6" t="n"/>
      <c r="E276" s="6" t="n"/>
      <c r="F276" s="6" t="n"/>
      <c r="G276" s="6" t="n"/>
      <c r="H276" s="10">
        <f>IF(F276="","",IFERROR(INDEX(Roster!$A$2:$A$600,MATCH(F276,Roster!$E$2:$E$600,0)),""))</f>
        <v/>
      </c>
      <c r="I276" s="10">
        <f>IF(AND(D276="",C276="",F276=""),"",IF(G276&lt;&gt;"","Void",IF(F276="","Needs child",IF(H276="","Child not found",IF(OR(B276="",NOT(ISNUMBER(C276))),"Needs month/pages","OK")))))</f>
        <v/>
      </c>
      <c r="J276" s="10">
        <f>IF(I276="","",IF(I276="OK",IF(COUNTIFS(H277:H$3001,H276,B277:B$3001,B276,G277:G$3001,"")=0,C276,0),0))</f>
        <v/>
      </c>
    </row>
    <row r="277">
      <c r="A277" s="6" t="n"/>
      <c r="B277" s="9" t="n"/>
      <c r="C277" s="6" t="n"/>
      <c r="D277" s="6" t="n"/>
      <c r="E277" s="6" t="n"/>
      <c r="F277" s="6" t="n"/>
      <c r="G277" s="6" t="n"/>
      <c r="H277" s="10">
        <f>IF(F277="","",IFERROR(INDEX(Roster!$A$2:$A$600,MATCH(F277,Roster!$E$2:$E$600,0)),""))</f>
        <v/>
      </c>
      <c r="I277" s="10">
        <f>IF(AND(D277="",C277="",F277=""),"",IF(G277&lt;&gt;"","Void",IF(F277="","Needs child",IF(H277="","Child not found",IF(OR(B277="",NOT(ISNUMBER(C277))),"Needs month/pages","OK")))))</f>
        <v/>
      </c>
      <c r="J277" s="10">
        <f>IF(I277="","",IF(I277="OK",IF(COUNTIFS(H278:H$3001,H277,B278:B$3001,B277,G278:G$3001,"")=0,C277,0),0))</f>
        <v/>
      </c>
    </row>
    <row r="278">
      <c r="A278" s="6" t="n"/>
      <c r="B278" s="9" t="n"/>
      <c r="C278" s="6" t="n"/>
      <c r="D278" s="6" t="n"/>
      <c r="E278" s="6" t="n"/>
      <c r="F278" s="6" t="n"/>
      <c r="G278" s="6" t="n"/>
      <c r="H278" s="10">
        <f>IF(F278="","",IFERROR(INDEX(Roster!$A$2:$A$600,MATCH(F278,Roster!$E$2:$E$600,0)),""))</f>
        <v/>
      </c>
      <c r="I278" s="10">
        <f>IF(AND(D278="",C278="",F278=""),"",IF(G278&lt;&gt;"","Void",IF(F278="","Needs child",IF(H278="","Child not found",IF(OR(B278="",NOT(ISNUMBER(C278))),"Needs month/pages","OK")))))</f>
        <v/>
      </c>
      <c r="J278" s="10">
        <f>IF(I278="","",IF(I278="OK",IF(COUNTIFS(H279:H$3001,H278,B279:B$3001,B278,G279:G$3001,"")=0,C278,0),0))</f>
        <v/>
      </c>
    </row>
    <row r="279">
      <c r="A279" s="6" t="n"/>
      <c r="B279" s="9" t="n"/>
      <c r="C279" s="6" t="n"/>
      <c r="D279" s="6" t="n"/>
      <c r="E279" s="6" t="n"/>
      <c r="F279" s="6" t="n"/>
      <c r="G279" s="6" t="n"/>
      <c r="H279" s="10">
        <f>IF(F279="","",IFERROR(INDEX(Roster!$A$2:$A$600,MATCH(F279,Roster!$E$2:$E$600,0)),""))</f>
        <v/>
      </c>
      <c r="I279" s="10">
        <f>IF(AND(D279="",C279="",F279=""),"",IF(G279&lt;&gt;"","Void",IF(F279="","Needs child",IF(H279="","Child not found",IF(OR(B279="",NOT(ISNUMBER(C279))),"Needs month/pages","OK")))))</f>
        <v/>
      </c>
      <c r="J279" s="10">
        <f>IF(I279="","",IF(I279="OK",IF(COUNTIFS(H280:H$3001,H279,B280:B$3001,B279,G280:G$3001,"")=0,C279,0),0))</f>
        <v/>
      </c>
    </row>
    <row r="280">
      <c r="A280" s="6" t="n"/>
      <c r="B280" s="9" t="n"/>
      <c r="C280" s="6" t="n"/>
      <c r="D280" s="6" t="n"/>
      <c r="E280" s="6" t="n"/>
      <c r="F280" s="6" t="n"/>
      <c r="G280" s="6" t="n"/>
      <c r="H280" s="10">
        <f>IF(F280="","",IFERROR(INDEX(Roster!$A$2:$A$600,MATCH(F280,Roster!$E$2:$E$600,0)),""))</f>
        <v/>
      </c>
      <c r="I280" s="10">
        <f>IF(AND(D280="",C280="",F280=""),"",IF(G280&lt;&gt;"","Void",IF(F280="","Needs child",IF(H280="","Child not found",IF(OR(B280="",NOT(ISNUMBER(C280))),"Needs month/pages","OK")))))</f>
        <v/>
      </c>
      <c r="J280" s="10">
        <f>IF(I280="","",IF(I280="OK",IF(COUNTIFS(H281:H$3001,H280,B281:B$3001,B280,G281:G$3001,"")=0,C280,0),0))</f>
        <v/>
      </c>
    </row>
    <row r="281">
      <c r="A281" s="6" t="n"/>
      <c r="B281" s="9" t="n"/>
      <c r="C281" s="6" t="n"/>
      <c r="D281" s="6" t="n"/>
      <c r="E281" s="6" t="n"/>
      <c r="F281" s="6" t="n"/>
      <c r="G281" s="6" t="n"/>
      <c r="H281" s="10">
        <f>IF(F281="","",IFERROR(INDEX(Roster!$A$2:$A$600,MATCH(F281,Roster!$E$2:$E$600,0)),""))</f>
        <v/>
      </c>
      <c r="I281" s="10">
        <f>IF(AND(D281="",C281="",F281=""),"",IF(G281&lt;&gt;"","Void",IF(F281="","Needs child",IF(H281="","Child not found",IF(OR(B281="",NOT(ISNUMBER(C281))),"Needs month/pages","OK")))))</f>
        <v/>
      </c>
      <c r="J281" s="10">
        <f>IF(I281="","",IF(I281="OK",IF(COUNTIFS(H282:H$3001,H281,B282:B$3001,B281,G282:G$3001,"")=0,C281,0),0))</f>
        <v/>
      </c>
    </row>
    <row r="282">
      <c r="A282" s="6" t="n"/>
      <c r="B282" s="9" t="n"/>
      <c r="C282" s="6" t="n"/>
      <c r="D282" s="6" t="n"/>
      <c r="E282" s="6" t="n"/>
      <c r="F282" s="6" t="n"/>
      <c r="G282" s="6" t="n"/>
      <c r="H282" s="10">
        <f>IF(F282="","",IFERROR(INDEX(Roster!$A$2:$A$600,MATCH(F282,Roster!$E$2:$E$600,0)),""))</f>
        <v/>
      </c>
      <c r="I282" s="10">
        <f>IF(AND(D282="",C282="",F282=""),"",IF(G282&lt;&gt;"","Void",IF(F282="","Needs child",IF(H282="","Child not found",IF(OR(B282="",NOT(ISNUMBER(C282))),"Needs month/pages","OK")))))</f>
        <v/>
      </c>
      <c r="J282" s="10">
        <f>IF(I282="","",IF(I282="OK",IF(COUNTIFS(H283:H$3001,H282,B283:B$3001,B282,G283:G$3001,"")=0,C282,0),0))</f>
        <v/>
      </c>
    </row>
    <row r="283">
      <c r="A283" s="6" t="n"/>
      <c r="B283" s="9" t="n"/>
      <c r="C283" s="6" t="n"/>
      <c r="D283" s="6" t="n"/>
      <c r="E283" s="6" t="n"/>
      <c r="F283" s="6" t="n"/>
      <c r="G283" s="6" t="n"/>
      <c r="H283" s="10">
        <f>IF(F283="","",IFERROR(INDEX(Roster!$A$2:$A$600,MATCH(F283,Roster!$E$2:$E$600,0)),""))</f>
        <v/>
      </c>
      <c r="I283" s="10">
        <f>IF(AND(D283="",C283="",F283=""),"",IF(G283&lt;&gt;"","Void",IF(F283="","Needs child",IF(H283="","Child not found",IF(OR(B283="",NOT(ISNUMBER(C283))),"Needs month/pages","OK")))))</f>
        <v/>
      </c>
      <c r="J283" s="10">
        <f>IF(I283="","",IF(I283="OK",IF(COUNTIFS(H284:H$3001,H283,B284:B$3001,B283,G284:G$3001,"")=0,C283,0),0))</f>
        <v/>
      </c>
    </row>
    <row r="284">
      <c r="A284" s="6" t="n"/>
      <c r="B284" s="9" t="n"/>
      <c r="C284" s="6" t="n"/>
      <c r="D284" s="6" t="n"/>
      <c r="E284" s="6" t="n"/>
      <c r="F284" s="6" t="n"/>
      <c r="G284" s="6" t="n"/>
      <c r="H284" s="10">
        <f>IF(F284="","",IFERROR(INDEX(Roster!$A$2:$A$600,MATCH(F284,Roster!$E$2:$E$600,0)),""))</f>
        <v/>
      </c>
      <c r="I284" s="10">
        <f>IF(AND(D284="",C284="",F284=""),"",IF(G284&lt;&gt;"","Void",IF(F284="","Needs child",IF(H284="","Child not found",IF(OR(B284="",NOT(ISNUMBER(C284))),"Needs month/pages","OK")))))</f>
        <v/>
      </c>
      <c r="J284" s="10">
        <f>IF(I284="","",IF(I284="OK",IF(COUNTIFS(H285:H$3001,H284,B285:B$3001,B284,G285:G$3001,"")=0,C284,0),0))</f>
        <v/>
      </c>
    </row>
    <row r="285">
      <c r="A285" s="6" t="n"/>
      <c r="B285" s="9" t="n"/>
      <c r="C285" s="6" t="n"/>
      <c r="D285" s="6" t="n"/>
      <c r="E285" s="6" t="n"/>
      <c r="F285" s="6" t="n"/>
      <c r="G285" s="6" t="n"/>
      <c r="H285" s="10">
        <f>IF(F285="","",IFERROR(INDEX(Roster!$A$2:$A$600,MATCH(F285,Roster!$E$2:$E$600,0)),""))</f>
        <v/>
      </c>
      <c r="I285" s="10">
        <f>IF(AND(D285="",C285="",F285=""),"",IF(G285&lt;&gt;"","Void",IF(F285="","Needs child",IF(H285="","Child not found",IF(OR(B285="",NOT(ISNUMBER(C285))),"Needs month/pages","OK")))))</f>
        <v/>
      </c>
      <c r="J285" s="10">
        <f>IF(I285="","",IF(I285="OK",IF(COUNTIFS(H286:H$3001,H285,B286:B$3001,B285,G286:G$3001,"")=0,C285,0),0))</f>
        <v/>
      </c>
    </row>
    <row r="286">
      <c r="A286" s="6" t="n"/>
      <c r="B286" s="9" t="n"/>
      <c r="C286" s="6" t="n"/>
      <c r="D286" s="6" t="n"/>
      <c r="E286" s="6" t="n"/>
      <c r="F286" s="6" t="n"/>
      <c r="G286" s="6" t="n"/>
      <c r="H286" s="10">
        <f>IF(F286="","",IFERROR(INDEX(Roster!$A$2:$A$600,MATCH(F286,Roster!$E$2:$E$600,0)),""))</f>
        <v/>
      </c>
      <c r="I286" s="10">
        <f>IF(AND(D286="",C286="",F286=""),"",IF(G286&lt;&gt;"","Void",IF(F286="","Needs child",IF(H286="","Child not found",IF(OR(B286="",NOT(ISNUMBER(C286))),"Needs month/pages","OK")))))</f>
        <v/>
      </c>
      <c r="J286" s="10">
        <f>IF(I286="","",IF(I286="OK",IF(COUNTIFS(H287:H$3001,H286,B287:B$3001,B286,G287:G$3001,"")=0,C286,0),0))</f>
        <v/>
      </c>
    </row>
    <row r="287">
      <c r="A287" s="6" t="n"/>
      <c r="B287" s="9" t="n"/>
      <c r="C287" s="6" t="n"/>
      <c r="D287" s="6" t="n"/>
      <c r="E287" s="6" t="n"/>
      <c r="F287" s="6" t="n"/>
      <c r="G287" s="6" t="n"/>
      <c r="H287" s="10">
        <f>IF(F287="","",IFERROR(INDEX(Roster!$A$2:$A$600,MATCH(F287,Roster!$E$2:$E$600,0)),""))</f>
        <v/>
      </c>
      <c r="I287" s="10">
        <f>IF(AND(D287="",C287="",F287=""),"",IF(G287&lt;&gt;"","Void",IF(F287="","Needs child",IF(H287="","Child not found",IF(OR(B287="",NOT(ISNUMBER(C287))),"Needs month/pages","OK")))))</f>
        <v/>
      </c>
      <c r="J287" s="10">
        <f>IF(I287="","",IF(I287="OK",IF(COUNTIFS(H288:H$3001,H287,B288:B$3001,B287,G288:G$3001,"")=0,C287,0),0))</f>
        <v/>
      </c>
    </row>
    <row r="288">
      <c r="A288" s="6" t="n"/>
      <c r="B288" s="9" t="n"/>
      <c r="C288" s="6" t="n"/>
      <c r="D288" s="6" t="n"/>
      <c r="E288" s="6" t="n"/>
      <c r="F288" s="6" t="n"/>
      <c r="G288" s="6" t="n"/>
      <c r="H288" s="10">
        <f>IF(F288="","",IFERROR(INDEX(Roster!$A$2:$A$600,MATCH(F288,Roster!$E$2:$E$600,0)),""))</f>
        <v/>
      </c>
      <c r="I288" s="10">
        <f>IF(AND(D288="",C288="",F288=""),"",IF(G288&lt;&gt;"","Void",IF(F288="","Needs child",IF(H288="","Child not found",IF(OR(B288="",NOT(ISNUMBER(C288))),"Needs month/pages","OK")))))</f>
        <v/>
      </c>
      <c r="J288" s="10">
        <f>IF(I288="","",IF(I288="OK",IF(COUNTIFS(H289:H$3001,H288,B289:B$3001,B288,G289:G$3001,"")=0,C288,0),0))</f>
        <v/>
      </c>
    </row>
    <row r="289">
      <c r="A289" s="6" t="n"/>
      <c r="B289" s="9" t="n"/>
      <c r="C289" s="6" t="n"/>
      <c r="D289" s="6" t="n"/>
      <c r="E289" s="6" t="n"/>
      <c r="F289" s="6" t="n"/>
      <c r="G289" s="6" t="n"/>
      <c r="H289" s="10">
        <f>IF(F289="","",IFERROR(INDEX(Roster!$A$2:$A$600,MATCH(F289,Roster!$E$2:$E$600,0)),""))</f>
        <v/>
      </c>
      <c r="I289" s="10">
        <f>IF(AND(D289="",C289="",F289=""),"",IF(G289&lt;&gt;"","Void",IF(F289="","Needs child",IF(H289="","Child not found",IF(OR(B289="",NOT(ISNUMBER(C289))),"Needs month/pages","OK")))))</f>
        <v/>
      </c>
      <c r="J289" s="10">
        <f>IF(I289="","",IF(I289="OK",IF(COUNTIFS(H290:H$3001,H289,B290:B$3001,B289,G290:G$3001,"")=0,C289,0),0))</f>
        <v/>
      </c>
    </row>
    <row r="290">
      <c r="A290" s="6" t="n"/>
      <c r="B290" s="9" t="n"/>
      <c r="C290" s="6" t="n"/>
      <c r="D290" s="6" t="n"/>
      <c r="E290" s="6" t="n"/>
      <c r="F290" s="6" t="n"/>
      <c r="G290" s="6" t="n"/>
      <c r="H290" s="10">
        <f>IF(F290="","",IFERROR(INDEX(Roster!$A$2:$A$600,MATCH(F290,Roster!$E$2:$E$600,0)),""))</f>
        <v/>
      </c>
      <c r="I290" s="10">
        <f>IF(AND(D290="",C290="",F290=""),"",IF(G290&lt;&gt;"","Void",IF(F290="","Needs child",IF(H290="","Child not found",IF(OR(B290="",NOT(ISNUMBER(C290))),"Needs month/pages","OK")))))</f>
        <v/>
      </c>
      <c r="J290" s="10">
        <f>IF(I290="","",IF(I290="OK",IF(COUNTIFS(H291:H$3001,H290,B291:B$3001,B290,G291:G$3001,"")=0,C290,0),0))</f>
        <v/>
      </c>
    </row>
    <row r="291">
      <c r="A291" s="6" t="n"/>
      <c r="B291" s="9" t="n"/>
      <c r="C291" s="6" t="n"/>
      <c r="D291" s="6" t="n"/>
      <c r="E291" s="6" t="n"/>
      <c r="F291" s="6" t="n"/>
      <c r="G291" s="6" t="n"/>
      <c r="H291" s="10">
        <f>IF(F291="","",IFERROR(INDEX(Roster!$A$2:$A$600,MATCH(F291,Roster!$E$2:$E$600,0)),""))</f>
        <v/>
      </c>
      <c r="I291" s="10">
        <f>IF(AND(D291="",C291="",F291=""),"",IF(G291&lt;&gt;"","Void",IF(F291="","Needs child",IF(H291="","Child not found",IF(OR(B291="",NOT(ISNUMBER(C291))),"Needs month/pages","OK")))))</f>
        <v/>
      </c>
      <c r="J291" s="10">
        <f>IF(I291="","",IF(I291="OK",IF(COUNTIFS(H292:H$3001,H291,B292:B$3001,B291,G292:G$3001,"")=0,C291,0),0))</f>
        <v/>
      </c>
    </row>
    <row r="292">
      <c r="A292" s="6" t="n"/>
      <c r="B292" s="9" t="n"/>
      <c r="C292" s="6" t="n"/>
      <c r="D292" s="6" t="n"/>
      <c r="E292" s="6" t="n"/>
      <c r="F292" s="6" t="n"/>
      <c r="G292" s="6" t="n"/>
      <c r="H292" s="10">
        <f>IF(F292="","",IFERROR(INDEX(Roster!$A$2:$A$600,MATCH(F292,Roster!$E$2:$E$600,0)),""))</f>
        <v/>
      </c>
      <c r="I292" s="10">
        <f>IF(AND(D292="",C292="",F292=""),"",IF(G292&lt;&gt;"","Void",IF(F292="","Needs child",IF(H292="","Child not found",IF(OR(B292="",NOT(ISNUMBER(C292))),"Needs month/pages","OK")))))</f>
        <v/>
      </c>
      <c r="J292" s="10">
        <f>IF(I292="","",IF(I292="OK",IF(COUNTIFS(H293:H$3001,H292,B293:B$3001,B292,G293:G$3001,"")=0,C292,0),0))</f>
        <v/>
      </c>
    </row>
    <row r="293">
      <c r="A293" s="6" t="n"/>
      <c r="B293" s="9" t="n"/>
      <c r="C293" s="6" t="n"/>
      <c r="D293" s="6" t="n"/>
      <c r="E293" s="6" t="n"/>
      <c r="F293" s="6" t="n"/>
      <c r="G293" s="6" t="n"/>
      <c r="H293" s="10">
        <f>IF(F293="","",IFERROR(INDEX(Roster!$A$2:$A$600,MATCH(F293,Roster!$E$2:$E$600,0)),""))</f>
        <v/>
      </c>
      <c r="I293" s="10">
        <f>IF(AND(D293="",C293="",F293=""),"",IF(G293&lt;&gt;"","Void",IF(F293="","Needs child",IF(H293="","Child not found",IF(OR(B293="",NOT(ISNUMBER(C293))),"Needs month/pages","OK")))))</f>
        <v/>
      </c>
      <c r="J293" s="10">
        <f>IF(I293="","",IF(I293="OK",IF(COUNTIFS(H294:H$3001,H293,B294:B$3001,B293,G294:G$3001,"")=0,C293,0),0))</f>
        <v/>
      </c>
    </row>
    <row r="294">
      <c r="A294" s="6" t="n"/>
      <c r="B294" s="9" t="n"/>
      <c r="C294" s="6" t="n"/>
      <c r="D294" s="6" t="n"/>
      <c r="E294" s="6" t="n"/>
      <c r="F294" s="6" t="n"/>
      <c r="G294" s="6" t="n"/>
      <c r="H294" s="10">
        <f>IF(F294="","",IFERROR(INDEX(Roster!$A$2:$A$600,MATCH(F294,Roster!$E$2:$E$600,0)),""))</f>
        <v/>
      </c>
      <c r="I294" s="10">
        <f>IF(AND(D294="",C294="",F294=""),"",IF(G294&lt;&gt;"","Void",IF(F294="","Needs child",IF(H294="","Child not found",IF(OR(B294="",NOT(ISNUMBER(C294))),"Needs month/pages","OK")))))</f>
        <v/>
      </c>
      <c r="J294" s="10">
        <f>IF(I294="","",IF(I294="OK",IF(COUNTIFS(H295:H$3001,H294,B295:B$3001,B294,G295:G$3001,"")=0,C294,0),0))</f>
        <v/>
      </c>
    </row>
    <row r="295">
      <c r="A295" s="6" t="n"/>
      <c r="B295" s="9" t="n"/>
      <c r="C295" s="6" t="n"/>
      <c r="D295" s="6" t="n"/>
      <c r="E295" s="6" t="n"/>
      <c r="F295" s="6" t="n"/>
      <c r="G295" s="6" t="n"/>
      <c r="H295" s="10">
        <f>IF(F295="","",IFERROR(INDEX(Roster!$A$2:$A$600,MATCH(F295,Roster!$E$2:$E$600,0)),""))</f>
        <v/>
      </c>
      <c r="I295" s="10">
        <f>IF(AND(D295="",C295="",F295=""),"",IF(G295&lt;&gt;"","Void",IF(F295="","Needs child",IF(H295="","Child not found",IF(OR(B295="",NOT(ISNUMBER(C295))),"Needs month/pages","OK")))))</f>
        <v/>
      </c>
      <c r="J295" s="10">
        <f>IF(I295="","",IF(I295="OK",IF(COUNTIFS(H296:H$3001,H295,B296:B$3001,B295,G296:G$3001,"")=0,C295,0),0))</f>
        <v/>
      </c>
    </row>
    <row r="296">
      <c r="A296" s="6" t="n"/>
      <c r="B296" s="9" t="n"/>
      <c r="C296" s="6" t="n"/>
      <c r="D296" s="6" t="n"/>
      <c r="E296" s="6" t="n"/>
      <c r="F296" s="6" t="n"/>
      <c r="G296" s="6" t="n"/>
      <c r="H296" s="10">
        <f>IF(F296="","",IFERROR(INDEX(Roster!$A$2:$A$600,MATCH(F296,Roster!$E$2:$E$600,0)),""))</f>
        <v/>
      </c>
      <c r="I296" s="10">
        <f>IF(AND(D296="",C296="",F296=""),"",IF(G296&lt;&gt;"","Void",IF(F296="","Needs child",IF(H296="","Child not found",IF(OR(B296="",NOT(ISNUMBER(C296))),"Needs month/pages","OK")))))</f>
        <v/>
      </c>
      <c r="J296" s="10">
        <f>IF(I296="","",IF(I296="OK",IF(COUNTIFS(H297:H$3001,H296,B297:B$3001,B296,G297:G$3001,"")=0,C296,0),0))</f>
        <v/>
      </c>
    </row>
    <row r="297">
      <c r="A297" s="6" t="n"/>
      <c r="B297" s="9" t="n"/>
      <c r="C297" s="6" t="n"/>
      <c r="D297" s="6" t="n"/>
      <c r="E297" s="6" t="n"/>
      <c r="F297" s="6" t="n"/>
      <c r="G297" s="6" t="n"/>
      <c r="H297" s="10">
        <f>IF(F297="","",IFERROR(INDEX(Roster!$A$2:$A$600,MATCH(F297,Roster!$E$2:$E$600,0)),""))</f>
        <v/>
      </c>
      <c r="I297" s="10">
        <f>IF(AND(D297="",C297="",F297=""),"",IF(G297&lt;&gt;"","Void",IF(F297="","Needs child",IF(H297="","Child not found",IF(OR(B297="",NOT(ISNUMBER(C297))),"Needs month/pages","OK")))))</f>
        <v/>
      </c>
      <c r="J297" s="10">
        <f>IF(I297="","",IF(I297="OK",IF(COUNTIFS(H298:H$3001,H297,B298:B$3001,B297,G298:G$3001,"")=0,C297,0),0))</f>
        <v/>
      </c>
    </row>
    <row r="298">
      <c r="A298" s="6" t="n"/>
      <c r="B298" s="9" t="n"/>
      <c r="C298" s="6" t="n"/>
      <c r="D298" s="6" t="n"/>
      <c r="E298" s="6" t="n"/>
      <c r="F298" s="6" t="n"/>
      <c r="G298" s="6" t="n"/>
      <c r="H298" s="10">
        <f>IF(F298="","",IFERROR(INDEX(Roster!$A$2:$A$600,MATCH(F298,Roster!$E$2:$E$600,0)),""))</f>
        <v/>
      </c>
      <c r="I298" s="10">
        <f>IF(AND(D298="",C298="",F298=""),"",IF(G298&lt;&gt;"","Void",IF(F298="","Needs child",IF(H298="","Child not found",IF(OR(B298="",NOT(ISNUMBER(C298))),"Needs month/pages","OK")))))</f>
        <v/>
      </c>
      <c r="J298" s="10">
        <f>IF(I298="","",IF(I298="OK",IF(COUNTIFS(H299:H$3001,H298,B299:B$3001,B298,G299:G$3001,"")=0,C298,0),0))</f>
        <v/>
      </c>
    </row>
    <row r="299">
      <c r="A299" s="6" t="n"/>
      <c r="B299" s="9" t="n"/>
      <c r="C299" s="6" t="n"/>
      <c r="D299" s="6" t="n"/>
      <c r="E299" s="6" t="n"/>
      <c r="F299" s="6" t="n"/>
      <c r="G299" s="6" t="n"/>
      <c r="H299" s="10">
        <f>IF(F299="","",IFERROR(INDEX(Roster!$A$2:$A$600,MATCH(F299,Roster!$E$2:$E$600,0)),""))</f>
        <v/>
      </c>
      <c r="I299" s="10">
        <f>IF(AND(D299="",C299="",F299=""),"",IF(G299&lt;&gt;"","Void",IF(F299="","Needs child",IF(H299="","Child not found",IF(OR(B299="",NOT(ISNUMBER(C299))),"Needs month/pages","OK")))))</f>
        <v/>
      </c>
      <c r="J299" s="10">
        <f>IF(I299="","",IF(I299="OK",IF(COUNTIFS(H300:H$3001,H299,B300:B$3001,B299,G300:G$3001,"")=0,C299,0),0))</f>
        <v/>
      </c>
    </row>
    <row r="300">
      <c r="A300" s="6" t="n"/>
      <c r="B300" s="9" t="n"/>
      <c r="C300" s="6" t="n"/>
      <c r="D300" s="6" t="n"/>
      <c r="E300" s="6" t="n"/>
      <c r="F300" s="6" t="n"/>
      <c r="G300" s="6" t="n"/>
      <c r="H300" s="10">
        <f>IF(F300="","",IFERROR(INDEX(Roster!$A$2:$A$600,MATCH(F300,Roster!$E$2:$E$600,0)),""))</f>
        <v/>
      </c>
      <c r="I300" s="10">
        <f>IF(AND(D300="",C300="",F300=""),"",IF(G300&lt;&gt;"","Void",IF(F300="","Needs child",IF(H300="","Child not found",IF(OR(B300="",NOT(ISNUMBER(C300))),"Needs month/pages","OK")))))</f>
        <v/>
      </c>
      <c r="J300" s="10">
        <f>IF(I300="","",IF(I300="OK",IF(COUNTIFS(H301:H$3001,H300,B301:B$3001,B300,G301:G$3001,"")=0,C300,0),0))</f>
        <v/>
      </c>
    </row>
    <row r="301">
      <c r="A301" s="6" t="n"/>
      <c r="B301" s="9" t="n"/>
      <c r="C301" s="6" t="n"/>
      <c r="D301" s="6" t="n"/>
      <c r="E301" s="6" t="n"/>
      <c r="F301" s="6" t="n"/>
      <c r="G301" s="6" t="n"/>
      <c r="H301" s="10">
        <f>IF(F301="","",IFERROR(INDEX(Roster!$A$2:$A$600,MATCH(F301,Roster!$E$2:$E$600,0)),""))</f>
        <v/>
      </c>
      <c r="I301" s="10">
        <f>IF(AND(D301="",C301="",F301=""),"",IF(G301&lt;&gt;"","Void",IF(F301="","Needs child",IF(H301="","Child not found",IF(OR(B301="",NOT(ISNUMBER(C301))),"Needs month/pages","OK")))))</f>
        <v/>
      </c>
      <c r="J301" s="10">
        <f>IF(I301="","",IF(I301="OK",IF(COUNTIFS(H302:H$3001,H301,B302:B$3001,B301,G302:G$3001,"")=0,C301,0),0))</f>
        <v/>
      </c>
    </row>
    <row r="302">
      <c r="A302" s="6" t="n"/>
      <c r="B302" s="9" t="n"/>
      <c r="C302" s="6" t="n"/>
      <c r="D302" s="6" t="n"/>
      <c r="E302" s="6" t="n"/>
      <c r="F302" s="6" t="n"/>
      <c r="G302" s="6" t="n"/>
      <c r="H302" s="10">
        <f>IF(F302="","",IFERROR(INDEX(Roster!$A$2:$A$600,MATCH(F302,Roster!$E$2:$E$600,0)),""))</f>
        <v/>
      </c>
      <c r="I302" s="10">
        <f>IF(AND(D302="",C302="",F302=""),"",IF(G302&lt;&gt;"","Void",IF(F302="","Needs child",IF(H302="","Child not found",IF(OR(B302="",NOT(ISNUMBER(C302))),"Needs month/pages","OK")))))</f>
        <v/>
      </c>
      <c r="J302" s="10">
        <f>IF(I302="","",IF(I302="OK",IF(COUNTIFS(H303:H$3001,H302,B303:B$3001,B302,G303:G$3001,"")=0,C302,0),0))</f>
        <v/>
      </c>
    </row>
    <row r="303">
      <c r="A303" s="6" t="n"/>
      <c r="B303" s="9" t="n"/>
      <c r="C303" s="6" t="n"/>
      <c r="D303" s="6" t="n"/>
      <c r="E303" s="6" t="n"/>
      <c r="F303" s="6" t="n"/>
      <c r="G303" s="6" t="n"/>
      <c r="H303" s="10">
        <f>IF(F303="","",IFERROR(INDEX(Roster!$A$2:$A$600,MATCH(F303,Roster!$E$2:$E$600,0)),""))</f>
        <v/>
      </c>
      <c r="I303" s="10">
        <f>IF(AND(D303="",C303="",F303=""),"",IF(G303&lt;&gt;"","Void",IF(F303="","Needs child",IF(H303="","Child not found",IF(OR(B303="",NOT(ISNUMBER(C303))),"Needs month/pages","OK")))))</f>
        <v/>
      </c>
      <c r="J303" s="10">
        <f>IF(I303="","",IF(I303="OK",IF(COUNTIFS(H304:H$3001,H303,B304:B$3001,B303,G304:G$3001,"")=0,C303,0),0))</f>
        <v/>
      </c>
    </row>
    <row r="304">
      <c r="A304" s="6" t="n"/>
      <c r="B304" s="9" t="n"/>
      <c r="C304" s="6" t="n"/>
      <c r="D304" s="6" t="n"/>
      <c r="E304" s="6" t="n"/>
      <c r="F304" s="6" t="n"/>
      <c r="G304" s="6" t="n"/>
      <c r="H304" s="10">
        <f>IF(F304="","",IFERROR(INDEX(Roster!$A$2:$A$600,MATCH(F304,Roster!$E$2:$E$600,0)),""))</f>
        <v/>
      </c>
      <c r="I304" s="10">
        <f>IF(AND(D304="",C304="",F304=""),"",IF(G304&lt;&gt;"","Void",IF(F304="","Needs child",IF(H304="","Child not found",IF(OR(B304="",NOT(ISNUMBER(C304))),"Needs month/pages","OK")))))</f>
        <v/>
      </c>
      <c r="J304" s="10">
        <f>IF(I304="","",IF(I304="OK",IF(COUNTIFS(H305:H$3001,H304,B305:B$3001,B304,G305:G$3001,"")=0,C304,0),0))</f>
        <v/>
      </c>
    </row>
    <row r="305">
      <c r="A305" s="6" t="n"/>
      <c r="B305" s="9" t="n"/>
      <c r="C305" s="6" t="n"/>
      <c r="D305" s="6" t="n"/>
      <c r="E305" s="6" t="n"/>
      <c r="F305" s="6" t="n"/>
      <c r="G305" s="6" t="n"/>
      <c r="H305" s="10">
        <f>IF(F305="","",IFERROR(INDEX(Roster!$A$2:$A$600,MATCH(F305,Roster!$E$2:$E$600,0)),""))</f>
        <v/>
      </c>
      <c r="I305" s="10">
        <f>IF(AND(D305="",C305="",F305=""),"",IF(G305&lt;&gt;"","Void",IF(F305="","Needs child",IF(H305="","Child not found",IF(OR(B305="",NOT(ISNUMBER(C305))),"Needs month/pages","OK")))))</f>
        <v/>
      </c>
      <c r="J305" s="10">
        <f>IF(I305="","",IF(I305="OK",IF(COUNTIFS(H306:H$3001,H305,B306:B$3001,B305,G306:G$3001,"")=0,C305,0),0))</f>
        <v/>
      </c>
    </row>
    <row r="306">
      <c r="A306" s="6" t="n"/>
      <c r="B306" s="9" t="n"/>
      <c r="C306" s="6" t="n"/>
      <c r="D306" s="6" t="n"/>
      <c r="E306" s="6" t="n"/>
      <c r="F306" s="6" t="n"/>
      <c r="G306" s="6" t="n"/>
      <c r="H306" s="10">
        <f>IF(F306="","",IFERROR(INDEX(Roster!$A$2:$A$600,MATCH(F306,Roster!$E$2:$E$600,0)),""))</f>
        <v/>
      </c>
      <c r="I306" s="10">
        <f>IF(AND(D306="",C306="",F306=""),"",IF(G306&lt;&gt;"","Void",IF(F306="","Needs child",IF(H306="","Child not found",IF(OR(B306="",NOT(ISNUMBER(C306))),"Needs month/pages","OK")))))</f>
        <v/>
      </c>
      <c r="J306" s="10">
        <f>IF(I306="","",IF(I306="OK",IF(COUNTIFS(H307:H$3001,H306,B307:B$3001,B306,G307:G$3001,"")=0,C306,0),0))</f>
        <v/>
      </c>
    </row>
    <row r="307">
      <c r="A307" s="6" t="n"/>
      <c r="B307" s="9" t="n"/>
      <c r="C307" s="6" t="n"/>
      <c r="D307" s="6" t="n"/>
      <c r="E307" s="6" t="n"/>
      <c r="F307" s="6" t="n"/>
      <c r="G307" s="6" t="n"/>
      <c r="H307" s="10">
        <f>IF(F307="","",IFERROR(INDEX(Roster!$A$2:$A$600,MATCH(F307,Roster!$E$2:$E$600,0)),""))</f>
        <v/>
      </c>
      <c r="I307" s="10">
        <f>IF(AND(D307="",C307="",F307=""),"",IF(G307&lt;&gt;"","Void",IF(F307="","Needs child",IF(H307="","Child not found",IF(OR(B307="",NOT(ISNUMBER(C307))),"Needs month/pages","OK")))))</f>
        <v/>
      </c>
      <c r="J307" s="10">
        <f>IF(I307="","",IF(I307="OK",IF(COUNTIFS(H308:H$3001,H307,B308:B$3001,B307,G308:G$3001,"")=0,C307,0),0))</f>
        <v/>
      </c>
    </row>
    <row r="308">
      <c r="A308" s="6" t="n"/>
      <c r="B308" s="9" t="n"/>
      <c r="C308" s="6" t="n"/>
      <c r="D308" s="6" t="n"/>
      <c r="E308" s="6" t="n"/>
      <c r="F308" s="6" t="n"/>
      <c r="G308" s="6" t="n"/>
      <c r="H308" s="10">
        <f>IF(F308="","",IFERROR(INDEX(Roster!$A$2:$A$600,MATCH(F308,Roster!$E$2:$E$600,0)),""))</f>
        <v/>
      </c>
      <c r="I308" s="10">
        <f>IF(AND(D308="",C308="",F308=""),"",IF(G308&lt;&gt;"","Void",IF(F308="","Needs child",IF(H308="","Child not found",IF(OR(B308="",NOT(ISNUMBER(C308))),"Needs month/pages","OK")))))</f>
        <v/>
      </c>
      <c r="J308" s="10">
        <f>IF(I308="","",IF(I308="OK",IF(COUNTIFS(H309:H$3001,H308,B309:B$3001,B308,G309:G$3001,"")=0,C308,0),0))</f>
        <v/>
      </c>
    </row>
    <row r="309">
      <c r="A309" s="6" t="n"/>
      <c r="B309" s="9" t="n"/>
      <c r="C309" s="6" t="n"/>
      <c r="D309" s="6" t="n"/>
      <c r="E309" s="6" t="n"/>
      <c r="F309" s="6" t="n"/>
      <c r="G309" s="6" t="n"/>
      <c r="H309" s="10">
        <f>IF(F309="","",IFERROR(INDEX(Roster!$A$2:$A$600,MATCH(F309,Roster!$E$2:$E$600,0)),""))</f>
        <v/>
      </c>
      <c r="I309" s="10">
        <f>IF(AND(D309="",C309="",F309=""),"",IF(G309&lt;&gt;"","Void",IF(F309="","Needs child",IF(H309="","Child not found",IF(OR(B309="",NOT(ISNUMBER(C309))),"Needs month/pages","OK")))))</f>
        <v/>
      </c>
      <c r="J309" s="10">
        <f>IF(I309="","",IF(I309="OK",IF(COUNTIFS(H310:H$3001,H309,B310:B$3001,B309,G310:G$3001,"")=0,C309,0),0))</f>
        <v/>
      </c>
    </row>
    <row r="310">
      <c r="A310" s="6" t="n"/>
      <c r="B310" s="9" t="n"/>
      <c r="C310" s="6" t="n"/>
      <c r="D310" s="6" t="n"/>
      <c r="E310" s="6" t="n"/>
      <c r="F310" s="6" t="n"/>
      <c r="G310" s="6" t="n"/>
      <c r="H310" s="10">
        <f>IF(F310="","",IFERROR(INDEX(Roster!$A$2:$A$600,MATCH(F310,Roster!$E$2:$E$600,0)),""))</f>
        <v/>
      </c>
      <c r="I310" s="10">
        <f>IF(AND(D310="",C310="",F310=""),"",IF(G310&lt;&gt;"","Void",IF(F310="","Needs child",IF(H310="","Child not found",IF(OR(B310="",NOT(ISNUMBER(C310))),"Needs month/pages","OK")))))</f>
        <v/>
      </c>
      <c r="J310" s="10">
        <f>IF(I310="","",IF(I310="OK",IF(COUNTIFS(H311:H$3001,H310,B311:B$3001,B310,G311:G$3001,"")=0,C310,0),0))</f>
        <v/>
      </c>
    </row>
    <row r="311">
      <c r="A311" s="6" t="n"/>
      <c r="B311" s="9" t="n"/>
      <c r="C311" s="6" t="n"/>
      <c r="D311" s="6" t="n"/>
      <c r="E311" s="6" t="n"/>
      <c r="F311" s="6" t="n"/>
      <c r="G311" s="6" t="n"/>
      <c r="H311" s="10">
        <f>IF(F311="","",IFERROR(INDEX(Roster!$A$2:$A$600,MATCH(F311,Roster!$E$2:$E$600,0)),""))</f>
        <v/>
      </c>
      <c r="I311" s="10">
        <f>IF(AND(D311="",C311="",F311=""),"",IF(G311&lt;&gt;"","Void",IF(F311="","Needs child",IF(H311="","Child not found",IF(OR(B311="",NOT(ISNUMBER(C311))),"Needs month/pages","OK")))))</f>
        <v/>
      </c>
      <c r="J311" s="10">
        <f>IF(I311="","",IF(I311="OK",IF(COUNTIFS(H312:H$3001,H311,B312:B$3001,B311,G312:G$3001,"")=0,C311,0),0))</f>
        <v/>
      </c>
    </row>
    <row r="312">
      <c r="A312" s="6" t="n"/>
      <c r="B312" s="9" t="n"/>
      <c r="C312" s="6" t="n"/>
      <c r="D312" s="6" t="n"/>
      <c r="E312" s="6" t="n"/>
      <c r="F312" s="6" t="n"/>
      <c r="G312" s="6" t="n"/>
      <c r="H312" s="10">
        <f>IF(F312="","",IFERROR(INDEX(Roster!$A$2:$A$600,MATCH(F312,Roster!$E$2:$E$600,0)),""))</f>
        <v/>
      </c>
      <c r="I312" s="10">
        <f>IF(AND(D312="",C312="",F312=""),"",IF(G312&lt;&gt;"","Void",IF(F312="","Needs child",IF(H312="","Child not found",IF(OR(B312="",NOT(ISNUMBER(C312))),"Needs month/pages","OK")))))</f>
        <v/>
      </c>
      <c r="J312" s="10">
        <f>IF(I312="","",IF(I312="OK",IF(COUNTIFS(H313:H$3001,H312,B313:B$3001,B312,G313:G$3001,"")=0,C312,0),0))</f>
        <v/>
      </c>
    </row>
    <row r="313">
      <c r="A313" s="6" t="n"/>
      <c r="B313" s="9" t="n"/>
      <c r="C313" s="6" t="n"/>
      <c r="D313" s="6" t="n"/>
      <c r="E313" s="6" t="n"/>
      <c r="F313" s="6" t="n"/>
      <c r="G313" s="6" t="n"/>
      <c r="H313" s="10">
        <f>IF(F313="","",IFERROR(INDEX(Roster!$A$2:$A$600,MATCH(F313,Roster!$E$2:$E$600,0)),""))</f>
        <v/>
      </c>
      <c r="I313" s="10">
        <f>IF(AND(D313="",C313="",F313=""),"",IF(G313&lt;&gt;"","Void",IF(F313="","Needs child",IF(H313="","Child not found",IF(OR(B313="",NOT(ISNUMBER(C313))),"Needs month/pages","OK")))))</f>
        <v/>
      </c>
      <c r="J313" s="10">
        <f>IF(I313="","",IF(I313="OK",IF(COUNTIFS(H314:H$3001,H313,B314:B$3001,B313,G314:G$3001,"")=0,C313,0),0))</f>
        <v/>
      </c>
    </row>
    <row r="314">
      <c r="A314" s="6" t="n"/>
      <c r="B314" s="9" t="n"/>
      <c r="C314" s="6" t="n"/>
      <c r="D314" s="6" t="n"/>
      <c r="E314" s="6" t="n"/>
      <c r="F314" s="6" t="n"/>
      <c r="G314" s="6" t="n"/>
      <c r="H314" s="10">
        <f>IF(F314="","",IFERROR(INDEX(Roster!$A$2:$A$600,MATCH(F314,Roster!$E$2:$E$600,0)),""))</f>
        <v/>
      </c>
      <c r="I314" s="10">
        <f>IF(AND(D314="",C314="",F314=""),"",IF(G314&lt;&gt;"","Void",IF(F314="","Needs child",IF(H314="","Child not found",IF(OR(B314="",NOT(ISNUMBER(C314))),"Needs month/pages","OK")))))</f>
        <v/>
      </c>
      <c r="J314" s="10">
        <f>IF(I314="","",IF(I314="OK",IF(COUNTIFS(H315:H$3001,H314,B315:B$3001,B314,G315:G$3001,"")=0,C314,0),0))</f>
        <v/>
      </c>
    </row>
    <row r="315">
      <c r="A315" s="6" t="n"/>
      <c r="B315" s="9" t="n"/>
      <c r="C315" s="6" t="n"/>
      <c r="D315" s="6" t="n"/>
      <c r="E315" s="6" t="n"/>
      <c r="F315" s="6" t="n"/>
      <c r="G315" s="6" t="n"/>
      <c r="H315" s="10">
        <f>IF(F315="","",IFERROR(INDEX(Roster!$A$2:$A$600,MATCH(F315,Roster!$E$2:$E$600,0)),""))</f>
        <v/>
      </c>
      <c r="I315" s="10">
        <f>IF(AND(D315="",C315="",F315=""),"",IF(G315&lt;&gt;"","Void",IF(F315="","Needs child",IF(H315="","Child not found",IF(OR(B315="",NOT(ISNUMBER(C315))),"Needs month/pages","OK")))))</f>
        <v/>
      </c>
      <c r="J315" s="10">
        <f>IF(I315="","",IF(I315="OK",IF(COUNTIFS(H316:H$3001,H315,B316:B$3001,B315,G316:G$3001,"")=0,C315,0),0))</f>
        <v/>
      </c>
    </row>
    <row r="316">
      <c r="A316" s="6" t="n"/>
      <c r="B316" s="9" t="n"/>
      <c r="C316" s="6" t="n"/>
      <c r="D316" s="6" t="n"/>
      <c r="E316" s="6" t="n"/>
      <c r="F316" s="6" t="n"/>
      <c r="G316" s="6" t="n"/>
      <c r="H316" s="10">
        <f>IF(F316="","",IFERROR(INDEX(Roster!$A$2:$A$600,MATCH(F316,Roster!$E$2:$E$600,0)),""))</f>
        <v/>
      </c>
      <c r="I316" s="10">
        <f>IF(AND(D316="",C316="",F316=""),"",IF(G316&lt;&gt;"","Void",IF(F316="","Needs child",IF(H316="","Child not found",IF(OR(B316="",NOT(ISNUMBER(C316))),"Needs month/pages","OK")))))</f>
        <v/>
      </c>
      <c r="J316" s="10">
        <f>IF(I316="","",IF(I316="OK",IF(COUNTIFS(H317:H$3001,H316,B317:B$3001,B316,G317:G$3001,"")=0,C316,0),0))</f>
        <v/>
      </c>
    </row>
    <row r="317">
      <c r="A317" s="6" t="n"/>
      <c r="B317" s="9" t="n"/>
      <c r="C317" s="6" t="n"/>
      <c r="D317" s="6" t="n"/>
      <c r="E317" s="6" t="n"/>
      <c r="F317" s="6" t="n"/>
      <c r="G317" s="6" t="n"/>
      <c r="H317" s="10">
        <f>IF(F317="","",IFERROR(INDEX(Roster!$A$2:$A$600,MATCH(F317,Roster!$E$2:$E$600,0)),""))</f>
        <v/>
      </c>
      <c r="I317" s="10">
        <f>IF(AND(D317="",C317="",F317=""),"",IF(G317&lt;&gt;"","Void",IF(F317="","Needs child",IF(H317="","Child not found",IF(OR(B317="",NOT(ISNUMBER(C317))),"Needs month/pages","OK")))))</f>
        <v/>
      </c>
      <c r="J317" s="10">
        <f>IF(I317="","",IF(I317="OK",IF(COUNTIFS(H318:H$3001,H317,B318:B$3001,B317,G318:G$3001,"")=0,C317,0),0))</f>
        <v/>
      </c>
    </row>
    <row r="318">
      <c r="A318" s="6" t="n"/>
      <c r="B318" s="9" t="n"/>
      <c r="C318" s="6" t="n"/>
      <c r="D318" s="6" t="n"/>
      <c r="E318" s="6" t="n"/>
      <c r="F318" s="6" t="n"/>
      <c r="G318" s="6" t="n"/>
      <c r="H318" s="10">
        <f>IF(F318="","",IFERROR(INDEX(Roster!$A$2:$A$600,MATCH(F318,Roster!$E$2:$E$600,0)),""))</f>
        <v/>
      </c>
      <c r="I318" s="10">
        <f>IF(AND(D318="",C318="",F318=""),"",IF(G318&lt;&gt;"","Void",IF(F318="","Needs child",IF(H318="","Child not found",IF(OR(B318="",NOT(ISNUMBER(C318))),"Needs month/pages","OK")))))</f>
        <v/>
      </c>
      <c r="J318" s="10">
        <f>IF(I318="","",IF(I318="OK",IF(COUNTIFS(H319:H$3001,H318,B319:B$3001,B318,G319:G$3001,"")=0,C318,0),0))</f>
        <v/>
      </c>
    </row>
    <row r="319">
      <c r="A319" s="6" t="n"/>
      <c r="B319" s="9" t="n"/>
      <c r="C319" s="6" t="n"/>
      <c r="D319" s="6" t="n"/>
      <c r="E319" s="6" t="n"/>
      <c r="F319" s="6" t="n"/>
      <c r="G319" s="6" t="n"/>
      <c r="H319" s="10">
        <f>IF(F319="","",IFERROR(INDEX(Roster!$A$2:$A$600,MATCH(F319,Roster!$E$2:$E$600,0)),""))</f>
        <v/>
      </c>
      <c r="I319" s="10">
        <f>IF(AND(D319="",C319="",F319=""),"",IF(G319&lt;&gt;"","Void",IF(F319="","Needs child",IF(H319="","Child not found",IF(OR(B319="",NOT(ISNUMBER(C319))),"Needs month/pages","OK")))))</f>
        <v/>
      </c>
      <c r="J319" s="10">
        <f>IF(I319="","",IF(I319="OK",IF(COUNTIFS(H320:H$3001,H319,B320:B$3001,B319,G320:G$3001,"")=0,C319,0),0))</f>
        <v/>
      </c>
    </row>
    <row r="320">
      <c r="A320" s="6" t="n"/>
      <c r="B320" s="9" t="n"/>
      <c r="C320" s="6" t="n"/>
      <c r="D320" s="6" t="n"/>
      <c r="E320" s="6" t="n"/>
      <c r="F320" s="6" t="n"/>
      <c r="G320" s="6" t="n"/>
      <c r="H320" s="10">
        <f>IF(F320="","",IFERROR(INDEX(Roster!$A$2:$A$600,MATCH(F320,Roster!$E$2:$E$600,0)),""))</f>
        <v/>
      </c>
      <c r="I320" s="10">
        <f>IF(AND(D320="",C320="",F320=""),"",IF(G320&lt;&gt;"","Void",IF(F320="","Needs child",IF(H320="","Child not found",IF(OR(B320="",NOT(ISNUMBER(C320))),"Needs month/pages","OK")))))</f>
        <v/>
      </c>
      <c r="J320" s="10">
        <f>IF(I320="","",IF(I320="OK",IF(COUNTIFS(H321:H$3001,H320,B321:B$3001,B320,G321:G$3001,"")=0,C320,0),0))</f>
        <v/>
      </c>
    </row>
    <row r="321">
      <c r="A321" s="6" t="n"/>
      <c r="B321" s="9" t="n"/>
      <c r="C321" s="6" t="n"/>
      <c r="D321" s="6" t="n"/>
      <c r="E321" s="6" t="n"/>
      <c r="F321" s="6" t="n"/>
      <c r="G321" s="6" t="n"/>
      <c r="H321" s="10">
        <f>IF(F321="","",IFERROR(INDEX(Roster!$A$2:$A$600,MATCH(F321,Roster!$E$2:$E$600,0)),""))</f>
        <v/>
      </c>
      <c r="I321" s="10">
        <f>IF(AND(D321="",C321="",F321=""),"",IF(G321&lt;&gt;"","Void",IF(F321="","Needs child",IF(H321="","Child not found",IF(OR(B321="",NOT(ISNUMBER(C321))),"Needs month/pages","OK")))))</f>
        <v/>
      </c>
      <c r="J321" s="10">
        <f>IF(I321="","",IF(I321="OK",IF(COUNTIFS(H322:H$3001,H321,B322:B$3001,B321,G322:G$3001,"")=0,C321,0),0))</f>
        <v/>
      </c>
    </row>
    <row r="322">
      <c r="A322" s="6" t="n"/>
      <c r="B322" s="9" t="n"/>
      <c r="C322" s="6" t="n"/>
      <c r="D322" s="6" t="n"/>
      <c r="E322" s="6" t="n"/>
      <c r="F322" s="6" t="n"/>
      <c r="G322" s="6" t="n"/>
      <c r="H322" s="10">
        <f>IF(F322="","",IFERROR(INDEX(Roster!$A$2:$A$600,MATCH(F322,Roster!$E$2:$E$600,0)),""))</f>
        <v/>
      </c>
      <c r="I322" s="10">
        <f>IF(AND(D322="",C322="",F322=""),"",IF(G322&lt;&gt;"","Void",IF(F322="","Needs child",IF(H322="","Child not found",IF(OR(B322="",NOT(ISNUMBER(C322))),"Needs month/pages","OK")))))</f>
        <v/>
      </c>
      <c r="J322" s="10">
        <f>IF(I322="","",IF(I322="OK",IF(COUNTIFS(H323:H$3001,H322,B323:B$3001,B322,G323:G$3001,"")=0,C322,0),0))</f>
        <v/>
      </c>
    </row>
    <row r="323">
      <c r="A323" s="6" t="n"/>
      <c r="B323" s="9" t="n"/>
      <c r="C323" s="6" t="n"/>
      <c r="D323" s="6" t="n"/>
      <c r="E323" s="6" t="n"/>
      <c r="F323" s="6" t="n"/>
      <c r="G323" s="6" t="n"/>
      <c r="H323" s="10">
        <f>IF(F323="","",IFERROR(INDEX(Roster!$A$2:$A$600,MATCH(F323,Roster!$E$2:$E$600,0)),""))</f>
        <v/>
      </c>
      <c r="I323" s="10">
        <f>IF(AND(D323="",C323="",F323=""),"",IF(G323&lt;&gt;"","Void",IF(F323="","Needs child",IF(H323="","Child not found",IF(OR(B323="",NOT(ISNUMBER(C323))),"Needs month/pages","OK")))))</f>
        <v/>
      </c>
      <c r="J323" s="10">
        <f>IF(I323="","",IF(I323="OK",IF(COUNTIFS(H324:H$3001,H323,B324:B$3001,B323,G324:G$3001,"")=0,C323,0),0))</f>
        <v/>
      </c>
    </row>
    <row r="324">
      <c r="A324" s="6" t="n"/>
      <c r="B324" s="9" t="n"/>
      <c r="C324" s="6" t="n"/>
      <c r="D324" s="6" t="n"/>
      <c r="E324" s="6" t="n"/>
      <c r="F324" s="6" t="n"/>
      <c r="G324" s="6" t="n"/>
      <c r="H324" s="10">
        <f>IF(F324="","",IFERROR(INDEX(Roster!$A$2:$A$600,MATCH(F324,Roster!$E$2:$E$600,0)),""))</f>
        <v/>
      </c>
      <c r="I324" s="10">
        <f>IF(AND(D324="",C324="",F324=""),"",IF(G324&lt;&gt;"","Void",IF(F324="","Needs child",IF(H324="","Child not found",IF(OR(B324="",NOT(ISNUMBER(C324))),"Needs month/pages","OK")))))</f>
        <v/>
      </c>
      <c r="J324" s="10">
        <f>IF(I324="","",IF(I324="OK",IF(COUNTIFS(H325:H$3001,H324,B325:B$3001,B324,G325:G$3001,"")=0,C324,0),0))</f>
        <v/>
      </c>
    </row>
    <row r="325">
      <c r="A325" s="6" t="n"/>
      <c r="B325" s="9" t="n"/>
      <c r="C325" s="6" t="n"/>
      <c r="D325" s="6" t="n"/>
      <c r="E325" s="6" t="n"/>
      <c r="F325" s="6" t="n"/>
      <c r="G325" s="6" t="n"/>
      <c r="H325" s="10">
        <f>IF(F325="","",IFERROR(INDEX(Roster!$A$2:$A$600,MATCH(F325,Roster!$E$2:$E$600,0)),""))</f>
        <v/>
      </c>
      <c r="I325" s="10">
        <f>IF(AND(D325="",C325="",F325=""),"",IF(G325&lt;&gt;"","Void",IF(F325="","Needs child",IF(H325="","Child not found",IF(OR(B325="",NOT(ISNUMBER(C325))),"Needs month/pages","OK")))))</f>
        <v/>
      </c>
      <c r="J325" s="10">
        <f>IF(I325="","",IF(I325="OK",IF(COUNTIFS(H326:H$3001,H325,B326:B$3001,B325,G326:G$3001,"")=0,C325,0),0))</f>
        <v/>
      </c>
    </row>
    <row r="326">
      <c r="A326" s="6" t="n"/>
      <c r="B326" s="9" t="n"/>
      <c r="C326" s="6" t="n"/>
      <c r="D326" s="6" t="n"/>
      <c r="E326" s="6" t="n"/>
      <c r="F326" s="6" t="n"/>
      <c r="G326" s="6" t="n"/>
      <c r="H326" s="10">
        <f>IF(F326="","",IFERROR(INDEX(Roster!$A$2:$A$600,MATCH(F326,Roster!$E$2:$E$600,0)),""))</f>
        <v/>
      </c>
      <c r="I326" s="10">
        <f>IF(AND(D326="",C326="",F326=""),"",IF(G326&lt;&gt;"","Void",IF(F326="","Needs child",IF(H326="","Child not found",IF(OR(B326="",NOT(ISNUMBER(C326))),"Needs month/pages","OK")))))</f>
        <v/>
      </c>
      <c r="J326" s="10">
        <f>IF(I326="","",IF(I326="OK",IF(COUNTIFS(H327:H$3001,H326,B327:B$3001,B326,G327:G$3001,"")=0,C326,0),0))</f>
        <v/>
      </c>
    </row>
    <row r="327">
      <c r="A327" s="6" t="n"/>
      <c r="B327" s="9" t="n"/>
      <c r="C327" s="6" t="n"/>
      <c r="D327" s="6" t="n"/>
      <c r="E327" s="6" t="n"/>
      <c r="F327" s="6" t="n"/>
      <c r="G327" s="6" t="n"/>
      <c r="H327" s="10">
        <f>IF(F327="","",IFERROR(INDEX(Roster!$A$2:$A$600,MATCH(F327,Roster!$E$2:$E$600,0)),""))</f>
        <v/>
      </c>
      <c r="I327" s="10">
        <f>IF(AND(D327="",C327="",F327=""),"",IF(G327&lt;&gt;"","Void",IF(F327="","Needs child",IF(H327="","Child not found",IF(OR(B327="",NOT(ISNUMBER(C327))),"Needs month/pages","OK")))))</f>
        <v/>
      </c>
      <c r="J327" s="10">
        <f>IF(I327="","",IF(I327="OK",IF(COUNTIFS(H328:H$3001,H327,B328:B$3001,B327,G328:G$3001,"")=0,C327,0),0))</f>
        <v/>
      </c>
    </row>
    <row r="328">
      <c r="A328" s="6" t="n"/>
      <c r="B328" s="9" t="n"/>
      <c r="C328" s="6" t="n"/>
      <c r="D328" s="6" t="n"/>
      <c r="E328" s="6" t="n"/>
      <c r="F328" s="6" t="n"/>
      <c r="G328" s="6" t="n"/>
      <c r="H328" s="10">
        <f>IF(F328="","",IFERROR(INDEX(Roster!$A$2:$A$600,MATCH(F328,Roster!$E$2:$E$600,0)),""))</f>
        <v/>
      </c>
      <c r="I328" s="10">
        <f>IF(AND(D328="",C328="",F328=""),"",IF(G328&lt;&gt;"","Void",IF(F328="","Needs child",IF(H328="","Child not found",IF(OR(B328="",NOT(ISNUMBER(C328))),"Needs month/pages","OK")))))</f>
        <v/>
      </c>
      <c r="J328" s="10">
        <f>IF(I328="","",IF(I328="OK",IF(COUNTIFS(H329:H$3001,H328,B329:B$3001,B328,G329:G$3001,"")=0,C328,0),0))</f>
        <v/>
      </c>
    </row>
    <row r="329">
      <c r="A329" s="6" t="n"/>
      <c r="B329" s="9" t="n"/>
      <c r="C329" s="6" t="n"/>
      <c r="D329" s="6" t="n"/>
      <c r="E329" s="6" t="n"/>
      <c r="F329" s="6" t="n"/>
      <c r="G329" s="6" t="n"/>
      <c r="H329" s="10">
        <f>IF(F329="","",IFERROR(INDEX(Roster!$A$2:$A$600,MATCH(F329,Roster!$E$2:$E$600,0)),""))</f>
        <v/>
      </c>
      <c r="I329" s="10">
        <f>IF(AND(D329="",C329="",F329=""),"",IF(G329&lt;&gt;"","Void",IF(F329="","Needs child",IF(H329="","Child not found",IF(OR(B329="",NOT(ISNUMBER(C329))),"Needs month/pages","OK")))))</f>
        <v/>
      </c>
      <c r="J329" s="10">
        <f>IF(I329="","",IF(I329="OK",IF(COUNTIFS(H330:H$3001,H329,B330:B$3001,B329,G330:G$3001,"")=0,C329,0),0))</f>
        <v/>
      </c>
    </row>
    <row r="330">
      <c r="A330" s="6" t="n"/>
      <c r="B330" s="9" t="n"/>
      <c r="C330" s="6" t="n"/>
      <c r="D330" s="6" t="n"/>
      <c r="E330" s="6" t="n"/>
      <c r="F330" s="6" t="n"/>
      <c r="G330" s="6" t="n"/>
      <c r="H330" s="10">
        <f>IF(F330="","",IFERROR(INDEX(Roster!$A$2:$A$600,MATCH(F330,Roster!$E$2:$E$600,0)),""))</f>
        <v/>
      </c>
      <c r="I330" s="10">
        <f>IF(AND(D330="",C330="",F330=""),"",IF(G330&lt;&gt;"","Void",IF(F330="","Needs child",IF(H330="","Child not found",IF(OR(B330="",NOT(ISNUMBER(C330))),"Needs month/pages","OK")))))</f>
        <v/>
      </c>
      <c r="J330" s="10">
        <f>IF(I330="","",IF(I330="OK",IF(COUNTIFS(H331:H$3001,H330,B331:B$3001,B330,G331:G$3001,"")=0,C330,0),0))</f>
        <v/>
      </c>
    </row>
    <row r="331">
      <c r="A331" s="6" t="n"/>
      <c r="B331" s="9" t="n"/>
      <c r="C331" s="6" t="n"/>
      <c r="D331" s="6" t="n"/>
      <c r="E331" s="6" t="n"/>
      <c r="F331" s="6" t="n"/>
      <c r="G331" s="6" t="n"/>
      <c r="H331" s="10">
        <f>IF(F331="","",IFERROR(INDEX(Roster!$A$2:$A$600,MATCH(F331,Roster!$E$2:$E$600,0)),""))</f>
        <v/>
      </c>
      <c r="I331" s="10">
        <f>IF(AND(D331="",C331="",F331=""),"",IF(G331&lt;&gt;"","Void",IF(F331="","Needs child",IF(H331="","Child not found",IF(OR(B331="",NOT(ISNUMBER(C331))),"Needs month/pages","OK")))))</f>
        <v/>
      </c>
      <c r="J331" s="10">
        <f>IF(I331="","",IF(I331="OK",IF(COUNTIFS(H332:H$3001,H331,B332:B$3001,B331,G332:G$3001,"")=0,C331,0),0))</f>
        <v/>
      </c>
    </row>
    <row r="332">
      <c r="A332" s="6" t="n"/>
      <c r="B332" s="9" t="n"/>
      <c r="C332" s="6" t="n"/>
      <c r="D332" s="6" t="n"/>
      <c r="E332" s="6" t="n"/>
      <c r="F332" s="6" t="n"/>
      <c r="G332" s="6" t="n"/>
      <c r="H332" s="10">
        <f>IF(F332="","",IFERROR(INDEX(Roster!$A$2:$A$600,MATCH(F332,Roster!$E$2:$E$600,0)),""))</f>
        <v/>
      </c>
      <c r="I332" s="10">
        <f>IF(AND(D332="",C332="",F332=""),"",IF(G332&lt;&gt;"","Void",IF(F332="","Needs child",IF(H332="","Child not found",IF(OR(B332="",NOT(ISNUMBER(C332))),"Needs month/pages","OK")))))</f>
        <v/>
      </c>
      <c r="J332" s="10">
        <f>IF(I332="","",IF(I332="OK",IF(COUNTIFS(H333:H$3001,H332,B333:B$3001,B332,G333:G$3001,"")=0,C332,0),0))</f>
        <v/>
      </c>
    </row>
    <row r="333">
      <c r="A333" s="6" t="n"/>
      <c r="B333" s="9" t="n"/>
      <c r="C333" s="6" t="n"/>
      <c r="D333" s="6" t="n"/>
      <c r="E333" s="6" t="n"/>
      <c r="F333" s="6" t="n"/>
      <c r="G333" s="6" t="n"/>
      <c r="H333" s="10">
        <f>IF(F333="","",IFERROR(INDEX(Roster!$A$2:$A$600,MATCH(F333,Roster!$E$2:$E$600,0)),""))</f>
        <v/>
      </c>
      <c r="I333" s="10">
        <f>IF(AND(D333="",C333="",F333=""),"",IF(G333&lt;&gt;"","Void",IF(F333="","Needs child",IF(H333="","Child not found",IF(OR(B333="",NOT(ISNUMBER(C333))),"Needs month/pages","OK")))))</f>
        <v/>
      </c>
      <c r="J333" s="10">
        <f>IF(I333="","",IF(I333="OK",IF(COUNTIFS(H334:H$3001,H333,B334:B$3001,B333,G334:G$3001,"")=0,C333,0),0))</f>
        <v/>
      </c>
    </row>
    <row r="334">
      <c r="A334" s="6" t="n"/>
      <c r="B334" s="9" t="n"/>
      <c r="C334" s="6" t="n"/>
      <c r="D334" s="6" t="n"/>
      <c r="E334" s="6" t="n"/>
      <c r="F334" s="6" t="n"/>
      <c r="G334" s="6" t="n"/>
      <c r="H334" s="10">
        <f>IF(F334="","",IFERROR(INDEX(Roster!$A$2:$A$600,MATCH(F334,Roster!$E$2:$E$600,0)),""))</f>
        <v/>
      </c>
      <c r="I334" s="10">
        <f>IF(AND(D334="",C334="",F334=""),"",IF(G334&lt;&gt;"","Void",IF(F334="","Needs child",IF(H334="","Child not found",IF(OR(B334="",NOT(ISNUMBER(C334))),"Needs month/pages","OK")))))</f>
        <v/>
      </c>
      <c r="J334" s="10">
        <f>IF(I334="","",IF(I334="OK",IF(COUNTIFS(H335:H$3001,H334,B335:B$3001,B334,G335:G$3001,"")=0,C334,0),0))</f>
        <v/>
      </c>
    </row>
    <row r="335">
      <c r="A335" s="6" t="n"/>
      <c r="B335" s="9" t="n"/>
      <c r="C335" s="6" t="n"/>
      <c r="D335" s="6" t="n"/>
      <c r="E335" s="6" t="n"/>
      <c r="F335" s="6" t="n"/>
      <c r="G335" s="6" t="n"/>
      <c r="H335" s="10">
        <f>IF(F335="","",IFERROR(INDEX(Roster!$A$2:$A$600,MATCH(F335,Roster!$E$2:$E$600,0)),""))</f>
        <v/>
      </c>
      <c r="I335" s="10">
        <f>IF(AND(D335="",C335="",F335=""),"",IF(G335&lt;&gt;"","Void",IF(F335="","Needs child",IF(H335="","Child not found",IF(OR(B335="",NOT(ISNUMBER(C335))),"Needs month/pages","OK")))))</f>
        <v/>
      </c>
      <c r="J335" s="10">
        <f>IF(I335="","",IF(I335="OK",IF(COUNTIFS(H336:H$3001,H335,B336:B$3001,B335,G336:G$3001,"")=0,C335,0),0))</f>
        <v/>
      </c>
    </row>
    <row r="336">
      <c r="A336" s="6" t="n"/>
      <c r="B336" s="9" t="n"/>
      <c r="C336" s="6" t="n"/>
      <c r="D336" s="6" t="n"/>
      <c r="E336" s="6" t="n"/>
      <c r="F336" s="6" t="n"/>
      <c r="G336" s="6" t="n"/>
      <c r="H336" s="10">
        <f>IF(F336="","",IFERROR(INDEX(Roster!$A$2:$A$600,MATCH(F336,Roster!$E$2:$E$600,0)),""))</f>
        <v/>
      </c>
      <c r="I336" s="10">
        <f>IF(AND(D336="",C336="",F336=""),"",IF(G336&lt;&gt;"","Void",IF(F336="","Needs child",IF(H336="","Child not found",IF(OR(B336="",NOT(ISNUMBER(C336))),"Needs month/pages","OK")))))</f>
        <v/>
      </c>
      <c r="J336" s="10">
        <f>IF(I336="","",IF(I336="OK",IF(COUNTIFS(H337:H$3001,H336,B337:B$3001,B336,G337:G$3001,"")=0,C336,0),0))</f>
        <v/>
      </c>
    </row>
    <row r="337">
      <c r="A337" s="6" t="n"/>
      <c r="B337" s="9" t="n"/>
      <c r="C337" s="6" t="n"/>
      <c r="D337" s="6" t="n"/>
      <c r="E337" s="6" t="n"/>
      <c r="F337" s="6" t="n"/>
      <c r="G337" s="6" t="n"/>
      <c r="H337" s="10">
        <f>IF(F337="","",IFERROR(INDEX(Roster!$A$2:$A$600,MATCH(F337,Roster!$E$2:$E$600,0)),""))</f>
        <v/>
      </c>
      <c r="I337" s="10">
        <f>IF(AND(D337="",C337="",F337=""),"",IF(G337&lt;&gt;"","Void",IF(F337="","Needs child",IF(H337="","Child not found",IF(OR(B337="",NOT(ISNUMBER(C337))),"Needs month/pages","OK")))))</f>
        <v/>
      </c>
      <c r="J337" s="10">
        <f>IF(I337="","",IF(I337="OK",IF(COUNTIFS(H338:H$3001,H337,B338:B$3001,B337,G338:G$3001,"")=0,C337,0),0))</f>
        <v/>
      </c>
    </row>
    <row r="338">
      <c r="A338" s="6" t="n"/>
      <c r="B338" s="9" t="n"/>
      <c r="C338" s="6" t="n"/>
      <c r="D338" s="6" t="n"/>
      <c r="E338" s="6" t="n"/>
      <c r="F338" s="6" t="n"/>
      <c r="G338" s="6" t="n"/>
      <c r="H338" s="10">
        <f>IF(F338="","",IFERROR(INDEX(Roster!$A$2:$A$600,MATCH(F338,Roster!$E$2:$E$600,0)),""))</f>
        <v/>
      </c>
      <c r="I338" s="10">
        <f>IF(AND(D338="",C338="",F338=""),"",IF(G338&lt;&gt;"","Void",IF(F338="","Needs child",IF(H338="","Child not found",IF(OR(B338="",NOT(ISNUMBER(C338))),"Needs month/pages","OK")))))</f>
        <v/>
      </c>
      <c r="J338" s="10">
        <f>IF(I338="","",IF(I338="OK",IF(COUNTIFS(H339:H$3001,H338,B339:B$3001,B338,G339:G$3001,"")=0,C338,0),0))</f>
        <v/>
      </c>
    </row>
    <row r="339">
      <c r="A339" s="6" t="n"/>
      <c r="B339" s="9" t="n"/>
      <c r="C339" s="6" t="n"/>
      <c r="D339" s="6" t="n"/>
      <c r="E339" s="6" t="n"/>
      <c r="F339" s="6" t="n"/>
      <c r="G339" s="6" t="n"/>
      <c r="H339" s="10">
        <f>IF(F339="","",IFERROR(INDEX(Roster!$A$2:$A$600,MATCH(F339,Roster!$E$2:$E$600,0)),""))</f>
        <v/>
      </c>
      <c r="I339" s="10">
        <f>IF(AND(D339="",C339="",F339=""),"",IF(G339&lt;&gt;"","Void",IF(F339="","Needs child",IF(H339="","Child not found",IF(OR(B339="",NOT(ISNUMBER(C339))),"Needs month/pages","OK")))))</f>
        <v/>
      </c>
      <c r="J339" s="10">
        <f>IF(I339="","",IF(I339="OK",IF(COUNTIFS(H340:H$3001,H339,B340:B$3001,B339,G340:G$3001,"")=0,C339,0),0))</f>
        <v/>
      </c>
    </row>
    <row r="340">
      <c r="A340" s="6" t="n"/>
      <c r="B340" s="9" t="n"/>
      <c r="C340" s="6" t="n"/>
      <c r="D340" s="6" t="n"/>
      <c r="E340" s="6" t="n"/>
      <c r="F340" s="6" t="n"/>
      <c r="G340" s="6" t="n"/>
      <c r="H340" s="10">
        <f>IF(F340="","",IFERROR(INDEX(Roster!$A$2:$A$600,MATCH(F340,Roster!$E$2:$E$600,0)),""))</f>
        <v/>
      </c>
      <c r="I340" s="10">
        <f>IF(AND(D340="",C340="",F340=""),"",IF(G340&lt;&gt;"","Void",IF(F340="","Needs child",IF(H340="","Child not found",IF(OR(B340="",NOT(ISNUMBER(C340))),"Needs month/pages","OK")))))</f>
        <v/>
      </c>
      <c r="J340" s="10">
        <f>IF(I340="","",IF(I340="OK",IF(COUNTIFS(H341:H$3001,H340,B341:B$3001,B340,G341:G$3001,"")=0,C340,0),0))</f>
        <v/>
      </c>
    </row>
    <row r="341">
      <c r="A341" s="6" t="n"/>
      <c r="B341" s="9" t="n"/>
      <c r="C341" s="6" t="n"/>
      <c r="D341" s="6" t="n"/>
      <c r="E341" s="6" t="n"/>
      <c r="F341" s="6" t="n"/>
      <c r="G341" s="6" t="n"/>
      <c r="H341" s="10">
        <f>IF(F341="","",IFERROR(INDEX(Roster!$A$2:$A$600,MATCH(F341,Roster!$E$2:$E$600,0)),""))</f>
        <v/>
      </c>
      <c r="I341" s="10">
        <f>IF(AND(D341="",C341="",F341=""),"",IF(G341&lt;&gt;"","Void",IF(F341="","Needs child",IF(H341="","Child not found",IF(OR(B341="",NOT(ISNUMBER(C341))),"Needs month/pages","OK")))))</f>
        <v/>
      </c>
      <c r="J341" s="10">
        <f>IF(I341="","",IF(I341="OK",IF(COUNTIFS(H342:H$3001,H341,B342:B$3001,B341,G342:G$3001,"")=0,C341,0),0))</f>
        <v/>
      </c>
    </row>
    <row r="342">
      <c r="A342" s="6" t="n"/>
      <c r="B342" s="9" t="n"/>
      <c r="C342" s="6" t="n"/>
      <c r="D342" s="6" t="n"/>
      <c r="E342" s="6" t="n"/>
      <c r="F342" s="6" t="n"/>
      <c r="G342" s="6" t="n"/>
      <c r="H342" s="10">
        <f>IF(F342="","",IFERROR(INDEX(Roster!$A$2:$A$600,MATCH(F342,Roster!$E$2:$E$600,0)),""))</f>
        <v/>
      </c>
      <c r="I342" s="10">
        <f>IF(AND(D342="",C342="",F342=""),"",IF(G342&lt;&gt;"","Void",IF(F342="","Needs child",IF(H342="","Child not found",IF(OR(B342="",NOT(ISNUMBER(C342))),"Needs month/pages","OK")))))</f>
        <v/>
      </c>
      <c r="J342" s="10">
        <f>IF(I342="","",IF(I342="OK",IF(COUNTIFS(H343:H$3001,H342,B343:B$3001,B342,G343:G$3001,"")=0,C342,0),0))</f>
        <v/>
      </c>
    </row>
    <row r="343">
      <c r="A343" s="6" t="n"/>
      <c r="B343" s="9" t="n"/>
      <c r="C343" s="6" t="n"/>
      <c r="D343" s="6" t="n"/>
      <c r="E343" s="6" t="n"/>
      <c r="F343" s="6" t="n"/>
      <c r="G343" s="6" t="n"/>
      <c r="H343" s="10">
        <f>IF(F343="","",IFERROR(INDEX(Roster!$A$2:$A$600,MATCH(F343,Roster!$E$2:$E$600,0)),""))</f>
        <v/>
      </c>
      <c r="I343" s="10">
        <f>IF(AND(D343="",C343="",F343=""),"",IF(G343&lt;&gt;"","Void",IF(F343="","Needs child",IF(H343="","Child not found",IF(OR(B343="",NOT(ISNUMBER(C343))),"Needs month/pages","OK")))))</f>
        <v/>
      </c>
      <c r="J343" s="10">
        <f>IF(I343="","",IF(I343="OK",IF(COUNTIFS(H344:H$3001,H343,B344:B$3001,B343,G344:G$3001,"")=0,C343,0),0))</f>
        <v/>
      </c>
    </row>
    <row r="344">
      <c r="A344" s="6" t="n"/>
      <c r="B344" s="9" t="n"/>
      <c r="C344" s="6" t="n"/>
      <c r="D344" s="6" t="n"/>
      <c r="E344" s="6" t="n"/>
      <c r="F344" s="6" t="n"/>
      <c r="G344" s="6" t="n"/>
      <c r="H344" s="10">
        <f>IF(F344="","",IFERROR(INDEX(Roster!$A$2:$A$600,MATCH(F344,Roster!$E$2:$E$600,0)),""))</f>
        <v/>
      </c>
      <c r="I344" s="10">
        <f>IF(AND(D344="",C344="",F344=""),"",IF(G344&lt;&gt;"","Void",IF(F344="","Needs child",IF(H344="","Child not found",IF(OR(B344="",NOT(ISNUMBER(C344))),"Needs month/pages","OK")))))</f>
        <v/>
      </c>
      <c r="J344" s="10">
        <f>IF(I344="","",IF(I344="OK",IF(COUNTIFS(H345:H$3001,H344,B345:B$3001,B344,G345:G$3001,"")=0,C344,0),0))</f>
        <v/>
      </c>
    </row>
    <row r="345">
      <c r="A345" s="6" t="n"/>
      <c r="B345" s="9" t="n"/>
      <c r="C345" s="6" t="n"/>
      <c r="D345" s="6" t="n"/>
      <c r="E345" s="6" t="n"/>
      <c r="F345" s="6" t="n"/>
      <c r="G345" s="6" t="n"/>
      <c r="H345" s="10">
        <f>IF(F345="","",IFERROR(INDEX(Roster!$A$2:$A$600,MATCH(F345,Roster!$E$2:$E$600,0)),""))</f>
        <v/>
      </c>
      <c r="I345" s="10">
        <f>IF(AND(D345="",C345="",F345=""),"",IF(G345&lt;&gt;"","Void",IF(F345="","Needs child",IF(H345="","Child not found",IF(OR(B345="",NOT(ISNUMBER(C345))),"Needs month/pages","OK")))))</f>
        <v/>
      </c>
      <c r="J345" s="10">
        <f>IF(I345="","",IF(I345="OK",IF(COUNTIFS(H346:H$3001,H345,B346:B$3001,B345,G346:G$3001,"")=0,C345,0),0))</f>
        <v/>
      </c>
    </row>
    <row r="346">
      <c r="A346" s="6" t="n"/>
      <c r="B346" s="9" t="n"/>
      <c r="C346" s="6" t="n"/>
      <c r="D346" s="6" t="n"/>
      <c r="E346" s="6" t="n"/>
      <c r="F346" s="6" t="n"/>
      <c r="G346" s="6" t="n"/>
      <c r="H346" s="10">
        <f>IF(F346="","",IFERROR(INDEX(Roster!$A$2:$A$600,MATCH(F346,Roster!$E$2:$E$600,0)),""))</f>
        <v/>
      </c>
      <c r="I346" s="10">
        <f>IF(AND(D346="",C346="",F346=""),"",IF(G346&lt;&gt;"","Void",IF(F346="","Needs child",IF(H346="","Child not found",IF(OR(B346="",NOT(ISNUMBER(C346))),"Needs month/pages","OK")))))</f>
        <v/>
      </c>
      <c r="J346" s="10">
        <f>IF(I346="","",IF(I346="OK",IF(COUNTIFS(H347:H$3001,H346,B347:B$3001,B346,G347:G$3001,"")=0,C346,0),0))</f>
        <v/>
      </c>
    </row>
    <row r="347">
      <c r="A347" s="6" t="n"/>
      <c r="B347" s="9" t="n"/>
      <c r="C347" s="6" t="n"/>
      <c r="D347" s="6" t="n"/>
      <c r="E347" s="6" t="n"/>
      <c r="F347" s="6" t="n"/>
      <c r="G347" s="6" t="n"/>
      <c r="H347" s="10">
        <f>IF(F347="","",IFERROR(INDEX(Roster!$A$2:$A$600,MATCH(F347,Roster!$E$2:$E$600,0)),""))</f>
        <v/>
      </c>
      <c r="I347" s="10">
        <f>IF(AND(D347="",C347="",F347=""),"",IF(G347&lt;&gt;"","Void",IF(F347="","Needs child",IF(H347="","Child not found",IF(OR(B347="",NOT(ISNUMBER(C347))),"Needs month/pages","OK")))))</f>
        <v/>
      </c>
      <c r="J347" s="10">
        <f>IF(I347="","",IF(I347="OK",IF(COUNTIFS(H348:H$3001,H347,B348:B$3001,B347,G348:G$3001,"")=0,C347,0),0))</f>
        <v/>
      </c>
    </row>
    <row r="348">
      <c r="A348" s="6" t="n"/>
      <c r="B348" s="9" t="n"/>
      <c r="C348" s="6" t="n"/>
      <c r="D348" s="6" t="n"/>
      <c r="E348" s="6" t="n"/>
      <c r="F348" s="6" t="n"/>
      <c r="G348" s="6" t="n"/>
      <c r="H348" s="10">
        <f>IF(F348="","",IFERROR(INDEX(Roster!$A$2:$A$600,MATCH(F348,Roster!$E$2:$E$600,0)),""))</f>
        <v/>
      </c>
      <c r="I348" s="10">
        <f>IF(AND(D348="",C348="",F348=""),"",IF(G348&lt;&gt;"","Void",IF(F348="","Needs child",IF(H348="","Child not found",IF(OR(B348="",NOT(ISNUMBER(C348))),"Needs month/pages","OK")))))</f>
        <v/>
      </c>
      <c r="J348" s="10">
        <f>IF(I348="","",IF(I348="OK",IF(COUNTIFS(H349:H$3001,H348,B349:B$3001,B348,G349:G$3001,"")=0,C348,0),0))</f>
        <v/>
      </c>
    </row>
    <row r="349">
      <c r="A349" s="6" t="n"/>
      <c r="B349" s="9" t="n"/>
      <c r="C349" s="6" t="n"/>
      <c r="D349" s="6" t="n"/>
      <c r="E349" s="6" t="n"/>
      <c r="F349" s="6" t="n"/>
      <c r="G349" s="6" t="n"/>
      <c r="H349" s="10">
        <f>IF(F349="","",IFERROR(INDEX(Roster!$A$2:$A$600,MATCH(F349,Roster!$E$2:$E$600,0)),""))</f>
        <v/>
      </c>
      <c r="I349" s="10">
        <f>IF(AND(D349="",C349="",F349=""),"",IF(G349&lt;&gt;"","Void",IF(F349="","Needs child",IF(H349="","Child not found",IF(OR(B349="",NOT(ISNUMBER(C349))),"Needs month/pages","OK")))))</f>
        <v/>
      </c>
      <c r="J349" s="10">
        <f>IF(I349="","",IF(I349="OK",IF(COUNTIFS(H350:H$3001,H349,B350:B$3001,B349,G350:G$3001,"")=0,C349,0),0))</f>
        <v/>
      </c>
    </row>
    <row r="350">
      <c r="A350" s="6" t="n"/>
      <c r="B350" s="9" t="n"/>
      <c r="C350" s="6" t="n"/>
      <c r="D350" s="6" t="n"/>
      <c r="E350" s="6" t="n"/>
      <c r="F350" s="6" t="n"/>
      <c r="G350" s="6" t="n"/>
      <c r="H350" s="10">
        <f>IF(F350="","",IFERROR(INDEX(Roster!$A$2:$A$600,MATCH(F350,Roster!$E$2:$E$600,0)),""))</f>
        <v/>
      </c>
      <c r="I350" s="10">
        <f>IF(AND(D350="",C350="",F350=""),"",IF(G350&lt;&gt;"","Void",IF(F350="","Needs child",IF(H350="","Child not found",IF(OR(B350="",NOT(ISNUMBER(C350))),"Needs month/pages","OK")))))</f>
        <v/>
      </c>
      <c r="J350" s="10">
        <f>IF(I350="","",IF(I350="OK",IF(COUNTIFS(H351:H$3001,H350,B351:B$3001,B350,G351:G$3001,"")=0,C350,0),0))</f>
        <v/>
      </c>
    </row>
    <row r="351">
      <c r="A351" s="6" t="n"/>
      <c r="B351" s="9" t="n"/>
      <c r="C351" s="6" t="n"/>
      <c r="D351" s="6" t="n"/>
      <c r="E351" s="6" t="n"/>
      <c r="F351" s="6" t="n"/>
      <c r="G351" s="6" t="n"/>
      <c r="H351" s="10">
        <f>IF(F351="","",IFERROR(INDEX(Roster!$A$2:$A$600,MATCH(F351,Roster!$E$2:$E$600,0)),""))</f>
        <v/>
      </c>
      <c r="I351" s="10">
        <f>IF(AND(D351="",C351="",F351=""),"",IF(G351&lt;&gt;"","Void",IF(F351="","Needs child",IF(H351="","Child not found",IF(OR(B351="",NOT(ISNUMBER(C351))),"Needs month/pages","OK")))))</f>
        <v/>
      </c>
      <c r="J351" s="10">
        <f>IF(I351="","",IF(I351="OK",IF(COUNTIFS(H352:H$3001,H351,B352:B$3001,B351,G352:G$3001,"")=0,C351,0),0))</f>
        <v/>
      </c>
    </row>
    <row r="352">
      <c r="A352" s="6" t="n"/>
      <c r="B352" s="9" t="n"/>
      <c r="C352" s="6" t="n"/>
      <c r="D352" s="6" t="n"/>
      <c r="E352" s="6" t="n"/>
      <c r="F352" s="6" t="n"/>
      <c r="G352" s="6" t="n"/>
      <c r="H352" s="10">
        <f>IF(F352="","",IFERROR(INDEX(Roster!$A$2:$A$600,MATCH(F352,Roster!$E$2:$E$600,0)),""))</f>
        <v/>
      </c>
      <c r="I352" s="10">
        <f>IF(AND(D352="",C352="",F352=""),"",IF(G352&lt;&gt;"","Void",IF(F352="","Needs child",IF(H352="","Child not found",IF(OR(B352="",NOT(ISNUMBER(C352))),"Needs month/pages","OK")))))</f>
        <v/>
      </c>
      <c r="J352" s="10">
        <f>IF(I352="","",IF(I352="OK",IF(COUNTIFS(H353:H$3001,H352,B353:B$3001,B352,G353:G$3001,"")=0,C352,0),0))</f>
        <v/>
      </c>
    </row>
    <row r="353">
      <c r="A353" s="6" t="n"/>
      <c r="B353" s="9" t="n"/>
      <c r="C353" s="6" t="n"/>
      <c r="D353" s="6" t="n"/>
      <c r="E353" s="6" t="n"/>
      <c r="F353" s="6" t="n"/>
      <c r="G353" s="6" t="n"/>
      <c r="H353" s="10">
        <f>IF(F353="","",IFERROR(INDEX(Roster!$A$2:$A$600,MATCH(F353,Roster!$E$2:$E$600,0)),""))</f>
        <v/>
      </c>
      <c r="I353" s="10">
        <f>IF(AND(D353="",C353="",F353=""),"",IF(G353&lt;&gt;"","Void",IF(F353="","Needs child",IF(H353="","Child not found",IF(OR(B353="",NOT(ISNUMBER(C353))),"Needs month/pages","OK")))))</f>
        <v/>
      </c>
      <c r="J353" s="10">
        <f>IF(I353="","",IF(I353="OK",IF(COUNTIFS(H354:H$3001,H353,B354:B$3001,B353,G354:G$3001,"")=0,C353,0),0))</f>
        <v/>
      </c>
    </row>
    <row r="354">
      <c r="A354" s="6" t="n"/>
      <c r="B354" s="9" t="n"/>
      <c r="C354" s="6" t="n"/>
      <c r="D354" s="6" t="n"/>
      <c r="E354" s="6" t="n"/>
      <c r="F354" s="6" t="n"/>
      <c r="G354" s="6" t="n"/>
      <c r="H354" s="10">
        <f>IF(F354="","",IFERROR(INDEX(Roster!$A$2:$A$600,MATCH(F354,Roster!$E$2:$E$600,0)),""))</f>
        <v/>
      </c>
      <c r="I354" s="10">
        <f>IF(AND(D354="",C354="",F354=""),"",IF(G354&lt;&gt;"","Void",IF(F354="","Needs child",IF(H354="","Child not found",IF(OR(B354="",NOT(ISNUMBER(C354))),"Needs month/pages","OK")))))</f>
        <v/>
      </c>
      <c r="J354" s="10">
        <f>IF(I354="","",IF(I354="OK",IF(COUNTIFS(H355:H$3001,H354,B355:B$3001,B354,G355:G$3001,"")=0,C354,0),0))</f>
        <v/>
      </c>
    </row>
    <row r="355">
      <c r="A355" s="6" t="n"/>
      <c r="B355" s="9" t="n"/>
      <c r="C355" s="6" t="n"/>
      <c r="D355" s="6" t="n"/>
      <c r="E355" s="6" t="n"/>
      <c r="F355" s="6" t="n"/>
      <c r="G355" s="6" t="n"/>
      <c r="H355" s="10">
        <f>IF(F355="","",IFERROR(INDEX(Roster!$A$2:$A$600,MATCH(F355,Roster!$E$2:$E$600,0)),""))</f>
        <v/>
      </c>
      <c r="I355" s="10">
        <f>IF(AND(D355="",C355="",F355=""),"",IF(G355&lt;&gt;"","Void",IF(F355="","Needs child",IF(H355="","Child not found",IF(OR(B355="",NOT(ISNUMBER(C355))),"Needs month/pages","OK")))))</f>
        <v/>
      </c>
      <c r="J355" s="10">
        <f>IF(I355="","",IF(I355="OK",IF(COUNTIFS(H356:H$3001,H355,B356:B$3001,B355,G356:G$3001,"")=0,C355,0),0))</f>
        <v/>
      </c>
    </row>
    <row r="356">
      <c r="A356" s="6" t="n"/>
      <c r="B356" s="9" t="n"/>
      <c r="C356" s="6" t="n"/>
      <c r="D356" s="6" t="n"/>
      <c r="E356" s="6" t="n"/>
      <c r="F356" s="6" t="n"/>
      <c r="G356" s="6" t="n"/>
      <c r="H356" s="10">
        <f>IF(F356="","",IFERROR(INDEX(Roster!$A$2:$A$600,MATCH(F356,Roster!$E$2:$E$600,0)),""))</f>
        <v/>
      </c>
      <c r="I356" s="10">
        <f>IF(AND(D356="",C356="",F356=""),"",IF(G356&lt;&gt;"","Void",IF(F356="","Needs child",IF(H356="","Child not found",IF(OR(B356="",NOT(ISNUMBER(C356))),"Needs month/pages","OK")))))</f>
        <v/>
      </c>
      <c r="J356" s="10">
        <f>IF(I356="","",IF(I356="OK",IF(COUNTIFS(H357:H$3001,H356,B357:B$3001,B356,G357:G$3001,"")=0,C356,0),0))</f>
        <v/>
      </c>
    </row>
    <row r="357">
      <c r="A357" s="6" t="n"/>
      <c r="B357" s="9" t="n"/>
      <c r="C357" s="6" t="n"/>
      <c r="D357" s="6" t="n"/>
      <c r="E357" s="6" t="n"/>
      <c r="F357" s="6" t="n"/>
      <c r="G357" s="6" t="n"/>
      <c r="H357" s="10">
        <f>IF(F357="","",IFERROR(INDEX(Roster!$A$2:$A$600,MATCH(F357,Roster!$E$2:$E$600,0)),""))</f>
        <v/>
      </c>
      <c r="I357" s="10">
        <f>IF(AND(D357="",C357="",F357=""),"",IF(G357&lt;&gt;"","Void",IF(F357="","Needs child",IF(H357="","Child not found",IF(OR(B357="",NOT(ISNUMBER(C357))),"Needs month/pages","OK")))))</f>
        <v/>
      </c>
      <c r="J357" s="10">
        <f>IF(I357="","",IF(I357="OK",IF(COUNTIFS(H358:H$3001,H357,B358:B$3001,B357,G358:G$3001,"")=0,C357,0),0))</f>
        <v/>
      </c>
    </row>
    <row r="358">
      <c r="A358" s="6" t="n"/>
      <c r="B358" s="9" t="n"/>
      <c r="C358" s="6" t="n"/>
      <c r="D358" s="6" t="n"/>
      <c r="E358" s="6" t="n"/>
      <c r="F358" s="6" t="n"/>
      <c r="G358" s="6" t="n"/>
      <c r="H358" s="10">
        <f>IF(F358="","",IFERROR(INDEX(Roster!$A$2:$A$600,MATCH(F358,Roster!$E$2:$E$600,0)),""))</f>
        <v/>
      </c>
      <c r="I358" s="10">
        <f>IF(AND(D358="",C358="",F358=""),"",IF(G358&lt;&gt;"","Void",IF(F358="","Needs child",IF(H358="","Child not found",IF(OR(B358="",NOT(ISNUMBER(C358))),"Needs month/pages","OK")))))</f>
        <v/>
      </c>
      <c r="J358" s="10">
        <f>IF(I358="","",IF(I358="OK",IF(COUNTIFS(H359:H$3001,H358,B359:B$3001,B358,G359:G$3001,"")=0,C358,0),0))</f>
        <v/>
      </c>
    </row>
    <row r="359">
      <c r="A359" s="6" t="n"/>
      <c r="B359" s="9" t="n"/>
      <c r="C359" s="6" t="n"/>
      <c r="D359" s="6" t="n"/>
      <c r="E359" s="6" t="n"/>
      <c r="F359" s="6" t="n"/>
      <c r="G359" s="6" t="n"/>
      <c r="H359" s="10">
        <f>IF(F359="","",IFERROR(INDEX(Roster!$A$2:$A$600,MATCH(F359,Roster!$E$2:$E$600,0)),""))</f>
        <v/>
      </c>
      <c r="I359" s="10">
        <f>IF(AND(D359="",C359="",F359=""),"",IF(G359&lt;&gt;"","Void",IF(F359="","Needs child",IF(H359="","Child not found",IF(OR(B359="",NOT(ISNUMBER(C359))),"Needs month/pages","OK")))))</f>
        <v/>
      </c>
      <c r="J359" s="10">
        <f>IF(I359="","",IF(I359="OK",IF(COUNTIFS(H360:H$3001,H359,B360:B$3001,B359,G360:G$3001,"")=0,C359,0),0))</f>
        <v/>
      </c>
    </row>
    <row r="360">
      <c r="A360" s="6" t="n"/>
      <c r="B360" s="9" t="n"/>
      <c r="C360" s="6" t="n"/>
      <c r="D360" s="6" t="n"/>
      <c r="E360" s="6" t="n"/>
      <c r="F360" s="6" t="n"/>
      <c r="G360" s="6" t="n"/>
      <c r="H360" s="10">
        <f>IF(F360="","",IFERROR(INDEX(Roster!$A$2:$A$600,MATCH(F360,Roster!$E$2:$E$600,0)),""))</f>
        <v/>
      </c>
      <c r="I360" s="10">
        <f>IF(AND(D360="",C360="",F360=""),"",IF(G360&lt;&gt;"","Void",IF(F360="","Needs child",IF(H360="","Child not found",IF(OR(B360="",NOT(ISNUMBER(C360))),"Needs month/pages","OK")))))</f>
        <v/>
      </c>
      <c r="J360" s="10">
        <f>IF(I360="","",IF(I360="OK",IF(COUNTIFS(H361:H$3001,H360,B361:B$3001,B360,G361:G$3001,"")=0,C360,0),0))</f>
        <v/>
      </c>
    </row>
    <row r="361">
      <c r="A361" s="6" t="n"/>
      <c r="B361" s="9" t="n"/>
      <c r="C361" s="6" t="n"/>
      <c r="D361" s="6" t="n"/>
      <c r="E361" s="6" t="n"/>
      <c r="F361" s="6" t="n"/>
      <c r="G361" s="6" t="n"/>
      <c r="H361" s="10">
        <f>IF(F361="","",IFERROR(INDEX(Roster!$A$2:$A$600,MATCH(F361,Roster!$E$2:$E$600,0)),""))</f>
        <v/>
      </c>
      <c r="I361" s="10">
        <f>IF(AND(D361="",C361="",F361=""),"",IF(G361&lt;&gt;"","Void",IF(F361="","Needs child",IF(H361="","Child not found",IF(OR(B361="",NOT(ISNUMBER(C361))),"Needs month/pages","OK")))))</f>
        <v/>
      </c>
      <c r="J361" s="10">
        <f>IF(I361="","",IF(I361="OK",IF(COUNTIFS(H362:H$3001,H361,B362:B$3001,B361,G362:G$3001,"")=0,C361,0),0))</f>
        <v/>
      </c>
    </row>
    <row r="362">
      <c r="A362" s="6" t="n"/>
      <c r="B362" s="9" t="n"/>
      <c r="C362" s="6" t="n"/>
      <c r="D362" s="6" t="n"/>
      <c r="E362" s="6" t="n"/>
      <c r="F362" s="6" t="n"/>
      <c r="G362" s="6" t="n"/>
      <c r="H362" s="10">
        <f>IF(F362="","",IFERROR(INDEX(Roster!$A$2:$A$600,MATCH(F362,Roster!$E$2:$E$600,0)),""))</f>
        <v/>
      </c>
      <c r="I362" s="10">
        <f>IF(AND(D362="",C362="",F362=""),"",IF(G362&lt;&gt;"","Void",IF(F362="","Needs child",IF(H362="","Child not found",IF(OR(B362="",NOT(ISNUMBER(C362))),"Needs month/pages","OK")))))</f>
        <v/>
      </c>
      <c r="J362" s="10">
        <f>IF(I362="","",IF(I362="OK",IF(COUNTIFS(H363:H$3001,H362,B363:B$3001,B362,G363:G$3001,"")=0,C362,0),0))</f>
        <v/>
      </c>
    </row>
    <row r="363">
      <c r="A363" s="6" t="n"/>
      <c r="B363" s="9" t="n"/>
      <c r="C363" s="6" t="n"/>
      <c r="D363" s="6" t="n"/>
      <c r="E363" s="6" t="n"/>
      <c r="F363" s="6" t="n"/>
      <c r="G363" s="6" t="n"/>
      <c r="H363" s="10">
        <f>IF(F363="","",IFERROR(INDEX(Roster!$A$2:$A$600,MATCH(F363,Roster!$E$2:$E$600,0)),""))</f>
        <v/>
      </c>
      <c r="I363" s="10">
        <f>IF(AND(D363="",C363="",F363=""),"",IF(G363&lt;&gt;"","Void",IF(F363="","Needs child",IF(H363="","Child not found",IF(OR(B363="",NOT(ISNUMBER(C363))),"Needs month/pages","OK")))))</f>
        <v/>
      </c>
      <c r="J363" s="10">
        <f>IF(I363="","",IF(I363="OK",IF(COUNTIFS(H364:H$3001,H363,B364:B$3001,B363,G364:G$3001,"")=0,C363,0),0))</f>
        <v/>
      </c>
    </row>
    <row r="364">
      <c r="A364" s="6" t="n"/>
      <c r="B364" s="9" t="n"/>
      <c r="C364" s="6" t="n"/>
      <c r="D364" s="6" t="n"/>
      <c r="E364" s="6" t="n"/>
      <c r="F364" s="6" t="n"/>
      <c r="G364" s="6" t="n"/>
      <c r="H364" s="10">
        <f>IF(F364="","",IFERROR(INDEX(Roster!$A$2:$A$600,MATCH(F364,Roster!$E$2:$E$600,0)),""))</f>
        <v/>
      </c>
      <c r="I364" s="10">
        <f>IF(AND(D364="",C364="",F364=""),"",IF(G364&lt;&gt;"","Void",IF(F364="","Needs child",IF(H364="","Child not found",IF(OR(B364="",NOT(ISNUMBER(C364))),"Needs month/pages","OK")))))</f>
        <v/>
      </c>
      <c r="J364" s="10">
        <f>IF(I364="","",IF(I364="OK",IF(COUNTIFS(H365:H$3001,H364,B365:B$3001,B364,G365:G$3001,"")=0,C364,0),0))</f>
        <v/>
      </c>
    </row>
    <row r="365">
      <c r="A365" s="6" t="n"/>
      <c r="B365" s="9" t="n"/>
      <c r="C365" s="6" t="n"/>
      <c r="D365" s="6" t="n"/>
      <c r="E365" s="6" t="n"/>
      <c r="F365" s="6" t="n"/>
      <c r="G365" s="6" t="n"/>
      <c r="H365" s="10">
        <f>IF(F365="","",IFERROR(INDEX(Roster!$A$2:$A$600,MATCH(F365,Roster!$E$2:$E$600,0)),""))</f>
        <v/>
      </c>
      <c r="I365" s="10">
        <f>IF(AND(D365="",C365="",F365=""),"",IF(G365&lt;&gt;"","Void",IF(F365="","Needs child",IF(H365="","Child not found",IF(OR(B365="",NOT(ISNUMBER(C365))),"Needs month/pages","OK")))))</f>
        <v/>
      </c>
      <c r="J365" s="10">
        <f>IF(I365="","",IF(I365="OK",IF(COUNTIFS(H366:H$3001,H365,B366:B$3001,B365,G366:G$3001,"")=0,C365,0),0))</f>
        <v/>
      </c>
    </row>
    <row r="366">
      <c r="A366" s="6" t="n"/>
      <c r="B366" s="9" t="n"/>
      <c r="C366" s="6" t="n"/>
      <c r="D366" s="6" t="n"/>
      <c r="E366" s="6" t="n"/>
      <c r="F366" s="6" t="n"/>
      <c r="G366" s="6" t="n"/>
      <c r="H366" s="10">
        <f>IF(F366="","",IFERROR(INDEX(Roster!$A$2:$A$600,MATCH(F366,Roster!$E$2:$E$600,0)),""))</f>
        <v/>
      </c>
      <c r="I366" s="10">
        <f>IF(AND(D366="",C366="",F366=""),"",IF(G366&lt;&gt;"","Void",IF(F366="","Needs child",IF(H366="","Child not found",IF(OR(B366="",NOT(ISNUMBER(C366))),"Needs month/pages","OK")))))</f>
        <v/>
      </c>
      <c r="J366" s="10">
        <f>IF(I366="","",IF(I366="OK",IF(COUNTIFS(H367:H$3001,H366,B367:B$3001,B366,G367:G$3001,"")=0,C366,0),0))</f>
        <v/>
      </c>
    </row>
    <row r="367">
      <c r="A367" s="6" t="n"/>
      <c r="B367" s="9" t="n"/>
      <c r="C367" s="6" t="n"/>
      <c r="D367" s="6" t="n"/>
      <c r="E367" s="6" t="n"/>
      <c r="F367" s="6" t="n"/>
      <c r="G367" s="6" t="n"/>
      <c r="H367" s="10">
        <f>IF(F367="","",IFERROR(INDEX(Roster!$A$2:$A$600,MATCH(F367,Roster!$E$2:$E$600,0)),""))</f>
        <v/>
      </c>
      <c r="I367" s="10">
        <f>IF(AND(D367="",C367="",F367=""),"",IF(G367&lt;&gt;"","Void",IF(F367="","Needs child",IF(H367="","Child not found",IF(OR(B367="",NOT(ISNUMBER(C367))),"Needs month/pages","OK")))))</f>
        <v/>
      </c>
      <c r="J367" s="10">
        <f>IF(I367="","",IF(I367="OK",IF(COUNTIFS(H368:H$3001,H367,B368:B$3001,B367,G368:G$3001,"")=0,C367,0),0))</f>
        <v/>
      </c>
    </row>
    <row r="368">
      <c r="A368" s="6" t="n"/>
      <c r="B368" s="9" t="n"/>
      <c r="C368" s="6" t="n"/>
      <c r="D368" s="6" t="n"/>
      <c r="E368" s="6" t="n"/>
      <c r="F368" s="6" t="n"/>
      <c r="G368" s="6" t="n"/>
      <c r="H368" s="10">
        <f>IF(F368="","",IFERROR(INDEX(Roster!$A$2:$A$600,MATCH(F368,Roster!$E$2:$E$600,0)),""))</f>
        <v/>
      </c>
      <c r="I368" s="10">
        <f>IF(AND(D368="",C368="",F368=""),"",IF(G368&lt;&gt;"","Void",IF(F368="","Needs child",IF(H368="","Child not found",IF(OR(B368="",NOT(ISNUMBER(C368))),"Needs month/pages","OK")))))</f>
        <v/>
      </c>
      <c r="J368" s="10">
        <f>IF(I368="","",IF(I368="OK",IF(COUNTIFS(H369:H$3001,H368,B369:B$3001,B368,G369:G$3001,"")=0,C368,0),0))</f>
        <v/>
      </c>
    </row>
    <row r="369">
      <c r="A369" s="6" t="n"/>
      <c r="B369" s="9" t="n"/>
      <c r="C369" s="6" t="n"/>
      <c r="D369" s="6" t="n"/>
      <c r="E369" s="6" t="n"/>
      <c r="F369" s="6" t="n"/>
      <c r="G369" s="6" t="n"/>
      <c r="H369" s="10">
        <f>IF(F369="","",IFERROR(INDEX(Roster!$A$2:$A$600,MATCH(F369,Roster!$E$2:$E$600,0)),""))</f>
        <v/>
      </c>
      <c r="I369" s="10">
        <f>IF(AND(D369="",C369="",F369=""),"",IF(G369&lt;&gt;"","Void",IF(F369="","Needs child",IF(H369="","Child not found",IF(OR(B369="",NOT(ISNUMBER(C369))),"Needs month/pages","OK")))))</f>
        <v/>
      </c>
      <c r="J369" s="10">
        <f>IF(I369="","",IF(I369="OK",IF(COUNTIFS(H370:H$3001,H369,B370:B$3001,B369,G370:G$3001,"")=0,C369,0),0))</f>
        <v/>
      </c>
    </row>
    <row r="370">
      <c r="A370" s="6" t="n"/>
      <c r="B370" s="9" t="n"/>
      <c r="C370" s="6" t="n"/>
      <c r="D370" s="6" t="n"/>
      <c r="E370" s="6" t="n"/>
      <c r="F370" s="6" t="n"/>
      <c r="G370" s="6" t="n"/>
      <c r="H370" s="10">
        <f>IF(F370="","",IFERROR(INDEX(Roster!$A$2:$A$600,MATCH(F370,Roster!$E$2:$E$600,0)),""))</f>
        <v/>
      </c>
      <c r="I370" s="10">
        <f>IF(AND(D370="",C370="",F370=""),"",IF(G370&lt;&gt;"","Void",IF(F370="","Needs child",IF(H370="","Child not found",IF(OR(B370="",NOT(ISNUMBER(C370))),"Needs month/pages","OK")))))</f>
        <v/>
      </c>
      <c r="J370" s="10">
        <f>IF(I370="","",IF(I370="OK",IF(COUNTIFS(H371:H$3001,H370,B371:B$3001,B370,G371:G$3001,"")=0,C370,0),0))</f>
        <v/>
      </c>
    </row>
    <row r="371">
      <c r="A371" s="6" t="n"/>
      <c r="B371" s="9" t="n"/>
      <c r="C371" s="6" t="n"/>
      <c r="D371" s="6" t="n"/>
      <c r="E371" s="6" t="n"/>
      <c r="F371" s="6" t="n"/>
      <c r="G371" s="6" t="n"/>
      <c r="H371" s="10">
        <f>IF(F371="","",IFERROR(INDEX(Roster!$A$2:$A$600,MATCH(F371,Roster!$E$2:$E$600,0)),""))</f>
        <v/>
      </c>
      <c r="I371" s="10">
        <f>IF(AND(D371="",C371="",F371=""),"",IF(G371&lt;&gt;"","Void",IF(F371="","Needs child",IF(H371="","Child not found",IF(OR(B371="",NOT(ISNUMBER(C371))),"Needs month/pages","OK")))))</f>
        <v/>
      </c>
      <c r="J371" s="10">
        <f>IF(I371="","",IF(I371="OK",IF(COUNTIFS(H372:H$3001,H371,B372:B$3001,B371,G372:G$3001,"")=0,C371,0),0))</f>
        <v/>
      </c>
    </row>
    <row r="372">
      <c r="A372" s="6" t="n"/>
      <c r="B372" s="9" t="n"/>
      <c r="C372" s="6" t="n"/>
      <c r="D372" s="6" t="n"/>
      <c r="E372" s="6" t="n"/>
      <c r="F372" s="6" t="n"/>
      <c r="G372" s="6" t="n"/>
      <c r="H372" s="10">
        <f>IF(F372="","",IFERROR(INDEX(Roster!$A$2:$A$600,MATCH(F372,Roster!$E$2:$E$600,0)),""))</f>
        <v/>
      </c>
      <c r="I372" s="10">
        <f>IF(AND(D372="",C372="",F372=""),"",IF(G372&lt;&gt;"","Void",IF(F372="","Needs child",IF(H372="","Child not found",IF(OR(B372="",NOT(ISNUMBER(C372))),"Needs month/pages","OK")))))</f>
        <v/>
      </c>
      <c r="J372" s="10">
        <f>IF(I372="","",IF(I372="OK",IF(COUNTIFS(H373:H$3001,H372,B373:B$3001,B372,G373:G$3001,"")=0,C372,0),0))</f>
        <v/>
      </c>
    </row>
    <row r="373">
      <c r="A373" s="6" t="n"/>
      <c r="B373" s="9" t="n"/>
      <c r="C373" s="6" t="n"/>
      <c r="D373" s="6" t="n"/>
      <c r="E373" s="6" t="n"/>
      <c r="F373" s="6" t="n"/>
      <c r="G373" s="6" t="n"/>
      <c r="H373" s="10">
        <f>IF(F373="","",IFERROR(INDEX(Roster!$A$2:$A$600,MATCH(F373,Roster!$E$2:$E$600,0)),""))</f>
        <v/>
      </c>
      <c r="I373" s="10">
        <f>IF(AND(D373="",C373="",F373=""),"",IF(G373&lt;&gt;"","Void",IF(F373="","Needs child",IF(H373="","Child not found",IF(OR(B373="",NOT(ISNUMBER(C373))),"Needs month/pages","OK")))))</f>
        <v/>
      </c>
      <c r="J373" s="10">
        <f>IF(I373="","",IF(I373="OK",IF(COUNTIFS(H374:H$3001,H373,B374:B$3001,B373,G374:G$3001,"")=0,C373,0),0))</f>
        <v/>
      </c>
    </row>
    <row r="374">
      <c r="A374" s="6" t="n"/>
      <c r="B374" s="9" t="n"/>
      <c r="C374" s="6" t="n"/>
      <c r="D374" s="6" t="n"/>
      <c r="E374" s="6" t="n"/>
      <c r="F374" s="6" t="n"/>
      <c r="G374" s="6" t="n"/>
      <c r="H374" s="10">
        <f>IF(F374="","",IFERROR(INDEX(Roster!$A$2:$A$600,MATCH(F374,Roster!$E$2:$E$600,0)),""))</f>
        <v/>
      </c>
      <c r="I374" s="10">
        <f>IF(AND(D374="",C374="",F374=""),"",IF(G374&lt;&gt;"","Void",IF(F374="","Needs child",IF(H374="","Child not found",IF(OR(B374="",NOT(ISNUMBER(C374))),"Needs month/pages","OK")))))</f>
        <v/>
      </c>
      <c r="J374" s="10">
        <f>IF(I374="","",IF(I374="OK",IF(COUNTIFS(H375:H$3001,H374,B375:B$3001,B374,G375:G$3001,"")=0,C374,0),0))</f>
        <v/>
      </c>
    </row>
    <row r="375">
      <c r="A375" s="6" t="n"/>
      <c r="B375" s="9" t="n"/>
      <c r="C375" s="6" t="n"/>
      <c r="D375" s="6" t="n"/>
      <c r="E375" s="6" t="n"/>
      <c r="F375" s="6" t="n"/>
      <c r="G375" s="6" t="n"/>
      <c r="H375" s="10">
        <f>IF(F375="","",IFERROR(INDEX(Roster!$A$2:$A$600,MATCH(F375,Roster!$E$2:$E$600,0)),""))</f>
        <v/>
      </c>
      <c r="I375" s="10">
        <f>IF(AND(D375="",C375="",F375=""),"",IF(G375&lt;&gt;"","Void",IF(F375="","Needs child",IF(H375="","Child not found",IF(OR(B375="",NOT(ISNUMBER(C375))),"Needs month/pages","OK")))))</f>
        <v/>
      </c>
      <c r="J375" s="10">
        <f>IF(I375="","",IF(I375="OK",IF(COUNTIFS(H376:H$3001,H375,B376:B$3001,B375,G376:G$3001,"")=0,C375,0),0))</f>
        <v/>
      </c>
    </row>
    <row r="376">
      <c r="A376" s="6" t="n"/>
      <c r="B376" s="9" t="n"/>
      <c r="C376" s="6" t="n"/>
      <c r="D376" s="6" t="n"/>
      <c r="E376" s="6" t="n"/>
      <c r="F376" s="6" t="n"/>
      <c r="G376" s="6" t="n"/>
      <c r="H376" s="10">
        <f>IF(F376="","",IFERROR(INDEX(Roster!$A$2:$A$600,MATCH(F376,Roster!$E$2:$E$600,0)),""))</f>
        <v/>
      </c>
      <c r="I376" s="10">
        <f>IF(AND(D376="",C376="",F376=""),"",IF(G376&lt;&gt;"","Void",IF(F376="","Needs child",IF(H376="","Child not found",IF(OR(B376="",NOT(ISNUMBER(C376))),"Needs month/pages","OK")))))</f>
        <v/>
      </c>
      <c r="J376" s="10">
        <f>IF(I376="","",IF(I376="OK",IF(COUNTIFS(H377:H$3001,H376,B377:B$3001,B376,G377:G$3001,"")=0,C376,0),0))</f>
        <v/>
      </c>
    </row>
    <row r="377">
      <c r="A377" s="6" t="n"/>
      <c r="B377" s="9" t="n"/>
      <c r="C377" s="6" t="n"/>
      <c r="D377" s="6" t="n"/>
      <c r="E377" s="6" t="n"/>
      <c r="F377" s="6" t="n"/>
      <c r="G377" s="6" t="n"/>
      <c r="H377" s="10">
        <f>IF(F377="","",IFERROR(INDEX(Roster!$A$2:$A$600,MATCH(F377,Roster!$E$2:$E$600,0)),""))</f>
        <v/>
      </c>
      <c r="I377" s="10">
        <f>IF(AND(D377="",C377="",F377=""),"",IF(G377&lt;&gt;"","Void",IF(F377="","Needs child",IF(H377="","Child not found",IF(OR(B377="",NOT(ISNUMBER(C377))),"Needs month/pages","OK")))))</f>
        <v/>
      </c>
      <c r="J377" s="10">
        <f>IF(I377="","",IF(I377="OK",IF(COUNTIFS(H378:H$3001,H377,B378:B$3001,B377,G378:G$3001,"")=0,C377,0),0))</f>
        <v/>
      </c>
    </row>
    <row r="378">
      <c r="A378" s="6" t="n"/>
      <c r="B378" s="9" t="n"/>
      <c r="C378" s="6" t="n"/>
      <c r="D378" s="6" t="n"/>
      <c r="E378" s="6" t="n"/>
      <c r="F378" s="6" t="n"/>
      <c r="G378" s="6" t="n"/>
      <c r="H378" s="10">
        <f>IF(F378="","",IFERROR(INDEX(Roster!$A$2:$A$600,MATCH(F378,Roster!$E$2:$E$600,0)),""))</f>
        <v/>
      </c>
      <c r="I378" s="10">
        <f>IF(AND(D378="",C378="",F378=""),"",IF(G378&lt;&gt;"","Void",IF(F378="","Needs child",IF(H378="","Child not found",IF(OR(B378="",NOT(ISNUMBER(C378))),"Needs month/pages","OK")))))</f>
        <v/>
      </c>
      <c r="J378" s="10">
        <f>IF(I378="","",IF(I378="OK",IF(COUNTIFS(H379:H$3001,H378,B379:B$3001,B378,G379:G$3001,"")=0,C378,0),0))</f>
        <v/>
      </c>
    </row>
    <row r="379">
      <c r="A379" s="6" t="n"/>
      <c r="B379" s="9" t="n"/>
      <c r="C379" s="6" t="n"/>
      <c r="D379" s="6" t="n"/>
      <c r="E379" s="6" t="n"/>
      <c r="F379" s="6" t="n"/>
      <c r="G379" s="6" t="n"/>
      <c r="H379" s="10">
        <f>IF(F379="","",IFERROR(INDEX(Roster!$A$2:$A$600,MATCH(F379,Roster!$E$2:$E$600,0)),""))</f>
        <v/>
      </c>
      <c r="I379" s="10">
        <f>IF(AND(D379="",C379="",F379=""),"",IF(G379&lt;&gt;"","Void",IF(F379="","Needs child",IF(H379="","Child not found",IF(OR(B379="",NOT(ISNUMBER(C379))),"Needs month/pages","OK")))))</f>
        <v/>
      </c>
      <c r="J379" s="10">
        <f>IF(I379="","",IF(I379="OK",IF(COUNTIFS(H380:H$3001,H379,B380:B$3001,B379,G380:G$3001,"")=0,C379,0),0))</f>
        <v/>
      </c>
    </row>
    <row r="380">
      <c r="A380" s="6" t="n"/>
      <c r="B380" s="9" t="n"/>
      <c r="C380" s="6" t="n"/>
      <c r="D380" s="6" t="n"/>
      <c r="E380" s="6" t="n"/>
      <c r="F380" s="6" t="n"/>
      <c r="G380" s="6" t="n"/>
      <c r="H380" s="10">
        <f>IF(F380="","",IFERROR(INDEX(Roster!$A$2:$A$600,MATCH(F380,Roster!$E$2:$E$600,0)),""))</f>
        <v/>
      </c>
      <c r="I380" s="10">
        <f>IF(AND(D380="",C380="",F380=""),"",IF(G380&lt;&gt;"","Void",IF(F380="","Needs child",IF(H380="","Child not found",IF(OR(B380="",NOT(ISNUMBER(C380))),"Needs month/pages","OK")))))</f>
        <v/>
      </c>
      <c r="J380" s="10">
        <f>IF(I380="","",IF(I380="OK",IF(COUNTIFS(H381:H$3001,H380,B381:B$3001,B380,G381:G$3001,"")=0,C380,0),0))</f>
        <v/>
      </c>
    </row>
    <row r="381">
      <c r="A381" s="6" t="n"/>
      <c r="B381" s="9" t="n"/>
      <c r="C381" s="6" t="n"/>
      <c r="D381" s="6" t="n"/>
      <c r="E381" s="6" t="n"/>
      <c r="F381" s="6" t="n"/>
      <c r="G381" s="6" t="n"/>
      <c r="H381" s="10">
        <f>IF(F381="","",IFERROR(INDEX(Roster!$A$2:$A$600,MATCH(F381,Roster!$E$2:$E$600,0)),""))</f>
        <v/>
      </c>
      <c r="I381" s="10">
        <f>IF(AND(D381="",C381="",F381=""),"",IF(G381&lt;&gt;"","Void",IF(F381="","Needs child",IF(H381="","Child not found",IF(OR(B381="",NOT(ISNUMBER(C381))),"Needs month/pages","OK")))))</f>
        <v/>
      </c>
      <c r="J381" s="10">
        <f>IF(I381="","",IF(I381="OK",IF(COUNTIFS(H382:H$3001,H381,B382:B$3001,B381,G382:G$3001,"")=0,C381,0),0))</f>
        <v/>
      </c>
    </row>
    <row r="382">
      <c r="A382" s="6" t="n"/>
      <c r="B382" s="9" t="n"/>
      <c r="C382" s="6" t="n"/>
      <c r="D382" s="6" t="n"/>
      <c r="E382" s="6" t="n"/>
      <c r="F382" s="6" t="n"/>
      <c r="G382" s="6" t="n"/>
      <c r="H382" s="10">
        <f>IF(F382="","",IFERROR(INDEX(Roster!$A$2:$A$600,MATCH(F382,Roster!$E$2:$E$600,0)),""))</f>
        <v/>
      </c>
      <c r="I382" s="10">
        <f>IF(AND(D382="",C382="",F382=""),"",IF(G382&lt;&gt;"","Void",IF(F382="","Needs child",IF(H382="","Child not found",IF(OR(B382="",NOT(ISNUMBER(C382))),"Needs month/pages","OK")))))</f>
        <v/>
      </c>
      <c r="J382" s="10">
        <f>IF(I382="","",IF(I382="OK",IF(COUNTIFS(H383:H$3001,H382,B383:B$3001,B382,G383:G$3001,"")=0,C382,0),0))</f>
        <v/>
      </c>
    </row>
    <row r="383">
      <c r="A383" s="6" t="n"/>
      <c r="B383" s="9" t="n"/>
      <c r="C383" s="6" t="n"/>
      <c r="D383" s="6" t="n"/>
      <c r="E383" s="6" t="n"/>
      <c r="F383" s="6" t="n"/>
      <c r="G383" s="6" t="n"/>
      <c r="H383" s="10">
        <f>IF(F383="","",IFERROR(INDEX(Roster!$A$2:$A$600,MATCH(F383,Roster!$E$2:$E$600,0)),""))</f>
        <v/>
      </c>
      <c r="I383" s="10">
        <f>IF(AND(D383="",C383="",F383=""),"",IF(G383&lt;&gt;"","Void",IF(F383="","Needs child",IF(H383="","Child not found",IF(OR(B383="",NOT(ISNUMBER(C383))),"Needs month/pages","OK")))))</f>
        <v/>
      </c>
      <c r="J383" s="10">
        <f>IF(I383="","",IF(I383="OK",IF(COUNTIFS(H384:H$3001,H383,B384:B$3001,B383,G384:G$3001,"")=0,C383,0),0))</f>
        <v/>
      </c>
    </row>
    <row r="384">
      <c r="A384" s="6" t="n"/>
      <c r="B384" s="9" t="n"/>
      <c r="C384" s="6" t="n"/>
      <c r="D384" s="6" t="n"/>
      <c r="E384" s="6" t="n"/>
      <c r="F384" s="6" t="n"/>
      <c r="G384" s="6" t="n"/>
      <c r="H384" s="10">
        <f>IF(F384="","",IFERROR(INDEX(Roster!$A$2:$A$600,MATCH(F384,Roster!$E$2:$E$600,0)),""))</f>
        <v/>
      </c>
      <c r="I384" s="10">
        <f>IF(AND(D384="",C384="",F384=""),"",IF(G384&lt;&gt;"","Void",IF(F384="","Needs child",IF(H384="","Child not found",IF(OR(B384="",NOT(ISNUMBER(C384))),"Needs month/pages","OK")))))</f>
        <v/>
      </c>
      <c r="J384" s="10">
        <f>IF(I384="","",IF(I384="OK",IF(COUNTIFS(H385:H$3001,H384,B385:B$3001,B384,G385:G$3001,"")=0,C384,0),0))</f>
        <v/>
      </c>
    </row>
    <row r="385">
      <c r="A385" s="6" t="n"/>
      <c r="B385" s="9" t="n"/>
      <c r="C385" s="6" t="n"/>
      <c r="D385" s="6" t="n"/>
      <c r="E385" s="6" t="n"/>
      <c r="F385" s="6" t="n"/>
      <c r="G385" s="6" t="n"/>
      <c r="H385" s="10">
        <f>IF(F385="","",IFERROR(INDEX(Roster!$A$2:$A$600,MATCH(F385,Roster!$E$2:$E$600,0)),""))</f>
        <v/>
      </c>
      <c r="I385" s="10">
        <f>IF(AND(D385="",C385="",F385=""),"",IF(G385&lt;&gt;"","Void",IF(F385="","Needs child",IF(H385="","Child not found",IF(OR(B385="",NOT(ISNUMBER(C385))),"Needs month/pages","OK")))))</f>
        <v/>
      </c>
      <c r="J385" s="10">
        <f>IF(I385="","",IF(I385="OK",IF(COUNTIFS(H386:H$3001,H385,B386:B$3001,B385,G386:G$3001,"")=0,C385,0),0))</f>
        <v/>
      </c>
    </row>
    <row r="386">
      <c r="A386" s="6" t="n"/>
      <c r="B386" s="9" t="n"/>
      <c r="C386" s="6" t="n"/>
      <c r="D386" s="6" t="n"/>
      <c r="E386" s="6" t="n"/>
      <c r="F386" s="6" t="n"/>
      <c r="G386" s="6" t="n"/>
      <c r="H386" s="10">
        <f>IF(F386="","",IFERROR(INDEX(Roster!$A$2:$A$600,MATCH(F386,Roster!$E$2:$E$600,0)),""))</f>
        <v/>
      </c>
      <c r="I386" s="10">
        <f>IF(AND(D386="",C386="",F386=""),"",IF(G386&lt;&gt;"","Void",IF(F386="","Needs child",IF(H386="","Child not found",IF(OR(B386="",NOT(ISNUMBER(C386))),"Needs month/pages","OK")))))</f>
        <v/>
      </c>
      <c r="J386" s="10">
        <f>IF(I386="","",IF(I386="OK",IF(COUNTIFS(H387:H$3001,H386,B387:B$3001,B386,G387:G$3001,"")=0,C386,0),0))</f>
        <v/>
      </c>
    </row>
    <row r="387">
      <c r="A387" s="6" t="n"/>
      <c r="B387" s="9" t="n"/>
      <c r="C387" s="6" t="n"/>
      <c r="D387" s="6" t="n"/>
      <c r="E387" s="6" t="n"/>
      <c r="F387" s="6" t="n"/>
      <c r="G387" s="6" t="n"/>
      <c r="H387" s="10">
        <f>IF(F387="","",IFERROR(INDEX(Roster!$A$2:$A$600,MATCH(F387,Roster!$E$2:$E$600,0)),""))</f>
        <v/>
      </c>
      <c r="I387" s="10">
        <f>IF(AND(D387="",C387="",F387=""),"",IF(G387&lt;&gt;"","Void",IF(F387="","Needs child",IF(H387="","Child not found",IF(OR(B387="",NOT(ISNUMBER(C387))),"Needs month/pages","OK")))))</f>
        <v/>
      </c>
      <c r="J387" s="10">
        <f>IF(I387="","",IF(I387="OK",IF(COUNTIFS(H388:H$3001,H387,B388:B$3001,B387,G388:G$3001,"")=0,C387,0),0))</f>
        <v/>
      </c>
    </row>
    <row r="388">
      <c r="A388" s="6" t="n"/>
      <c r="B388" s="9" t="n"/>
      <c r="C388" s="6" t="n"/>
      <c r="D388" s="6" t="n"/>
      <c r="E388" s="6" t="n"/>
      <c r="F388" s="6" t="n"/>
      <c r="G388" s="6" t="n"/>
      <c r="H388" s="10">
        <f>IF(F388="","",IFERROR(INDEX(Roster!$A$2:$A$600,MATCH(F388,Roster!$E$2:$E$600,0)),""))</f>
        <v/>
      </c>
      <c r="I388" s="10">
        <f>IF(AND(D388="",C388="",F388=""),"",IF(G388&lt;&gt;"","Void",IF(F388="","Needs child",IF(H388="","Child not found",IF(OR(B388="",NOT(ISNUMBER(C388))),"Needs month/pages","OK")))))</f>
        <v/>
      </c>
      <c r="J388" s="10">
        <f>IF(I388="","",IF(I388="OK",IF(COUNTIFS(H389:H$3001,H388,B389:B$3001,B388,G389:G$3001,"")=0,C388,0),0))</f>
        <v/>
      </c>
    </row>
    <row r="389">
      <c r="A389" s="6" t="n"/>
      <c r="B389" s="9" t="n"/>
      <c r="C389" s="6" t="n"/>
      <c r="D389" s="6" t="n"/>
      <c r="E389" s="6" t="n"/>
      <c r="F389" s="6" t="n"/>
      <c r="G389" s="6" t="n"/>
      <c r="H389" s="10">
        <f>IF(F389="","",IFERROR(INDEX(Roster!$A$2:$A$600,MATCH(F389,Roster!$E$2:$E$600,0)),""))</f>
        <v/>
      </c>
      <c r="I389" s="10">
        <f>IF(AND(D389="",C389="",F389=""),"",IF(G389&lt;&gt;"","Void",IF(F389="","Needs child",IF(H389="","Child not found",IF(OR(B389="",NOT(ISNUMBER(C389))),"Needs month/pages","OK")))))</f>
        <v/>
      </c>
      <c r="J389" s="10">
        <f>IF(I389="","",IF(I389="OK",IF(COUNTIFS(H390:H$3001,H389,B390:B$3001,B389,G390:G$3001,"")=0,C389,0),0))</f>
        <v/>
      </c>
    </row>
    <row r="390">
      <c r="A390" s="6" t="n"/>
      <c r="B390" s="9" t="n"/>
      <c r="C390" s="6" t="n"/>
      <c r="D390" s="6" t="n"/>
      <c r="E390" s="6" t="n"/>
      <c r="F390" s="6" t="n"/>
      <c r="G390" s="6" t="n"/>
      <c r="H390" s="10">
        <f>IF(F390="","",IFERROR(INDEX(Roster!$A$2:$A$600,MATCH(F390,Roster!$E$2:$E$600,0)),""))</f>
        <v/>
      </c>
      <c r="I390" s="10">
        <f>IF(AND(D390="",C390="",F390=""),"",IF(G390&lt;&gt;"","Void",IF(F390="","Needs child",IF(H390="","Child not found",IF(OR(B390="",NOT(ISNUMBER(C390))),"Needs month/pages","OK")))))</f>
        <v/>
      </c>
      <c r="J390" s="10">
        <f>IF(I390="","",IF(I390="OK",IF(COUNTIFS(H391:H$3001,H390,B391:B$3001,B390,G391:G$3001,"")=0,C390,0),0))</f>
        <v/>
      </c>
    </row>
    <row r="391">
      <c r="A391" s="6" t="n"/>
      <c r="B391" s="9" t="n"/>
      <c r="C391" s="6" t="n"/>
      <c r="D391" s="6" t="n"/>
      <c r="E391" s="6" t="n"/>
      <c r="F391" s="6" t="n"/>
      <c r="G391" s="6" t="n"/>
      <c r="H391" s="10">
        <f>IF(F391="","",IFERROR(INDEX(Roster!$A$2:$A$600,MATCH(F391,Roster!$E$2:$E$600,0)),""))</f>
        <v/>
      </c>
      <c r="I391" s="10">
        <f>IF(AND(D391="",C391="",F391=""),"",IF(G391&lt;&gt;"","Void",IF(F391="","Needs child",IF(H391="","Child not found",IF(OR(B391="",NOT(ISNUMBER(C391))),"Needs month/pages","OK")))))</f>
        <v/>
      </c>
      <c r="J391" s="10">
        <f>IF(I391="","",IF(I391="OK",IF(COUNTIFS(H392:H$3001,H391,B392:B$3001,B391,G392:G$3001,"")=0,C391,0),0))</f>
        <v/>
      </c>
    </row>
    <row r="392">
      <c r="A392" s="6" t="n"/>
      <c r="B392" s="9" t="n"/>
      <c r="C392" s="6" t="n"/>
      <c r="D392" s="6" t="n"/>
      <c r="E392" s="6" t="n"/>
      <c r="F392" s="6" t="n"/>
      <c r="G392" s="6" t="n"/>
      <c r="H392" s="10">
        <f>IF(F392="","",IFERROR(INDEX(Roster!$A$2:$A$600,MATCH(F392,Roster!$E$2:$E$600,0)),""))</f>
        <v/>
      </c>
      <c r="I392" s="10">
        <f>IF(AND(D392="",C392="",F392=""),"",IF(G392&lt;&gt;"","Void",IF(F392="","Needs child",IF(H392="","Child not found",IF(OR(B392="",NOT(ISNUMBER(C392))),"Needs month/pages","OK")))))</f>
        <v/>
      </c>
      <c r="J392" s="10">
        <f>IF(I392="","",IF(I392="OK",IF(COUNTIFS(H393:H$3001,H392,B393:B$3001,B392,G393:G$3001,"")=0,C392,0),0))</f>
        <v/>
      </c>
    </row>
    <row r="393">
      <c r="A393" s="6" t="n"/>
      <c r="B393" s="9" t="n"/>
      <c r="C393" s="6" t="n"/>
      <c r="D393" s="6" t="n"/>
      <c r="E393" s="6" t="n"/>
      <c r="F393" s="6" t="n"/>
      <c r="G393" s="6" t="n"/>
      <c r="H393" s="10">
        <f>IF(F393="","",IFERROR(INDEX(Roster!$A$2:$A$600,MATCH(F393,Roster!$E$2:$E$600,0)),""))</f>
        <v/>
      </c>
      <c r="I393" s="10">
        <f>IF(AND(D393="",C393="",F393=""),"",IF(G393&lt;&gt;"","Void",IF(F393="","Needs child",IF(H393="","Child not found",IF(OR(B393="",NOT(ISNUMBER(C393))),"Needs month/pages","OK")))))</f>
        <v/>
      </c>
      <c r="J393" s="10">
        <f>IF(I393="","",IF(I393="OK",IF(COUNTIFS(H394:H$3001,H393,B394:B$3001,B393,G394:G$3001,"")=0,C393,0),0))</f>
        <v/>
      </c>
    </row>
    <row r="394">
      <c r="A394" s="6" t="n"/>
      <c r="B394" s="9" t="n"/>
      <c r="C394" s="6" t="n"/>
      <c r="D394" s="6" t="n"/>
      <c r="E394" s="6" t="n"/>
      <c r="F394" s="6" t="n"/>
      <c r="G394" s="6" t="n"/>
      <c r="H394" s="10">
        <f>IF(F394="","",IFERROR(INDEX(Roster!$A$2:$A$600,MATCH(F394,Roster!$E$2:$E$600,0)),""))</f>
        <v/>
      </c>
      <c r="I394" s="10">
        <f>IF(AND(D394="",C394="",F394=""),"",IF(G394&lt;&gt;"","Void",IF(F394="","Needs child",IF(H394="","Child not found",IF(OR(B394="",NOT(ISNUMBER(C394))),"Needs month/pages","OK")))))</f>
        <v/>
      </c>
      <c r="J394" s="10">
        <f>IF(I394="","",IF(I394="OK",IF(COUNTIFS(H395:H$3001,H394,B395:B$3001,B394,G395:G$3001,"")=0,C394,0),0))</f>
        <v/>
      </c>
    </row>
    <row r="395">
      <c r="A395" s="6" t="n"/>
      <c r="B395" s="9" t="n"/>
      <c r="C395" s="6" t="n"/>
      <c r="D395" s="6" t="n"/>
      <c r="E395" s="6" t="n"/>
      <c r="F395" s="6" t="n"/>
      <c r="G395" s="6" t="n"/>
      <c r="H395" s="10">
        <f>IF(F395="","",IFERROR(INDEX(Roster!$A$2:$A$600,MATCH(F395,Roster!$E$2:$E$600,0)),""))</f>
        <v/>
      </c>
      <c r="I395" s="10">
        <f>IF(AND(D395="",C395="",F395=""),"",IF(G395&lt;&gt;"","Void",IF(F395="","Needs child",IF(H395="","Child not found",IF(OR(B395="",NOT(ISNUMBER(C395))),"Needs month/pages","OK")))))</f>
        <v/>
      </c>
      <c r="J395" s="10">
        <f>IF(I395="","",IF(I395="OK",IF(COUNTIFS(H396:H$3001,H395,B396:B$3001,B395,G396:G$3001,"")=0,C395,0),0))</f>
        <v/>
      </c>
    </row>
    <row r="396">
      <c r="A396" s="6" t="n"/>
      <c r="B396" s="9" t="n"/>
      <c r="C396" s="6" t="n"/>
      <c r="D396" s="6" t="n"/>
      <c r="E396" s="6" t="n"/>
      <c r="F396" s="6" t="n"/>
      <c r="G396" s="6" t="n"/>
      <c r="H396" s="10">
        <f>IF(F396="","",IFERROR(INDEX(Roster!$A$2:$A$600,MATCH(F396,Roster!$E$2:$E$600,0)),""))</f>
        <v/>
      </c>
      <c r="I396" s="10">
        <f>IF(AND(D396="",C396="",F396=""),"",IF(G396&lt;&gt;"","Void",IF(F396="","Needs child",IF(H396="","Child not found",IF(OR(B396="",NOT(ISNUMBER(C396))),"Needs month/pages","OK")))))</f>
        <v/>
      </c>
      <c r="J396" s="10">
        <f>IF(I396="","",IF(I396="OK",IF(COUNTIFS(H397:H$3001,H396,B397:B$3001,B396,G397:G$3001,"")=0,C396,0),0))</f>
        <v/>
      </c>
    </row>
    <row r="397">
      <c r="A397" s="6" t="n"/>
      <c r="B397" s="9" t="n"/>
      <c r="C397" s="6" t="n"/>
      <c r="D397" s="6" t="n"/>
      <c r="E397" s="6" t="n"/>
      <c r="F397" s="6" t="n"/>
      <c r="G397" s="6" t="n"/>
      <c r="H397" s="10">
        <f>IF(F397="","",IFERROR(INDEX(Roster!$A$2:$A$600,MATCH(F397,Roster!$E$2:$E$600,0)),""))</f>
        <v/>
      </c>
      <c r="I397" s="10">
        <f>IF(AND(D397="",C397="",F397=""),"",IF(G397&lt;&gt;"","Void",IF(F397="","Needs child",IF(H397="","Child not found",IF(OR(B397="",NOT(ISNUMBER(C397))),"Needs month/pages","OK")))))</f>
        <v/>
      </c>
      <c r="J397" s="10">
        <f>IF(I397="","",IF(I397="OK",IF(COUNTIFS(H398:H$3001,H397,B398:B$3001,B397,G398:G$3001,"")=0,C397,0),0))</f>
        <v/>
      </c>
    </row>
    <row r="398">
      <c r="A398" s="6" t="n"/>
      <c r="B398" s="9" t="n"/>
      <c r="C398" s="6" t="n"/>
      <c r="D398" s="6" t="n"/>
      <c r="E398" s="6" t="n"/>
      <c r="F398" s="6" t="n"/>
      <c r="G398" s="6" t="n"/>
      <c r="H398" s="10">
        <f>IF(F398="","",IFERROR(INDEX(Roster!$A$2:$A$600,MATCH(F398,Roster!$E$2:$E$600,0)),""))</f>
        <v/>
      </c>
      <c r="I398" s="10">
        <f>IF(AND(D398="",C398="",F398=""),"",IF(G398&lt;&gt;"","Void",IF(F398="","Needs child",IF(H398="","Child not found",IF(OR(B398="",NOT(ISNUMBER(C398))),"Needs month/pages","OK")))))</f>
        <v/>
      </c>
      <c r="J398" s="10">
        <f>IF(I398="","",IF(I398="OK",IF(COUNTIFS(H399:H$3001,H398,B399:B$3001,B398,G399:G$3001,"")=0,C398,0),0))</f>
        <v/>
      </c>
    </row>
    <row r="399">
      <c r="A399" s="6" t="n"/>
      <c r="B399" s="9" t="n"/>
      <c r="C399" s="6" t="n"/>
      <c r="D399" s="6" t="n"/>
      <c r="E399" s="6" t="n"/>
      <c r="F399" s="6" t="n"/>
      <c r="G399" s="6" t="n"/>
      <c r="H399" s="10">
        <f>IF(F399="","",IFERROR(INDEX(Roster!$A$2:$A$600,MATCH(F399,Roster!$E$2:$E$600,0)),""))</f>
        <v/>
      </c>
      <c r="I399" s="10">
        <f>IF(AND(D399="",C399="",F399=""),"",IF(G399&lt;&gt;"","Void",IF(F399="","Needs child",IF(H399="","Child not found",IF(OR(B399="",NOT(ISNUMBER(C399))),"Needs month/pages","OK")))))</f>
        <v/>
      </c>
      <c r="J399" s="10">
        <f>IF(I399="","",IF(I399="OK",IF(COUNTIFS(H400:H$3001,H399,B400:B$3001,B399,G400:G$3001,"")=0,C399,0),0))</f>
        <v/>
      </c>
    </row>
    <row r="400">
      <c r="A400" s="6" t="n"/>
      <c r="B400" s="9" t="n"/>
      <c r="C400" s="6" t="n"/>
      <c r="D400" s="6" t="n"/>
      <c r="E400" s="6" t="n"/>
      <c r="F400" s="6" t="n"/>
      <c r="G400" s="6" t="n"/>
      <c r="H400" s="10">
        <f>IF(F400="","",IFERROR(INDEX(Roster!$A$2:$A$600,MATCH(F400,Roster!$E$2:$E$600,0)),""))</f>
        <v/>
      </c>
      <c r="I400" s="10">
        <f>IF(AND(D400="",C400="",F400=""),"",IF(G400&lt;&gt;"","Void",IF(F400="","Needs child",IF(H400="","Child not found",IF(OR(B400="",NOT(ISNUMBER(C400))),"Needs month/pages","OK")))))</f>
        <v/>
      </c>
      <c r="J400" s="10">
        <f>IF(I400="","",IF(I400="OK",IF(COUNTIFS(H401:H$3001,H400,B401:B$3001,B400,G401:G$3001,"")=0,C400,0),0))</f>
        <v/>
      </c>
    </row>
    <row r="401">
      <c r="A401" s="6" t="n"/>
      <c r="B401" s="9" t="n"/>
      <c r="C401" s="6" t="n"/>
      <c r="D401" s="6" t="n"/>
      <c r="E401" s="6" t="n"/>
      <c r="F401" s="6" t="n"/>
      <c r="G401" s="6" t="n"/>
      <c r="H401" s="10">
        <f>IF(F401="","",IFERROR(INDEX(Roster!$A$2:$A$600,MATCH(F401,Roster!$E$2:$E$600,0)),""))</f>
        <v/>
      </c>
      <c r="I401" s="10">
        <f>IF(AND(D401="",C401="",F401=""),"",IF(G401&lt;&gt;"","Void",IF(F401="","Needs child",IF(H401="","Child not found",IF(OR(B401="",NOT(ISNUMBER(C401))),"Needs month/pages","OK")))))</f>
        <v/>
      </c>
      <c r="J401" s="10">
        <f>IF(I401="","",IF(I401="OK",IF(COUNTIFS(H402:H$3001,H401,B402:B$3001,B401,G402:G$3001,"")=0,C401,0),0))</f>
        <v/>
      </c>
    </row>
    <row r="402">
      <c r="A402" s="6" t="n"/>
      <c r="B402" s="9" t="n"/>
      <c r="C402" s="6" t="n"/>
      <c r="D402" s="6" t="n"/>
      <c r="E402" s="6" t="n"/>
      <c r="F402" s="6" t="n"/>
      <c r="G402" s="6" t="n"/>
      <c r="H402" s="10">
        <f>IF(F402="","",IFERROR(INDEX(Roster!$A$2:$A$600,MATCH(F402,Roster!$E$2:$E$600,0)),""))</f>
        <v/>
      </c>
      <c r="I402" s="10">
        <f>IF(AND(D402="",C402="",F402=""),"",IF(G402&lt;&gt;"","Void",IF(F402="","Needs child",IF(H402="","Child not found",IF(OR(B402="",NOT(ISNUMBER(C402))),"Needs month/pages","OK")))))</f>
        <v/>
      </c>
      <c r="J402" s="10">
        <f>IF(I402="","",IF(I402="OK",IF(COUNTIFS(H403:H$3001,H402,B403:B$3001,B402,G403:G$3001,"")=0,C402,0),0))</f>
        <v/>
      </c>
    </row>
    <row r="403">
      <c r="A403" s="6" t="n"/>
      <c r="B403" s="9" t="n"/>
      <c r="C403" s="6" t="n"/>
      <c r="D403" s="6" t="n"/>
      <c r="E403" s="6" t="n"/>
      <c r="F403" s="6" t="n"/>
      <c r="G403" s="6" t="n"/>
      <c r="H403" s="10">
        <f>IF(F403="","",IFERROR(INDEX(Roster!$A$2:$A$600,MATCH(F403,Roster!$E$2:$E$600,0)),""))</f>
        <v/>
      </c>
      <c r="I403" s="10">
        <f>IF(AND(D403="",C403="",F403=""),"",IF(G403&lt;&gt;"","Void",IF(F403="","Needs child",IF(H403="","Child not found",IF(OR(B403="",NOT(ISNUMBER(C403))),"Needs month/pages","OK")))))</f>
        <v/>
      </c>
      <c r="J403" s="10">
        <f>IF(I403="","",IF(I403="OK",IF(COUNTIFS(H404:H$3001,H403,B404:B$3001,B403,G404:G$3001,"")=0,C403,0),0))</f>
        <v/>
      </c>
    </row>
    <row r="404">
      <c r="A404" s="6" t="n"/>
      <c r="B404" s="9" t="n"/>
      <c r="C404" s="6" t="n"/>
      <c r="D404" s="6" t="n"/>
      <c r="E404" s="6" t="n"/>
      <c r="F404" s="6" t="n"/>
      <c r="G404" s="6" t="n"/>
      <c r="H404" s="10">
        <f>IF(F404="","",IFERROR(INDEX(Roster!$A$2:$A$600,MATCH(F404,Roster!$E$2:$E$600,0)),""))</f>
        <v/>
      </c>
      <c r="I404" s="10">
        <f>IF(AND(D404="",C404="",F404=""),"",IF(G404&lt;&gt;"","Void",IF(F404="","Needs child",IF(H404="","Child not found",IF(OR(B404="",NOT(ISNUMBER(C404))),"Needs month/pages","OK")))))</f>
        <v/>
      </c>
      <c r="J404" s="10">
        <f>IF(I404="","",IF(I404="OK",IF(COUNTIFS(H405:H$3001,H404,B405:B$3001,B404,G405:G$3001,"")=0,C404,0),0))</f>
        <v/>
      </c>
    </row>
    <row r="405">
      <c r="A405" s="6" t="n"/>
      <c r="B405" s="9" t="n"/>
      <c r="C405" s="6" t="n"/>
      <c r="D405" s="6" t="n"/>
      <c r="E405" s="6" t="n"/>
      <c r="F405" s="6" t="n"/>
      <c r="G405" s="6" t="n"/>
      <c r="H405" s="10">
        <f>IF(F405="","",IFERROR(INDEX(Roster!$A$2:$A$600,MATCH(F405,Roster!$E$2:$E$600,0)),""))</f>
        <v/>
      </c>
      <c r="I405" s="10">
        <f>IF(AND(D405="",C405="",F405=""),"",IF(G405&lt;&gt;"","Void",IF(F405="","Needs child",IF(H405="","Child not found",IF(OR(B405="",NOT(ISNUMBER(C405))),"Needs month/pages","OK")))))</f>
        <v/>
      </c>
      <c r="J405" s="10">
        <f>IF(I405="","",IF(I405="OK",IF(COUNTIFS(H406:H$3001,H405,B406:B$3001,B405,G406:G$3001,"")=0,C405,0),0))</f>
        <v/>
      </c>
    </row>
    <row r="406">
      <c r="A406" s="6" t="n"/>
      <c r="B406" s="9" t="n"/>
      <c r="C406" s="6" t="n"/>
      <c r="D406" s="6" t="n"/>
      <c r="E406" s="6" t="n"/>
      <c r="F406" s="6" t="n"/>
      <c r="G406" s="6" t="n"/>
      <c r="H406" s="10">
        <f>IF(F406="","",IFERROR(INDEX(Roster!$A$2:$A$600,MATCH(F406,Roster!$E$2:$E$600,0)),""))</f>
        <v/>
      </c>
      <c r="I406" s="10">
        <f>IF(AND(D406="",C406="",F406=""),"",IF(G406&lt;&gt;"","Void",IF(F406="","Needs child",IF(H406="","Child not found",IF(OR(B406="",NOT(ISNUMBER(C406))),"Needs month/pages","OK")))))</f>
        <v/>
      </c>
      <c r="J406" s="10">
        <f>IF(I406="","",IF(I406="OK",IF(COUNTIFS(H407:H$3001,H406,B407:B$3001,B406,G407:G$3001,"")=0,C406,0),0))</f>
        <v/>
      </c>
    </row>
    <row r="407">
      <c r="A407" s="6" t="n"/>
      <c r="B407" s="9" t="n"/>
      <c r="C407" s="6" t="n"/>
      <c r="D407" s="6" t="n"/>
      <c r="E407" s="6" t="n"/>
      <c r="F407" s="6" t="n"/>
      <c r="G407" s="6" t="n"/>
      <c r="H407" s="10">
        <f>IF(F407="","",IFERROR(INDEX(Roster!$A$2:$A$600,MATCH(F407,Roster!$E$2:$E$600,0)),""))</f>
        <v/>
      </c>
      <c r="I407" s="10">
        <f>IF(AND(D407="",C407="",F407=""),"",IF(G407&lt;&gt;"","Void",IF(F407="","Needs child",IF(H407="","Child not found",IF(OR(B407="",NOT(ISNUMBER(C407))),"Needs month/pages","OK")))))</f>
        <v/>
      </c>
      <c r="J407" s="10">
        <f>IF(I407="","",IF(I407="OK",IF(COUNTIFS(H408:H$3001,H407,B408:B$3001,B407,G408:G$3001,"")=0,C407,0),0))</f>
        <v/>
      </c>
    </row>
    <row r="408">
      <c r="A408" s="6" t="n"/>
      <c r="B408" s="9" t="n"/>
      <c r="C408" s="6" t="n"/>
      <c r="D408" s="6" t="n"/>
      <c r="E408" s="6" t="n"/>
      <c r="F408" s="6" t="n"/>
      <c r="G408" s="6" t="n"/>
      <c r="H408" s="10">
        <f>IF(F408="","",IFERROR(INDEX(Roster!$A$2:$A$600,MATCH(F408,Roster!$E$2:$E$600,0)),""))</f>
        <v/>
      </c>
      <c r="I408" s="10">
        <f>IF(AND(D408="",C408="",F408=""),"",IF(G408&lt;&gt;"","Void",IF(F408="","Needs child",IF(H408="","Child not found",IF(OR(B408="",NOT(ISNUMBER(C408))),"Needs month/pages","OK")))))</f>
        <v/>
      </c>
      <c r="J408" s="10">
        <f>IF(I408="","",IF(I408="OK",IF(COUNTIFS(H409:H$3001,H408,B409:B$3001,B408,G409:G$3001,"")=0,C408,0),0))</f>
        <v/>
      </c>
    </row>
    <row r="409">
      <c r="A409" s="6" t="n"/>
      <c r="B409" s="9" t="n"/>
      <c r="C409" s="6" t="n"/>
      <c r="D409" s="6" t="n"/>
      <c r="E409" s="6" t="n"/>
      <c r="F409" s="6" t="n"/>
      <c r="G409" s="6" t="n"/>
      <c r="H409" s="10">
        <f>IF(F409="","",IFERROR(INDEX(Roster!$A$2:$A$600,MATCH(F409,Roster!$E$2:$E$600,0)),""))</f>
        <v/>
      </c>
      <c r="I409" s="10">
        <f>IF(AND(D409="",C409="",F409=""),"",IF(G409&lt;&gt;"","Void",IF(F409="","Needs child",IF(H409="","Child not found",IF(OR(B409="",NOT(ISNUMBER(C409))),"Needs month/pages","OK")))))</f>
        <v/>
      </c>
      <c r="J409" s="10">
        <f>IF(I409="","",IF(I409="OK",IF(COUNTIFS(H410:H$3001,H409,B410:B$3001,B409,G410:G$3001,"")=0,C409,0),0))</f>
        <v/>
      </c>
    </row>
    <row r="410">
      <c r="A410" s="6" t="n"/>
      <c r="B410" s="9" t="n"/>
      <c r="C410" s="6" t="n"/>
      <c r="D410" s="6" t="n"/>
      <c r="E410" s="6" t="n"/>
      <c r="F410" s="6" t="n"/>
      <c r="G410" s="6" t="n"/>
      <c r="H410" s="10">
        <f>IF(F410="","",IFERROR(INDEX(Roster!$A$2:$A$600,MATCH(F410,Roster!$E$2:$E$600,0)),""))</f>
        <v/>
      </c>
      <c r="I410" s="10">
        <f>IF(AND(D410="",C410="",F410=""),"",IF(G410&lt;&gt;"","Void",IF(F410="","Needs child",IF(H410="","Child not found",IF(OR(B410="",NOT(ISNUMBER(C410))),"Needs month/pages","OK")))))</f>
        <v/>
      </c>
      <c r="J410" s="10">
        <f>IF(I410="","",IF(I410="OK",IF(COUNTIFS(H411:H$3001,H410,B411:B$3001,B410,G411:G$3001,"")=0,C410,0),0))</f>
        <v/>
      </c>
    </row>
    <row r="411">
      <c r="A411" s="6" t="n"/>
      <c r="B411" s="9" t="n"/>
      <c r="C411" s="6" t="n"/>
      <c r="D411" s="6" t="n"/>
      <c r="E411" s="6" t="n"/>
      <c r="F411" s="6" t="n"/>
      <c r="G411" s="6" t="n"/>
      <c r="H411" s="10">
        <f>IF(F411="","",IFERROR(INDEX(Roster!$A$2:$A$600,MATCH(F411,Roster!$E$2:$E$600,0)),""))</f>
        <v/>
      </c>
      <c r="I411" s="10">
        <f>IF(AND(D411="",C411="",F411=""),"",IF(G411&lt;&gt;"","Void",IF(F411="","Needs child",IF(H411="","Child not found",IF(OR(B411="",NOT(ISNUMBER(C411))),"Needs month/pages","OK")))))</f>
        <v/>
      </c>
      <c r="J411" s="10">
        <f>IF(I411="","",IF(I411="OK",IF(COUNTIFS(H412:H$3001,H411,B412:B$3001,B411,G412:G$3001,"")=0,C411,0),0))</f>
        <v/>
      </c>
    </row>
    <row r="412">
      <c r="A412" s="6" t="n"/>
      <c r="B412" s="9" t="n"/>
      <c r="C412" s="6" t="n"/>
      <c r="D412" s="6" t="n"/>
      <c r="E412" s="6" t="n"/>
      <c r="F412" s="6" t="n"/>
      <c r="G412" s="6" t="n"/>
      <c r="H412" s="10">
        <f>IF(F412="","",IFERROR(INDEX(Roster!$A$2:$A$600,MATCH(F412,Roster!$E$2:$E$600,0)),""))</f>
        <v/>
      </c>
      <c r="I412" s="10">
        <f>IF(AND(D412="",C412="",F412=""),"",IF(G412&lt;&gt;"","Void",IF(F412="","Needs child",IF(H412="","Child not found",IF(OR(B412="",NOT(ISNUMBER(C412))),"Needs month/pages","OK")))))</f>
        <v/>
      </c>
      <c r="J412" s="10">
        <f>IF(I412="","",IF(I412="OK",IF(COUNTIFS(H413:H$3001,H412,B413:B$3001,B412,G413:G$3001,"")=0,C412,0),0))</f>
        <v/>
      </c>
    </row>
    <row r="413">
      <c r="A413" s="6" t="n"/>
      <c r="B413" s="9" t="n"/>
      <c r="C413" s="6" t="n"/>
      <c r="D413" s="6" t="n"/>
      <c r="E413" s="6" t="n"/>
      <c r="F413" s="6" t="n"/>
      <c r="G413" s="6" t="n"/>
      <c r="H413" s="10">
        <f>IF(F413="","",IFERROR(INDEX(Roster!$A$2:$A$600,MATCH(F413,Roster!$E$2:$E$600,0)),""))</f>
        <v/>
      </c>
      <c r="I413" s="10">
        <f>IF(AND(D413="",C413="",F413=""),"",IF(G413&lt;&gt;"","Void",IF(F413="","Needs child",IF(H413="","Child not found",IF(OR(B413="",NOT(ISNUMBER(C413))),"Needs month/pages","OK")))))</f>
        <v/>
      </c>
      <c r="J413" s="10">
        <f>IF(I413="","",IF(I413="OK",IF(COUNTIFS(H414:H$3001,H413,B414:B$3001,B413,G414:G$3001,"")=0,C413,0),0))</f>
        <v/>
      </c>
    </row>
    <row r="414">
      <c r="A414" s="6" t="n"/>
      <c r="B414" s="9" t="n"/>
      <c r="C414" s="6" t="n"/>
      <c r="D414" s="6" t="n"/>
      <c r="E414" s="6" t="n"/>
      <c r="F414" s="6" t="n"/>
      <c r="G414" s="6" t="n"/>
      <c r="H414" s="10">
        <f>IF(F414="","",IFERROR(INDEX(Roster!$A$2:$A$600,MATCH(F414,Roster!$E$2:$E$600,0)),""))</f>
        <v/>
      </c>
      <c r="I414" s="10">
        <f>IF(AND(D414="",C414="",F414=""),"",IF(G414&lt;&gt;"","Void",IF(F414="","Needs child",IF(H414="","Child not found",IF(OR(B414="",NOT(ISNUMBER(C414))),"Needs month/pages","OK")))))</f>
        <v/>
      </c>
      <c r="J414" s="10">
        <f>IF(I414="","",IF(I414="OK",IF(COUNTIFS(H415:H$3001,H414,B415:B$3001,B414,G415:G$3001,"")=0,C414,0),0))</f>
        <v/>
      </c>
    </row>
    <row r="415">
      <c r="A415" s="6" t="n"/>
      <c r="B415" s="9" t="n"/>
      <c r="C415" s="6" t="n"/>
      <c r="D415" s="6" t="n"/>
      <c r="E415" s="6" t="n"/>
      <c r="F415" s="6" t="n"/>
      <c r="G415" s="6" t="n"/>
      <c r="H415" s="10">
        <f>IF(F415="","",IFERROR(INDEX(Roster!$A$2:$A$600,MATCH(F415,Roster!$E$2:$E$600,0)),""))</f>
        <v/>
      </c>
      <c r="I415" s="10">
        <f>IF(AND(D415="",C415="",F415=""),"",IF(G415&lt;&gt;"","Void",IF(F415="","Needs child",IF(H415="","Child not found",IF(OR(B415="",NOT(ISNUMBER(C415))),"Needs month/pages","OK")))))</f>
        <v/>
      </c>
      <c r="J415" s="10">
        <f>IF(I415="","",IF(I415="OK",IF(COUNTIFS(H416:H$3001,H415,B416:B$3001,B415,G416:G$3001,"")=0,C415,0),0))</f>
        <v/>
      </c>
    </row>
    <row r="416">
      <c r="A416" s="6" t="n"/>
      <c r="B416" s="9" t="n"/>
      <c r="C416" s="6" t="n"/>
      <c r="D416" s="6" t="n"/>
      <c r="E416" s="6" t="n"/>
      <c r="F416" s="6" t="n"/>
      <c r="G416" s="6" t="n"/>
      <c r="H416" s="10">
        <f>IF(F416="","",IFERROR(INDEX(Roster!$A$2:$A$600,MATCH(F416,Roster!$E$2:$E$600,0)),""))</f>
        <v/>
      </c>
      <c r="I416" s="10">
        <f>IF(AND(D416="",C416="",F416=""),"",IF(G416&lt;&gt;"","Void",IF(F416="","Needs child",IF(H416="","Child not found",IF(OR(B416="",NOT(ISNUMBER(C416))),"Needs month/pages","OK")))))</f>
        <v/>
      </c>
      <c r="J416" s="10">
        <f>IF(I416="","",IF(I416="OK",IF(COUNTIFS(H417:H$3001,H416,B417:B$3001,B416,G417:G$3001,"")=0,C416,0),0))</f>
        <v/>
      </c>
    </row>
    <row r="417">
      <c r="A417" s="6" t="n"/>
      <c r="B417" s="9" t="n"/>
      <c r="C417" s="6" t="n"/>
      <c r="D417" s="6" t="n"/>
      <c r="E417" s="6" t="n"/>
      <c r="F417" s="6" t="n"/>
      <c r="G417" s="6" t="n"/>
      <c r="H417" s="10">
        <f>IF(F417="","",IFERROR(INDEX(Roster!$A$2:$A$600,MATCH(F417,Roster!$E$2:$E$600,0)),""))</f>
        <v/>
      </c>
      <c r="I417" s="10">
        <f>IF(AND(D417="",C417="",F417=""),"",IF(G417&lt;&gt;"","Void",IF(F417="","Needs child",IF(H417="","Child not found",IF(OR(B417="",NOT(ISNUMBER(C417))),"Needs month/pages","OK")))))</f>
        <v/>
      </c>
      <c r="J417" s="10">
        <f>IF(I417="","",IF(I417="OK",IF(COUNTIFS(H418:H$3001,H417,B418:B$3001,B417,G418:G$3001,"")=0,C417,0),0))</f>
        <v/>
      </c>
    </row>
    <row r="418">
      <c r="A418" s="6" t="n"/>
      <c r="B418" s="9" t="n"/>
      <c r="C418" s="6" t="n"/>
      <c r="D418" s="6" t="n"/>
      <c r="E418" s="6" t="n"/>
      <c r="F418" s="6" t="n"/>
      <c r="G418" s="6" t="n"/>
      <c r="H418" s="10">
        <f>IF(F418="","",IFERROR(INDEX(Roster!$A$2:$A$600,MATCH(F418,Roster!$E$2:$E$600,0)),""))</f>
        <v/>
      </c>
      <c r="I418" s="10">
        <f>IF(AND(D418="",C418="",F418=""),"",IF(G418&lt;&gt;"","Void",IF(F418="","Needs child",IF(H418="","Child not found",IF(OR(B418="",NOT(ISNUMBER(C418))),"Needs month/pages","OK")))))</f>
        <v/>
      </c>
      <c r="J418" s="10">
        <f>IF(I418="","",IF(I418="OK",IF(COUNTIFS(H419:H$3001,H418,B419:B$3001,B418,G419:G$3001,"")=0,C418,0),0))</f>
        <v/>
      </c>
    </row>
    <row r="419">
      <c r="A419" s="6" t="n"/>
      <c r="B419" s="9" t="n"/>
      <c r="C419" s="6" t="n"/>
      <c r="D419" s="6" t="n"/>
      <c r="E419" s="6" t="n"/>
      <c r="F419" s="6" t="n"/>
      <c r="G419" s="6" t="n"/>
      <c r="H419" s="10">
        <f>IF(F419="","",IFERROR(INDEX(Roster!$A$2:$A$600,MATCH(F419,Roster!$E$2:$E$600,0)),""))</f>
        <v/>
      </c>
      <c r="I419" s="10">
        <f>IF(AND(D419="",C419="",F419=""),"",IF(G419&lt;&gt;"","Void",IF(F419="","Needs child",IF(H419="","Child not found",IF(OR(B419="",NOT(ISNUMBER(C419))),"Needs month/pages","OK")))))</f>
        <v/>
      </c>
      <c r="J419" s="10">
        <f>IF(I419="","",IF(I419="OK",IF(COUNTIFS(H420:H$3001,H419,B420:B$3001,B419,G420:G$3001,"")=0,C419,0),0))</f>
        <v/>
      </c>
    </row>
    <row r="420">
      <c r="A420" s="6" t="n"/>
      <c r="B420" s="9" t="n"/>
      <c r="C420" s="6" t="n"/>
      <c r="D420" s="6" t="n"/>
      <c r="E420" s="6" t="n"/>
      <c r="F420" s="6" t="n"/>
      <c r="G420" s="6" t="n"/>
      <c r="H420" s="10">
        <f>IF(F420="","",IFERROR(INDEX(Roster!$A$2:$A$600,MATCH(F420,Roster!$E$2:$E$600,0)),""))</f>
        <v/>
      </c>
      <c r="I420" s="10">
        <f>IF(AND(D420="",C420="",F420=""),"",IF(G420&lt;&gt;"","Void",IF(F420="","Needs child",IF(H420="","Child not found",IF(OR(B420="",NOT(ISNUMBER(C420))),"Needs month/pages","OK")))))</f>
        <v/>
      </c>
      <c r="J420" s="10">
        <f>IF(I420="","",IF(I420="OK",IF(COUNTIFS(H421:H$3001,H420,B421:B$3001,B420,G421:G$3001,"")=0,C420,0),0))</f>
        <v/>
      </c>
    </row>
    <row r="421">
      <c r="A421" s="6" t="n"/>
      <c r="B421" s="9" t="n"/>
      <c r="C421" s="6" t="n"/>
      <c r="D421" s="6" t="n"/>
      <c r="E421" s="6" t="n"/>
      <c r="F421" s="6" t="n"/>
      <c r="G421" s="6" t="n"/>
      <c r="H421" s="10">
        <f>IF(F421="","",IFERROR(INDEX(Roster!$A$2:$A$600,MATCH(F421,Roster!$E$2:$E$600,0)),""))</f>
        <v/>
      </c>
      <c r="I421" s="10">
        <f>IF(AND(D421="",C421="",F421=""),"",IF(G421&lt;&gt;"","Void",IF(F421="","Needs child",IF(H421="","Child not found",IF(OR(B421="",NOT(ISNUMBER(C421))),"Needs month/pages","OK")))))</f>
        <v/>
      </c>
      <c r="J421" s="10">
        <f>IF(I421="","",IF(I421="OK",IF(COUNTIFS(H422:H$3001,H421,B422:B$3001,B421,G422:G$3001,"")=0,C421,0),0))</f>
        <v/>
      </c>
    </row>
    <row r="422">
      <c r="A422" s="6" t="n"/>
      <c r="B422" s="9" t="n"/>
      <c r="C422" s="6" t="n"/>
      <c r="D422" s="6" t="n"/>
      <c r="E422" s="6" t="n"/>
      <c r="F422" s="6" t="n"/>
      <c r="G422" s="6" t="n"/>
      <c r="H422" s="10">
        <f>IF(F422="","",IFERROR(INDEX(Roster!$A$2:$A$600,MATCH(F422,Roster!$E$2:$E$600,0)),""))</f>
        <v/>
      </c>
      <c r="I422" s="10">
        <f>IF(AND(D422="",C422="",F422=""),"",IF(G422&lt;&gt;"","Void",IF(F422="","Needs child",IF(H422="","Child not found",IF(OR(B422="",NOT(ISNUMBER(C422))),"Needs month/pages","OK")))))</f>
        <v/>
      </c>
      <c r="J422" s="10">
        <f>IF(I422="","",IF(I422="OK",IF(COUNTIFS(H423:H$3001,H422,B423:B$3001,B422,G423:G$3001,"")=0,C422,0),0))</f>
        <v/>
      </c>
    </row>
    <row r="423">
      <c r="A423" s="6" t="n"/>
      <c r="B423" s="9" t="n"/>
      <c r="C423" s="6" t="n"/>
      <c r="D423" s="6" t="n"/>
      <c r="E423" s="6" t="n"/>
      <c r="F423" s="6" t="n"/>
      <c r="G423" s="6" t="n"/>
      <c r="H423" s="10">
        <f>IF(F423="","",IFERROR(INDEX(Roster!$A$2:$A$600,MATCH(F423,Roster!$E$2:$E$600,0)),""))</f>
        <v/>
      </c>
      <c r="I423" s="10">
        <f>IF(AND(D423="",C423="",F423=""),"",IF(G423&lt;&gt;"","Void",IF(F423="","Needs child",IF(H423="","Child not found",IF(OR(B423="",NOT(ISNUMBER(C423))),"Needs month/pages","OK")))))</f>
        <v/>
      </c>
      <c r="J423" s="10">
        <f>IF(I423="","",IF(I423="OK",IF(COUNTIFS(H424:H$3001,H423,B424:B$3001,B423,G424:G$3001,"")=0,C423,0),0))</f>
        <v/>
      </c>
    </row>
    <row r="424">
      <c r="A424" s="6" t="n"/>
      <c r="B424" s="9" t="n"/>
      <c r="C424" s="6" t="n"/>
      <c r="D424" s="6" t="n"/>
      <c r="E424" s="6" t="n"/>
      <c r="F424" s="6" t="n"/>
      <c r="G424" s="6" t="n"/>
      <c r="H424" s="10">
        <f>IF(F424="","",IFERROR(INDEX(Roster!$A$2:$A$600,MATCH(F424,Roster!$E$2:$E$600,0)),""))</f>
        <v/>
      </c>
      <c r="I424" s="10">
        <f>IF(AND(D424="",C424="",F424=""),"",IF(G424&lt;&gt;"","Void",IF(F424="","Needs child",IF(H424="","Child not found",IF(OR(B424="",NOT(ISNUMBER(C424))),"Needs month/pages","OK")))))</f>
        <v/>
      </c>
      <c r="J424" s="10">
        <f>IF(I424="","",IF(I424="OK",IF(COUNTIFS(H425:H$3001,H424,B425:B$3001,B424,G425:G$3001,"")=0,C424,0),0))</f>
        <v/>
      </c>
    </row>
    <row r="425">
      <c r="A425" s="6" t="n"/>
      <c r="B425" s="9" t="n"/>
      <c r="C425" s="6" t="n"/>
      <c r="D425" s="6" t="n"/>
      <c r="E425" s="6" t="n"/>
      <c r="F425" s="6" t="n"/>
      <c r="G425" s="6" t="n"/>
      <c r="H425" s="10">
        <f>IF(F425="","",IFERROR(INDEX(Roster!$A$2:$A$600,MATCH(F425,Roster!$E$2:$E$600,0)),""))</f>
        <v/>
      </c>
      <c r="I425" s="10">
        <f>IF(AND(D425="",C425="",F425=""),"",IF(G425&lt;&gt;"","Void",IF(F425="","Needs child",IF(H425="","Child not found",IF(OR(B425="",NOT(ISNUMBER(C425))),"Needs month/pages","OK")))))</f>
        <v/>
      </c>
      <c r="J425" s="10">
        <f>IF(I425="","",IF(I425="OK",IF(COUNTIFS(H426:H$3001,H425,B426:B$3001,B425,G426:G$3001,"")=0,C425,0),0))</f>
        <v/>
      </c>
    </row>
    <row r="426">
      <c r="A426" s="6" t="n"/>
      <c r="B426" s="9" t="n"/>
      <c r="C426" s="6" t="n"/>
      <c r="D426" s="6" t="n"/>
      <c r="E426" s="6" t="n"/>
      <c r="F426" s="6" t="n"/>
      <c r="G426" s="6" t="n"/>
      <c r="H426" s="10">
        <f>IF(F426="","",IFERROR(INDEX(Roster!$A$2:$A$600,MATCH(F426,Roster!$E$2:$E$600,0)),""))</f>
        <v/>
      </c>
      <c r="I426" s="10">
        <f>IF(AND(D426="",C426="",F426=""),"",IF(G426&lt;&gt;"","Void",IF(F426="","Needs child",IF(H426="","Child not found",IF(OR(B426="",NOT(ISNUMBER(C426))),"Needs month/pages","OK")))))</f>
        <v/>
      </c>
      <c r="J426" s="10">
        <f>IF(I426="","",IF(I426="OK",IF(COUNTIFS(H427:H$3001,H426,B427:B$3001,B426,G427:G$3001,"")=0,C426,0),0))</f>
        <v/>
      </c>
    </row>
    <row r="427">
      <c r="A427" s="6" t="n"/>
      <c r="B427" s="9" t="n"/>
      <c r="C427" s="6" t="n"/>
      <c r="D427" s="6" t="n"/>
      <c r="E427" s="6" t="n"/>
      <c r="F427" s="6" t="n"/>
      <c r="G427" s="6" t="n"/>
      <c r="H427" s="10">
        <f>IF(F427="","",IFERROR(INDEX(Roster!$A$2:$A$600,MATCH(F427,Roster!$E$2:$E$600,0)),""))</f>
        <v/>
      </c>
      <c r="I427" s="10">
        <f>IF(AND(D427="",C427="",F427=""),"",IF(G427&lt;&gt;"","Void",IF(F427="","Needs child",IF(H427="","Child not found",IF(OR(B427="",NOT(ISNUMBER(C427))),"Needs month/pages","OK")))))</f>
        <v/>
      </c>
      <c r="J427" s="10">
        <f>IF(I427="","",IF(I427="OK",IF(COUNTIFS(H428:H$3001,H427,B428:B$3001,B427,G428:G$3001,"")=0,C427,0),0))</f>
        <v/>
      </c>
    </row>
    <row r="428">
      <c r="A428" s="6" t="n"/>
      <c r="B428" s="9" t="n"/>
      <c r="C428" s="6" t="n"/>
      <c r="D428" s="6" t="n"/>
      <c r="E428" s="6" t="n"/>
      <c r="F428" s="6" t="n"/>
      <c r="G428" s="6" t="n"/>
      <c r="H428" s="10">
        <f>IF(F428="","",IFERROR(INDEX(Roster!$A$2:$A$600,MATCH(F428,Roster!$E$2:$E$600,0)),""))</f>
        <v/>
      </c>
      <c r="I428" s="10">
        <f>IF(AND(D428="",C428="",F428=""),"",IF(G428&lt;&gt;"","Void",IF(F428="","Needs child",IF(H428="","Child not found",IF(OR(B428="",NOT(ISNUMBER(C428))),"Needs month/pages","OK")))))</f>
        <v/>
      </c>
      <c r="J428" s="10">
        <f>IF(I428="","",IF(I428="OK",IF(COUNTIFS(H429:H$3001,H428,B429:B$3001,B428,G429:G$3001,"")=0,C428,0),0))</f>
        <v/>
      </c>
    </row>
    <row r="429">
      <c r="A429" s="6" t="n"/>
      <c r="B429" s="9" t="n"/>
      <c r="C429" s="6" t="n"/>
      <c r="D429" s="6" t="n"/>
      <c r="E429" s="6" t="n"/>
      <c r="F429" s="6" t="n"/>
      <c r="G429" s="6" t="n"/>
      <c r="H429" s="10">
        <f>IF(F429="","",IFERROR(INDEX(Roster!$A$2:$A$600,MATCH(F429,Roster!$E$2:$E$600,0)),""))</f>
        <v/>
      </c>
      <c r="I429" s="10">
        <f>IF(AND(D429="",C429="",F429=""),"",IF(G429&lt;&gt;"","Void",IF(F429="","Needs child",IF(H429="","Child not found",IF(OR(B429="",NOT(ISNUMBER(C429))),"Needs month/pages","OK")))))</f>
        <v/>
      </c>
      <c r="J429" s="10">
        <f>IF(I429="","",IF(I429="OK",IF(COUNTIFS(H430:H$3001,H429,B430:B$3001,B429,G430:G$3001,"")=0,C429,0),0))</f>
        <v/>
      </c>
    </row>
    <row r="430">
      <c r="A430" s="6" t="n"/>
      <c r="B430" s="9" t="n"/>
      <c r="C430" s="6" t="n"/>
      <c r="D430" s="6" t="n"/>
      <c r="E430" s="6" t="n"/>
      <c r="F430" s="6" t="n"/>
      <c r="G430" s="6" t="n"/>
      <c r="H430" s="10">
        <f>IF(F430="","",IFERROR(INDEX(Roster!$A$2:$A$600,MATCH(F430,Roster!$E$2:$E$600,0)),""))</f>
        <v/>
      </c>
      <c r="I430" s="10">
        <f>IF(AND(D430="",C430="",F430=""),"",IF(G430&lt;&gt;"","Void",IF(F430="","Needs child",IF(H430="","Child not found",IF(OR(B430="",NOT(ISNUMBER(C430))),"Needs month/pages","OK")))))</f>
        <v/>
      </c>
      <c r="J430" s="10">
        <f>IF(I430="","",IF(I430="OK",IF(COUNTIFS(H431:H$3001,H430,B431:B$3001,B430,G431:G$3001,"")=0,C430,0),0))</f>
        <v/>
      </c>
    </row>
    <row r="431">
      <c r="A431" s="6" t="n"/>
      <c r="B431" s="9" t="n"/>
      <c r="C431" s="6" t="n"/>
      <c r="D431" s="6" t="n"/>
      <c r="E431" s="6" t="n"/>
      <c r="F431" s="6" t="n"/>
      <c r="G431" s="6" t="n"/>
      <c r="H431" s="10">
        <f>IF(F431="","",IFERROR(INDEX(Roster!$A$2:$A$600,MATCH(F431,Roster!$E$2:$E$600,0)),""))</f>
        <v/>
      </c>
      <c r="I431" s="10">
        <f>IF(AND(D431="",C431="",F431=""),"",IF(G431&lt;&gt;"","Void",IF(F431="","Needs child",IF(H431="","Child not found",IF(OR(B431="",NOT(ISNUMBER(C431))),"Needs month/pages","OK")))))</f>
        <v/>
      </c>
      <c r="J431" s="10">
        <f>IF(I431="","",IF(I431="OK",IF(COUNTIFS(H432:H$3001,H431,B432:B$3001,B431,G432:G$3001,"")=0,C431,0),0))</f>
        <v/>
      </c>
    </row>
    <row r="432">
      <c r="A432" s="6" t="n"/>
      <c r="B432" s="9" t="n"/>
      <c r="C432" s="6" t="n"/>
      <c r="D432" s="6" t="n"/>
      <c r="E432" s="6" t="n"/>
      <c r="F432" s="6" t="n"/>
      <c r="G432" s="6" t="n"/>
      <c r="H432" s="10">
        <f>IF(F432="","",IFERROR(INDEX(Roster!$A$2:$A$600,MATCH(F432,Roster!$E$2:$E$600,0)),""))</f>
        <v/>
      </c>
      <c r="I432" s="10">
        <f>IF(AND(D432="",C432="",F432=""),"",IF(G432&lt;&gt;"","Void",IF(F432="","Needs child",IF(H432="","Child not found",IF(OR(B432="",NOT(ISNUMBER(C432))),"Needs month/pages","OK")))))</f>
        <v/>
      </c>
      <c r="J432" s="10">
        <f>IF(I432="","",IF(I432="OK",IF(COUNTIFS(H433:H$3001,H432,B433:B$3001,B432,G433:G$3001,"")=0,C432,0),0))</f>
        <v/>
      </c>
    </row>
    <row r="433">
      <c r="A433" s="6" t="n"/>
      <c r="B433" s="9" t="n"/>
      <c r="C433" s="6" t="n"/>
      <c r="D433" s="6" t="n"/>
      <c r="E433" s="6" t="n"/>
      <c r="F433" s="6" t="n"/>
      <c r="G433" s="6" t="n"/>
      <c r="H433" s="10">
        <f>IF(F433="","",IFERROR(INDEX(Roster!$A$2:$A$600,MATCH(F433,Roster!$E$2:$E$600,0)),""))</f>
        <v/>
      </c>
      <c r="I433" s="10">
        <f>IF(AND(D433="",C433="",F433=""),"",IF(G433&lt;&gt;"","Void",IF(F433="","Needs child",IF(H433="","Child not found",IF(OR(B433="",NOT(ISNUMBER(C433))),"Needs month/pages","OK")))))</f>
        <v/>
      </c>
      <c r="J433" s="10">
        <f>IF(I433="","",IF(I433="OK",IF(COUNTIFS(H434:H$3001,H433,B434:B$3001,B433,G434:G$3001,"")=0,C433,0),0))</f>
        <v/>
      </c>
    </row>
    <row r="434">
      <c r="A434" s="6" t="n"/>
      <c r="B434" s="9" t="n"/>
      <c r="C434" s="6" t="n"/>
      <c r="D434" s="6" t="n"/>
      <c r="E434" s="6" t="n"/>
      <c r="F434" s="6" t="n"/>
      <c r="G434" s="6" t="n"/>
      <c r="H434" s="10">
        <f>IF(F434="","",IFERROR(INDEX(Roster!$A$2:$A$600,MATCH(F434,Roster!$E$2:$E$600,0)),""))</f>
        <v/>
      </c>
      <c r="I434" s="10">
        <f>IF(AND(D434="",C434="",F434=""),"",IF(G434&lt;&gt;"","Void",IF(F434="","Needs child",IF(H434="","Child not found",IF(OR(B434="",NOT(ISNUMBER(C434))),"Needs month/pages","OK")))))</f>
        <v/>
      </c>
      <c r="J434" s="10">
        <f>IF(I434="","",IF(I434="OK",IF(COUNTIFS(H435:H$3001,H434,B435:B$3001,B434,G435:G$3001,"")=0,C434,0),0))</f>
        <v/>
      </c>
    </row>
    <row r="435">
      <c r="A435" s="6" t="n"/>
      <c r="B435" s="9" t="n"/>
      <c r="C435" s="6" t="n"/>
      <c r="D435" s="6" t="n"/>
      <c r="E435" s="6" t="n"/>
      <c r="F435" s="6" t="n"/>
      <c r="G435" s="6" t="n"/>
      <c r="H435" s="10">
        <f>IF(F435="","",IFERROR(INDEX(Roster!$A$2:$A$600,MATCH(F435,Roster!$E$2:$E$600,0)),""))</f>
        <v/>
      </c>
      <c r="I435" s="10">
        <f>IF(AND(D435="",C435="",F435=""),"",IF(G435&lt;&gt;"","Void",IF(F435="","Needs child",IF(H435="","Child not found",IF(OR(B435="",NOT(ISNUMBER(C435))),"Needs month/pages","OK")))))</f>
        <v/>
      </c>
      <c r="J435" s="10">
        <f>IF(I435="","",IF(I435="OK",IF(COUNTIFS(H436:H$3001,H435,B436:B$3001,B435,G436:G$3001,"")=0,C435,0),0))</f>
        <v/>
      </c>
    </row>
    <row r="436">
      <c r="A436" s="6" t="n"/>
      <c r="B436" s="9" t="n"/>
      <c r="C436" s="6" t="n"/>
      <c r="D436" s="6" t="n"/>
      <c r="E436" s="6" t="n"/>
      <c r="F436" s="6" t="n"/>
      <c r="G436" s="6" t="n"/>
      <c r="H436" s="10">
        <f>IF(F436="","",IFERROR(INDEX(Roster!$A$2:$A$600,MATCH(F436,Roster!$E$2:$E$600,0)),""))</f>
        <v/>
      </c>
      <c r="I436" s="10">
        <f>IF(AND(D436="",C436="",F436=""),"",IF(G436&lt;&gt;"","Void",IF(F436="","Needs child",IF(H436="","Child not found",IF(OR(B436="",NOT(ISNUMBER(C436))),"Needs month/pages","OK")))))</f>
        <v/>
      </c>
      <c r="J436" s="10">
        <f>IF(I436="","",IF(I436="OK",IF(COUNTIFS(H437:H$3001,H436,B437:B$3001,B436,G437:G$3001,"")=0,C436,0),0))</f>
        <v/>
      </c>
    </row>
    <row r="437">
      <c r="A437" s="6" t="n"/>
      <c r="B437" s="9" t="n"/>
      <c r="C437" s="6" t="n"/>
      <c r="D437" s="6" t="n"/>
      <c r="E437" s="6" t="n"/>
      <c r="F437" s="6" t="n"/>
      <c r="G437" s="6" t="n"/>
      <c r="H437" s="10">
        <f>IF(F437="","",IFERROR(INDEX(Roster!$A$2:$A$600,MATCH(F437,Roster!$E$2:$E$600,0)),""))</f>
        <v/>
      </c>
      <c r="I437" s="10">
        <f>IF(AND(D437="",C437="",F437=""),"",IF(G437&lt;&gt;"","Void",IF(F437="","Needs child",IF(H437="","Child not found",IF(OR(B437="",NOT(ISNUMBER(C437))),"Needs month/pages","OK")))))</f>
        <v/>
      </c>
      <c r="J437" s="10">
        <f>IF(I437="","",IF(I437="OK",IF(COUNTIFS(H438:H$3001,H437,B438:B$3001,B437,G438:G$3001,"")=0,C437,0),0))</f>
        <v/>
      </c>
    </row>
    <row r="438">
      <c r="A438" s="6" t="n"/>
      <c r="B438" s="9" t="n"/>
      <c r="C438" s="6" t="n"/>
      <c r="D438" s="6" t="n"/>
      <c r="E438" s="6" t="n"/>
      <c r="F438" s="6" t="n"/>
      <c r="G438" s="6" t="n"/>
      <c r="H438" s="10">
        <f>IF(F438="","",IFERROR(INDEX(Roster!$A$2:$A$600,MATCH(F438,Roster!$E$2:$E$600,0)),""))</f>
        <v/>
      </c>
      <c r="I438" s="10">
        <f>IF(AND(D438="",C438="",F438=""),"",IF(G438&lt;&gt;"","Void",IF(F438="","Needs child",IF(H438="","Child not found",IF(OR(B438="",NOT(ISNUMBER(C438))),"Needs month/pages","OK")))))</f>
        <v/>
      </c>
      <c r="J438" s="10">
        <f>IF(I438="","",IF(I438="OK",IF(COUNTIFS(H439:H$3001,H438,B439:B$3001,B438,G439:G$3001,"")=0,C438,0),0))</f>
        <v/>
      </c>
    </row>
    <row r="439">
      <c r="A439" s="6" t="n"/>
      <c r="B439" s="9" t="n"/>
      <c r="C439" s="6" t="n"/>
      <c r="D439" s="6" t="n"/>
      <c r="E439" s="6" t="n"/>
      <c r="F439" s="6" t="n"/>
      <c r="G439" s="6" t="n"/>
      <c r="H439" s="10">
        <f>IF(F439="","",IFERROR(INDEX(Roster!$A$2:$A$600,MATCH(F439,Roster!$E$2:$E$600,0)),""))</f>
        <v/>
      </c>
      <c r="I439" s="10">
        <f>IF(AND(D439="",C439="",F439=""),"",IF(G439&lt;&gt;"","Void",IF(F439="","Needs child",IF(H439="","Child not found",IF(OR(B439="",NOT(ISNUMBER(C439))),"Needs month/pages","OK")))))</f>
        <v/>
      </c>
      <c r="J439" s="10">
        <f>IF(I439="","",IF(I439="OK",IF(COUNTIFS(H440:H$3001,H439,B440:B$3001,B439,G440:G$3001,"")=0,C439,0),0))</f>
        <v/>
      </c>
    </row>
    <row r="440">
      <c r="A440" s="6" t="n"/>
      <c r="B440" s="9" t="n"/>
      <c r="C440" s="6" t="n"/>
      <c r="D440" s="6" t="n"/>
      <c r="E440" s="6" t="n"/>
      <c r="F440" s="6" t="n"/>
      <c r="G440" s="6" t="n"/>
      <c r="H440" s="10">
        <f>IF(F440="","",IFERROR(INDEX(Roster!$A$2:$A$600,MATCH(F440,Roster!$E$2:$E$600,0)),""))</f>
        <v/>
      </c>
      <c r="I440" s="10">
        <f>IF(AND(D440="",C440="",F440=""),"",IF(G440&lt;&gt;"","Void",IF(F440="","Needs child",IF(H440="","Child not found",IF(OR(B440="",NOT(ISNUMBER(C440))),"Needs month/pages","OK")))))</f>
        <v/>
      </c>
      <c r="J440" s="10">
        <f>IF(I440="","",IF(I440="OK",IF(COUNTIFS(H441:H$3001,H440,B441:B$3001,B440,G441:G$3001,"")=0,C440,0),0))</f>
        <v/>
      </c>
    </row>
    <row r="441">
      <c r="A441" s="6" t="n"/>
      <c r="B441" s="9" t="n"/>
      <c r="C441" s="6" t="n"/>
      <c r="D441" s="6" t="n"/>
      <c r="E441" s="6" t="n"/>
      <c r="F441" s="6" t="n"/>
      <c r="G441" s="6" t="n"/>
      <c r="H441" s="10">
        <f>IF(F441="","",IFERROR(INDEX(Roster!$A$2:$A$600,MATCH(F441,Roster!$E$2:$E$600,0)),""))</f>
        <v/>
      </c>
      <c r="I441" s="10">
        <f>IF(AND(D441="",C441="",F441=""),"",IF(G441&lt;&gt;"","Void",IF(F441="","Needs child",IF(H441="","Child not found",IF(OR(B441="",NOT(ISNUMBER(C441))),"Needs month/pages","OK")))))</f>
        <v/>
      </c>
      <c r="J441" s="10">
        <f>IF(I441="","",IF(I441="OK",IF(COUNTIFS(H442:H$3001,H441,B442:B$3001,B441,G442:G$3001,"")=0,C441,0),0))</f>
        <v/>
      </c>
    </row>
    <row r="442">
      <c r="A442" s="6" t="n"/>
      <c r="B442" s="9" t="n"/>
      <c r="C442" s="6" t="n"/>
      <c r="D442" s="6" t="n"/>
      <c r="E442" s="6" t="n"/>
      <c r="F442" s="6" t="n"/>
      <c r="G442" s="6" t="n"/>
      <c r="H442" s="10">
        <f>IF(F442="","",IFERROR(INDEX(Roster!$A$2:$A$600,MATCH(F442,Roster!$E$2:$E$600,0)),""))</f>
        <v/>
      </c>
      <c r="I442" s="10">
        <f>IF(AND(D442="",C442="",F442=""),"",IF(G442&lt;&gt;"","Void",IF(F442="","Needs child",IF(H442="","Child not found",IF(OR(B442="",NOT(ISNUMBER(C442))),"Needs month/pages","OK")))))</f>
        <v/>
      </c>
      <c r="J442" s="10">
        <f>IF(I442="","",IF(I442="OK",IF(COUNTIFS(H443:H$3001,H442,B443:B$3001,B442,G443:G$3001,"")=0,C442,0),0))</f>
        <v/>
      </c>
    </row>
    <row r="443">
      <c r="A443" s="6" t="n"/>
      <c r="B443" s="9" t="n"/>
      <c r="C443" s="6" t="n"/>
      <c r="D443" s="6" t="n"/>
      <c r="E443" s="6" t="n"/>
      <c r="F443" s="6" t="n"/>
      <c r="G443" s="6" t="n"/>
      <c r="H443" s="10">
        <f>IF(F443="","",IFERROR(INDEX(Roster!$A$2:$A$600,MATCH(F443,Roster!$E$2:$E$600,0)),""))</f>
        <v/>
      </c>
      <c r="I443" s="10">
        <f>IF(AND(D443="",C443="",F443=""),"",IF(G443&lt;&gt;"","Void",IF(F443="","Needs child",IF(H443="","Child not found",IF(OR(B443="",NOT(ISNUMBER(C443))),"Needs month/pages","OK")))))</f>
        <v/>
      </c>
      <c r="J443" s="10">
        <f>IF(I443="","",IF(I443="OK",IF(COUNTIFS(H444:H$3001,H443,B444:B$3001,B443,G444:G$3001,"")=0,C443,0),0))</f>
        <v/>
      </c>
    </row>
    <row r="444">
      <c r="A444" s="6" t="n"/>
      <c r="B444" s="9" t="n"/>
      <c r="C444" s="6" t="n"/>
      <c r="D444" s="6" t="n"/>
      <c r="E444" s="6" t="n"/>
      <c r="F444" s="6" t="n"/>
      <c r="G444" s="6" t="n"/>
      <c r="H444" s="10">
        <f>IF(F444="","",IFERROR(INDEX(Roster!$A$2:$A$600,MATCH(F444,Roster!$E$2:$E$600,0)),""))</f>
        <v/>
      </c>
      <c r="I444" s="10">
        <f>IF(AND(D444="",C444="",F444=""),"",IF(G444&lt;&gt;"","Void",IF(F444="","Needs child",IF(H444="","Child not found",IF(OR(B444="",NOT(ISNUMBER(C444))),"Needs month/pages","OK")))))</f>
        <v/>
      </c>
      <c r="J444" s="10">
        <f>IF(I444="","",IF(I444="OK",IF(COUNTIFS(H445:H$3001,H444,B445:B$3001,B444,G445:G$3001,"")=0,C444,0),0))</f>
        <v/>
      </c>
    </row>
    <row r="445">
      <c r="A445" s="6" t="n"/>
      <c r="B445" s="9" t="n"/>
      <c r="C445" s="6" t="n"/>
      <c r="D445" s="6" t="n"/>
      <c r="E445" s="6" t="n"/>
      <c r="F445" s="6" t="n"/>
      <c r="G445" s="6" t="n"/>
      <c r="H445" s="10">
        <f>IF(F445="","",IFERROR(INDEX(Roster!$A$2:$A$600,MATCH(F445,Roster!$E$2:$E$600,0)),""))</f>
        <v/>
      </c>
      <c r="I445" s="10">
        <f>IF(AND(D445="",C445="",F445=""),"",IF(G445&lt;&gt;"","Void",IF(F445="","Needs child",IF(H445="","Child not found",IF(OR(B445="",NOT(ISNUMBER(C445))),"Needs month/pages","OK")))))</f>
        <v/>
      </c>
      <c r="J445" s="10">
        <f>IF(I445="","",IF(I445="OK",IF(COUNTIFS(H446:H$3001,H445,B446:B$3001,B445,G446:G$3001,"")=0,C445,0),0))</f>
        <v/>
      </c>
    </row>
    <row r="446">
      <c r="A446" s="6" t="n"/>
      <c r="B446" s="9" t="n"/>
      <c r="C446" s="6" t="n"/>
      <c r="D446" s="6" t="n"/>
      <c r="E446" s="6" t="n"/>
      <c r="F446" s="6" t="n"/>
      <c r="G446" s="6" t="n"/>
      <c r="H446" s="10">
        <f>IF(F446="","",IFERROR(INDEX(Roster!$A$2:$A$600,MATCH(F446,Roster!$E$2:$E$600,0)),""))</f>
        <v/>
      </c>
      <c r="I446" s="10">
        <f>IF(AND(D446="",C446="",F446=""),"",IF(G446&lt;&gt;"","Void",IF(F446="","Needs child",IF(H446="","Child not found",IF(OR(B446="",NOT(ISNUMBER(C446))),"Needs month/pages","OK")))))</f>
        <v/>
      </c>
      <c r="J446" s="10">
        <f>IF(I446="","",IF(I446="OK",IF(COUNTIFS(H447:H$3001,H446,B447:B$3001,B446,G447:G$3001,"")=0,C446,0),0))</f>
        <v/>
      </c>
    </row>
    <row r="447">
      <c r="A447" s="6" t="n"/>
      <c r="B447" s="9" t="n"/>
      <c r="C447" s="6" t="n"/>
      <c r="D447" s="6" t="n"/>
      <c r="E447" s="6" t="n"/>
      <c r="F447" s="6" t="n"/>
      <c r="G447" s="6" t="n"/>
      <c r="H447" s="10">
        <f>IF(F447="","",IFERROR(INDEX(Roster!$A$2:$A$600,MATCH(F447,Roster!$E$2:$E$600,0)),""))</f>
        <v/>
      </c>
      <c r="I447" s="10">
        <f>IF(AND(D447="",C447="",F447=""),"",IF(G447&lt;&gt;"","Void",IF(F447="","Needs child",IF(H447="","Child not found",IF(OR(B447="",NOT(ISNUMBER(C447))),"Needs month/pages","OK")))))</f>
        <v/>
      </c>
      <c r="J447" s="10">
        <f>IF(I447="","",IF(I447="OK",IF(COUNTIFS(H448:H$3001,H447,B448:B$3001,B447,G448:G$3001,"")=0,C447,0),0))</f>
        <v/>
      </c>
    </row>
    <row r="448">
      <c r="A448" s="6" t="n"/>
      <c r="B448" s="9" t="n"/>
      <c r="C448" s="6" t="n"/>
      <c r="D448" s="6" t="n"/>
      <c r="E448" s="6" t="n"/>
      <c r="F448" s="6" t="n"/>
      <c r="G448" s="6" t="n"/>
      <c r="H448" s="10">
        <f>IF(F448="","",IFERROR(INDEX(Roster!$A$2:$A$600,MATCH(F448,Roster!$E$2:$E$600,0)),""))</f>
        <v/>
      </c>
      <c r="I448" s="10">
        <f>IF(AND(D448="",C448="",F448=""),"",IF(G448&lt;&gt;"","Void",IF(F448="","Needs child",IF(H448="","Child not found",IF(OR(B448="",NOT(ISNUMBER(C448))),"Needs month/pages","OK")))))</f>
        <v/>
      </c>
      <c r="J448" s="10">
        <f>IF(I448="","",IF(I448="OK",IF(COUNTIFS(H449:H$3001,H448,B449:B$3001,B448,G449:G$3001,"")=0,C448,0),0))</f>
        <v/>
      </c>
    </row>
    <row r="449">
      <c r="A449" s="6" t="n"/>
      <c r="B449" s="9" t="n"/>
      <c r="C449" s="6" t="n"/>
      <c r="D449" s="6" t="n"/>
      <c r="E449" s="6" t="n"/>
      <c r="F449" s="6" t="n"/>
      <c r="G449" s="6" t="n"/>
      <c r="H449" s="10">
        <f>IF(F449="","",IFERROR(INDEX(Roster!$A$2:$A$600,MATCH(F449,Roster!$E$2:$E$600,0)),""))</f>
        <v/>
      </c>
      <c r="I449" s="10">
        <f>IF(AND(D449="",C449="",F449=""),"",IF(G449&lt;&gt;"","Void",IF(F449="","Needs child",IF(H449="","Child not found",IF(OR(B449="",NOT(ISNUMBER(C449))),"Needs month/pages","OK")))))</f>
        <v/>
      </c>
      <c r="J449" s="10">
        <f>IF(I449="","",IF(I449="OK",IF(COUNTIFS(H450:H$3001,H449,B450:B$3001,B449,G450:G$3001,"")=0,C449,0),0))</f>
        <v/>
      </c>
    </row>
    <row r="450">
      <c r="A450" s="6" t="n"/>
      <c r="B450" s="9" t="n"/>
      <c r="C450" s="6" t="n"/>
      <c r="D450" s="6" t="n"/>
      <c r="E450" s="6" t="n"/>
      <c r="F450" s="6" t="n"/>
      <c r="G450" s="6" t="n"/>
      <c r="H450" s="10">
        <f>IF(F450="","",IFERROR(INDEX(Roster!$A$2:$A$600,MATCH(F450,Roster!$E$2:$E$600,0)),""))</f>
        <v/>
      </c>
      <c r="I450" s="10">
        <f>IF(AND(D450="",C450="",F450=""),"",IF(G450&lt;&gt;"","Void",IF(F450="","Needs child",IF(H450="","Child not found",IF(OR(B450="",NOT(ISNUMBER(C450))),"Needs month/pages","OK")))))</f>
        <v/>
      </c>
      <c r="J450" s="10">
        <f>IF(I450="","",IF(I450="OK",IF(COUNTIFS(H451:H$3001,H450,B451:B$3001,B450,G451:G$3001,"")=0,C450,0),0))</f>
        <v/>
      </c>
    </row>
    <row r="451">
      <c r="A451" s="6" t="n"/>
      <c r="B451" s="9" t="n"/>
      <c r="C451" s="6" t="n"/>
      <c r="D451" s="6" t="n"/>
      <c r="E451" s="6" t="n"/>
      <c r="F451" s="6" t="n"/>
      <c r="G451" s="6" t="n"/>
      <c r="H451" s="10">
        <f>IF(F451="","",IFERROR(INDEX(Roster!$A$2:$A$600,MATCH(F451,Roster!$E$2:$E$600,0)),""))</f>
        <v/>
      </c>
      <c r="I451" s="10">
        <f>IF(AND(D451="",C451="",F451=""),"",IF(G451&lt;&gt;"","Void",IF(F451="","Needs child",IF(H451="","Child not found",IF(OR(B451="",NOT(ISNUMBER(C451))),"Needs month/pages","OK")))))</f>
        <v/>
      </c>
      <c r="J451" s="10">
        <f>IF(I451="","",IF(I451="OK",IF(COUNTIFS(H452:H$3001,H451,B452:B$3001,B451,G452:G$3001,"")=0,C451,0),0))</f>
        <v/>
      </c>
    </row>
    <row r="452">
      <c r="A452" s="6" t="n"/>
      <c r="B452" s="9" t="n"/>
      <c r="C452" s="6" t="n"/>
      <c r="D452" s="6" t="n"/>
      <c r="E452" s="6" t="n"/>
      <c r="F452" s="6" t="n"/>
      <c r="G452" s="6" t="n"/>
      <c r="H452" s="10">
        <f>IF(F452="","",IFERROR(INDEX(Roster!$A$2:$A$600,MATCH(F452,Roster!$E$2:$E$600,0)),""))</f>
        <v/>
      </c>
      <c r="I452" s="10">
        <f>IF(AND(D452="",C452="",F452=""),"",IF(G452&lt;&gt;"","Void",IF(F452="","Needs child",IF(H452="","Child not found",IF(OR(B452="",NOT(ISNUMBER(C452))),"Needs month/pages","OK")))))</f>
        <v/>
      </c>
      <c r="J452" s="10">
        <f>IF(I452="","",IF(I452="OK",IF(COUNTIFS(H453:H$3001,H452,B453:B$3001,B452,G453:G$3001,"")=0,C452,0),0))</f>
        <v/>
      </c>
    </row>
    <row r="453">
      <c r="A453" s="6" t="n"/>
      <c r="B453" s="9" t="n"/>
      <c r="C453" s="6" t="n"/>
      <c r="D453" s="6" t="n"/>
      <c r="E453" s="6" t="n"/>
      <c r="F453" s="6" t="n"/>
      <c r="G453" s="6" t="n"/>
      <c r="H453" s="10">
        <f>IF(F453="","",IFERROR(INDEX(Roster!$A$2:$A$600,MATCH(F453,Roster!$E$2:$E$600,0)),""))</f>
        <v/>
      </c>
      <c r="I453" s="10">
        <f>IF(AND(D453="",C453="",F453=""),"",IF(G453&lt;&gt;"","Void",IF(F453="","Needs child",IF(H453="","Child not found",IF(OR(B453="",NOT(ISNUMBER(C453))),"Needs month/pages","OK")))))</f>
        <v/>
      </c>
      <c r="J453" s="10">
        <f>IF(I453="","",IF(I453="OK",IF(COUNTIFS(H454:H$3001,H453,B454:B$3001,B453,G454:G$3001,"")=0,C453,0),0))</f>
        <v/>
      </c>
    </row>
    <row r="454">
      <c r="A454" s="6" t="n"/>
      <c r="B454" s="9" t="n"/>
      <c r="C454" s="6" t="n"/>
      <c r="D454" s="6" t="n"/>
      <c r="E454" s="6" t="n"/>
      <c r="F454" s="6" t="n"/>
      <c r="G454" s="6" t="n"/>
      <c r="H454" s="10">
        <f>IF(F454="","",IFERROR(INDEX(Roster!$A$2:$A$600,MATCH(F454,Roster!$E$2:$E$600,0)),""))</f>
        <v/>
      </c>
      <c r="I454" s="10">
        <f>IF(AND(D454="",C454="",F454=""),"",IF(G454&lt;&gt;"","Void",IF(F454="","Needs child",IF(H454="","Child not found",IF(OR(B454="",NOT(ISNUMBER(C454))),"Needs month/pages","OK")))))</f>
        <v/>
      </c>
      <c r="J454" s="10">
        <f>IF(I454="","",IF(I454="OK",IF(COUNTIFS(H455:H$3001,H454,B455:B$3001,B454,G455:G$3001,"")=0,C454,0),0))</f>
        <v/>
      </c>
    </row>
    <row r="455">
      <c r="A455" s="6" t="n"/>
      <c r="B455" s="9" t="n"/>
      <c r="C455" s="6" t="n"/>
      <c r="D455" s="6" t="n"/>
      <c r="E455" s="6" t="n"/>
      <c r="F455" s="6" t="n"/>
      <c r="G455" s="6" t="n"/>
      <c r="H455" s="10">
        <f>IF(F455="","",IFERROR(INDEX(Roster!$A$2:$A$600,MATCH(F455,Roster!$E$2:$E$600,0)),""))</f>
        <v/>
      </c>
      <c r="I455" s="10">
        <f>IF(AND(D455="",C455="",F455=""),"",IF(G455&lt;&gt;"","Void",IF(F455="","Needs child",IF(H455="","Child not found",IF(OR(B455="",NOT(ISNUMBER(C455))),"Needs month/pages","OK")))))</f>
        <v/>
      </c>
      <c r="J455" s="10">
        <f>IF(I455="","",IF(I455="OK",IF(COUNTIFS(H456:H$3001,H455,B456:B$3001,B455,G456:G$3001,"")=0,C455,0),0))</f>
        <v/>
      </c>
    </row>
    <row r="456">
      <c r="A456" s="6" t="n"/>
      <c r="B456" s="9" t="n"/>
      <c r="C456" s="6" t="n"/>
      <c r="D456" s="6" t="n"/>
      <c r="E456" s="6" t="n"/>
      <c r="F456" s="6" t="n"/>
      <c r="G456" s="6" t="n"/>
      <c r="H456" s="10">
        <f>IF(F456="","",IFERROR(INDEX(Roster!$A$2:$A$600,MATCH(F456,Roster!$E$2:$E$600,0)),""))</f>
        <v/>
      </c>
      <c r="I456" s="10">
        <f>IF(AND(D456="",C456="",F456=""),"",IF(G456&lt;&gt;"","Void",IF(F456="","Needs child",IF(H456="","Child not found",IF(OR(B456="",NOT(ISNUMBER(C456))),"Needs month/pages","OK")))))</f>
        <v/>
      </c>
      <c r="J456" s="10">
        <f>IF(I456="","",IF(I456="OK",IF(COUNTIFS(H457:H$3001,H456,B457:B$3001,B456,G457:G$3001,"")=0,C456,0),0))</f>
        <v/>
      </c>
    </row>
    <row r="457">
      <c r="A457" s="6" t="n"/>
      <c r="B457" s="9" t="n"/>
      <c r="C457" s="6" t="n"/>
      <c r="D457" s="6" t="n"/>
      <c r="E457" s="6" t="n"/>
      <c r="F457" s="6" t="n"/>
      <c r="G457" s="6" t="n"/>
      <c r="H457" s="10">
        <f>IF(F457="","",IFERROR(INDEX(Roster!$A$2:$A$600,MATCH(F457,Roster!$E$2:$E$600,0)),""))</f>
        <v/>
      </c>
      <c r="I457" s="10">
        <f>IF(AND(D457="",C457="",F457=""),"",IF(G457&lt;&gt;"","Void",IF(F457="","Needs child",IF(H457="","Child not found",IF(OR(B457="",NOT(ISNUMBER(C457))),"Needs month/pages","OK")))))</f>
        <v/>
      </c>
      <c r="J457" s="10">
        <f>IF(I457="","",IF(I457="OK",IF(COUNTIFS(H458:H$3001,H457,B458:B$3001,B457,G458:G$3001,"")=0,C457,0),0))</f>
        <v/>
      </c>
    </row>
    <row r="458">
      <c r="A458" s="6" t="n"/>
      <c r="B458" s="9" t="n"/>
      <c r="C458" s="6" t="n"/>
      <c r="D458" s="6" t="n"/>
      <c r="E458" s="6" t="n"/>
      <c r="F458" s="6" t="n"/>
      <c r="G458" s="6" t="n"/>
      <c r="H458" s="10">
        <f>IF(F458="","",IFERROR(INDEX(Roster!$A$2:$A$600,MATCH(F458,Roster!$E$2:$E$600,0)),""))</f>
        <v/>
      </c>
      <c r="I458" s="10">
        <f>IF(AND(D458="",C458="",F458=""),"",IF(G458&lt;&gt;"","Void",IF(F458="","Needs child",IF(H458="","Child not found",IF(OR(B458="",NOT(ISNUMBER(C458))),"Needs month/pages","OK")))))</f>
        <v/>
      </c>
      <c r="J458" s="10">
        <f>IF(I458="","",IF(I458="OK",IF(COUNTIFS(H459:H$3001,H458,B459:B$3001,B458,G459:G$3001,"")=0,C458,0),0))</f>
        <v/>
      </c>
    </row>
    <row r="459">
      <c r="A459" s="6" t="n"/>
      <c r="B459" s="9" t="n"/>
      <c r="C459" s="6" t="n"/>
      <c r="D459" s="6" t="n"/>
      <c r="E459" s="6" t="n"/>
      <c r="F459" s="6" t="n"/>
      <c r="G459" s="6" t="n"/>
      <c r="H459" s="10">
        <f>IF(F459="","",IFERROR(INDEX(Roster!$A$2:$A$600,MATCH(F459,Roster!$E$2:$E$600,0)),""))</f>
        <v/>
      </c>
      <c r="I459" s="10">
        <f>IF(AND(D459="",C459="",F459=""),"",IF(G459&lt;&gt;"","Void",IF(F459="","Needs child",IF(H459="","Child not found",IF(OR(B459="",NOT(ISNUMBER(C459))),"Needs month/pages","OK")))))</f>
        <v/>
      </c>
      <c r="J459" s="10">
        <f>IF(I459="","",IF(I459="OK",IF(COUNTIFS(H460:H$3001,H459,B460:B$3001,B459,G460:G$3001,"")=0,C459,0),0))</f>
        <v/>
      </c>
    </row>
    <row r="460">
      <c r="A460" s="6" t="n"/>
      <c r="B460" s="9" t="n"/>
      <c r="C460" s="6" t="n"/>
      <c r="D460" s="6" t="n"/>
      <c r="E460" s="6" t="n"/>
      <c r="F460" s="6" t="n"/>
      <c r="G460" s="6" t="n"/>
      <c r="H460" s="10">
        <f>IF(F460="","",IFERROR(INDEX(Roster!$A$2:$A$600,MATCH(F460,Roster!$E$2:$E$600,0)),""))</f>
        <v/>
      </c>
      <c r="I460" s="10">
        <f>IF(AND(D460="",C460="",F460=""),"",IF(G460&lt;&gt;"","Void",IF(F460="","Needs child",IF(H460="","Child not found",IF(OR(B460="",NOT(ISNUMBER(C460))),"Needs month/pages","OK")))))</f>
        <v/>
      </c>
      <c r="J460" s="10">
        <f>IF(I460="","",IF(I460="OK",IF(COUNTIFS(H461:H$3001,H460,B461:B$3001,B460,G461:G$3001,"")=0,C460,0),0))</f>
        <v/>
      </c>
    </row>
    <row r="461">
      <c r="A461" s="6" t="n"/>
      <c r="B461" s="9" t="n"/>
      <c r="C461" s="6" t="n"/>
      <c r="D461" s="6" t="n"/>
      <c r="E461" s="6" t="n"/>
      <c r="F461" s="6" t="n"/>
      <c r="G461" s="6" t="n"/>
      <c r="H461" s="10">
        <f>IF(F461="","",IFERROR(INDEX(Roster!$A$2:$A$600,MATCH(F461,Roster!$E$2:$E$600,0)),""))</f>
        <v/>
      </c>
      <c r="I461" s="10">
        <f>IF(AND(D461="",C461="",F461=""),"",IF(G461&lt;&gt;"","Void",IF(F461="","Needs child",IF(H461="","Child not found",IF(OR(B461="",NOT(ISNUMBER(C461))),"Needs month/pages","OK")))))</f>
        <v/>
      </c>
      <c r="J461" s="10">
        <f>IF(I461="","",IF(I461="OK",IF(COUNTIFS(H462:H$3001,H461,B462:B$3001,B461,G462:G$3001,"")=0,C461,0),0))</f>
        <v/>
      </c>
    </row>
    <row r="462">
      <c r="A462" s="6" t="n"/>
      <c r="B462" s="9" t="n"/>
      <c r="C462" s="6" t="n"/>
      <c r="D462" s="6" t="n"/>
      <c r="E462" s="6" t="n"/>
      <c r="F462" s="6" t="n"/>
      <c r="G462" s="6" t="n"/>
      <c r="H462" s="10">
        <f>IF(F462="","",IFERROR(INDEX(Roster!$A$2:$A$600,MATCH(F462,Roster!$E$2:$E$600,0)),""))</f>
        <v/>
      </c>
      <c r="I462" s="10">
        <f>IF(AND(D462="",C462="",F462=""),"",IF(G462&lt;&gt;"","Void",IF(F462="","Needs child",IF(H462="","Child not found",IF(OR(B462="",NOT(ISNUMBER(C462))),"Needs month/pages","OK")))))</f>
        <v/>
      </c>
      <c r="J462" s="10">
        <f>IF(I462="","",IF(I462="OK",IF(COUNTIFS(H463:H$3001,H462,B463:B$3001,B462,G463:G$3001,"")=0,C462,0),0))</f>
        <v/>
      </c>
    </row>
    <row r="463">
      <c r="A463" s="6" t="n"/>
      <c r="B463" s="9" t="n"/>
      <c r="C463" s="6" t="n"/>
      <c r="D463" s="6" t="n"/>
      <c r="E463" s="6" t="n"/>
      <c r="F463" s="6" t="n"/>
      <c r="G463" s="6" t="n"/>
      <c r="H463" s="10">
        <f>IF(F463="","",IFERROR(INDEX(Roster!$A$2:$A$600,MATCH(F463,Roster!$E$2:$E$600,0)),""))</f>
        <v/>
      </c>
      <c r="I463" s="10">
        <f>IF(AND(D463="",C463="",F463=""),"",IF(G463&lt;&gt;"","Void",IF(F463="","Needs child",IF(H463="","Child not found",IF(OR(B463="",NOT(ISNUMBER(C463))),"Needs month/pages","OK")))))</f>
        <v/>
      </c>
      <c r="J463" s="10">
        <f>IF(I463="","",IF(I463="OK",IF(COUNTIFS(H464:H$3001,H463,B464:B$3001,B463,G464:G$3001,"")=0,C463,0),0))</f>
        <v/>
      </c>
    </row>
    <row r="464">
      <c r="A464" s="6" t="n"/>
      <c r="B464" s="9" t="n"/>
      <c r="C464" s="6" t="n"/>
      <c r="D464" s="6" t="n"/>
      <c r="E464" s="6" t="n"/>
      <c r="F464" s="6" t="n"/>
      <c r="G464" s="6" t="n"/>
      <c r="H464" s="10">
        <f>IF(F464="","",IFERROR(INDEX(Roster!$A$2:$A$600,MATCH(F464,Roster!$E$2:$E$600,0)),""))</f>
        <v/>
      </c>
      <c r="I464" s="10">
        <f>IF(AND(D464="",C464="",F464=""),"",IF(G464&lt;&gt;"","Void",IF(F464="","Needs child",IF(H464="","Child not found",IF(OR(B464="",NOT(ISNUMBER(C464))),"Needs month/pages","OK")))))</f>
        <v/>
      </c>
      <c r="J464" s="10">
        <f>IF(I464="","",IF(I464="OK",IF(COUNTIFS(H465:H$3001,H464,B465:B$3001,B464,G465:G$3001,"")=0,C464,0),0))</f>
        <v/>
      </c>
    </row>
    <row r="465">
      <c r="A465" s="6" t="n"/>
      <c r="B465" s="9" t="n"/>
      <c r="C465" s="6" t="n"/>
      <c r="D465" s="6" t="n"/>
      <c r="E465" s="6" t="n"/>
      <c r="F465" s="6" t="n"/>
      <c r="G465" s="6" t="n"/>
      <c r="H465" s="10">
        <f>IF(F465="","",IFERROR(INDEX(Roster!$A$2:$A$600,MATCH(F465,Roster!$E$2:$E$600,0)),""))</f>
        <v/>
      </c>
      <c r="I465" s="10">
        <f>IF(AND(D465="",C465="",F465=""),"",IF(G465&lt;&gt;"","Void",IF(F465="","Needs child",IF(H465="","Child not found",IF(OR(B465="",NOT(ISNUMBER(C465))),"Needs month/pages","OK")))))</f>
        <v/>
      </c>
      <c r="J465" s="10">
        <f>IF(I465="","",IF(I465="OK",IF(COUNTIFS(H466:H$3001,H465,B466:B$3001,B465,G466:G$3001,"")=0,C465,0),0))</f>
        <v/>
      </c>
    </row>
    <row r="466">
      <c r="A466" s="6" t="n"/>
      <c r="B466" s="9" t="n"/>
      <c r="C466" s="6" t="n"/>
      <c r="D466" s="6" t="n"/>
      <c r="E466" s="6" t="n"/>
      <c r="F466" s="6" t="n"/>
      <c r="G466" s="6" t="n"/>
      <c r="H466" s="10">
        <f>IF(F466="","",IFERROR(INDEX(Roster!$A$2:$A$600,MATCH(F466,Roster!$E$2:$E$600,0)),""))</f>
        <v/>
      </c>
      <c r="I466" s="10">
        <f>IF(AND(D466="",C466="",F466=""),"",IF(G466&lt;&gt;"","Void",IF(F466="","Needs child",IF(H466="","Child not found",IF(OR(B466="",NOT(ISNUMBER(C466))),"Needs month/pages","OK")))))</f>
        <v/>
      </c>
      <c r="J466" s="10">
        <f>IF(I466="","",IF(I466="OK",IF(COUNTIFS(H467:H$3001,H466,B467:B$3001,B466,G467:G$3001,"")=0,C466,0),0))</f>
        <v/>
      </c>
    </row>
    <row r="467">
      <c r="A467" s="6" t="n"/>
      <c r="B467" s="9" t="n"/>
      <c r="C467" s="6" t="n"/>
      <c r="D467" s="6" t="n"/>
      <c r="E467" s="6" t="n"/>
      <c r="F467" s="6" t="n"/>
      <c r="G467" s="6" t="n"/>
      <c r="H467" s="10">
        <f>IF(F467="","",IFERROR(INDEX(Roster!$A$2:$A$600,MATCH(F467,Roster!$E$2:$E$600,0)),""))</f>
        <v/>
      </c>
      <c r="I467" s="10">
        <f>IF(AND(D467="",C467="",F467=""),"",IF(G467&lt;&gt;"","Void",IF(F467="","Needs child",IF(H467="","Child not found",IF(OR(B467="",NOT(ISNUMBER(C467))),"Needs month/pages","OK")))))</f>
        <v/>
      </c>
      <c r="J467" s="10">
        <f>IF(I467="","",IF(I467="OK",IF(COUNTIFS(H468:H$3001,H467,B468:B$3001,B467,G468:G$3001,"")=0,C467,0),0))</f>
        <v/>
      </c>
    </row>
    <row r="468">
      <c r="A468" s="6" t="n"/>
      <c r="B468" s="9" t="n"/>
      <c r="C468" s="6" t="n"/>
      <c r="D468" s="6" t="n"/>
      <c r="E468" s="6" t="n"/>
      <c r="F468" s="6" t="n"/>
      <c r="G468" s="6" t="n"/>
      <c r="H468" s="10">
        <f>IF(F468="","",IFERROR(INDEX(Roster!$A$2:$A$600,MATCH(F468,Roster!$E$2:$E$600,0)),""))</f>
        <v/>
      </c>
      <c r="I468" s="10">
        <f>IF(AND(D468="",C468="",F468=""),"",IF(G468&lt;&gt;"","Void",IF(F468="","Needs child",IF(H468="","Child not found",IF(OR(B468="",NOT(ISNUMBER(C468))),"Needs month/pages","OK")))))</f>
        <v/>
      </c>
      <c r="J468" s="10">
        <f>IF(I468="","",IF(I468="OK",IF(COUNTIFS(H469:H$3001,H468,B469:B$3001,B468,G469:G$3001,"")=0,C468,0),0))</f>
        <v/>
      </c>
    </row>
    <row r="469">
      <c r="A469" s="6" t="n"/>
      <c r="B469" s="9" t="n"/>
      <c r="C469" s="6" t="n"/>
      <c r="D469" s="6" t="n"/>
      <c r="E469" s="6" t="n"/>
      <c r="F469" s="6" t="n"/>
      <c r="G469" s="6" t="n"/>
      <c r="H469" s="10">
        <f>IF(F469="","",IFERROR(INDEX(Roster!$A$2:$A$600,MATCH(F469,Roster!$E$2:$E$600,0)),""))</f>
        <v/>
      </c>
      <c r="I469" s="10">
        <f>IF(AND(D469="",C469="",F469=""),"",IF(G469&lt;&gt;"","Void",IF(F469="","Needs child",IF(H469="","Child not found",IF(OR(B469="",NOT(ISNUMBER(C469))),"Needs month/pages","OK")))))</f>
        <v/>
      </c>
      <c r="J469" s="10">
        <f>IF(I469="","",IF(I469="OK",IF(COUNTIFS(H470:H$3001,H469,B470:B$3001,B469,G470:G$3001,"")=0,C469,0),0))</f>
        <v/>
      </c>
    </row>
    <row r="470">
      <c r="A470" s="6" t="n"/>
      <c r="B470" s="9" t="n"/>
      <c r="C470" s="6" t="n"/>
      <c r="D470" s="6" t="n"/>
      <c r="E470" s="6" t="n"/>
      <c r="F470" s="6" t="n"/>
      <c r="G470" s="6" t="n"/>
      <c r="H470" s="10">
        <f>IF(F470="","",IFERROR(INDEX(Roster!$A$2:$A$600,MATCH(F470,Roster!$E$2:$E$600,0)),""))</f>
        <v/>
      </c>
      <c r="I470" s="10">
        <f>IF(AND(D470="",C470="",F470=""),"",IF(G470&lt;&gt;"","Void",IF(F470="","Needs child",IF(H470="","Child not found",IF(OR(B470="",NOT(ISNUMBER(C470))),"Needs month/pages","OK")))))</f>
        <v/>
      </c>
      <c r="J470" s="10">
        <f>IF(I470="","",IF(I470="OK",IF(COUNTIFS(H471:H$3001,H470,B471:B$3001,B470,G471:G$3001,"")=0,C470,0),0))</f>
        <v/>
      </c>
    </row>
    <row r="471">
      <c r="A471" s="6" t="n"/>
      <c r="B471" s="9" t="n"/>
      <c r="C471" s="6" t="n"/>
      <c r="D471" s="6" t="n"/>
      <c r="E471" s="6" t="n"/>
      <c r="F471" s="6" t="n"/>
      <c r="G471" s="6" t="n"/>
      <c r="H471" s="10">
        <f>IF(F471="","",IFERROR(INDEX(Roster!$A$2:$A$600,MATCH(F471,Roster!$E$2:$E$600,0)),""))</f>
        <v/>
      </c>
      <c r="I471" s="10">
        <f>IF(AND(D471="",C471="",F471=""),"",IF(G471&lt;&gt;"","Void",IF(F471="","Needs child",IF(H471="","Child not found",IF(OR(B471="",NOT(ISNUMBER(C471))),"Needs month/pages","OK")))))</f>
        <v/>
      </c>
      <c r="J471" s="10">
        <f>IF(I471="","",IF(I471="OK",IF(COUNTIFS(H472:H$3001,H471,B472:B$3001,B471,G472:G$3001,"")=0,C471,0),0))</f>
        <v/>
      </c>
    </row>
    <row r="472">
      <c r="A472" s="6" t="n"/>
      <c r="B472" s="9" t="n"/>
      <c r="C472" s="6" t="n"/>
      <c r="D472" s="6" t="n"/>
      <c r="E472" s="6" t="n"/>
      <c r="F472" s="6" t="n"/>
      <c r="G472" s="6" t="n"/>
      <c r="H472" s="10">
        <f>IF(F472="","",IFERROR(INDEX(Roster!$A$2:$A$600,MATCH(F472,Roster!$E$2:$E$600,0)),""))</f>
        <v/>
      </c>
      <c r="I472" s="10">
        <f>IF(AND(D472="",C472="",F472=""),"",IF(G472&lt;&gt;"","Void",IF(F472="","Needs child",IF(H472="","Child not found",IF(OR(B472="",NOT(ISNUMBER(C472))),"Needs month/pages","OK")))))</f>
        <v/>
      </c>
      <c r="J472" s="10">
        <f>IF(I472="","",IF(I472="OK",IF(COUNTIFS(H473:H$3001,H472,B473:B$3001,B472,G473:G$3001,"")=0,C472,0),0))</f>
        <v/>
      </c>
    </row>
    <row r="473">
      <c r="A473" s="6" t="n"/>
      <c r="B473" s="9" t="n"/>
      <c r="C473" s="6" t="n"/>
      <c r="D473" s="6" t="n"/>
      <c r="E473" s="6" t="n"/>
      <c r="F473" s="6" t="n"/>
      <c r="G473" s="6" t="n"/>
      <c r="H473" s="10">
        <f>IF(F473="","",IFERROR(INDEX(Roster!$A$2:$A$600,MATCH(F473,Roster!$E$2:$E$600,0)),""))</f>
        <v/>
      </c>
      <c r="I473" s="10">
        <f>IF(AND(D473="",C473="",F473=""),"",IF(G473&lt;&gt;"","Void",IF(F473="","Needs child",IF(H473="","Child not found",IF(OR(B473="",NOT(ISNUMBER(C473))),"Needs month/pages","OK")))))</f>
        <v/>
      </c>
      <c r="J473" s="10">
        <f>IF(I473="","",IF(I473="OK",IF(COUNTIFS(H474:H$3001,H473,B474:B$3001,B473,G474:G$3001,"")=0,C473,0),0))</f>
        <v/>
      </c>
    </row>
    <row r="474">
      <c r="A474" s="6" t="n"/>
      <c r="B474" s="9" t="n"/>
      <c r="C474" s="6" t="n"/>
      <c r="D474" s="6" t="n"/>
      <c r="E474" s="6" t="n"/>
      <c r="F474" s="6" t="n"/>
      <c r="G474" s="6" t="n"/>
      <c r="H474" s="10">
        <f>IF(F474="","",IFERROR(INDEX(Roster!$A$2:$A$600,MATCH(F474,Roster!$E$2:$E$600,0)),""))</f>
        <v/>
      </c>
      <c r="I474" s="10">
        <f>IF(AND(D474="",C474="",F474=""),"",IF(G474&lt;&gt;"","Void",IF(F474="","Needs child",IF(H474="","Child not found",IF(OR(B474="",NOT(ISNUMBER(C474))),"Needs month/pages","OK")))))</f>
        <v/>
      </c>
      <c r="J474" s="10">
        <f>IF(I474="","",IF(I474="OK",IF(COUNTIFS(H475:H$3001,H474,B475:B$3001,B474,G475:G$3001,"")=0,C474,0),0))</f>
        <v/>
      </c>
    </row>
    <row r="475">
      <c r="A475" s="6" t="n"/>
      <c r="B475" s="9" t="n"/>
      <c r="C475" s="6" t="n"/>
      <c r="D475" s="6" t="n"/>
      <c r="E475" s="6" t="n"/>
      <c r="F475" s="6" t="n"/>
      <c r="G475" s="6" t="n"/>
      <c r="H475" s="10">
        <f>IF(F475="","",IFERROR(INDEX(Roster!$A$2:$A$600,MATCH(F475,Roster!$E$2:$E$600,0)),""))</f>
        <v/>
      </c>
      <c r="I475" s="10">
        <f>IF(AND(D475="",C475="",F475=""),"",IF(G475&lt;&gt;"","Void",IF(F475="","Needs child",IF(H475="","Child not found",IF(OR(B475="",NOT(ISNUMBER(C475))),"Needs month/pages","OK")))))</f>
        <v/>
      </c>
      <c r="J475" s="10">
        <f>IF(I475="","",IF(I475="OK",IF(COUNTIFS(H476:H$3001,H475,B476:B$3001,B475,G476:G$3001,"")=0,C475,0),0))</f>
        <v/>
      </c>
    </row>
    <row r="476">
      <c r="A476" s="6" t="n"/>
      <c r="B476" s="9" t="n"/>
      <c r="C476" s="6" t="n"/>
      <c r="D476" s="6" t="n"/>
      <c r="E476" s="6" t="n"/>
      <c r="F476" s="6" t="n"/>
      <c r="G476" s="6" t="n"/>
      <c r="H476" s="10">
        <f>IF(F476="","",IFERROR(INDEX(Roster!$A$2:$A$600,MATCH(F476,Roster!$E$2:$E$600,0)),""))</f>
        <v/>
      </c>
      <c r="I476" s="10">
        <f>IF(AND(D476="",C476="",F476=""),"",IF(G476&lt;&gt;"","Void",IF(F476="","Needs child",IF(H476="","Child not found",IF(OR(B476="",NOT(ISNUMBER(C476))),"Needs month/pages","OK")))))</f>
        <v/>
      </c>
      <c r="J476" s="10">
        <f>IF(I476="","",IF(I476="OK",IF(COUNTIFS(H477:H$3001,H476,B477:B$3001,B476,G477:G$3001,"")=0,C476,0),0))</f>
        <v/>
      </c>
    </row>
    <row r="477">
      <c r="A477" s="6" t="n"/>
      <c r="B477" s="9" t="n"/>
      <c r="C477" s="6" t="n"/>
      <c r="D477" s="6" t="n"/>
      <c r="E477" s="6" t="n"/>
      <c r="F477" s="6" t="n"/>
      <c r="G477" s="6" t="n"/>
      <c r="H477" s="10">
        <f>IF(F477="","",IFERROR(INDEX(Roster!$A$2:$A$600,MATCH(F477,Roster!$E$2:$E$600,0)),""))</f>
        <v/>
      </c>
      <c r="I477" s="10">
        <f>IF(AND(D477="",C477="",F477=""),"",IF(G477&lt;&gt;"","Void",IF(F477="","Needs child",IF(H477="","Child not found",IF(OR(B477="",NOT(ISNUMBER(C477))),"Needs month/pages","OK")))))</f>
        <v/>
      </c>
      <c r="J477" s="10">
        <f>IF(I477="","",IF(I477="OK",IF(COUNTIFS(H478:H$3001,H477,B478:B$3001,B477,G478:G$3001,"")=0,C477,0),0))</f>
        <v/>
      </c>
    </row>
    <row r="478">
      <c r="A478" s="6" t="n"/>
      <c r="B478" s="9" t="n"/>
      <c r="C478" s="6" t="n"/>
      <c r="D478" s="6" t="n"/>
      <c r="E478" s="6" t="n"/>
      <c r="F478" s="6" t="n"/>
      <c r="G478" s="6" t="n"/>
      <c r="H478" s="10">
        <f>IF(F478="","",IFERROR(INDEX(Roster!$A$2:$A$600,MATCH(F478,Roster!$E$2:$E$600,0)),""))</f>
        <v/>
      </c>
      <c r="I478" s="10">
        <f>IF(AND(D478="",C478="",F478=""),"",IF(G478&lt;&gt;"","Void",IF(F478="","Needs child",IF(H478="","Child not found",IF(OR(B478="",NOT(ISNUMBER(C478))),"Needs month/pages","OK")))))</f>
        <v/>
      </c>
      <c r="J478" s="10">
        <f>IF(I478="","",IF(I478="OK",IF(COUNTIFS(H479:H$3001,H478,B479:B$3001,B478,G479:G$3001,"")=0,C478,0),0))</f>
        <v/>
      </c>
    </row>
    <row r="479">
      <c r="A479" s="6" t="n"/>
      <c r="B479" s="9" t="n"/>
      <c r="C479" s="6" t="n"/>
      <c r="D479" s="6" t="n"/>
      <c r="E479" s="6" t="n"/>
      <c r="F479" s="6" t="n"/>
      <c r="G479" s="6" t="n"/>
      <c r="H479" s="10">
        <f>IF(F479="","",IFERROR(INDEX(Roster!$A$2:$A$600,MATCH(F479,Roster!$E$2:$E$600,0)),""))</f>
        <v/>
      </c>
      <c r="I479" s="10">
        <f>IF(AND(D479="",C479="",F479=""),"",IF(G479&lt;&gt;"","Void",IF(F479="","Needs child",IF(H479="","Child not found",IF(OR(B479="",NOT(ISNUMBER(C479))),"Needs month/pages","OK")))))</f>
        <v/>
      </c>
      <c r="J479" s="10">
        <f>IF(I479="","",IF(I479="OK",IF(COUNTIFS(H480:H$3001,H479,B480:B$3001,B479,G480:G$3001,"")=0,C479,0),0))</f>
        <v/>
      </c>
    </row>
    <row r="480">
      <c r="A480" s="6" t="n"/>
      <c r="B480" s="9" t="n"/>
      <c r="C480" s="6" t="n"/>
      <c r="D480" s="6" t="n"/>
      <c r="E480" s="6" t="n"/>
      <c r="F480" s="6" t="n"/>
      <c r="G480" s="6" t="n"/>
      <c r="H480" s="10">
        <f>IF(F480="","",IFERROR(INDEX(Roster!$A$2:$A$600,MATCH(F480,Roster!$E$2:$E$600,0)),""))</f>
        <v/>
      </c>
      <c r="I480" s="10">
        <f>IF(AND(D480="",C480="",F480=""),"",IF(G480&lt;&gt;"","Void",IF(F480="","Needs child",IF(H480="","Child not found",IF(OR(B480="",NOT(ISNUMBER(C480))),"Needs month/pages","OK")))))</f>
        <v/>
      </c>
      <c r="J480" s="10">
        <f>IF(I480="","",IF(I480="OK",IF(COUNTIFS(H481:H$3001,H480,B481:B$3001,B480,G481:G$3001,"")=0,C480,0),0))</f>
        <v/>
      </c>
    </row>
    <row r="481">
      <c r="A481" s="6" t="n"/>
      <c r="B481" s="9" t="n"/>
      <c r="C481" s="6" t="n"/>
      <c r="D481" s="6" t="n"/>
      <c r="E481" s="6" t="n"/>
      <c r="F481" s="6" t="n"/>
      <c r="G481" s="6" t="n"/>
      <c r="H481" s="10">
        <f>IF(F481="","",IFERROR(INDEX(Roster!$A$2:$A$600,MATCH(F481,Roster!$E$2:$E$600,0)),""))</f>
        <v/>
      </c>
      <c r="I481" s="10">
        <f>IF(AND(D481="",C481="",F481=""),"",IF(G481&lt;&gt;"","Void",IF(F481="","Needs child",IF(H481="","Child not found",IF(OR(B481="",NOT(ISNUMBER(C481))),"Needs month/pages","OK")))))</f>
        <v/>
      </c>
      <c r="J481" s="10">
        <f>IF(I481="","",IF(I481="OK",IF(COUNTIFS(H482:H$3001,H481,B482:B$3001,B481,G482:G$3001,"")=0,C481,0),0))</f>
        <v/>
      </c>
    </row>
    <row r="482">
      <c r="A482" s="6" t="n"/>
      <c r="B482" s="9" t="n"/>
      <c r="C482" s="6" t="n"/>
      <c r="D482" s="6" t="n"/>
      <c r="E482" s="6" t="n"/>
      <c r="F482" s="6" t="n"/>
      <c r="G482" s="6" t="n"/>
      <c r="H482" s="10">
        <f>IF(F482="","",IFERROR(INDEX(Roster!$A$2:$A$600,MATCH(F482,Roster!$E$2:$E$600,0)),""))</f>
        <v/>
      </c>
      <c r="I482" s="10">
        <f>IF(AND(D482="",C482="",F482=""),"",IF(G482&lt;&gt;"","Void",IF(F482="","Needs child",IF(H482="","Child not found",IF(OR(B482="",NOT(ISNUMBER(C482))),"Needs month/pages","OK")))))</f>
        <v/>
      </c>
      <c r="J482" s="10">
        <f>IF(I482="","",IF(I482="OK",IF(COUNTIFS(H483:H$3001,H482,B483:B$3001,B482,G483:G$3001,"")=0,C482,0),0))</f>
        <v/>
      </c>
    </row>
    <row r="483">
      <c r="A483" s="6" t="n"/>
      <c r="B483" s="9" t="n"/>
      <c r="C483" s="6" t="n"/>
      <c r="D483" s="6" t="n"/>
      <c r="E483" s="6" t="n"/>
      <c r="F483" s="6" t="n"/>
      <c r="G483" s="6" t="n"/>
      <c r="H483" s="10">
        <f>IF(F483="","",IFERROR(INDEX(Roster!$A$2:$A$600,MATCH(F483,Roster!$E$2:$E$600,0)),""))</f>
        <v/>
      </c>
      <c r="I483" s="10">
        <f>IF(AND(D483="",C483="",F483=""),"",IF(G483&lt;&gt;"","Void",IF(F483="","Needs child",IF(H483="","Child not found",IF(OR(B483="",NOT(ISNUMBER(C483))),"Needs month/pages","OK")))))</f>
        <v/>
      </c>
      <c r="J483" s="10">
        <f>IF(I483="","",IF(I483="OK",IF(COUNTIFS(H484:H$3001,H483,B484:B$3001,B483,G484:G$3001,"")=0,C483,0),0))</f>
        <v/>
      </c>
    </row>
    <row r="484">
      <c r="A484" s="6" t="n"/>
      <c r="B484" s="9" t="n"/>
      <c r="C484" s="6" t="n"/>
      <c r="D484" s="6" t="n"/>
      <c r="E484" s="6" t="n"/>
      <c r="F484" s="6" t="n"/>
      <c r="G484" s="6" t="n"/>
      <c r="H484" s="10">
        <f>IF(F484="","",IFERROR(INDEX(Roster!$A$2:$A$600,MATCH(F484,Roster!$E$2:$E$600,0)),""))</f>
        <v/>
      </c>
      <c r="I484" s="10">
        <f>IF(AND(D484="",C484="",F484=""),"",IF(G484&lt;&gt;"","Void",IF(F484="","Needs child",IF(H484="","Child not found",IF(OR(B484="",NOT(ISNUMBER(C484))),"Needs month/pages","OK")))))</f>
        <v/>
      </c>
      <c r="J484" s="10">
        <f>IF(I484="","",IF(I484="OK",IF(COUNTIFS(H485:H$3001,H484,B485:B$3001,B484,G485:G$3001,"")=0,C484,0),0))</f>
        <v/>
      </c>
    </row>
    <row r="485">
      <c r="A485" s="6" t="n"/>
      <c r="B485" s="9" t="n"/>
      <c r="C485" s="6" t="n"/>
      <c r="D485" s="6" t="n"/>
      <c r="E485" s="6" t="n"/>
      <c r="F485" s="6" t="n"/>
      <c r="G485" s="6" t="n"/>
      <c r="H485" s="10">
        <f>IF(F485="","",IFERROR(INDEX(Roster!$A$2:$A$600,MATCH(F485,Roster!$E$2:$E$600,0)),""))</f>
        <v/>
      </c>
      <c r="I485" s="10">
        <f>IF(AND(D485="",C485="",F485=""),"",IF(G485&lt;&gt;"","Void",IF(F485="","Needs child",IF(H485="","Child not found",IF(OR(B485="",NOT(ISNUMBER(C485))),"Needs month/pages","OK")))))</f>
        <v/>
      </c>
      <c r="J485" s="10">
        <f>IF(I485="","",IF(I485="OK",IF(COUNTIFS(H486:H$3001,H485,B486:B$3001,B485,G486:G$3001,"")=0,C485,0),0))</f>
        <v/>
      </c>
    </row>
    <row r="486">
      <c r="A486" s="6" t="n"/>
      <c r="B486" s="9" t="n"/>
      <c r="C486" s="6" t="n"/>
      <c r="D486" s="6" t="n"/>
      <c r="E486" s="6" t="n"/>
      <c r="F486" s="6" t="n"/>
      <c r="G486" s="6" t="n"/>
      <c r="H486" s="10">
        <f>IF(F486="","",IFERROR(INDEX(Roster!$A$2:$A$600,MATCH(F486,Roster!$E$2:$E$600,0)),""))</f>
        <v/>
      </c>
      <c r="I486" s="10">
        <f>IF(AND(D486="",C486="",F486=""),"",IF(G486&lt;&gt;"","Void",IF(F486="","Needs child",IF(H486="","Child not found",IF(OR(B486="",NOT(ISNUMBER(C486))),"Needs month/pages","OK")))))</f>
        <v/>
      </c>
      <c r="J486" s="10">
        <f>IF(I486="","",IF(I486="OK",IF(COUNTIFS(H487:H$3001,H486,B487:B$3001,B486,G487:G$3001,"")=0,C486,0),0))</f>
        <v/>
      </c>
    </row>
    <row r="487">
      <c r="A487" s="6" t="n"/>
      <c r="B487" s="9" t="n"/>
      <c r="C487" s="6" t="n"/>
      <c r="D487" s="6" t="n"/>
      <c r="E487" s="6" t="n"/>
      <c r="F487" s="6" t="n"/>
      <c r="G487" s="6" t="n"/>
      <c r="H487" s="10">
        <f>IF(F487="","",IFERROR(INDEX(Roster!$A$2:$A$600,MATCH(F487,Roster!$E$2:$E$600,0)),""))</f>
        <v/>
      </c>
      <c r="I487" s="10">
        <f>IF(AND(D487="",C487="",F487=""),"",IF(G487&lt;&gt;"","Void",IF(F487="","Needs child",IF(H487="","Child not found",IF(OR(B487="",NOT(ISNUMBER(C487))),"Needs month/pages","OK")))))</f>
        <v/>
      </c>
      <c r="J487" s="10">
        <f>IF(I487="","",IF(I487="OK",IF(COUNTIFS(H488:H$3001,H487,B488:B$3001,B487,G488:G$3001,"")=0,C487,0),0))</f>
        <v/>
      </c>
    </row>
    <row r="488">
      <c r="A488" s="6" t="n"/>
      <c r="B488" s="9" t="n"/>
      <c r="C488" s="6" t="n"/>
      <c r="D488" s="6" t="n"/>
      <c r="E488" s="6" t="n"/>
      <c r="F488" s="6" t="n"/>
      <c r="G488" s="6" t="n"/>
      <c r="H488" s="10">
        <f>IF(F488="","",IFERROR(INDEX(Roster!$A$2:$A$600,MATCH(F488,Roster!$E$2:$E$600,0)),""))</f>
        <v/>
      </c>
      <c r="I488" s="10">
        <f>IF(AND(D488="",C488="",F488=""),"",IF(G488&lt;&gt;"","Void",IF(F488="","Needs child",IF(H488="","Child not found",IF(OR(B488="",NOT(ISNUMBER(C488))),"Needs month/pages","OK")))))</f>
        <v/>
      </c>
      <c r="J488" s="10">
        <f>IF(I488="","",IF(I488="OK",IF(COUNTIFS(H489:H$3001,H488,B489:B$3001,B488,G489:G$3001,"")=0,C488,0),0))</f>
        <v/>
      </c>
    </row>
    <row r="489">
      <c r="A489" s="6" t="n"/>
      <c r="B489" s="9" t="n"/>
      <c r="C489" s="6" t="n"/>
      <c r="D489" s="6" t="n"/>
      <c r="E489" s="6" t="n"/>
      <c r="F489" s="6" t="n"/>
      <c r="G489" s="6" t="n"/>
      <c r="H489" s="10">
        <f>IF(F489="","",IFERROR(INDEX(Roster!$A$2:$A$600,MATCH(F489,Roster!$E$2:$E$600,0)),""))</f>
        <v/>
      </c>
      <c r="I489" s="10">
        <f>IF(AND(D489="",C489="",F489=""),"",IF(G489&lt;&gt;"","Void",IF(F489="","Needs child",IF(H489="","Child not found",IF(OR(B489="",NOT(ISNUMBER(C489))),"Needs month/pages","OK")))))</f>
        <v/>
      </c>
      <c r="J489" s="10">
        <f>IF(I489="","",IF(I489="OK",IF(COUNTIFS(H490:H$3001,H489,B490:B$3001,B489,G490:G$3001,"")=0,C489,0),0))</f>
        <v/>
      </c>
    </row>
    <row r="490">
      <c r="A490" s="6" t="n"/>
      <c r="B490" s="9" t="n"/>
      <c r="C490" s="6" t="n"/>
      <c r="D490" s="6" t="n"/>
      <c r="E490" s="6" t="n"/>
      <c r="F490" s="6" t="n"/>
      <c r="G490" s="6" t="n"/>
      <c r="H490" s="10">
        <f>IF(F490="","",IFERROR(INDEX(Roster!$A$2:$A$600,MATCH(F490,Roster!$E$2:$E$600,0)),""))</f>
        <v/>
      </c>
      <c r="I490" s="10">
        <f>IF(AND(D490="",C490="",F490=""),"",IF(G490&lt;&gt;"","Void",IF(F490="","Needs child",IF(H490="","Child not found",IF(OR(B490="",NOT(ISNUMBER(C490))),"Needs month/pages","OK")))))</f>
        <v/>
      </c>
      <c r="J490" s="10">
        <f>IF(I490="","",IF(I490="OK",IF(COUNTIFS(H491:H$3001,H490,B491:B$3001,B490,G491:G$3001,"")=0,C490,0),0))</f>
        <v/>
      </c>
    </row>
    <row r="491">
      <c r="A491" s="6" t="n"/>
      <c r="B491" s="9" t="n"/>
      <c r="C491" s="6" t="n"/>
      <c r="D491" s="6" t="n"/>
      <c r="E491" s="6" t="n"/>
      <c r="F491" s="6" t="n"/>
      <c r="G491" s="6" t="n"/>
      <c r="H491" s="10">
        <f>IF(F491="","",IFERROR(INDEX(Roster!$A$2:$A$600,MATCH(F491,Roster!$E$2:$E$600,0)),""))</f>
        <v/>
      </c>
      <c r="I491" s="10">
        <f>IF(AND(D491="",C491="",F491=""),"",IF(G491&lt;&gt;"","Void",IF(F491="","Needs child",IF(H491="","Child not found",IF(OR(B491="",NOT(ISNUMBER(C491))),"Needs month/pages","OK")))))</f>
        <v/>
      </c>
      <c r="J491" s="10">
        <f>IF(I491="","",IF(I491="OK",IF(COUNTIFS(H492:H$3001,H491,B492:B$3001,B491,G492:G$3001,"")=0,C491,0),0))</f>
        <v/>
      </c>
    </row>
    <row r="492">
      <c r="A492" s="6" t="n"/>
      <c r="B492" s="9" t="n"/>
      <c r="C492" s="6" t="n"/>
      <c r="D492" s="6" t="n"/>
      <c r="E492" s="6" t="n"/>
      <c r="F492" s="6" t="n"/>
      <c r="G492" s="6" t="n"/>
      <c r="H492" s="10">
        <f>IF(F492="","",IFERROR(INDEX(Roster!$A$2:$A$600,MATCH(F492,Roster!$E$2:$E$600,0)),""))</f>
        <v/>
      </c>
      <c r="I492" s="10">
        <f>IF(AND(D492="",C492="",F492=""),"",IF(G492&lt;&gt;"","Void",IF(F492="","Needs child",IF(H492="","Child not found",IF(OR(B492="",NOT(ISNUMBER(C492))),"Needs month/pages","OK")))))</f>
        <v/>
      </c>
      <c r="J492" s="10">
        <f>IF(I492="","",IF(I492="OK",IF(COUNTIFS(H493:H$3001,H492,B493:B$3001,B492,G493:G$3001,"")=0,C492,0),0))</f>
        <v/>
      </c>
    </row>
    <row r="493">
      <c r="A493" s="6" t="n"/>
      <c r="B493" s="9" t="n"/>
      <c r="C493" s="6" t="n"/>
      <c r="D493" s="6" t="n"/>
      <c r="E493" s="6" t="n"/>
      <c r="F493" s="6" t="n"/>
      <c r="G493" s="6" t="n"/>
      <c r="H493" s="10">
        <f>IF(F493="","",IFERROR(INDEX(Roster!$A$2:$A$600,MATCH(F493,Roster!$E$2:$E$600,0)),""))</f>
        <v/>
      </c>
      <c r="I493" s="10">
        <f>IF(AND(D493="",C493="",F493=""),"",IF(G493&lt;&gt;"","Void",IF(F493="","Needs child",IF(H493="","Child not found",IF(OR(B493="",NOT(ISNUMBER(C493))),"Needs month/pages","OK")))))</f>
        <v/>
      </c>
      <c r="J493" s="10">
        <f>IF(I493="","",IF(I493="OK",IF(COUNTIFS(H494:H$3001,H493,B494:B$3001,B493,G494:G$3001,"")=0,C493,0),0))</f>
        <v/>
      </c>
    </row>
    <row r="494">
      <c r="A494" s="6" t="n"/>
      <c r="B494" s="9" t="n"/>
      <c r="C494" s="6" t="n"/>
      <c r="D494" s="6" t="n"/>
      <c r="E494" s="6" t="n"/>
      <c r="F494" s="6" t="n"/>
      <c r="G494" s="6" t="n"/>
      <c r="H494" s="10">
        <f>IF(F494="","",IFERROR(INDEX(Roster!$A$2:$A$600,MATCH(F494,Roster!$E$2:$E$600,0)),""))</f>
        <v/>
      </c>
      <c r="I494" s="10">
        <f>IF(AND(D494="",C494="",F494=""),"",IF(G494&lt;&gt;"","Void",IF(F494="","Needs child",IF(H494="","Child not found",IF(OR(B494="",NOT(ISNUMBER(C494))),"Needs month/pages","OK")))))</f>
        <v/>
      </c>
      <c r="J494" s="10">
        <f>IF(I494="","",IF(I494="OK",IF(COUNTIFS(H495:H$3001,H494,B495:B$3001,B494,G495:G$3001,"")=0,C494,0),0))</f>
        <v/>
      </c>
    </row>
    <row r="495">
      <c r="A495" s="6" t="n"/>
      <c r="B495" s="9" t="n"/>
      <c r="C495" s="6" t="n"/>
      <c r="D495" s="6" t="n"/>
      <c r="E495" s="6" t="n"/>
      <c r="F495" s="6" t="n"/>
      <c r="G495" s="6" t="n"/>
      <c r="H495" s="10">
        <f>IF(F495="","",IFERROR(INDEX(Roster!$A$2:$A$600,MATCH(F495,Roster!$E$2:$E$600,0)),""))</f>
        <v/>
      </c>
      <c r="I495" s="10">
        <f>IF(AND(D495="",C495="",F495=""),"",IF(G495&lt;&gt;"","Void",IF(F495="","Needs child",IF(H495="","Child not found",IF(OR(B495="",NOT(ISNUMBER(C495))),"Needs month/pages","OK")))))</f>
        <v/>
      </c>
      <c r="J495" s="10">
        <f>IF(I495="","",IF(I495="OK",IF(COUNTIFS(H496:H$3001,H495,B496:B$3001,B495,G496:G$3001,"")=0,C495,0),0))</f>
        <v/>
      </c>
    </row>
    <row r="496">
      <c r="A496" s="6" t="n"/>
      <c r="B496" s="9" t="n"/>
      <c r="C496" s="6" t="n"/>
      <c r="D496" s="6" t="n"/>
      <c r="E496" s="6" t="n"/>
      <c r="F496" s="6" t="n"/>
      <c r="G496" s="6" t="n"/>
      <c r="H496" s="10">
        <f>IF(F496="","",IFERROR(INDEX(Roster!$A$2:$A$600,MATCH(F496,Roster!$E$2:$E$600,0)),""))</f>
        <v/>
      </c>
      <c r="I496" s="10">
        <f>IF(AND(D496="",C496="",F496=""),"",IF(G496&lt;&gt;"","Void",IF(F496="","Needs child",IF(H496="","Child not found",IF(OR(B496="",NOT(ISNUMBER(C496))),"Needs month/pages","OK")))))</f>
        <v/>
      </c>
      <c r="J496" s="10">
        <f>IF(I496="","",IF(I496="OK",IF(COUNTIFS(H497:H$3001,H496,B497:B$3001,B496,G497:G$3001,"")=0,C496,0),0))</f>
        <v/>
      </c>
    </row>
    <row r="497">
      <c r="A497" s="6" t="n"/>
      <c r="B497" s="9" t="n"/>
      <c r="C497" s="6" t="n"/>
      <c r="D497" s="6" t="n"/>
      <c r="E497" s="6" t="n"/>
      <c r="F497" s="6" t="n"/>
      <c r="G497" s="6" t="n"/>
      <c r="H497" s="10">
        <f>IF(F497="","",IFERROR(INDEX(Roster!$A$2:$A$600,MATCH(F497,Roster!$E$2:$E$600,0)),""))</f>
        <v/>
      </c>
      <c r="I497" s="10">
        <f>IF(AND(D497="",C497="",F497=""),"",IF(G497&lt;&gt;"","Void",IF(F497="","Needs child",IF(H497="","Child not found",IF(OR(B497="",NOT(ISNUMBER(C497))),"Needs month/pages","OK")))))</f>
        <v/>
      </c>
      <c r="J497" s="10">
        <f>IF(I497="","",IF(I497="OK",IF(COUNTIFS(H498:H$3001,H497,B498:B$3001,B497,G498:G$3001,"")=0,C497,0),0))</f>
        <v/>
      </c>
    </row>
    <row r="498">
      <c r="A498" s="6" t="n"/>
      <c r="B498" s="9" t="n"/>
      <c r="C498" s="6" t="n"/>
      <c r="D498" s="6" t="n"/>
      <c r="E498" s="6" t="n"/>
      <c r="F498" s="6" t="n"/>
      <c r="G498" s="6" t="n"/>
      <c r="H498" s="10">
        <f>IF(F498="","",IFERROR(INDEX(Roster!$A$2:$A$600,MATCH(F498,Roster!$E$2:$E$600,0)),""))</f>
        <v/>
      </c>
      <c r="I498" s="10">
        <f>IF(AND(D498="",C498="",F498=""),"",IF(G498&lt;&gt;"","Void",IF(F498="","Needs child",IF(H498="","Child not found",IF(OR(B498="",NOT(ISNUMBER(C498))),"Needs month/pages","OK")))))</f>
        <v/>
      </c>
      <c r="J498" s="10">
        <f>IF(I498="","",IF(I498="OK",IF(COUNTIFS(H499:H$3001,H498,B499:B$3001,B498,G499:G$3001,"")=0,C498,0),0))</f>
        <v/>
      </c>
    </row>
    <row r="499">
      <c r="A499" s="6" t="n"/>
      <c r="B499" s="9" t="n"/>
      <c r="C499" s="6" t="n"/>
      <c r="D499" s="6" t="n"/>
      <c r="E499" s="6" t="n"/>
      <c r="F499" s="6" t="n"/>
      <c r="G499" s="6" t="n"/>
      <c r="H499" s="10">
        <f>IF(F499="","",IFERROR(INDEX(Roster!$A$2:$A$600,MATCH(F499,Roster!$E$2:$E$600,0)),""))</f>
        <v/>
      </c>
      <c r="I499" s="10">
        <f>IF(AND(D499="",C499="",F499=""),"",IF(G499&lt;&gt;"","Void",IF(F499="","Needs child",IF(H499="","Child not found",IF(OR(B499="",NOT(ISNUMBER(C499))),"Needs month/pages","OK")))))</f>
        <v/>
      </c>
      <c r="J499" s="10">
        <f>IF(I499="","",IF(I499="OK",IF(COUNTIFS(H500:H$3001,H499,B500:B$3001,B499,G500:G$3001,"")=0,C499,0),0))</f>
        <v/>
      </c>
    </row>
    <row r="500">
      <c r="A500" s="6" t="n"/>
      <c r="B500" s="9" t="n"/>
      <c r="C500" s="6" t="n"/>
      <c r="D500" s="6" t="n"/>
      <c r="E500" s="6" t="n"/>
      <c r="F500" s="6" t="n"/>
      <c r="G500" s="6" t="n"/>
      <c r="H500" s="10">
        <f>IF(F500="","",IFERROR(INDEX(Roster!$A$2:$A$600,MATCH(F500,Roster!$E$2:$E$600,0)),""))</f>
        <v/>
      </c>
      <c r="I500" s="10">
        <f>IF(AND(D500="",C500="",F500=""),"",IF(G500&lt;&gt;"","Void",IF(F500="","Needs child",IF(H500="","Child not found",IF(OR(B500="",NOT(ISNUMBER(C500))),"Needs month/pages","OK")))))</f>
        <v/>
      </c>
      <c r="J500" s="10">
        <f>IF(I500="","",IF(I500="OK",IF(COUNTIFS(H501:H$3001,H500,B501:B$3001,B500,G501:G$3001,"")=0,C500,0),0))</f>
        <v/>
      </c>
    </row>
    <row r="501">
      <c r="A501" s="6" t="n"/>
      <c r="B501" s="9" t="n"/>
      <c r="C501" s="6" t="n"/>
      <c r="D501" s="6" t="n"/>
      <c r="E501" s="6" t="n"/>
      <c r="F501" s="6" t="n"/>
      <c r="G501" s="6" t="n"/>
      <c r="H501" s="10">
        <f>IF(F501="","",IFERROR(INDEX(Roster!$A$2:$A$600,MATCH(F501,Roster!$E$2:$E$600,0)),""))</f>
        <v/>
      </c>
      <c r="I501" s="10">
        <f>IF(AND(D501="",C501="",F501=""),"",IF(G501&lt;&gt;"","Void",IF(F501="","Needs child",IF(H501="","Child not found",IF(OR(B501="",NOT(ISNUMBER(C501))),"Needs month/pages","OK")))))</f>
        <v/>
      </c>
      <c r="J501" s="10">
        <f>IF(I501="","",IF(I501="OK",IF(COUNTIFS(H502:H$3001,H501,B502:B$3001,B501,G502:G$3001,"")=0,C501,0),0))</f>
        <v/>
      </c>
    </row>
    <row r="502">
      <c r="A502" s="6" t="n"/>
      <c r="B502" s="9" t="n"/>
      <c r="C502" s="6" t="n"/>
      <c r="D502" s="6" t="n"/>
      <c r="E502" s="6" t="n"/>
      <c r="F502" s="6" t="n"/>
      <c r="G502" s="6" t="n"/>
      <c r="H502" s="10">
        <f>IF(F502="","",IFERROR(INDEX(Roster!$A$2:$A$600,MATCH(F502,Roster!$E$2:$E$600,0)),""))</f>
        <v/>
      </c>
      <c r="I502" s="10">
        <f>IF(AND(D502="",C502="",F502=""),"",IF(G502&lt;&gt;"","Void",IF(F502="","Needs child",IF(H502="","Child not found",IF(OR(B502="",NOT(ISNUMBER(C502))),"Needs month/pages","OK")))))</f>
        <v/>
      </c>
      <c r="J502" s="10">
        <f>IF(I502="","",IF(I502="OK",IF(COUNTIFS(H503:H$3001,H502,B503:B$3001,B502,G503:G$3001,"")=0,C502,0),0))</f>
        <v/>
      </c>
    </row>
    <row r="503">
      <c r="A503" s="6" t="n"/>
      <c r="B503" s="9" t="n"/>
      <c r="C503" s="6" t="n"/>
      <c r="D503" s="6" t="n"/>
      <c r="E503" s="6" t="n"/>
      <c r="F503" s="6" t="n"/>
      <c r="G503" s="6" t="n"/>
      <c r="H503" s="10">
        <f>IF(F503="","",IFERROR(INDEX(Roster!$A$2:$A$600,MATCH(F503,Roster!$E$2:$E$600,0)),""))</f>
        <v/>
      </c>
      <c r="I503" s="10">
        <f>IF(AND(D503="",C503="",F503=""),"",IF(G503&lt;&gt;"","Void",IF(F503="","Needs child",IF(H503="","Child not found",IF(OR(B503="",NOT(ISNUMBER(C503))),"Needs month/pages","OK")))))</f>
        <v/>
      </c>
      <c r="J503" s="10">
        <f>IF(I503="","",IF(I503="OK",IF(COUNTIFS(H504:H$3001,H503,B504:B$3001,B503,G504:G$3001,"")=0,C503,0),0))</f>
        <v/>
      </c>
    </row>
    <row r="504">
      <c r="A504" s="6" t="n"/>
      <c r="B504" s="9" t="n"/>
      <c r="C504" s="6" t="n"/>
      <c r="D504" s="6" t="n"/>
      <c r="E504" s="6" t="n"/>
      <c r="F504" s="6" t="n"/>
      <c r="G504" s="6" t="n"/>
      <c r="H504" s="10">
        <f>IF(F504="","",IFERROR(INDEX(Roster!$A$2:$A$600,MATCH(F504,Roster!$E$2:$E$600,0)),""))</f>
        <v/>
      </c>
      <c r="I504" s="10">
        <f>IF(AND(D504="",C504="",F504=""),"",IF(G504&lt;&gt;"","Void",IF(F504="","Needs child",IF(H504="","Child not found",IF(OR(B504="",NOT(ISNUMBER(C504))),"Needs month/pages","OK")))))</f>
        <v/>
      </c>
      <c r="J504" s="10">
        <f>IF(I504="","",IF(I504="OK",IF(COUNTIFS(H505:H$3001,H504,B505:B$3001,B504,G505:G$3001,"")=0,C504,0),0))</f>
        <v/>
      </c>
    </row>
    <row r="505">
      <c r="A505" s="6" t="n"/>
      <c r="B505" s="9" t="n"/>
      <c r="C505" s="6" t="n"/>
      <c r="D505" s="6" t="n"/>
      <c r="E505" s="6" t="n"/>
      <c r="F505" s="6" t="n"/>
      <c r="G505" s="6" t="n"/>
      <c r="H505" s="10">
        <f>IF(F505="","",IFERROR(INDEX(Roster!$A$2:$A$600,MATCH(F505,Roster!$E$2:$E$600,0)),""))</f>
        <v/>
      </c>
      <c r="I505" s="10">
        <f>IF(AND(D505="",C505="",F505=""),"",IF(G505&lt;&gt;"","Void",IF(F505="","Needs child",IF(H505="","Child not found",IF(OR(B505="",NOT(ISNUMBER(C505))),"Needs month/pages","OK")))))</f>
        <v/>
      </c>
      <c r="J505" s="10">
        <f>IF(I505="","",IF(I505="OK",IF(COUNTIFS(H506:H$3001,H505,B506:B$3001,B505,G506:G$3001,"")=0,C505,0),0))</f>
        <v/>
      </c>
    </row>
    <row r="506">
      <c r="A506" s="6" t="n"/>
      <c r="B506" s="9" t="n"/>
      <c r="C506" s="6" t="n"/>
      <c r="D506" s="6" t="n"/>
      <c r="E506" s="6" t="n"/>
      <c r="F506" s="6" t="n"/>
      <c r="G506" s="6" t="n"/>
      <c r="H506" s="10">
        <f>IF(F506="","",IFERROR(INDEX(Roster!$A$2:$A$600,MATCH(F506,Roster!$E$2:$E$600,0)),""))</f>
        <v/>
      </c>
      <c r="I506" s="10">
        <f>IF(AND(D506="",C506="",F506=""),"",IF(G506&lt;&gt;"","Void",IF(F506="","Needs child",IF(H506="","Child not found",IF(OR(B506="",NOT(ISNUMBER(C506))),"Needs month/pages","OK")))))</f>
        <v/>
      </c>
      <c r="J506" s="10">
        <f>IF(I506="","",IF(I506="OK",IF(COUNTIFS(H507:H$3001,H506,B507:B$3001,B506,G507:G$3001,"")=0,C506,0),0))</f>
        <v/>
      </c>
    </row>
    <row r="507">
      <c r="A507" s="6" t="n"/>
      <c r="B507" s="9" t="n"/>
      <c r="C507" s="6" t="n"/>
      <c r="D507" s="6" t="n"/>
      <c r="E507" s="6" t="n"/>
      <c r="F507" s="6" t="n"/>
      <c r="G507" s="6" t="n"/>
      <c r="H507" s="10">
        <f>IF(F507="","",IFERROR(INDEX(Roster!$A$2:$A$600,MATCH(F507,Roster!$E$2:$E$600,0)),""))</f>
        <v/>
      </c>
      <c r="I507" s="10">
        <f>IF(AND(D507="",C507="",F507=""),"",IF(G507&lt;&gt;"","Void",IF(F507="","Needs child",IF(H507="","Child not found",IF(OR(B507="",NOT(ISNUMBER(C507))),"Needs month/pages","OK")))))</f>
        <v/>
      </c>
      <c r="J507" s="10">
        <f>IF(I507="","",IF(I507="OK",IF(COUNTIFS(H508:H$3001,H507,B508:B$3001,B507,G508:G$3001,"")=0,C507,0),0))</f>
        <v/>
      </c>
    </row>
    <row r="508">
      <c r="A508" s="6" t="n"/>
      <c r="B508" s="9" t="n"/>
      <c r="C508" s="6" t="n"/>
      <c r="D508" s="6" t="n"/>
      <c r="E508" s="6" t="n"/>
      <c r="F508" s="6" t="n"/>
      <c r="G508" s="6" t="n"/>
      <c r="H508" s="10">
        <f>IF(F508="","",IFERROR(INDEX(Roster!$A$2:$A$600,MATCH(F508,Roster!$E$2:$E$600,0)),""))</f>
        <v/>
      </c>
      <c r="I508" s="10">
        <f>IF(AND(D508="",C508="",F508=""),"",IF(G508&lt;&gt;"","Void",IF(F508="","Needs child",IF(H508="","Child not found",IF(OR(B508="",NOT(ISNUMBER(C508))),"Needs month/pages","OK")))))</f>
        <v/>
      </c>
      <c r="J508" s="10">
        <f>IF(I508="","",IF(I508="OK",IF(COUNTIFS(H509:H$3001,H508,B509:B$3001,B508,G509:G$3001,"")=0,C508,0),0))</f>
        <v/>
      </c>
    </row>
    <row r="509">
      <c r="A509" s="6" t="n"/>
      <c r="B509" s="9" t="n"/>
      <c r="C509" s="6" t="n"/>
      <c r="D509" s="6" t="n"/>
      <c r="E509" s="6" t="n"/>
      <c r="F509" s="6" t="n"/>
      <c r="G509" s="6" t="n"/>
      <c r="H509" s="10">
        <f>IF(F509="","",IFERROR(INDEX(Roster!$A$2:$A$600,MATCH(F509,Roster!$E$2:$E$600,0)),""))</f>
        <v/>
      </c>
      <c r="I509" s="10">
        <f>IF(AND(D509="",C509="",F509=""),"",IF(G509&lt;&gt;"","Void",IF(F509="","Needs child",IF(H509="","Child not found",IF(OR(B509="",NOT(ISNUMBER(C509))),"Needs month/pages","OK")))))</f>
        <v/>
      </c>
      <c r="J509" s="10">
        <f>IF(I509="","",IF(I509="OK",IF(COUNTIFS(H510:H$3001,H509,B510:B$3001,B509,G510:G$3001,"")=0,C509,0),0))</f>
        <v/>
      </c>
    </row>
    <row r="510">
      <c r="A510" s="6" t="n"/>
      <c r="B510" s="9" t="n"/>
      <c r="C510" s="6" t="n"/>
      <c r="D510" s="6" t="n"/>
      <c r="E510" s="6" t="n"/>
      <c r="F510" s="6" t="n"/>
      <c r="G510" s="6" t="n"/>
      <c r="H510" s="10">
        <f>IF(F510="","",IFERROR(INDEX(Roster!$A$2:$A$600,MATCH(F510,Roster!$E$2:$E$600,0)),""))</f>
        <v/>
      </c>
      <c r="I510" s="10">
        <f>IF(AND(D510="",C510="",F510=""),"",IF(G510&lt;&gt;"","Void",IF(F510="","Needs child",IF(H510="","Child not found",IF(OR(B510="",NOT(ISNUMBER(C510))),"Needs month/pages","OK")))))</f>
        <v/>
      </c>
      <c r="J510" s="10">
        <f>IF(I510="","",IF(I510="OK",IF(COUNTIFS(H511:H$3001,H510,B511:B$3001,B510,G511:G$3001,"")=0,C510,0),0))</f>
        <v/>
      </c>
    </row>
    <row r="511">
      <c r="A511" s="6" t="n"/>
      <c r="B511" s="9" t="n"/>
      <c r="C511" s="6" t="n"/>
      <c r="D511" s="6" t="n"/>
      <c r="E511" s="6" t="n"/>
      <c r="F511" s="6" t="n"/>
      <c r="G511" s="6" t="n"/>
      <c r="H511" s="10">
        <f>IF(F511="","",IFERROR(INDEX(Roster!$A$2:$A$600,MATCH(F511,Roster!$E$2:$E$600,0)),""))</f>
        <v/>
      </c>
      <c r="I511" s="10">
        <f>IF(AND(D511="",C511="",F511=""),"",IF(G511&lt;&gt;"","Void",IF(F511="","Needs child",IF(H511="","Child not found",IF(OR(B511="",NOT(ISNUMBER(C511))),"Needs month/pages","OK")))))</f>
        <v/>
      </c>
      <c r="J511" s="10">
        <f>IF(I511="","",IF(I511="OK",IF(COUNTIFS(H512:H$3001,H511,B512:B$3001,B511,G512:G$3001,"")=0,C511,0),0))</f>
        <v/>
      </c>
    </row>
    <row r="512">
      <c r="A512" s="6" t="n"/>
      <c r="B512" s="9" t="n"/>
      <c r="C512" s="6" t="n"/>
      <c r="D512" s="6" t="n"/>
      <c r="E512" s="6" t="n"/>
      <c r="F512" s="6" t="n"/>
      <c r="G512" s="6" t="n"/>
      <c r="H512" s="10">
        <f>IF(F512="","",IFERROR(INDEX(Roster!$A$2:$A$600,MATCH(F512,Roster!$E$2:$E$600,0)),""))</f>
        <v/>
      </c>
      <c r="I512" s="10">
        <f>IF(AND(D512="",C512="",F512=""),"",IF(G512&lt;&gt;"","Void",IF(F512="","Needs child",IF(H512="","Child not found",IF(OR(B512="",NOT(ISNUMBER(C512))),"Needs month/pages","OK")))))</f>
        <v/>
      </c>
      <c r="J512" s="10">
        <f>IF(I512="","",IF(I512="OK",IF(COUNTIFS(H513:H$3001,H512,B513:B$3001,B512,G513:G$3001,"")=0,C512,0),0))</f>
        <v/>
      </c>
    </row>
    <row r="513">
      <c r="A513" s="6" t="n"/>
      <c r="B513" s="9" t="n"/>
      <c r="C513" s="6" t="n"/>
      <c r="D513" s="6" t="n"/>
      <c r="E513" s="6" t="n"/>
      <c r="F513" s="6" t="n"/>
      <c r="G513" s="6" t="n"/>
      <c r="H513" s="10">
        <f>IF(F513="","",IFERROR(INDEX(Roster!$A$2:$A$600,MATCH(F513,Roster!$E$2:$E$600,0)),""))</f>
        <v/>
      </c>
      <c r="I513" s="10">
        <f>IF(AND(D513="",C513="",F513=""),"",IF(G513&lt;&gt;"","Void",IF(F513="","Needs child",IF(H513="","Child not found",IF(OR(B513="",NOT(ISNUMBER(C513))),"Needs month/pages","OK")))))</f>
        <v/>
      </c>
      <c r="J513" s="10">
        <f>IF(I513="","",IF(I513="OK",IF(COUNTIFS(H514:H$3001,H513,B514:B$3001,B513,G514:G$3001,"")=0,C513,0),0))</f>
        <v/>
      </c>
    </row>
    <row r="514">
      <c r="A514" s="6" t="n"/>
      <c r="B514" s="9" t="n"/>
      <c r="C514" s="6" t="n"/>
      <c r="D514" s="6" t="n"/>
      <c r="E514" s="6" t="n"/>
      <c r="F514" s="6" t="n"/>
      <c r="G514" s="6" t="n"/>
      <c r="H514" s="10">
        <f>IF(F514="","",IFERROR(INDEX(Roster!$A$2:$A$600,MATCH(F514,Roster!$E$2:$E$600,0)),""))</f>
        <v/>
      </c>
      <c r="I514" s="10">
        <f>IF(AND(D514="",C514="",F514=""),"",IF(G514&lt;&gt;"","Void",IF(F514="","Needs child",IF(H514="","Child not found",IF(OR(B514="",NOT(ISNUMBER(C514))),"Needs month/pages","OK")))))</f>
        <v/>
      </c>
      <c r="J514" s="10">
        <f>IF(I514="","",IF(I514="OK",IF(COUNTIFS(H515:H$3001,H514,B515:B$3001,B514,G515:G$3001,"")=0,C514,0),0))</f>
        <v/>
      </c>
    </row>
    <row r="515">
      <c r="A515" s="6" t="n"/>
      <c r="B515" s="9" t="n"/>
      <c r="C515" s="6" t="n"/>
      <c r="D515" s="6" t="n"/>
      <c r="E515" s="6" t="n"/>
      <c r="F515" s="6" t="n"/>
      <c r="G515" s="6" t="n"/>
      <c r="H515" s="10">
        <f>IF(F515="","",IFERROR(INDEX(Roster!$A$2:$A$600,MATCH(F515,Roster!$E$2:$E$600,0)),""))</f>
        <v/>
      </c>
      <c r="I515" s="10">
        <f>IF(AND(D515="",C515="",F515=""),"",IF(G515&lt;&gt;"","Void",IF(F515="","Needs child",IF(H515="","Child not found",IF(OR(B515="",NOT(ISNUMBER(C515))),"Needs month/pages","OK")))))</f>
        <v/>
      </c>
      <c r="J515" s="10">
        <f>IF(I515="","",IF(I515="OK",IF(COUNTIFS(H516:H$3001,H515,B516:B$3001,B515,G516:G$3001,"")=0,C515,0),0))</f>
        <v/>
      </c>
    </row>
    <row r="516">
      <c r="A516" s="6" t="n"/>
      <c r="B516" s="9" t="n"/>
      <c r="C516" s="6" t="n"/>
      <c r="D516" s="6" t="n"/>
      <c r="E516" s="6" t="n"/>
      <c r="F516" s="6" t="n"/>
      <c r="G516" s="6" t="n"/>
      <c r="H516" s="10">
        <f>IF(F516="","",IFERROR(INDEX(Roster!$A$2:$A$600,MATCH(F516,Roster!$E$2:$E$600,0)),""))</f>
        <v/>
      </c>
      <c r="I516" s="10">
        <f>IF(AND(D516="",C516="",F516=""),"",IF(G516&lt;&gt;"","Void",IF(F516="","Needs child",IF(H516="","Child not found",IF(OR(B516="",NOT(ISNUMBER(C516))),"Needs month/pages","OK")))))</f>
        <v/>
      </c>
      <c r="J516" s="10">
        <f>IF(I516="","",IF(I516="OK",IF(COUNTIFS(H517:H$3001,H516,B517:B$3001,B516,G517:G$3001,"")=0,C516,0),0))</f>
        <v/>
      </c>
    </row>
    <row r="517">
      <c r="A517" s="6" t="n"/>
      <c r="B517" s="9" t="n"/>
      <c r="C517" s="6" t="n"/>
      <c r="D517" s="6" t="n"/>
      <c r="E517" s="6" t="n"/>
      <c r="F517" s="6" t="n"/>
      <c r="G517" s="6" t="n"/>
      <c r="H517" s="10">
        <f>IF(F517="","",IFERROR(INDEX(Roster!$A$2:$A$600,MATCH(F517,Roster!$E$2:$E$600,0)),""))</f>
        <v/>
      </c>
      <c r="I517" s="10">
        <f>IF(AND(D517="",C517="",F517=""),"",IF(G517&lt;&gt;"","Void",IF(F517="","Needs child",IF(H517="","Child not found",IF(OR(B517="",NOT(ISNUMBER(C517))),"Needs month/pages","OK")))))</f>
        <v/>
      </c>
      <c r="J517" s="10">
        <f>IF(I517="","",IF(I517="OK",IF(COUNTIFS(H518:H$3001,H517,B518:B$3001,B517,G518:G$3001,"")=0,C517,0),0))</f>
        <v/>
      </c>
    </row>
    <row r="518">
      <c r="A518" s="6" t="n"/>
      <c r="B518" s="9" t="n"/>
      <c r="C518" s="6" t="n"/>
      <c r="D518" s="6" t="n"/>
      <c r="E518" s="6" t="n"/>
      <c r="F518" s="6" t="n"/>
      <c r="G518" s="6" t="n"/>
      <c r="H518" s="10">
        <f>IF(F518="","",IFERROR(INDEX(Roster!$A$2:$A$600,MATCH(F518,Roster!$E$2:$E$600,0)),""))</f>
        <v/>
      </c>
      <c r="I518" s="10">
        <f>IF(AND(D518="",C518="",F518=""),"",IF(G518&lt;&gt;"","Void",IF(F518="","Needs child",IF(H518="","Child not found",IF(OR(B518="",NOT(ISNUMBER(C518))),"Needs month/pages","OK")))))</f>
        <v/>
      </c>
      <c r="J518" s="10">
        <f>IF(I518="","",IF(I518="OK",IF(COUNTIFS(H519:H$3001,H518,B519:B$3001,B518,G519:G$3001,"")=0,C518,0),0))</f>
        <v/>
      </c>
    </row>
    <row r="519">
      <c r="A519" s="6" t="n"/>
      <c r="B519" s="9" t="n"/>
      <c r="C519" s="6" t="n"/>
      <c r="D519" s="6" t="n"/>
      <c r="E519" s="6" t="n"/>
      <c r="F519" s="6" t="n"/>
      <c r="G519" s="6" t="n"/>
      <c r="H519" s="10">
        <f>IF(F519="","",IFERROR(INDEX(Roster!$A$2:$A$600,MATCH(F519,Roster!$E$2:$E$600,0)),""))</f>
        <v/>
      </c>
      <c r="I519" s="10">
        <f>IF(AND(D519="",C519="",F519=""),"",IF(G519&lt;&gt;"","Void",IF(F519="","Needs child",IF(H519="","Child not found",IF(OR(B519="",NOT(ISNUMBER(C519))),"Needs month/pages","OK")))))</f>
        <v/>
      </c>
      <c r="J519" s="10">
        <f>IF(I519="","",IF(I519="OK",IF(COUNTIFS(H520:H$3001,H519,B520:B$3001,B519,G520:G$3001,"")=0,C519,0),0))</f>
        <v/>
      </c>
    </row>
    <row r="520">
      <c r="A520" s="6" t="n"/>
      <c r="B520" s="9" t="n"/>
      <c r="C520" s="6" t="n"/>
      <c r="D520" s="6" t="n"/>
      <c r="E520" s="6" t="n"/>
      <c r="F520" s="6" t="n"/>
      <c r="G520" s="6" t="n"/>
      <c r="H520" s="10">
        <f>IF(F520="","",IFERROR(INDEX(Roster!$A$2:$A$600,MATCH(F520,Roster!$E$2:$E$600,0)),""))</f>
        <v/>
      </c>
      <c r="I520" s="10">
        <f>IF(AND(D520="",C520="",F520=""),"",IF(G520&lt;&gt;"","Void",IF(F520="","Needs child",IF(H520="","Child not found",IF(OR(B520="",NOT(ISNUMBER(C520))),"Needs month/pages","OK")))))</f>
        <v/>
      </c>
      <c r="J520" s="10">
        <f>IF(I520="","",IF(I520="OK",IF(COUNTIFS(H521:H$3001,H520,B521:B$3001,B520,G521:G$3001,"")=0,C520,0),0))</f>
        <v/>
      </c>
    </row>
    <row r="521">
      <c r="A521" s="6" t="n"/>
      <c r="B521" s="9" t="n"/>
      <c r="C521" s="6" t="n"/>
      <c r="D521" s="6" t="n"/>
      <c r="E521" s="6" t="n"/>
      <c r="F521" s="6" t="n"/>
      <c r="G521" s="6" t="n"/>
      <c r="H521" s="10">
        <f>IF(F521="","",IFERROR(INDEX(Roster!$A$2:$A$600,MATCH(F521,Roster!$E$2:$E$600,0)),""))</f>
        <v/>
      </c>
      <c r="I521" s="10">
        <f>IF(AND(D521="",C521="",F521=""),"",IF(G521&lt;&gt;"","Void",IF(F521="","Needs child",IF(H521="","Child not found",IF(OR(B521="",NOT(ISNUMBER(C521))),"Needs month/pages","OK")))))</f>
        <v/>
      </c>
      <c r="J521" s="10">
        <f>IF(I521="","",IF(I521="OK",IF(COUNTIFS(H522:H$3001,H521,B522:B$3001,B521,G522:G$3001,"")=0,C521,0),0))</f>
        <v/>
      </c>
    </row>
    <row r="522">
      <c r="A522" s="6" t="n"/>
      <c r="B522" s="9" t="n"/>
      <c r="C522" s="6" t="n"/>
      <c r="D522" s="6" t="n"/>
      <c r="E522" s="6" t="n"/>
      <c r="F522" s="6" t="n"/>
      <c r="G522" s="6" t="n"/>
      <c r="H522" s="10">
        <f>IF(F522="","",IFERROR(INDEX(Roster!$A$2:$A$600,MATCH(F522,Roster!$E$2:$E$600,0)),""))</f>
        <v/>
      </c>
      <c r="I522" s="10">
        <f>IF(AND(D522="",C522="",F522=""),"",IF(G522&lt;&gt;"","Void",IF(F522="","Needs child",IF(H522="","Child not found",IF(OR(B522="",NOT(ISNUMBER(C522))),"Needs month/pages","OK")))))</f>
        <v/>
      </c>
      <c r="J522" s="10">
        <f>IF(I522="","",IF(I522="OK",IF(COUNTIFS(H523:H$3001,H522,B523:B$3001,B522,G523:G$3001,"")=0,C522,0),0))</f>
        <v/>
      </c>
    </row>
    <row r="523">
      <c r="A523" s="6" t="n"/>
      <c r="B523" s="9" t="n"/>
      <c r="C523" s="6" t="n"/>
      <c r="D523" s="6" t="n"/>
      <c r="E523" s="6" t="n"/>
      <c r="F523" s="6" t="n"/>
      <c r="G523" s="6" t="n"/>
      <c r="H523" s="10">
        <f>IF(F523="","",IFERROR(INDEX(Roster!$A$2:$A$600,MATCH(F523,Roster!$E$2:$E$600,0)),""))</f>
        <v/>
      </c>
      <c r="I523" s="10">
        <f>IF(AND(D523="",C523="",F523=""),"",IF(G523&lt;&gt;"","Void",IF(F523="","Needs child",IF(H523="","Child not found",IF(OR(B523="",NOT(ISNUMBER(C523))),"Needs month/pages","OK")))))</f>
        <v/>
      </c>
      <c r="J523" s="10">
        <f>IF(I523="","",IF(I523="OK",IF(COUNTIFS(H524:H$3001,H523,B524:B$3001,B523,G524:G$3001,"")=0,C523,0),0))</f>
        <v/>
      </c>
    </row>
    <row r="524">
      <c r="A524" s="6" t="n"/>
      <c r="B524" s="9" t="n"/>
      <c r="C524" s="6" t="n"/>
      <c r="D524" s="6" t="n"/>
      <c r="E524" s="6" t="n"/>
      <c r="F524" s="6" t="n"/>
      <c r="G524" s="6" t="n"/>
      <c r="H524" s="10">
        <f>IF(F524="","",IFERROR(INDEX(Roster!$A$2:$A$600,MATCH(F524,Roster!$E$2:$E$600,0)),""))</f>
        <v/>
      </c>
      <c r="I524" s="10">
        <f>IF(AND(D524="",C524="",F524=""),"",IF(G524&lt;&gt;"","Void",IF(F524="","Needs child",IF(H524="","Child not found",IF(OR(B524="",NOT(ISNUMBER(C524))),"Needs month/pages","OK")))))</f>
        <v/>
      </c>
      <c r="J524" s="10">
        <f>IF(I524="","",IF(I524="OK",IF(COUNTIFS(H525:H$3001,H524,B525:B$3001,B524,G525:G$3001,"")=0,C524,0),0))</f>
        <v/>
      </c>
    </row>
    <row r="525">
      <c r="A525" s="6" t="n"/>
      <c r="B525" s="9" t="n"/>
      <c r="C525" s="6" t="n"/>
      <c r="D525" s="6" t="n"/>
      <c r="E525" s="6" t="n"/>
      <c r="F525" s="6" t="n"/>
      <c r="G525" s="6" t="n"/>
      <c r="H525" s="10">
        <f>IF(F525="","",IFERROR(INDEX(Roster!$A$2:$A$600,MATCH(F525,Roster!$E$2:$E$600,0)),""))</f>
        <v/>
      </c>
      <c r="I525" s="10">
        <f>IF(AND(D525="",C525="",F525=""),"",IF(G525&lt;&gt;"","Void",IF(F525="","Needs child",IF(H525="","Child not found",IF(OR(B525="",NOT(ISNUMBER(C525))),"Needs month/pages","OK")))))</f>
        <v/>
      </c>
      <c r="J525" s="10">
        <f>IF(I525="","",IF(I525="OK",IF(COUNTIFS(H526:H$3001,H525,B526:B$3001,B525,G526:G$3001,"")=0,C525,0),0))</f>
        <v/>
      </c>
    </row>
    <row r="526">
      <c r="A526" s="6" t="n"/>
      <c r="B526" s="9" t="n"/>
      <c r="C526" s="6" t="n"/>
      <c r="D526" s="6" t="n"/>
      <c r="E526" s="6" t="n"/>
      <c r="F526" s="6" t="n"/>
      <c r="G526" s="6" t="n"/>
      <c r="H526" s="10">
        <f>IF(F526="","",IFERROR(INDEX(Roster!$A$2:$A$600,MATCH(F526,Roster!$E$2:$E$600,0)),""))</f>
        <v/>
      </c>
      <c r="I526" s="10">
        <f>IF(AND(D526="",C526="",F526=""),"",IF(G526&lt;&gt;"","Void",IF(F526="","Needs child",IF(H526="","Child not found",IF(OR(B526="",NOT(ISNUMBER(C526))),"Needs month/pages","OK")))))</f>
        <v/>
      </c>
      <c r="J526" s="10">
        <f>IF(I526="","",IF(I526="OK",IF(COUNTIFS(H527:H$3001,H526,B527:B$3001,B526,G527:G$3001,"")=0,C526,0),0))</f>
        <v/>
      </c>
    </row>
    <row r="527">
      <c r="A527" s="6" t="n"/>
      <c r="B527" s="9" t="n"/>
      <c r="C527" s="6" t="n"/>
      <c r="D527" s="6" t="n"/>
      <c r="E527" s="6" t="n"/>
      <c r="F527" s="6" t="n"/>
      <c r="G527" s="6" t="n"/>
      <c r="H527" s="10">
        <f>IF(F527="","",IFERROR(INDEX(Roster!$A$2:$A$600,MATCH(F527,Roster!$E$2:$E$600,0)),""))</f>
        <v/>
      </c>
      <c r="I527" s="10">
        <f>IF(AND(D527="",C527="",F527=""),"",IF(G527&lt;&gt;"","Void",IF(F527="","Needs child",IF(H527="","Child not found",IF(OR(B527="",NOT(ISNUMBER(C527))),"Needs month/pages","OK")))))</f>
        <v/>
      </c>
      <c r="J527" s="10">
        <f>IF(I527="","",IF(I527="OK",IF(COUNTIFS(H528:H$3001,H527,B528:B$3001,B527,G528:G$3001,"")=0,C527,0),0))</f>
        <v/>
      </c>
    </row>
    <row r="528">
      <c r="A528" s="6" t="n"/>
      <c r="B528" s="9" t="n"/>
      <c r="C528" s="6" t="n"/>
      <c r="D528" s="6" t="n"/>
      <c r="E528" s="6" t="n"/>
      <c r="F528" s="6" t="n"/>
      <c r="G528" s="6" t="n"/>
      <c r="H528" s="10">
        <f>IF(F528="","",IFERROR(INDEX(Roster!$A$2:$A$600,MATCH(F528,Roster!$E$2:$E$600,0)),""))</f>
        <v/>
      </c>
      <c r="I528" s="10">
        <f>IF(AND(D528="",C528="",F528=""),"",IF(G528&lt;&gt;"","Void",IF(F528="","Needs child",IF(H528="","Child not found",IF(OR(B528="",NOT(ISNUMBER(C528))),"Needs month/pages","OK")))))</f>
        <v/>
      </c>
      <c r="J528" s="10">
        <f>IF(I528="","",IF(I528="OK",IF(COUNTIFS(H529:H$3001,H528,B529:B$3001,B528,G529:G$3001,"")=0,C528,0),0))</f>
        <v/>
      </c>
    </row>
    <row r="529">
      <c r="A529" s="6" t="n"/>
      <c r="B529" s="9" t="n"/>
      <c r="C529" s="6" t="n"/>
      <c r="D529" s="6" t="n"/>
      <c r="E529" s="6" t="n"/>
      <c r="F529" s="6" t="n"/>
      <c r="G529" s="6" t="n"/>
      <c r="H529" s="10">
        <f>IF(F529="","",IFERROR(INDEX(Roster!$A$2:$A$600,MATCH(F529,Roster!$E$2:$E$600,0)),""))</f>
        <v/>
      </c>
      <c r="I529" s="10">
        <f>IF(AND(D529="",C529="",F529=""),"",IF(G529&lt;&gt;"","Void",IF(F529="","Needs child",IF(H529="","Child not found",IF(OR(B529="",NOT(ISNUMBER(C529))),"Needs month/pages","OK")))))</f>
        <v/>
      </c>
      <c r="J529" s="10">
        <f>IF(I529="","",IF(I529="OK",IF(COUNTIFS(H530:H$3001,H529,B530:B$3001,B529,G530:G$3001,"")=0,C529,0),0))</f>
        <v/>
      </c>
    </row>
    <row r="530">
      <c r="A530" s="6" t="n"/>
      <c r="B530" s="9" t="n"/>
      <c r="C530" s="6" t="n"/>
      <c r="D530" s="6" t="n"/>
      <c r="E530" s="6" t="n"/>
      <c r="F530" s="6" t="n"/>
      <c r="G530" s="6" t="n"/>
      <c r="H530" s="10">
        <f>IF(F530="","",IFERROR(INDEX(Roster!$A$2:$A$600,MATCH(F530,Roster!$E$2:$E$600,0)),""))</f>
        <v/>
      </c>
      <c r="I530" s="10">
        <f>IF(AND(D530="",C530="",F530=""),"",IF(G530&lt;&gt;"","Void",IF(F530="","Needs child",IF(H530="","Child not found",IF(OR(B530="",NOT(ISNUMBER(C530))),"Needs month/pages","OK")))))</f>
        <v/>
      </c>
      <c r="J530" s="10">
        <f>IF(I530="","",IF(I530="OK",IF(COUNTIFS(H531:H$3001,H530,B531:B$3001,B530,G531:G$3001,"")=0,C530,0),0))</f>
        <v/>
      </c>
    </row>
    <row r="531">
      <c r="A531" s="6" t="n"/>
      <c r="B531" s="9" t="n"/>
      <c r="C531" s="6" t="n"/>
      <c r="D531" s="6" t="n"/>
      <c r="E531" s="6" t="n"/>
      <c r="F531" s="6" t="n"/>
      <c r="G531" s="6" t="n"/>
      <c r="H531" s="10">
        <f>IF(F531="","",IFERROR(INDEX(Roster!$A$2:$A$600,MATCH(F531,Roster!$E$2:$E$600,0)),""))</f>
        <v/>
      </c>
      <c r="I531" s="10">
        <f>IF(AND(D531="",C531="",F531=""),"",IF(G531&lt;&gt;"","Void",IF(F531="","Needs child",IF(H531="","Child not found",IF(OR(B531="",NOT(ISNUMBER(C531))),"Needs month/pages","OK")))))</f>
        <v/>
      </c>
      <c r="J531" s="10">
        <f>IF(I531="","",IF(I531="OK",IF(COUNTIFS(H532:H$3001,H531,B532:B$3001,B531,G532:G$3001,"")=0,C531,0),0))</f>
        <v/>
      </c>
    </row>
    <row r="532">
      <c r="A532" s="6" t="n"/>
      <c r="B532" s="9" t="n"/>
      <c r="C532" s="6" t="n"/>
      <c r="D532" s="6" t="n"/>
      <c r="E532" s="6" t="n"/>
      <c r="F532" s="6" t="n"/>
      <c r="G532" s="6" t="n"/>
      <c r="H532" s="10">
        <f>IF(F532="","",IFERROR(INDEX(Roster!$A$2:$A$600,MATCH(F532,Roster!$E$2:$E$600,0)),""))</f>
        <v/>
      </c>
      <c r="I532" s="10">
        <f>IF(AND(D532="",C532="",F532=""),"",IF(G532&lt;&gt;"","Void",IF(F532="","Needs child",IF(H532="","Child not found",IF(OR(B532="",NOT(ISNUMBER(C532))),"Needs month/pages","OK")))))</f>
        <v/>
      </c>
      <c r="J532" s="10">
        <f>IF(I532="","",IF(I532="OK",IF(COUNTIFS(H533:H$3001,H532,B533:B$3001,B532,G533:G$3001,"")=0,C532,0),0))</f>
        <v/>
      </c>
    </row>
    <row r="533">
      <c r="A533" s="6" t="n"/>
      <c r="B533" s="9" t="n"/>
      <c r="C533" s="6" t="n"/>
      <c r="D533" s="6" t="n"/>
      <c r="E533" s="6" t="n"/>
      <c r="F533" s="6" t="n"/>
      <c r="G533" s="6" t="n"/>
      <c r="H533" s="10">
        <f>IF(F533="","",IFERROR(INDEX(Roster!$A$2:$A$600,MATCH(F533,Roster!$E$2:$E$600,0)),""))</f>
        <v/>
      </c>
      <c r="I533" s="10">
        <f>IF(AND(D533="",C533="",F533=""),"",IF(G533&lt;&gt;"","Void",IF(F533="","Needs child",IF(H533="","Child not found",IF(OR(B533="",NOT(ISNUMBER(C533))),"Needs month/pages","OK")))))</f>
        <v/>
      </c>
      <c r="J533" s="10">
        <f>IF(I533="","",IF(I533="OK",IF(COUNTIFS(H534:H$3001,H533,B534:B$3001,B533,G534:G$3001,"")=0,C533,0),0))</f>
        <v/>
      </c>
    </row>
    <row r="534">
      <c r="A534" s="6" t="n"/>
      <c r="B534" s="9" t="n"/>
      <c r="C534" s="6" t="n"/>
      <c r="D534" s="6" t="n"/>
      <c r="E534" s="6" t="n"/>
      <c r="F534" s="6" t="n"/>
      <c r="G534" s="6" t="n"/>
      <c r="H534" s="10">
        <f>IF(F534="","",IFERROR(INDEX(Roster!$A$2:$A$600,MATCH(F534,Roster!$E$2:$E$600,0)),""))</f>
        <v/>
      </c>
      <c r="I534" s="10">
        <f>IF(AND(D534="",C534="",F534=""),"",IF(G534&lt;&gt;"","Void",IF(F534="","Needs child",IF(H534="","Child not found",IF(OR(B534="",NOT(ISNUMBER(C534))),"Needs month/pages","OK")))))</f>
        <v/>
      </c>
      <c r="J534" s="10">
        <f>IF(I534="","",IF(I534="OK",IF(COUNTIFS(H535:H$3001,H534,B535:B$3001,B534,G535:G$3001,"")=0,C534,0),0))</f>
        <v/>
      </c>
    </row>
    <row r="535">
      <c r="A535" s="6" t="n"/>
      <c r="B535" s="9" t="n"/>
      <c r="C535" s="6" t="n"/>
      <c r="D535" s="6" t="n"/>
      <c r="E535" s="6" t="n"/>
      <c r="F535" s="6" t="n"/>
      <c r="G535" s="6" t="n"/>
      <c r="H535" s="10">
        <f>IF(F535="","",IFERROR(INDEX(Roster!$A$2:$A$600,MATCH(F535,Roster!$E$2:$E$600,0)),""))</f>
        <v/>
      </c>
      <c r="I535" s="10">
        <f>IF(AND(D535="",C535="",F535=""),"",IF(G535&lt;&gt;"","Void",IF(F535="","Needs child",IF(H535="","Child not found",IF(OR(B535="",NOT(ISNUMBER(C535))),"Needs month/pages","OK")))))</f>
        <v/>
      </c>
      <c r="J535" s="10">
        <f>IF(I535="","",IF(I535="OK",IF(COUNTIFS(H536:H$3001,H535,B536:B$3001,B535,G536:G$3001,"")=0,C535,0),0))</f>
        <v/>
      </c>
    </row>
    <row r="536">
      <c r="A536" s="6" t="n"/>
      <c r="B536" s="9" t="n"/>
      <c r="C536" s="6" t="n"/>
      <c r="D536" s="6" t="n"/>
      <c r="E536" s="6" t="n"/>
      <c r="F536" s="6" t="n"/>
      <c r="G536" s="6" t="n"/>
      <c r="H536" s="10">
        <f>IF(F536="","",IFERROR(INDEX(Roster!$A$2:$A$600,MATCH(F536,Roster!$E$2:$E$600,0)),""))</f>
        <v/>
      </c>
      <c r="I536" s="10">
        <f>IF(AND(D536="",C536="",F536=""),"",IF(G536&lt;&gt;"","Void",IF(F536="","Needs child",IF(H536="","Child not found",IF(OR(B536="",NOT(ISNUMBER(C536))),"Needs month/pages","OK")))))</f>
        <v/>
      </c>
      <c r="J536" s="10">
        <f>IF(I536="","",IF(I536="OK",IF(COUNTIFS(H537:H$3001,H536,B537:B$3001,B536,G537:G$3001,"")=0,C536,0),0))</f>
        <v/>
      </c>
    </row>
    <row r="537">
      <c r="A537" s="6" t="n"/>
      <c r="B537" s="9" t="n"/>
      <c r="C537" s="6" t="n"/>
      <c r="D537" s="6" t="n"/>
      <c r="E537" s="6" t="n"/>
      <c r="F537" s="6" t="n"/>
      <c r="G537" s="6" t="n"/>
      <c r="H537" s="10">
        <f>IF(F537="","",IFERROR(INDEX(Roster!$A$2:$A$600,MATCH(F537,Roster!$E$2:$E$600,0)),""))</f>
        <v/>
      </c>
      <c r="I537" s="10">
        <f>IF(AND(D537="",C537="",F537=""),"",IF(G537&lt;&gt;"","Void",IF(F537="","Needs child",IF(H537="","Child not found",IF(OR(B537="",NOT(ISNUMBER(C537))),"Needs month/pages","OK")))))</f>
        <v/>
      </c>
      <c r="J537" s="10">
        <f>IF(I537="","",IF(I537="OK",IF(COUNTIFS(H538:H$3001,H537,B538:B$3001,B537,G538:G$3001,"")=0,C537,0),0))</f>
        <v/>
      </c>
    </row>
    <row r="538">
      <c r="A538" s="6" t="n"/>
      <c r="B538" s="9" t="n"/>
      <c r="C538" s="6" t="n"/>
      <c r="D538" s="6" t="n"/>
      <c r="E538" s="6" t="n"/>
      <c r="F538" s="6" t="n"/>
      <c r="G538" s="6" t="n"/>
      <c r="H538" s="10">
        <f>IF(F538="","",IFERROR(INDEX(Roster!$A$2:$A$600,MATCH(F538,Roster!$E$2:$E$600,0)),""))</f>
        <v/>
      </c>
      <c r="I538" s="10">
        <f>IF(AND(D538="",C538="",F538=""),"",IF(G538&lt;&gt;"","Void",IF(F538="","Needs child",IF(H538="","Child not found",IF(OR(B538="",NOT(ISNUMBER(C538))),"Needs month/pages","OK")))))</f>
        <v/>
      </c>
      <c r="J538" s="10">
        <f>IF(I538="","",IF(I538="OK",IF(COUNTIFS(H539:H$3001,H538,B539:B$3001,B538,G539:G$3001,"")=0,C538,0),0))</f>
        <v/>
      </c>
    </row>
    <row r="539">
      <c r="A539" s="6" t="n"/>
      <c r="B539" s="9" t="n"/>
      <c r="C539" s="6" t="n"/>
      <c r="D539" s="6" t="n"/>
      <c r="E539" s="6" t="n"/>
      <c r="F539" s="6" t="n"/>
      <c r="G539" s="6" t="n"/>
      <c r="H539" s="10">
        <f>IF(F539="","",IFERROR(INDEX(Roster!$A$2:$A$600,MATCH(F539,Roster!$E$2:$E$600,0)),""))</f>
        <v/>
      </c>
      <c r="I539" s="10">
        <f>IF(AND(D539="",C539="",F539=""),"",IF(G539&lt;&gt;"","Void",IF(F539="","Needs child",IF(H539="","Child not found",IF(OR(B539="",NOT(ISNUMBER(C539))),"Needs month/pages","OK")))))</f>
        <v/>
      </c>
      <c r="J539" s="10">
        <f>IF(I539="","",IF(I539="OK",IF(COUNTIFS(H540:H$3001,H539,B540:B$3001,B539,G540:G$3001,"")=0,C539,0),0))</f>
        <v/>
      </c>
    </row>
    <row r="540">
      <c r="A540" s="6" t="n"/>
      <c r="B540" s="9" t="n"/>
      <c r="C540" s="6" t="n"/>
      <c r="D540" s="6" t="n"/>
      <c r="E540" s="6" t="n"/>
      <c r="F540" s="6" t="n"/>
      <c r="G540" s="6" t="n"/>
      <c r="H540" s="10">
        <f>IF(F540="","",IFERROR(INDEX(Roster!$A$2:$A$600,MATCH(F540,Roster!$E$2:$E$600,0)),""))</f>
        <v/>
      </c>
      <c r="I540" s="10">
        <f>IF(AND(D540="",C540="",F540=""),"",IF(G540&lt;&gt;"","Void",IF(F540="","Needs child",IF(H540="","Child not found",IF(OR(B540="",NOT(ISNUMBER(C540))),"Needs month/pages","OK")))))</f>
        <v/>
      </c>
      <c r="J540" s="10">
        <f>IF(I540="","",IF(I540="OK",IF(COUNTIFS(H541:H$3001,H540,B541:B$3001,B540,G541:G$3001,"")=0,C540,0),0))</f>
        <v/>
      </c>
    </row>
    <row r="541">
      <c r="A541" s="6" t="n"/>
      <c r="B541" s="9" t="n"/>
      <c r="C541" s="6" t="n"/>
      <c r="D541" s="6" t="n"/>
      <c r="E541" s="6" t="n"/>
      <c r="F541" s="6" t="n"/>
      <c r="G541" s="6" t="n"/>
      <c r="H541" s="10">
        <f>IF(F541="","",IFERROR(INDEX(Roster!$A$2:$A$600,MATCH(F541,Roster!$E$2:$E$600,0)),""))</f>
        <v/>
      </c>
      <c r="I541" s="10">
        <f>IF(AND(D541="",C541="",F541=""),"",IF(G541&lt;&gt;"","Void",IF(F541="","Needs child",IF(H541="","Child not found",IF(OR(B541="",NOT(ISNUMBER(C541))),"Needs month/pages","OK")))))</f>
        <v/>
      </c>
      <c r="J541" s="10">
        <f>IF(I541="","",IF(I541="OK",IF(COUNTIFS(H542:H$3001,H541,B542:B$3001,B541,G542:G$3001,"")=0,C541,0),0))</f>
        <v/>
      </c>
    </row>
    <row r="542">
      <c r="A542" s="6" t="n"/>
      <c r="B542" s="9" t="n"/>
      <c r="C542" s="6" t="n"/>
      <c r="D542" s="6" t="n"/>
      <c r="E542" s="6" t="n"/>
      <c r="F542" s="6" t="n"/>
      <c r="G542" s="6" t="n"/>
      <c r="H542" s="10">
        <f>IF(F542="","",IFERROR(INDEX(Roster!$A$2:$A$600,MATCH(F542,Roster!$E$2:$E$600,0)),""))</f>
        <v/>
      </c>
      <c r="I542" s="10">
        <f>IF(AND(D542="",C542="",F542=""),"",IF(G542&lt;&gt;"","Void",IF(F542="","Needs child",IF(H542="","Child not found",IF(OR(B542="",NOT(ISNUMBER(C542))),"Needs month/pages","OK")))))</f>
        <v/>
      </c>
      <c r="J542" s="10">
        <f>IF(I542="","",IF(I542="OK",IF(COUNTIFS(H543:H$3001,H542,B543:B$3001,B542,G543:G$3001,"")=0,C542,0),0))</f>
        <v/>
      </c>
    </row>
    <row r="543">
      <c r="A543" s="6" t="n"/>
      <c r="B543" s="9" t="n"/>
      <c r="C543" s="6" t="n"/>
      <c r="D543" s="6" t="n"/>
      <c r="E543" s="6" t="n"/>
      <c r="F543" s="6" t="n"/>
      <c r="G543" s="6" t="n"/>
      <c r="H543" s="10">
        <f>IF(F543="","",IFERROR(INDEX(Roster!$A$2:$A$600,MATCH(F543,Roster!$E$2:$E$600,0)),""))</f>
        <v/>
      </c>
      <c r="I543" s="10">
        <f>IF(AND(D543="",C543="",F543=""),"",IF(G543&lt;&gt;"","Void",IF(F543="","Needs child",IF(H543="","Child not found",IF(OR(B543="",NOT(ISNUMBER(C543))),"Needs month/pages","OK")))))</f>
        <v/>
      </c>
      <c r="J543" s="10">
        <f>IF(I543="","",IF(I543="OK",IF(COUNTIFS(H544:H$3001,H543,B544:B$3001,B543,G544:G$3001,"")=0,C543,0),0))</f>
        <v/>
      </c>
    </row>
    <row r="544">
      <c r="A544" s="6" t="n"/>
      <c r="B544" s="9" t="n"/>
      <c r="C544" s="6" t="n"/>
      <c r="D544" s="6" t="n"/>
      <c r="E544" s="6" t="n"/>
      <c r="F544" s="6" t="n"/>
      <c r="G544" s="6" t="n"/>
      <c r="H544" s="10">
        <f>IF(F544="","",IFERROR(INDEX(Roster!$A$2:$A$600,MATCH(F544,Roster!$E$2:$E$600,0)),""))</f>
        <v/>
      </c>
      <c r="I544" s="10">
        <f>IF(AND(D544="",C544="",F544=""),"",IF(G544&lt;&gt;"","Void",IF(F544="","Needs child",IF(H544="","Child not found",IF(OR(B544="",NOT(ISNUMBER(C544))),"Needs month/pages","OK")))))</f>
        <v/>
      </c>
      <c r="J544" s="10">
        <f>IF(I544="","",IF(I544="OK",IF(COUNTIFS(H545:H$3001,H544,B545:B$3001,B544,G545:G$3001,"")=0,C544,0),0))</f>
        <v/>
      </c>
    </row>
    <row r="545">
      <c r="A545" s="6" t="n"/>
      <c r="B545" s="9" t="n"/>
      <c r="C545" s="6" t="n"/>
      <c r="D545" s="6" t="n"/>
      <c r="E545" s="6" t="n"/>
      <c r="F545" s="6" t="n"/>
      <c r="G545" s="6" t="n"/>
      <c r="H545" s="10">
        <f>IF(F545="","",IFERROR(INDEX(Roster!$A$2:$A$600,MATCH(F545,Roster!$E$2:$E$600,0)),""))</f>
        <v/>
      </c>
      <c r="I545" s="10">
        <f>IF(AND(D545="",C545="",F545=""),"",IF(G545&lt;&gt;"","Void",IF(F545="","Needs child",IF(H545="","Child not found",IF(OR(B545="",NOT(ISNUMBER(C545))),"Needs month/pages","OK")))))</f>
        <v/>
      </c>
      <c r="J545" s="10">
        <f>IF(I545="","",IF(I545="OK",IF(COUNTIFS(H546:H$3001,H545,B546:B$3001,B545,G546:G$3001,"")=0,C545,0),0))</f>
        <v/>
      </c>
    </row>
    <row r="546">
      <c r="A546" s="6" t="n"/>
      <c r="B546" s="9" t="n"/>
      <c r="C546" s="6" t="n"/>
      <c r="D546" s="6" t="n"/>
      <c r="E546" s="6" t="n"/>
      <c r="F546" s="6" t="n"/>
      <c r="G546" s="6" t="n"/>
      <c r="H546" s="10">
        <f>IF(F546="","",IFERROR(INDEX(Roster!$A$2:$A$600,MATCH(F546,Roster!$E$2:$E$600,0)),""))</f>
        <v/>
      </c>
      <c r="I546" s="10">
        <f>IF(AND(D546="",C546="",F546=""),"",IF(G546&lt;&gt;"","Void",IF(F546="","Needs child",IF(H546="","Child not found",IF(OR(B546="",NOT(ISNUMBER(C546))),"Needs month/pages","OK")))))</f>
        <v/>
      </c>
      <c r="J546" s="10">
        <f>IF(I546="","",IF(I546="OK",IF(COUNTIFS(H547:H$3001,H546,B547:B$3001,B546,G547:G$3001,"")=0,C546,0),0))</f>
        <v/>
      </c>
    </row>
    <row r="547">
      <c r="A547" s="6" t="n"/>
      <c r="B547" s="9" t="n"/>
      <c r="C547" s="6" t="n"/>
      <c r="D547" s="6" t="n"/>
      <c r="E547" s="6" t="n"/>
      <c r="F547" s="6" t="n"/>
      <c r="G547" s="6" t="n"/>
      <c r="H547" s="10">
        <f>IF(F547="","",IFERROR(INDEX(Roster!$A$2:$A$600,MATCH(F547,Roster!$E$2:$E$600,0)),""))</f>
        <v/>
      </c>
      <c r="I547" s="10">
        <f>IF(AND(D547="",C547="",F547=""),"",IF(G547&lt;&gt;"","Void",IF(F547="","Needs child",IF(H547="","Child not found",IF(OR(B547="",NOT(ISNUMBER(C547))),"Needs month/pages","OK")))))</f>
        <v/>
      </c>
      <c r="J547" s="10">
        <f>IF(I547="","",IF(I547="OK",IF(COUNTIFS(H548:H$3001,H547,B548:B$3001,B547,G548:G$3001,"")=0,C547,0),0))</f>
        <v/>
      </c>
    </row>
    <row r="548">
      <c r="A548" s="6" t="n"/>
      <c r="B548" s="9" t="n"/>
      <c r="C548" s="6" t="n"/>
      <c r="D548" s="6" t="n"/>
      <c r="E548" s="6" t="n"/>
      <c r="F548" s="6" t="n"/>
      <c r="G548" s="6" t="n"/>
      <c r="H548" s="10">
        <f>IF(F548="","",IFERROR(INDEX(Roster!$A$2:$A$600,MATCH(F548,Roster!$E$2:$E$600,0)),""))</f>
        <v/>
      </c>
      <c r="I548" s="10">
        <f>IF(AND(D548="",C548="",F548=""),"",IF(G548&lt;&gt;"","Void",IF(F548="","Needs child",IF(H548="","Child not found",IF(OR(B548="",NOT(ISNUMBER(C548))),"Needs month/pages","OK")))))</f>
        <v/>
      </c>
      <c r="J548" s="10">
        <f>IF(I548="","",IF(I548="OK",IF(COUNTIFS(H549:H$3001,H548,B549:B$3001,B548,G549:G$3001,"")=0,C548,0),0))</f>
        <v/>
      </c>
    </row>
    <row r="549">
      <c r="A549" s="6" t="n"/>
      <c r="B549" s="9" t="n"/>
      <c r="C549" s="6" t="n"/>
      <c r="D549" s="6" t="n"/>
      <c r="E549" s="6" t="n"/>
      <c r="F549" s="6" t="n"/>
      <c r="G549" s="6" t="n"/>
      <c r="H549" s="10">
        <f>IF(F549="","",IFERROR(INDEX(Roster!$A$2:$A$600,MATCH(F549,Roster!$E$2:$E$600,0)),""))</f>
        <v/>
      </c>
      <c r="I549" s="10">
        <f>IF(AND(D549="",C549="",F549=""),"",IF(G549&lt;&gt;"","Void",IF(F549="","Needs child",IF(H549="","Child not found",IF(OR(B549="",NOT(ISNUMBER(C549))),"Needs month/pages","OK")))))</f>
        <v/>
      </c>
      <c r="J549" s="10">
        <f>IF(I549="","",IF(I549="OK",IF(COUNTIFS(H550:H$3001,H549,B550:B$3001,B549,G550:G$3001,"")=0,C549,0),0))</f>
        <v/>
      </c>
    </row>
    <row r="550">
      <c r="A550" s="6" t="n"/>
      <c r="B550" s="9" t="n"/>
      <c r="C550" s="6" t="n"/>
      <c r="D550" s="6" t="n"/>
      <c r="E550" s="6" t="n"/>
      <c r="F550" s="6" t="n"/>
      <c r="G550" s="6" t="n"/>
      <c r="H550" s="10">
        <f>IF(F550="","",IFERROR(INDEX(Roster!$A$2:$A$600,MATCH(F550,Roster!$E$2:$E$600,0)),""))</f>
        <v/>
      </c>
      <c r="I550" s="10">
        <f>IF(AND(D550="",C550="",F550=""),"",IF(G550&lt;&gt;"","Void",IF(F550="","Needs child",IF(H550="","Child not found",IF(OR(B550="",NOT(ISNUMBER(C550))),"Needs month/pages","OK")))))</f>
        <v/>
      </c>
      <c r="J550" s="10">
        <f>IF(I550="","",IF(I550="OK",IF(COUNTIFS(H551:H$3001,H550,B551:B$3001,B550,G551:G$3001,"")=0,C550,0),0))</f>
        <v/>
      </c>
    </row>
    <row r="551">
      <c r="A551" s="6" t="n"/>
      <c r="B551" s="9" t="n"/>
      <c r="C551" s="6" t="n"/>
      <c r="D551" s="6" t="n"/>
      <c r="E551" s="6" t="n"/>
      <c r="F551" s="6" t="n"/>
      <c r="G551" s="6" t="n"/>
      <c r="H551" s="10">
        <f>IF(F551="","",IFERROR(INDEX(Roster!$A$2:$A$600,MATCH(F551,Roster!$E$2:$E$600,0)),""))</f>
        <v/>
      </c>
      <c r="I551" s="10">
        <f>IF(AND(D551="",C551="",F551=""),"",IF(G551&lt;&gt;"","Void",IF(F551="","Needs child",IF(H551="","Child not found",IF(OR(B551="",NOT(ISNUMBER(C551))),"Needs month/pages","OK")))))</f>
        <v/>
      </c>
      <c r="J551" s="10">
        <f>IF(I551="","",IF(I551="OK",IF(COUNTIFS(H552:H$3001,H551,B552:B$3001,B551,G552:G$3001,"")=0,C551,0),0))</f>
        <v/>
      </c>
    </row>
    <row r="552">
      <c r="A552" s="6" t="n"/>
      <c r="B552" s="9" t="n"/>
      <c r="C552" s="6" t="n"/>
      <c r="D552" s="6" t="n"/>
      <c r="E552" s="6" t="n"/>
      <c r="F552" s="6" t="n"/>
      <c r="G552" s="6" t="n"/>
      <c r="H552" s="10">
        <f>IF(F552="","",IFERROR(INDEX(Roster!$A$2:$A$600,MATCH(F552,Roster!$E$2:$E$600,0)),""))</f>
        <v/>
      </c>
      <c r="I552" s="10">
        <f>IF(AND(D552="",C552="",F552=""),"",IF(G552&lt;&gt;"","Void",IF(F552="","Needs child",IF(H552="","Child not found",IF(OR(B552="",NOT(ISNUMBER(C552))),"Needs month/pages","OK")))))</f>
        <v/>
      </c>
      <c r="J552" s="10">
        <f>IF(I552="","",IF(I552="OK",IF(COUNTIFS(H553:H$3001,H552,B553:B$3001,B552,G553:G$3001,"")=0,C552,0),0))</f>
        <v/>
      </c>
    </row>
    <row r="553">
      <c r="A553" s="6" t="n"/>
      <c r="B553" s="9" t="n"/>
      <c r="C553" s="6" t="n"/>
      <c r="D553" s="6" t="n"/>
      <c r="E553" s="6" t="n"/>
      <c r="F553" s="6" t="n"/>
      <c r="G553" s="6" t="n"/>
      <c r="H553" s="10">
        <f>IF(F553="","",IFERROR(INDEX(Roster!$A$2:$A$600,MATCH(F553,Roster!$E$2:$E$600,0)),""))</f>
        <v/>
      </c>
      <c r="I553" s="10">
        <f>IF(AND(D553="",C553="",F553=""),"",IF(G553&lt;&gt;"","Void",IF(F553="","Needs child",IF(H553="","Child not found",IF(OR(B553="",NOT(ISNUMBER(C553))),"Needs month/pages","OK")))))</f>
        <v/>
      </c>
      <c r="J553" s="10">
        <f>IF(I553="","",IF(I553="OK",IF(COUNTIFS(H554:H$3001,H553,B554:B$3001,B553,G554:G$3001,"")=0,C553,0),0))</f>
        <v/>
      </c>
    </row>
    <row r="554">
      <c r="A554" s="6" t="n"/>
      <c r="B554" s="9" t="n"/>
      <c r="C554" s="6" t="n"/>
      <c r="D554" s="6" t="n"/>
      <c r="E554" s="6" t="n"/>
      <c r="F554" s="6" t="n"/>
      <c r="G554" s="6" t="n"/>
      <c r="H554" s="10">
        <f>IF(F554="","",IFERROR(INDEX(Roster!$A$2:$A$600,MATCH(F554,Roster!$E$2:$E$600,0)),""))</f>
        <v/>
      </c>
      <c r="I554" s="10">
        <f>IF(AND(D554="",C554="",F554=""),"",IF(G554&lt;&gt;"","Void",IF(F554="","Needs child",IF(H554="","Child not found",IF(OR(B554="",NOT(ISNUMBER(C554))),"Needs month/pages","OK")))))</f>
        <v/>
      </c>
      <c r="J554" s="10">
        <f>IF(I554="","",IF(I554="OK",IF(COUNTIFS(H555:H$3001,H554,B555:B$3001,B554,G555:G$3001,"")=0,C554,0),0))</f>
        <v/>
      </c>
    </row>
    <row r="555">
      <c r="A555" s="6" t="n"/>
      <c r="B555" s="9" t="n"/>
      <c r="C555" s="6" t="n"/>
      <c r="D555" s="6" t="n"/>
      <c r="E555" s="6" t="n"/>
      <c r="F555" s="6" t="n"/>
      <c r="G555" s="6" t="n"/>
      <c r="H555" s="10">
        <f>IF(F555="","",IFERROR(INDEX(Roster!$A$2:$A$600,MATCH(F555,Roster!$E$2:$E$600,0)),""))</f>
        <v/>
      </c>
      <c r="I555" s="10">
        <f>IF(AND(D555="",C555="",F555=""),"",IF(G555&lt;&gt;"","Void",IF(F555="","Needs child",IF(H555="","Child not found",IF(OR(B555="",NOT(ISNUMBER(C555))),"Needs month/pages","OK")))))</f>
        <v/>
      </c>
      <c r="J555" s="10">
        <f>IF(I555="","",IF(I555="OK",IF(COUNTIFS(H556:H$3001,H555,B556:B$3001,B555,G556:G$3001,"")=0,C555,0),0))</f>
        <v/>
      </c>
    </row>
    <row r="556">
      <c r="A556" s="6" t="n"/>
      <c r="B556" s="9" t="n"/>
      <c r="C556" s="6" t="n"/>
      <c r="D556" s="6" t="n"/>
      <c r="E556" s="6" t="n"/>
      <c r="F556" s="6" t="n"/>
      <c r="G556" s="6" t="n"/>
      <c r="H556" s="10">
        <f>IF(F556="","",IFERROR(INDEX(Roster!$A$2:$A$600,MATCH(F556,Roster!$E$2:$E$600,0)),""))</f>
        <v/>
      </c>
      <c r="I556" s="10">
        <f>IF(AND(D556="",C556="",F556=""),"",IF(G556&lt;&gt;"","Void",IF(F556="","Needs child",IF(H556="","Child not found",IF(OR(B556="",NOT(ISNUMBER(C556))),"Needs month/pages","OK")))))</f>
        <v/>
      </c>
      <c r="J556" s="10">
        <f>IF(I556="","",IF(I556="OK",IF(COUNTIFS(H557:H$3001,H556,B557:B$3001,B556,G557:G$3001,"")=0,C556,0),0))</f>
        <v/>
      </c>
    </row>
    <row r="557">
      <c r="A557" s="6" t="n"/>
      <c r="B557" s="9" t="n"/>
      <c r="C557" s="6" t="n"/>
      <c r="D557" s="6" t="n"/>
      <c r="E557" s="6" t="n"/>
      <c r="F557" s="6" t="n"/>
      <c r="G557" s="6" t="n"/>
      <c r="H557" s="10">
        <f>IF(F557="","",IFERROR(INDEX(Roster!$A$2:$A$600,MATCH(F557,Roster!$E$2:$E$600,0)),""))</f>
        <v/>
      </c>
      <c r="I557" s="10">
        <f>IF(AND(D557="",C557="",F557=""),"",IF(G557&lt;&gt;"","Void",IF(F557="","Needs child",IF(H557="","Child not found",IF(OR(B557="",NOT(ISNUMBER(C557))),"Needs month/pages","OK")))))</f>
        <v/>
      </c>
      <c r="J557" s="10">
        <f>IF(I557="","",IF(I557="OK",IF(COUNTIFS(H558:H$3001,H557,B558:B$3001,B557,G558:G$3001,"")=0,C557,0),0))</f>
        <v/>
      </c>
    </row>
    <row r="558">
      <c r="A558" s="6" t="n"/>
      <c r="B558" s="9" t="n"/>
      <c r="C558" s="6" t="n"/>
      <c r="D558" s="6" t="n"/>
      <c r="E558" s="6" t="n"/>
      <c r="F558" s="6" t="n"/>
      <c r="G558" s="6" t="n"/>
      <c r="H558" s="10">
        <f>IF(F558="","",IFERROR(INDEX(Roster!$A$2:$A$600,MATCH(F558,Roster!$E$2:$E$600,0)),""))</f>
        <v/>
      </c>
      <c r="I558" s="10">
        <f>IF(AND(D558="",C558="",F558=""),"",IF(G558&lt;&gt;"","Void",IF(F558="","Needs child",IF(H558="","Child not found",IF(OR(B558="",NOT(ISNUMBER(C558))),"Needs month/pages","OK")))))</f>
        <v/>
      </c>
      <c r="J558" s="10">
        <f>IF(I558="","",IF(I558="OK",IF(COUNTIFS(H559:H$3001,H558,B559:B$3001,B558,G559:G$3001,"")=0,C558,0),0))</f>
        <v/>
      </c>
    </row>
    <row r="559">
      <c r="A559" s="6" t="n"/>
      <c r="B559" s="9" t="n"/>
      <c r="C559" s="6" t="n"/>
      <c r="D559" s="6" t="n"/>
      <c r="E559" s="6" t="n"/>
      <c r="F559" s="6" t="n"/>
      <c r="G559" s="6" t="n"/>
      <c r="H559" s="10">
        <f>IF(F559="","",IFERROR(INDEX(Roster!$A$2:$A$600,MATCH(F559,Roster!$E$2:$E$600,0)),""))</f>
        <v/>
      </c>
      <c r="I559" s="10">
        <f>IF(AND(D559="",C559="",F559=""),"",IF(G559&lt;&gt;"","Void",IF(F559="","Needs child",IF(H559="","Child not found",IF(OR(B559="",NOT(ISNUMBER(C559))),"Needs month/pages","OK")))))</f>
        <v/>
      </c>
      <c r="J559" s="10">
        <f>IF(I559="","",IF(I559="OK",IF(COUNTIFS(H560:H$3001,H559,B560:B$3001,B559,G560:G$3001,"")=0,C559,0),0))</f>
        <v/>
      </c>
    </row>
    <row r="560">
      <c r="A560" s="6" t="n"/>
      <c r="B560" s="9" t="n"/>
      <c r="C560" s="6" t="n"/>
      <c r="D560" s="6" t="n"/>
      <c r="E560" s="6" t="n"/>
      <c r="F560" s="6" t="n"/>
      <c r="G560" s="6" t="n"/>
      <c r="H560" s="10">
        <f>IF(F560="","",IFERROR(INDEX(Roster!$A$2:$A$600,MATCH(F560,Roster!$E$2:$E$600,0)),""))</f>
        <v/>
      </c>
      <c r="I560" s="10">
        <f>IF(AND(D560="",C560="",F560=""),"",IF(G560&lt;&gt;"","Void",IF(F560="","Needs child",IF(H560="","Child not found",IF(OR(B560="",NOT(ISNUMBER(C560))),"Needs month/pages","OK")))))</f>
        <v/>
      </c>
      <c r="J560" s="10">
        <f>IF(I560="","",IF(I560="OK",IF(COUNTIFS(H561:H$3001,H560,B561:B$3001,B560,G561:G$3001,"")=0,C560,0),0))</f>
        <v/>
      </c>
    </row>
    <row r="561">
      <c r="A561" s="6" t="n"/>
      <c r="B561" s="9" t="n"/>
      <c r="C561" s="6" t="n"/>
      <c r="D561" s="6" t="n"/>
      <c r="E561" s="6" t="n"/>
      <c r="F561" s="6" t="n"/>
      <c r="G561" s="6" t="n"/>
      <c r="H561" s="10">
        <f>IF(F561="","",IFERROR(INDEX(Roster!$A$2:$A$600,MATCH(F561,Roster!$E$2:$E$600,0)),""))</f>
        <v/>
      </c>
      <c r="I561" s="10">
        <f>IF(AND(D561="",C561="",F561=""),"",IF(G561&lt;&gt;"","Void",IF(F561="","Needs child",IF(H561="","Child not found",IF(OR(B561="",NOT(ISNUMBER(C561))),"Needs month/pages","OK")))))</f>
        <v/>
      </c>
      <c r="J561" s="10">
        <f>IF(I561="","",IF(I561="OK",IF(COUNTIFS(H562:H$3001,H561,B562:B$3001,B561,G562:G$3001,"")=0,C561,0),0))</f>
        <v/>
      </c>
    </row>
    <row r="562">
      <c r="A562" s="6" t="n"/>
      <c r="B562" s="9" t="n"/>
      <c r="C562" s="6" t="n"/>
      <c r="D562" s="6" t="n"/>
      <c r="E562" s="6" t="n"/>
      <c r="F562" s="6" t="n"/>
      <c r="G562" s="6" t="n"/>
      <c r="H562" s="10">
        <f>IF(F562="","",IFERROR(INDEX(Roster!$A$2:$A$600,MATCH(F562,Roster!$E$2:$E$600,0)),""))</f>
        <v/>
      </c>
      <c r="I562" s="10">
        <f>IF(AND(D562="",C562="",F562=""),"",IF(G562&lt;&gt;"","Void",IF(F562="","Needs child",IF(H562="","Child not found",IF(OR(B562="",NOT(ISNUMBER(C562))),"Needs month/pages","OK")))))</f>
        <v/>
      </c>
      <c r="J562" s="10">
        <f>IF(I562="","",IF(I562="OK",IF(COUNTIFS(H563:H$3001,H562,B563:B$3001,B562,G563:G$3001,"")=0,C562,0),0))</f>
        <v/>
      </c>
    </row>
    <row r="563">
      <c r="A563" s="6" t="n"/>
      <c r="B563" s="9" t="n"/>
      <c r="C563" s="6" t="n"/>
      <c r="D563" s="6" t="n"/>
      <c r="E563" s="6" t="n"/>
      <c r="F563" s="6" t="n"/>
      <c r="G563" s="6" t="n"/>
      <c r="H563" s="10">
        <f>IF(F563="","",IFERROR(INDEX(Roster!$A$2:$A$600,MATCH(F563,Roster!$E$2:$E$600,0)),""))</f>
        <v/>
      </c>
      <c r="I563" s="10">
        <f>IF(AND(D563="",C563="",F563=""),"",IF(G563&lt;&gt;"","Void",IF(F563="","Needs child",IF(H563="","Child not found",IF(OR(B563="",NOT(ISNUMBER(C563))),"Needs month/pages","OK")))))</f>
        <v/>
      </c>
      <c r="J563" s="10">
        <f>IF(I563="","",IF(I563="OK",IF(COUNTIFS(H564:H$3001,H563,B564:B$3001,B563,G564:G$3001,"")=0,C563,0),0))</f>
        <v/>
      </c>
    </row>
    <row r="564">
      <c r="A564" s="6" t="n"/>
      <c r="B564" s="9" t="n"/>
      <c r="C564" s="6" t="n"/>
      <c r="D564" s="6" t="n"/>
      <c r="E564" s="6" t="n"/>
      <c r="F564" s="6" t="n"/>
      <c r="G564" s="6" t="n"/>
      <c r="H564" s="10">
        <f>IF(F564="","",IFERROR(INDEX(Roster!$A$2:$A$600,MATCH(F564,Roster!$E$2:$E$600,0)),""))</f>
        <v/>
      </c>
      <c r="I564" s="10">
        <f>IF(AND(D564="",C564="",F564=""),"",IF(G564&lt;&gt;"","Void",IF(F564="","Needs child",IF(H564="","Child not found",IF(OR(B564="",NOT(ISNUMBER(C564))),"Needs month/pages","OK")))))</f>
        <v/>
      </c>
      <c r="J564" s="10">
        <f>IF(I564="","",IF(I564="OK",IF(COUNTIFS(H565:H$3001,H564,B565:B$3001,B564,G565:G$3001,"")=0,C564,0),0))</f>
        <v/>
      </c>
    </row>
    <row r="565">
      <c r="A565" s="6" t="n"/>
      <c r="B565" s="9" t="n"/>
      <c r="C565" s="6" t="n"/>
      <c r="D565" s="6" t="n"/>
      <c r="E565" s="6" t="n"/>
      <c r="F565" s="6" t="n"/>
      <c r="G565" s="6" t="n"/>
      <c r="H565" s="10">
        <f>IF(F565="","",IFERROR(INDEX(Roster!$A$2:$A$600,MATCH(F565,Roster!$E$2:$E$600,0)),""))</f>
        <v/>
      </c>
      <c r="I565" s="10">
        <f>IF(AND(D565="",C565="",F565=""),"",IF(G565&lt;&gt;"","Void",IF(F565="","Needs child",IF(H565="","Child not found",IF(OR(B565="",NOT(ISNUMBER(C565))),"Needs month/pages","OK")))))</f>
        <v/>
      </c>
      <c r="J565" s="10">
        <f>IF(I565="","",IF(I565="OK",IF(COUNTIFS(H566:H$3001,H565,B566:B$3001,B565,G566:G$3001,"")=0,C565,0),0))</f>
        <v/>
      </c>
    </row>
    <row r="566">
      <c r="A566" s="6" t="n"/>
      <c r="B566" s="9" t="n"/>
      <c r="C566" s="6" t="n"/>
      <c r="D566" s="6" t="n"/>
      <c r="E566" s="6" t="n"/>
      <c r="F566" s="6" t="n"/>
      <c r="G566" s="6" t="n"/>
      <c r="H566" s="10">
        <f>IF(F566="","",IFERROR(INDEX(Roster!$A$2:$A$600,MATCH(F566,Roster!$E$2:$E$600,0)),""))</f>
        <v/>
      </c>
      <c r="I566" s="10">
        <f>IF(AND(D566="",C566="",F566=""),"",IF(G566&lt;&gt;"","Void",IF(F566="","Needs child",IF(H566="","Child not found",IF(OR(B566="",NOT(ISNUMBER(C566))),"Needs month/pages","OK")))))</f>
        <v/>
      </c>
      <c r="J566" s="10">
        <f>IF(I566="","",IF(I566="OK",IF(COUNTIFS(H567:H$3001,H566,B567:B$3001,B566,G567:G$3001,"")=0,C566,0),0))</f>
        <v/>
      </c>
    </row>
    <row r="567">
      <c r="A567" s="6" t="n"/>
      <c r="B567" s="9" t="n"/>
      <c r="C567" s="6" t="n"/>
      <c r="D567" s="6" t="n"/>
      <c r="E567" s="6" t="n"/>
      <c r="F567" s="6" t="n"/>
      <c r="G567" s="6" t="n"/>
      <c r="H567" s="10">
        <f>IF(F567="","",IFERROR(INDEX(Roster!$A$2:$A$600,MATCH(F567,Roster!$E$2:$E$600,0)),""))</f>
        <v/>
      </c>
      <c r="I567" s="10">
        <f>IF(AND(D567="",C567="",F567=""),"",IF(G567&lt;&gt;"","Void",IF(F567="","Needs child",IF(H567="","Child not found",IF(OR(B567="",NOT(ISNUMBER(C567))),"Needs month/pages","OK")))))</f>
        <v/>
      </c>
      <c r="J567" s="10">
        <f>IF(I567="","",IF(I567="OK",IF(COUNTIFS(H568:H$3001,H567,B568:B$3001,B567,G568:G$3001,"")=0,C567,0),0))</f>
        <v/>
      </c>
    </row>
    <row r="568">
      <c r="A568" s="6" t="n"/>
      <c r="B568" s="9" t="n"/>
      <c r="C568" s="6" t="n"/>
      <c r="D568" s="6" t="n"/>
      <c r="E568" s="6" t="n"/>
      <c r="F568" s="6" t="n"/>
      <c r="G568" s="6" t="n"/>
      <c r="H568" s="10">
        <f>IF(F568="","",IFERROR(INDEX(Roster!$A$2:$A$600,MATCH(F568,Roster!$E$2:$E$600,0)),""))</f>
        <v/>
      </c>
      <c r="I568" s="10">
        <f>IF(AND(D568="",C568="",F568=""),"",IF(G568&lt;&gt;"","Void",IF(F568="","Needs child",IF(H568="","Child not found",IF(OR(B568="",NOT(ISNUMBER(C568))),"Needs month/pages","OK")))))</f>
        <v/>
      </c>
      <c r="J568" s="10">
        <f>IF(I568="","",IF(I568="OK",IF(COUNTIFS(H569:H$3001,H568,B569:B$3001,B568,G569:G$3001,"")=0,C568,0),0))</f>
        <v/>
      </c>
    </row>
    <row r="569">
      <c r="A569" s="6" t="n"/>
      <c r="B569" s="9" t="n"/>
      <c r="C569" s="6" t="n"/>
      <c r="D569" s="6" t="n"/>
      <c r="E569" s="6" t="n"/>
      <c r="F569" s="6" t="n"/>
      <c r="G569" s="6" t="n"/>
      <c r="H569" s="10">
        <f>IF(F569="","",IFERROR(INDEX(Roster!$A$2:$A$600,MATCH(F569,Roster!$E$2:$E$600,0)),""))</f>
        <v/>
      </c>
      <c r="I569" s="10">
        <f>IF(AND(D569="",C569="",F569=""),"",IF(G569&lt;&gt;"","Void",IF(F569="","Needs child",IF(H569="","Child not found",IF(OR(B569="",NOT(ISNUMBER(C569))),"Needs month/pages","OK")))))</f>
        <v/>
      </c>
      <c r="J569" s="10">
        <f>IF(I569="","",IF(I569="OK",IF(COUNTIFS(H570:H$3001,H569,B570:B$3001,B569,G570:G$3001,"")=0,C569,0),0))</f>
        <v/>
      </c>
    </row>
    <row r="570">
      <c r="A570" s="6" t="n"/>
      <c r="B570" s="9" t="n"/>
      <c r="C570" s="6" t="n"/>
      <c r="D570" s="6" t="n"/>
      <c r="E570" s="6" t="n"/>
      <c r="F570" s="6" t="n"/>
      <c r="G570" s="6" t="n"/>
      <c r="H570" s="10">
        <f>IF(F570="","",IFERROR(INDEX(Roster!$A$2:$A$600,MATCH(F570,Roster!$E$2:$E$600,0)),""))</f>
        <v/>
      </c>
      <c r="I570" s="10">
        <f>IF(AND(D570="",C570="",F570=""),"",IF(G570&lt;&gt;"","Void",IF(F570="","Needs child",IF(H570="","Child not found",IF(OR(B570="",NOT(ISNUMBER(C570))),"Needs month/pages","OK")))))</f>
        <v/>
      </c>
      <c r="J570" s="10">
        <f>IF(I570="","",IF(I570="OK",IF(COUNTIFS(H571:H$3001,H570,B571:B$3001,B570,G571:G$3001,"")=0,C570,0),0))</f>
        <v/>
      </c>
    </row>
    <row r="571">
      <c r="A571" s="6" t="n"/>
      <c r="B571" s="9" t="n"/>
      <c r="C571" s="6" t="n"/>
      <c r="D571" s="6" t="n"/>
      <c r="E571" s="6" t="n"/>
      <c r="F571" s="6" t="n"/>
      <c r="G571" s="6" t="n"/>
      <c r="H571" s="10">
        <f>IF(F571="","",IFERROR(INDEX(Roster!$A$2:$A$600,MATCH(F571,Roster!$E$2:$E$600,0)),""))</f>
        <v/>
      </c>
      <c r="I571" s="10">
        <f>IF(AND(D571="",C571="",F571=""),"",IF(G571&lt;&gt;"","Void",IF(F571="","Needs child",IF(H571="","Child not found",IF(OR(B571="",NOT(ISNUMBER(C571))),"Needs month/pages","OK")))))</f>
        <v/>
      </c>
      <c r="J571" s="10">
        <f>IF(I571="","",IF(I571="OK",IF(COUNTIFS(H572:H$3001,H571,B572:B$3001,B571,G572:G$3001,"")=0,C571,0),0))</f>
        <v/>
      </c>
    </row>
    <row r="572">
      <c r="A572" s="6" t="n"/>
      <c r="B572" s="9" t="n"/>
      <c r="C572" s="6" t="n"/>
      <c r="D572" s="6" t="n"/>
      <c r="E572" s="6" t="n"/>
      <c r="F572" s="6" t="n"/>
      <c r="G572" s="6" t="n"/>
      <c r="H572" s="10">
        <f>IF(F572="","",IFERROR(INDEX(Roster!$A$2:$A$600,MATCH(F572,Roster!$E$2:$E$600,0)),""))</f>
        <v/>
      </c>
      <c r="I572" s="10">
        <f>IF(AND(D572="",C572="",F572=""),"",IF(G572&lt;&gt;"","Void",IF(F572="","Needs child",IF(H572="","Child not found",IF(OR(B572="",NOT(ISNUMBER(C572))),"Needs month/pages","OK")))))</f>
        <v/>
      </c>
      <c r="J572" s="10">
        <f>IF(I572="","",IF(I572="OK",IF(COUNTIFS(H573:H$3001,H572,B573:B$3001,B572,G573:G$3001,"")=0,C572,0),0))</f>
        <v/>
      </c>
    </row>
    <row r="573">
      <c r="A573" s="6" t="n"/>
      <c r="B573" s="9" t="n"/>
      <c r="C573" s="6" t="n"/>
      <c r="D573" s="6" t="n"/>
      <c r="E573" s="6" t="n"/>
      <c r="F573" s="6" t="n"/>
      <c r="G573" s="6" t="n"/>
      <c r="H573" s="10">
        <f>IF(F573="","",IFERROR(INDEX(Roster!$A$2:$A$600,MATCH(F573,Roster!$E$2:$E$600,0)),""))</f>
        <v/>
      </c>
      <c r="I573" s="10">
        <f>IF(AND(D573="",C573="",F573=""),"",IF(G573&lt;&gt;"","Void",IF(F573="","Needs child",IF(H573="","Child not found",IF(OR(B573="",NOT(ISNUMBER(C573))),"Needs month/pages","OK")))))</f>
        <v/>
      </c>
      <c r="J573" s="10">
        <f>IF(I573="","",IF(I573="OK",IF(COUNTIFS(H574:H$3001,H573,B574:B$3001,B573,G574:G$3001,"")=0,C573,0),0))</f>
        <v/>
      </c>
    </row>
    <row r="574">
      <c r="A574" s="6" t="n"/>
      <c r="B574" s="9" t="n"/>
      <c r="C574" s="6" t="n"/>
      <c r="D574" s="6" t="n"/>
      <c r="E574" s="6" t="n"/>
      <c r="F574" s="6" t="n"/>
      <c r="G574" s="6" t="n"/>
      <c r="H574" s="10">
        <f>IF(F574="","",IFERROR(INDEX(Roster!$A$2:$A$600,MATCH(F574,Roster!$E$2:$E$600,0)),""))</f>
        <v/>
      </c>
      <c r="I574" s="10">
        <f>IF(AND(D574="",C574="",F574=""),"",IF(G574&lt;&gt;"","Void",IF(F574="","Needs child",IF(H574="","Child not found",IF(OR(B574="",NOT(ISNUMBER(C574))),"Needs month/pages","OK")))))</f>
        <v/>
      </c>
      <c r="J574" s="10">
        <f>IF(I574="","",IF(I574="OK",IF(COUNTIFS(H575:H$3001,H574,B575:B$3001,B574,G575:G$3001,"")=0,C574,0),0))</f>
        <v/>
      </c>
    </row>
    <row r="575">
      <c r="A575" s="6" t="n"/>
      <c r="B575" s="9" t="n"/>
      <c r="C575" s="6" t="n"/>
      <c r="D575" s="6" t="n"/>
      <c r="E575" s="6" t="n"/>
      <c r="F575" s="6" t="n"/>
      <c r="G575" s="6" t="n"/>
      <c r="H575" s="10">
        <f>IF(F575="","",IFERROR(INDEX(Roster!$A$2:$A$600,MATCH(F575,Roster!$E$2:$E$600,0)),""))</f>
        <v/>
      </c>
      <c r="I575" s="10">
        <f>IF(AND(D575="",C575="",F575=""),"",IF(G575&lt;&gt;"","Void",IF(F575="","Needs child",IF(H575="","Child not found",IF(OR(B575="",NOT(ISNUMBER(C575))),"Needs month/pages","OK")))))</f>
        <v/>
      </c>
      <c r="J575" s="10">
        <f>IF(I575="","",IF(I575="OK",IF(COUNTIFS(H576:H$3001,H575,B576:B$3001,B575,G576:G$3001,"")=0,C575,0),0))</f>
        <v/>
      </c>
    </row>
    <row r="576">
      <c r="A576" s="6" t="n"/>
      <c r="B576" s="9" t="n"/>
      <c r="C576" s="6" t="n"/>
      <c r="D576" s="6" t="n"/>
      <c r="E576" s="6" t="n"/>
      <c r="F576" s="6" t="n"/>
      <c r="G576" s="6" t="n"/>
      <c r="H576" s="10">
        <f>IF(F576="","",IFERROR(INDEX(Roster!$A$2:$A$600,MATCH(F576,Roster!$E$2:$E$600,0)),""))</f>
        <v/>
      </c>
      <c r="I576" s="10">
        <f>IF(AND(D576="",C576="",F576=""),"",IF(G576&lt;&gt;"","Void",IF(F576="","Needs child",IF(H576="","Child not found",IF(OR(B576="",NOT(ISNUMBER(C576))),"Needs month/pages","OK")))))</f>
        <v/>
      </c>
      <c r="J576" s="10">
        <f>IF(I576="","",IF(I576="OK",IF(COUNTIFS(H577:H$3001,H576,B577:B$3001,B576,G577:G$3001,"")=0,C576,0),0))</f>
        <v/>
      </c>
    </row>
    <row r="577">
      <c r="A577" s="6" t="n"/>
      <c r="B577" s="9" t="n"/>
      <c r="C577" s="6" t="n"/>
      <c r="D577" s="6" t="n"/>
      <c r="E577" s="6" t="n"/>
      <c r="F577" s="6" t="n"/>
      <c r="G577" s="6" t="n"/>
      <c r="H577" s="10">
        <f>IF(F577="","",IFERROR(INDEX(Roster!$A$2:$A$600,MATCH(F577,Roster!$E$2:$E$600,0)),""))</f>
        <v/>
      </c>
      <c r="I577" s="10">
        <f>IF(AND(D577="",C577="",F577=""),"",IF(G577&lt;&gt;"","Void",IF(F577="","Needs child",IF(H577="","Child not found",IF(OR(B577="",NOT(ISNUMBER(C577))),"Needs month/pages","OK")))))</f>
        <v/>
      </c>
      <c r="J577" s="10">
        <f>IF(I577="","",IF(I577="OK",IF(COUNTIFS(H578:H$3001,H577,B578:B$3001,B577,G578:G$3001,"")=0,C577,0),0))</f>
        <v/>
      </c>
    </row>
    <row r="578">
      <c r="A578" s="6" t="n"/>
      <c r="B578" s="9" t="n"/>
      <c r="C578" s="6" t="n"/>
      <c r="D578" s="6" t="n"/>
      <c r="E578" s="6" t="n"/>
      <c r="F578" s="6" t="n"/>
      <c r="G578" s="6" t="n"/>
      <c r="H578" s="10">
        <f>IF(F578="","",IFERROR(INDEX(Roster!$A$2:$A$600,MATCH(F578,Roster!$E$2:$E$600,0)),""))</f>
        <v/>
      </c>
      <c r="I578" s="10">
        <f>IF(AND(D578="",C578="",F578=""),"",IF(G578&lt;&gt;"","Void",IF(F578="","Needs child",IF(H578="","Child not found",IF(OR(B578="",NOT(ISNUMBER(C578))),"Needs month/pages","OK")))))</f>
        <v/>
      </c>
      <c r="J578" s="10">
        <f>IF(I578="","",IF(I578="OK",IF(COUNTIFS(H579:H$3001,H578,B579:B$3001,B578,G579:G$3001,"")=0,C578,0),0))</f>
        <v/>
      </c>
    </row>
    <row r="579">
      <c r="A579" s="6" t="n"/>
      <c r="B579" s="9" t="n"/>
      <c r="C579" s="6" t="n"/>
      <c r="D579" s="6" t="n"/>
      <c r="E579" s="6" t="n"/>
      <c r="F579" s="6" t="n"/>
      <c r="G579" s="6" t="n"/>
      <c r="H579" s="10">
        <f>IF(F579="","",IFERROR(INDEX(Roster!$A$2:$A$600,MATCH(F579,Roster!$E$2:$E$600,0)),""))</f>
        <v/>
      </c>
      <c r="I579" s="10">
        <f>IF(AND(D579="",C579="",F579=""),"",IF(G579&lt;&gt;"","Void",IF(F579="","Needs child",IF(H579="","Child not found",IF(OR(B579="",NOT(ISNUMBER(C579))),"Needs month/pages","OK")))))</f>
        <v/>
      </c>
      <c r="J579" s="10">
        <f>IF(I579="","",IF(I579="OK",IF(COUNTIFS(H580:H$3001,H579,B580:B$3001,B579,G580:G$3001,"")=0,C579,0),0))</f>
        <v/>
      </c>
    </row>
    <row r="580">
      <c r="A580" s="6" t="n"/>
      <c r="B580" s="9" t="n"/>
      <c r="C580" s="6" t="n"/>
      <c r="D580" s="6" t="n"/>
      <c r="E580" s="6" t="n"/>
      <c r="F580" s="6" t="n"/>
      <c r="G580" s="6" t="n"/>
      <c r="H580" s="10">
        <f>IF(F580="","",IFERROR(INDEX(Roster!$A$2:$A$600,MATCH(F580,Roster!$E$2:$E$600,0)),""))</f>
        <v/>
      </c>
      <c r="I580" s="10">
        <f>IF(AND(D580="",C580="",F580=""),"",IF(G580&lt;&gt;"","Void",IF(F580="","Needs child",IF(H580="","Child not found",IF(OR(B580="",NOT(ISNUMBER(C580))),"Needs month/pages","OK")))))</f>
        <v/>
      </c>
      <c r="J580" s="10">
        <f>IF(I580="","",IF(I580="OK",IF(COUNTIFS(H581:H$3001,H580,B581:B$3001,B580,G581:G$3001,"")=0,C580,0),0))</f>
        <v/>
      </c>
    </row>
    <row r="581">
      <c r="A581" s="6" t="n"/>
      <c r="B581" s="9" t="n"/>
      <c r="C581" s="6" t="n"/>
      <c r="D581" s="6" t="n"/>
      <c r="E581" s="6" t="n"/>
      <c r="F581" s="6" t="n"/>
      <c r="G581" s="6" t="n"/>
      <c r="H581" s="10">
        <f>IF(F581="","",IFERROR(INDEX(Roster!$A$2:$A$600,MATCH(F581,Roster!$E$2:$E$600,0)),""))</f>
        <v/>
      </c>
      <c r="I581" s="10">
        <f>IF(AND(D581="",C581="",F581=""),"",IF(G581&lt;&gt;"","Void",IF(F581="","Needs child",IF(H581="","Child not found",IF(OR(B581="",NOT(ISNUMBER(C581))),"Needs month/pages","OK")))))</f>
        <v/>
      </c>
      <c r="J581" s="10">
        <f>IF(I581="","",IF(I581="OK",IF(COUNTIFS(H582:H$3001,H581,B582:B$3001,B581,G582:G$3001,"")=0,C581,0),0))</f>
        <v/>
      </c>
    </row>
    <row r="582">
      <c r="A582" s="6" t="n"/>
      <c r="B582" s="9" t="n"/>
      <c r="C582" s="6" t="n"/>
      <c r="D582" s="6" t="n"/>
      <c r="E582" s="6" t="n"/>
      <c r="F582" s="6" t="n"/>
      <c r="G582" s="6" t="n"/>
      <c r="H582" s="10">
        <f>IF(F582="","",IFERROR(INDEX(Roster!$A$2:$A$600,MATCH(F582,Roster!$E$2:$E$600,0)),""))</f>
        <v/>
      </c>
      <c r="I582" s="10">
        <f>IF(AND(D582="",C582="",F582=""),"",IF(G582&lt;&gt;"","Void",IF(F582="","Needs child",IF(H582="","Child not found",IF(OR(B582="",NOT(ISNUMBER(C582))),"Needs month/pages","OK")))))</f>
        <v/>
      </c>
      <c r="J582" s="10">
        <f>IF(I582="","",IF(I582="OK",IF(COUNTIFS(H583:H$3001,H582,B583:B$3001,B582,G583:G$3001,"")=0,C582,0),0))</f>
        <v/>
      </c>
    </row>
    <row r="583">
      <c r="A583" s="6" t="n"/>
      <c r="B583" s="9" t="n"/>
      <c r="C583" s="6" t="n"/>
      <c r="D583" s="6" t="n"/>
      <c r="E583" s="6" t="n"/>
      <c r="F583" s="6" t="n"/>
      <c r="G583" s="6" t="n"/>
      <c r="H583" s="10">
        <f>IF(F583="","",IFERROR(INDEX(Roster!$A$2:$A$600,MATCH(F583,Roster!$E$2:$E$600,0)),""))</f>
        <v/>
      </c>
      <c r="I583" s="10">
        <f>IF(AND(D583="",C583="",F583=""),"",IF(G583&lt;&gt;"","Void",IF(F583="","Needs child",IF(H583="","Child not found",IF(OR(B583="",NOT(ISNUMBER(C583))),"Needs month/pages","OK")))))</f>
        <v/>
      </c>
      <c r="J583" s="10">
        <f>IF(I583="","",IF(I583="OK",IF(COUNTIFS(H584:H$3001,H583,B584:B$3001,B583,G584:G$3001,"")=0,C583,0),0))</f>
        <v/>
      </c>
    </row>
    <row r="584">
      <c r="A584" s="6" t="n"/>
      <c r="B584" s="9" t="n"/>
      <c r="C584" s="6" t="n"/>
      <c r="D584" s="6" t="n"/>
      <c r="E584" s="6" t="n"/>
      <c r="F584" s="6" t="n"/>
      <c r="G584" s="6" t="n"/>
      <c r="H584" s="10">
        <f>IF(F584="","",IFERROR(INDEX(Roster!$A$2:$A$600,MATCH(F584,Roster!$E$2:$E$600,0)),""))</f>
        <v/>
      </c>
      <c r="I584" s="10">
        <f>IF(AND(D584="",C584="",F584=""),"",IF(G584&lt;&gt;"","Void",IF(F584="","Needs child",IF(H584="","Child not found",IF(OR(B584="",NOT(ISNUMBER(C584))),"Needs month/pages","OK")))))</f>
        <v/>
      </c>
      <c r="J584" s="10">
        <f>IF(I584="","",IF(I584="OK",IF(COUNTIFS(H585:H$3001,H584,B585:B$3001,B584,G585:G$3001,"")=0,C584,0),0))</f>
        <v/>
      </c>
    </row>
    <row r="585">
      <c r="A585" s="6" t="n"/>
      <c r="B585" s="9" t="n"/>
      <c r="C585" s="6" t="n"/>
      <c r="D585" s="6" t="n"/>
      <c r="E585" s="6" t="n"/>
      <c r="F585" s="6" t="n"/>
      <c r="G585" s="6" t="n"/>
      <c r="H585" s="10">
        <f>IF(F585="","",IFERROR(INDEX(Roster!$A$2:$A$600,MATCH(F585,Roster!$E$2:$E$600,0)),""))</f>
        <v/>
      </c>
      <c r="I585" s="10">
        <f>IF(AND(D585="",C585="",F585=""),"",IF(G585&lt;&gt;"","Void",IF(F585="","Needs child",IF(H585="","Child not found",IF(OR(B585="",NOT(ISNUMBER(C585))),"Needs month/pages","OK")))))</f>
        <v/>
      </c>
      <c r="J585" s="10">
        <f>IF(I585="","",IF(I585="OK",IF(COUNTIFS(H586:H$3001,H585,B586:B$3001,B585,G586:G$3001,"")=0,C585,0),0))</f>
        <v/>
      </c>
    </row>
    <row r="586">
      <c r="A586" s="6" t="n"/>
      <c r="B586" s="9" t="n"/>
      <c r="C586" s="6" t="n"/>
      <c r="D586" s="6" t="n"/>
      <c r="E586" s="6" t="n"/>
      <c r="F586" s="6" t="n"/>
      <c r="G586" s="6" t="n"/>
      <c r="H586" s="10">
        <f>IF(F586="","",IFERROR(INDEX(Roster!$A$2:$A$600,MATCH(F586,Roster!$E$2:$E$600,0)),""))</f>
        <v/>
      </c>
      <c r="I586" s="10">
        <f>IF(AND(D586="",C586="",F586=""),"",IF(G586&lt;&gt;"","Void",IF(F586="","Needs child",IF(H586="","Child not found",IF(OR(B586="",NOT(ISNUMBER(C586))),"Needs month/pages","OK")))))</f>
        <v/>
      </c>
      <c r="J586" s="10">
        <f>IF(I586="","",IF(I586="OK",IF(COUNTIFS(H587:H$3001,H586,B587:B$3001,B586,G587:G$3001,"")=0,C586,0),0))</f>
        <v/>
      </c>
    </row>
    <row r="587">
      <c r="A587" s="6" t="n"/>
      <c r="B587" s="9" t="n"/>
      <c r="C587" s="6" t="n"/>
      <c r="D587" s="6" t="n"/>
      <c r="E587" s="6" t="n"/>
      <c r="F587" s="6" t="n"/>
      <c r="G587" s="6" t="n"/>
      <c r="H587" s="10">
        <f>IF(F587="","",IFERROR(INDEX(Roster!$A$2:$A$600,MATCH(F587,Roster!$E$2:$E$600,0)),""))</f>
        <v/>
      </c>
      <c r="I587" s="10">
        <f>IF(AND(D587="",C587="",F587=""),"",IF(G587&lt;&gt;"","Void",IF(F587="","Needs child",IF(H587="","Child not found",IF(OR(B587="",NOT(ISNUMBER(C587))),"Needs month/pages","OK")))))</f>
        <v/>
      </c>
      <c r="J587" s="10">
        <f>IF(I587="","",IF(I587="OK",IF(COUNTIFS(H588:H$3001,H587,B588:B$3001,B587,G588:G$3001,"")=0,C587,0),0))</f>
        <v/>
      </c>
    </row>
    <row r="588">
      <c r="A588" s="6" t="n"/>
      <c r="B588" s="9" t="n"/>
      <c r="C588" s="6" t="n"/>
      <c r="D588" s="6" t="n"/>
      <c r="E588" s="6" t="n"/>
      <c r="F588" s="6" t="n"/>
      <c r="G588" s="6" t="n"/>
      <c r="H588" s="10">
        <f>IF(F588="","",IFERROR(INDEX(Roster!$A$2:$A$600,MATCH(F588,Roster!$E$2:$E$600,0)),""))</f>
        <v/>
      </c>
      <c r="I588" s="10">
        <f>IF(AND(D588="",C588="",F588=""),"",IF(G588&lt;&gt;"","Void",IF(F588="","Needs child",IF(H588="","Child not found",IF(OR(B588="",NOT(ISNUMBER(C588))),"Needs month/pages","OK")))))</f>
        <v/>
      </c>
      <c r="J588" s="10">
        <f>IF(I588="","",IF(I588="OK",IF(COUNTIFS(H589:H$3001,H588,B589:B$3001,B588,G589:G$3001,"")=0,C588,0),0))</f>
        <v/>
      </c>
    </row>
    <row r="589">
      <c r="A589" s="6" t="n"/>
      <c r="B589" s="9" t="n"/>
      <c r="C589" s="6" t="n"/>
      <c r="D589" s="6" t="n"/>
      <c r="E589" s="6" t="n"/>
      <c r="F589" s="6" t="n"/>
      <c r="G589" s="6" t="n"/>
      <c r="H589" s="10">
        <f>IF(F589="","",IFERROR(INDEX(Roster!$A$2:$A$600,MATCH(F589,Roster!$E$2:$E$600,0)),""))</f>
        <v/>
      </c>
      <c r="I589" s="10">
        <f>IF(AND(D589="",C589="",F589=""),"",IF(G589&lt;&gt;"","Void",IF(F589="","Needs child",IF(H589="","Child not found",IF(OR(B589="",NOT(ISNUMBER(C589))),"Needs month/pages","OK")))))</f>
        <v/>
      </c>
      <c r="J589" s="10">
        <f>IF(I589="","",IF(I589="OK",IF(COUNTIFS(H590:H$3001,H589,B590:B$3001,B589,G590:G$3001,"")=0,C589,0),0))</f>
        <v/>
      </c>
    </row>
    <row r="590">
      <c r="A590" s="6" t="n"/>
      <c r="B590" s="9" t="n"/>
      <c r="C590" s="6" t="n"/>
      <c r="D590" s="6" t="n"/>
      <c r="E590" s="6" t="n"/>
      <c r="F590" s="6" t="n"/>
      <c r="G590" s="6" t="n"/>
      <c r="H590" s="10">
        <f>IF(F590="","",IFERROR(INDEX(Roster!$A$2:$A$600,MATCH(F590,Roster!$E$2:$E$600,0)),""))</f>
        <v/>
      </c>
      <c r="I590" s="10">
        <f>IF(AND(D590="",C590="",F590=""),"",IF(G590&lt;&gt;"","Void",IF(F590="","Needs child",IF(H590="","Child not found",IF(OR(B590="",NOT(ISNUMBER(C590))),"Needs month/pages","OK")))))</f>
        <v/>
      </c>
      <c r="J590" s="10">
        <f>IF(I590="","",IF(I590="OK",IF(COUNTIFS(H591:H$3001,H590,B591:B$3001,B590,G591:G$3001,"")=0,C590,0),0))</f>
        <v/>
      </c>
    </row>
    <row r="591">
      <c r="A591" s="6" t="n"/>
      <c r="B591" s="9" t="n"/>
      <c r="C591" s="6" t="n"/>
      <c r="D591" s="6" t="n"/>
      <c r="E591" s="6" t="n"/>
      <c r="F591" s="6" t="n"/>
      <c r="G591" s="6" t="n"/>
      <c r="H591" s="10">
        <f>IF(F591="","",IFERROR(INDEX(Roster!$A$2:$A$600,MATCH(F591,Roster!$E$2:$E$600,0)),""))</f>
        <v/>
      </c>
      <c r="I591" s="10">
        <f>IF(AND(D591="",C591="",F591=""),"",IF(G591&lt;&gt;"","Void",IF(F591="","Needs child",IF(H591="","Child not found",IF(OR(B591="",NOT(ISNUMBER(C591))),"Needs month/pages","OK")))))</f>
        <v/>
      </c>
      <c r="J591" s="10">
        <f>IF(I591="","",IF(I591="OK",IF(COUNTIFS(H592:H$3001,H591,B592:B$3001,B591,G592:G$3001,"")=0,C591,0),0))</f>
        <v/>
      </c>
    </row>
    <row r="592">
      <c r="A592" s="6" t="n"/>
      <c r="B592" s="9" t="n"/>
      <c r="C592" s="6" t="n"/>
      <c r="D592" s="6" t="n"/>
      <c r="E592" s="6" t="n"/>
      <c r="F592" s="6" t="n"/>
      <c r="G592" s="6" t="n"/>
      <c r="H592" s="10">
        <f>IF(F592="","",IFERROR(INDEX(Roster!$A$2:$A$600,MATCH(F592,Roster!$E$2:$E$600,0)),""))</f>
        <v/>
      </c>
      <c r="I592" s="10">
        <f>IF(AND(D592="",C592="",F592=""),"",IF(G592&lt;&gt;"","Void",IF(F592="","Needs child",IF(H592="","Child not found",IF(OR(B592="",NOT(ISNUMBER(C592))),"Needs month/pages","OK")))))</f>
        <v/>
      </c>
      <c r="J592" s="10">
        <f>IF(I592="","",IF(I592="OK",IF(COUNTIFS(H593:H$3001,H592,B593:B$3001,B592,G593:G$3001,"")=0,C592,0),0))</f>
        <v/>
      </c>
    </row>
    <row r="593">
      <c r="A593" s="6" t="n"/>
      <c r="B593" s="9" t="n"/>
      <c r="C593" s="6" t="n"/>
      <c r="D593" s="6" t="n"/>
      <c r="E593" s="6" t="n"/>
      <c r="F593" s="6" t="n"/>
      <c r="G593" s="6" t="n"/>
      <c r="H593" s="10">
        <f>IF(F593="","",IFERROR(INDEX(Roster!$A$2:$A$600,MATCH(F593,Roster!$E$2:$E$600,0)),""))</f>
        <v/>
      </c>
      <c r="I593" s="10">
        <f>IF(AND(D593="",C593="",F593=""),"",IF(G593&lt;&gt;"","Void",IF(F593="","Needs child",IF(H593="","Child not found",IF(OR(B593="",NOT(ISNUMBER(C593))),"Needs month/pages","OK")))))</f>
        <v/>
      </c>
      <c r="J593" s="10">
        <f>IF(I593="","",IF(I593="OK",IF(COUNTIFS(H594:H$3001,H593,B594:B$3001,B593,G594:G$3001,"")=0,C593,0),0))</f>
        <v/>
      </c>
    </row>
    <row r="594">
      <c r="A594" s="6" t="n"/>
      <c r="B594" s="9" t="n"/>
      <c r="C594" s="6" t="n"/>
      <c r="D594" s="6" t="n"/>
      <c r="E594" s="6" t="n"/>
      <c r="F594" s="6" t="n"/>
      <c r="G594" s="6" t="n"/>
      <c r="H594" s="10">
        <f>IF(F594="","",IFERROR(INDEX(Roster!$A$2:$A$600,MATCH(F594,Roster!$E$2:$E$600,0)),""))</f>
        <v/>
      </c>
      <c r="I594" s="10">
        <f>IF(AND(D594="",C594="",F594=""),"",IF(G594&lt;&gt;"","Void",IF(F594="","Needs child",IF(H594="","Child not found",IF(OR(B594="",NOT(ISNUMBER(C594))),"Needs month/pages","OK")))))</f>
        <v/>
      </c>
      <c r="J594" s="10">
        <f>IF(I594="","",IF(I594="OK",IF(COUNTIFS(H595:H$3001,H594,B595:B$3001,B594,G595:G$3001,"")=0,C594,0),0))</f>
        <v/>
      </c>
    </row>
    <row r="595">
      <c r="A595" s="6" t="n"/>
      <c r="B595" s="9" t="n"/>
      <c r="C595" s="6" t="n"/>
      <c r="D595" s="6" t="n"/>
      <c r="E595" s="6" t="n"/>
      <c r="F595" s="6" t="n"/>
      <c r="G595" s="6" t="n"/>
      <c r="H595" s="10">
        <f>IF(F595="","",IFERROR(INDEX(Roster!$A$2:$A$600,MATCH(F595,Roster!$E$2:$E$600,0)),""))</f>
        <v/>
      </c>
      <c r="I595" s="10">
        <f>IF(AND(D595="",C595="",F595=""),"",IF(G595&lt;&gt;"","Void",IF(F595="","Needs child",IF(H595="","Child not found",IF(OR(B595="",NOT(ISNUMBER(C595))),"Needs month/pages","OK")))))</f>
        <v/>
      </c>
      <c r="J595" s="10">
        <f>IF(I595="","",IF(I595="OK",IF(COUNTIFS(H596:H$3001,H595,B596:B$3001,B595,G596:G$3001,"")=0,C595,0),0))</f>
        <v/>
      </c>
    </row>
    <row r="596">
      <c r="A596" s="6" t="n"/>
      <c r="B596" s="9" t="n"/>
      <c r="C596" s="6" t="n"/>
      <c r="D596" s="6" t="n"/>
      <c r="E596" s="6" t="n"/>
      <c r="F596" s="6" t="n"/>
      <c r="G596" s="6" t="n"/>
      <c r="H596" s="10">
        <f>IF(F596="","",IFERROR(INDEX(Roster!$A$2:$A$600,MATCH(F596,Roster!$E$2:$E$600,0)),""))</f>
        <v/>
      </c>
      <c r="I596" s="10">
        <f>IF(AND(D596="",C596="",F596=""),"",IF(G596&lt;&gt;"","Void",IF(F596="","Needs child",IF(H596="","Child not found",IF(OR(B596="",NOT(ISNUMBER(C596))),"Needs month/pages","OK")))))</f>
        <v/>
      </c>
      <c r="J596" s="10">
        <f>IF(I596="","",IF(I596="OK",IF(COUNTIFS(H597:H$3001,H596,B597:B$3001,B596,G597:G$3001,"")=0,C596,0),0))</f>
        <v/>
      </c>
    </row>
    <row r="597">
      <c r="A597" s="6" t="n"/>
      <c r="B597" s="9" t="n"/>
      <c r="C597" s="6" t="n"/>
      <c r="D597" s="6" t="n"/>
      <c r="E597" s="6" t="n"/>
      <c r="F597" s="6" t="n"/>
      <c r="G597" s="6" t="n"/>
      <c r="H597" s="10">
        <f>IF(F597="","",IFERROR(INDEX(Roster!$A$2:$A$600,MATCH(F597,Roster!$E$2:$E$600,0)),""))</f>
        <v/>
      </c>
      <c r="I597" s="10">
        <f>IF(AND(D597="",C597="",F597=""),"",IF(G597&lt;&gt;"","Void",IF(F597="","Needs child",IF(H597="","Child not found",IF(OR(B597="",NOT(ISNUMBER(C597))),"Needs month/pages","OK")))))</f>
        <v/>
      </c>
      <c r="J597" s="10">
        <f>IF(I597="","",IF(I597="OK",IF(COUNTIFS(H598:H$3001,H597,B598:B$3001,B597,G598:G$3001,"")=0,C597,0),0))</f>
        <v/>
      </c>
    </row>
    <row r="598">
      <c r="A598" s="6" t="n"/>
      <c r="B598" s="9" t="n"/>
      <c r="C598" s="6" t="n"/>
      <c r="D598" s="6" t="n"/>
      <c r="E598" s="6" t="n"/>
      <c r="F598" s="6" t="n"/>
      <c r="G598" s="6" t="n"/>
      <c r="H598" s="10">
        <f>IF(F598="","",IFERROR(INDEX(Roster!$A$2:$A$600,MATCH(F598,Roster!$E$2:$E$600,0)),""))</f>
        <v/>
      </c>
      <c r="I598" s="10">
        <f>IF(AND(D598="",C598="",F598=""),"",IF(G598&lt;&gt;"","Void",IF(F598="","Needs child",IF(H598="","Child not found",IF(OR(B598="",NOT(ISNUMBER(C598))),"Needs month/pages","OK")))))</f>
        <v/>
      </c>
      <c r="J598" s="10">
        <f>IF(I598="","",IF(I598="OK",IF(COUNTIFS(H599:H$3001,H598,B599:B$3001,B598,G599:G$3001,"")=0,C598,0),0))</f>
        <v/>
      </c>
    </row>
    <row r="599">
      <c r="A599" s="6" t="n"/>
      <c r="B599" s="9" t="n"/>
      <c r="C599" s="6" t="n"/>
      <c r="D599" s="6" t="n"/>
      <c r="E599" s="6" t="n"/>
      <c r="F599" s="6" t="n"/>
      <c r="G599" s="6" t="n"/>
      <c r="H599" s="10">
        <f>IF(F599="","",IFERROR(INDEX(Roster!$A$2:$A$600,MATCH(F599,Roster!$E$2:$E$600,0)),""))</f>
        <v/>
      </c>
      <c r="I599" s="10">
        <f>IF(AND(D599="",C599="",F599=""),"",IF(G599&lt;&gt;"","Void",IF(F599="","Needs child",IF(H599="","Child not found",IF(OR(B599="",NOT(ISNUMBER(C599))),"Needs month/pages","OK")))))</f>
        <v/>
      </c>
      <c r="J599" s="10">
        <f>IF(I599="","",IF(I599="OK",IF(COUNTIFS(H600:H$3001,H599,B600:B$3001,B599,G600:G$3001,"")=0,C599,0),0))</f>
        <v/>
      </c>
    </row>
    <row r="600">
      <c r="A600" s="6" t="n"/>
      <c r="B600" s="9" t="n"/>
      <c r="C600" s="6" t="n"/>
      <c r="D600" s="6" t="n"/>
      <c r="E600" s="6" t="n"/>
      <c r="F600" s="6" t="n"/>
      <c r="G600" s="6" t="n"/>
      <c r="H600" s="10">
        <f>IF(F600="","",IFERROR(INDEX(Roster!$A$2:$A$600,MATCH(F600,Roster!$E$2:$E$600,0)),""))</f>
        <v/>
      </c>
      <c r="I600" s="10">
        <f>IF(AND(D600="",C600="",F600=""),"",IF(G600&lt;&gt;"","Void",IF(F600="","Needs child",IF(H600="","Child not found",IF(OR(B600="",NOT(ISNUMBER(C600))),"Needs month/pages","OK")))))</f>
        <v/>
      </c>
      <c r="J600" s="10">
        <f>IF(I600="","",IF(I600="OK",IF(COUNTIFS(H601:H$3001,H600,B601:B$3001,B600,G601:G$3001,"")=0,C600,0),0))</f>
        <v/>
      </c>
    </row>
    <row r="601">
      <c r="A601" s="6" t="n"/>
      <c r="B601" s="9" t="n"/>
      <c r="C601" s="6" t="n"/>
      <c r="D601" s="6" t="n"/>
      <c r="E601" s="6" t="n"/>
      <c r="F601" s="6" t="n"/>
      <c r="G601" s="6" t="n"/>
      <c r="H601" s="10">
        <f>IF(F601="","",IFERROR(INDEX(Roster!$A$2:$A$600,MATCH(F601,Roster!$E$2:$E$600,0)),""))</f>
        <v/>
      </c>
      <c r="I601" s="10">
        <f>IF(AND(D601="",C601="",F601=""),"",IF(G601&lt;&gt;"","Void",IF(F601="","Needs child",IF(H601="","Child not found",IF(OR(B601="",NOT(ISNUMBER(C601))),"Needs month/pages","OK")))))</f>
        <v/>
      </c>
      <c r="J601" s="10">
        <f>IF(I601="","",IF(I601="OK",IF(COUNTIFS(H602:H$3001,H601,B602:B$3001,B601,G602:G$3001,"")=0,C601,0),0))</f>
        <v/>
      </c>
    </row>
    <row r="602">
      <c r="A602" s="6" t="n"/>
      <c r="B602" s="9" t="n"/>
      <c r="C602" s="6" t="n"/>
      <c r="D602" s="6" t="n"/>
      <c r="E602" s="6" t="n"/>
      <c r="F602" s="6" t="n"/>
      <c r="G602" s="6" t="n"/>
      <c r="H602" s="10">
        <f>IF(F602="","",IFERROR(INDEX(Roster!$A$2:$A$600,MATCH(F602,Roster!$E$2:$E$600,0)),""))</f>
        <v/>
      </c>
      <c r="I602" s="10">
        <f>IF(AND(D602="",C602="",F602=""),"",IF(G602&lt;&gt;"","Void",IF(F602="","Needs child",IF(H602="","Child not found",IF(OR(B602="",NOT(ISNUMBER(C602))),"Needs month/pages","OK")))))</f>
        <v/>
      </c>
      <c r="J602" s="10">
        <f>IF(I602="","",IF(I602="OK",IF(COUNTIFS(H603:H$3001,H602,B603:B$3001,B602,G603:G$3001,"")=0,C602,0),0))</f>
        <v/>
      </c>
    </row>
    <row r="603">
      <c r="A603" s="6" t="n"/>
      <c r="B603" s="9" t="n"/>
      <c r="C603" s="6" t="n"/>
      <c r="D603" s="6" t="n"/>
      <c r="E603" s="6" t="n"/>
      <c r="F603" s="6" t="n"/>
      <c r="G603" s="6" t="n"/>
      <c r="H603" s="10">
        <f>IF(F603="","",IFERROR(INDEX(Roster!$A$2:$A$600,MATCH(F603,Roster!$E$2:$E$600,0)),""))</f>
        <v/>
      </c>
      <c r="I603" s="10">
        <f>IF(AND(D603="",C603="",F603=""),"",IF(G603&lt;&gt;"","Void",IF(F603="","Needs child",IF(H603="","Child not found",IF(OR(B603="",NOT(ISNUMBER(C603))),"Needs month/pages","OK")))))</f>
        <v/>
      </c>
      <c r="J603" s="10">
        <f>IF(I603="","",IF(I603="OK",IF(COUNTIFS(H604:H$3001,H603,B604:B$3001,B603,G604:G$3001,"")=0,C603,0),0))</f>
        <v/>
      </c>
    </row>
    <row r="604">
      <c r="A604" s="6" t="n"/>
      <c r="B604" s="9" t="n"/>
      <c r="C604" s="6" t="n"/>
      <c r="D604" s="6" t="n"/>
      <c r="E604" s="6" t="n"/>
      <c r="F604" s="6" t="n"/>
      <c r="G604" s="6" t="n"/>
      <c r="H604" s="10">
        <f>IF(F604="","",IFERROR(INDEX(Roster!$A$2:$A$600,MATCH(F604,Roster!$E$2:$E$600,0)),""))</f>
        <v/>
      </c>
      <c r="I604" s="10">
        <f>IF(AND(D604="",C604="",F604=""),"",IF(G604&lt;&gt;"","Void",IF(F604="","Needs child",IF(H604="","Child not found",IF(OR(B604="",NOT(ISNUMBER(C604))),"Needs month/pages","OK")))))</f>
        <v/>
      </c>
      <c r="J604" s="10">
        <f>IF(I604="","",IF(I604="OK",IF(COUNTIFS(H605:H$3001,H604,B605:B$3001,B604,G605:G$3001,"")=0,C604,0),0))</f>
        <v/>
      </c>
    </row>
    <row r="605">
      <c r="A605" s="6" t="n"/>
      <c r="B605" s="9" t="n"/>
      <c r="C605" s="6" t="n"/>
      <c r="D605" s="6" t="n"/>
      <c r="E605" s="6" t="n"/>
      <c r="F605" s="6" t="n"/>
      <c r="G605" s="6" t="n"/>
      <c r="H605" s="10">
        <f>IF(F605="","",IFERROR(INDEX(Roster!$A$2:$A$600,MATCH(F605,Roster!$E$2:$E$600,0)),""))</f>
        <v/>
      </c>
      <c r="I605" s="10">
        <f>IF(AND(D605="",C605="",F605=""),"",IF(G605&lt;&gt;"","Void",IF(F605="","Needs child",IF(H605="","Child not found",IF(OR(B605="",NOT(ISNUMBER(C605))),"Needs month/pages","OK")))))</f>
        <v/>
      </c>
      <c r="J605" s="10">
        <f>IF(I605="","",IF(I605="OK",IF(COUNTIFS(H606:H$3001,H605,B606:B$3001,B605,G606:G$3001,"")=0,C605,0),0))</f>
        <v/>
      </c>
    </row>
    <row r="606">
      <c r="A606" s="6" t="n"/>
      <c r="B606" s="9" t="n"/>
      <c r="C606" s="6" t="n"/>
      <c r="D606" s="6" t="n"/>
      <c r="E606" s="6" t="n"/>
      <c r="F606" s="6" t="n"/>
      <c r="G606" s="6" t="n"/>
      <c r="H606" s="10">
        <f>IF(F606="","",IFERROR(INDEX(Roster!$A$2:$A$600,MATCH(F606,Roster!$E$2:$E$600,0)),""))</f>
        <v/>
      </c>
      <c r="I606" s="10">
        <f>IF(AND(D606="",C606="",F606=""),"",IF(G606&lt;&gt;"","Void",IF(F606="","Needs child",IF(H606="","Child not found",IF(OR(B606="",NOT(ISNUMBER(C606))),"Needs month/pages","OK")))))</f>
        <v/>
      </c>
      <c r="J606" s="10">
        <f>IF(I606="","",IF(I606="OK",IF(COUNTIFS(H607:H$3001,H606,B607:B$3001,B606,G607:G$3001,"")=0,C606,0),0))</f>
        <v/>
      </c>
    </row>
    <row r="607">
      <c r="A607" s="6" t="n"/>
      <c r="B607" s="9" t="n"/>
      <c r="C607" s="6" t="n"/>
      <c r="D607" s="6" t="n"/>
      <c r="E607" s="6" t="n"/>
      <c r="F607" s="6" t="n"/>
      <c r="G607" s="6" t="n"/>
      <c r="H607" s="10">
        <f>IF(F607="","",IFERROR(INDEX(Roster!$A$2:$A$600,MATCH(F607,Roster!$E$2:$E$600,0)),""))</f>
        <v/>
      </c>
      <c r="I607" s="10">
        <f>IF(AND(D607="",C607="",F607=""),"",IF(G607&lt;&gt;"","Void",IF(F607="","Needs child",IF(H607="","Child not found",IF(OR(B607="",NOT(ISNUMBER(C607))),"Needs month/pages","OK")))))</f>
        <v/>
      </c>
      <c r="J607" s="10">
        <f>IF(I607="","",IF(I607="OK",IF(COUNTIFS(H608:H$3001,H607,B608:B$3001,B607,G608:G$3001,"")=0,C607,0),0))</f>
        <v/>
      </c>
    </row>
    <row r="608">
      <c r="A608" s="6" t="n"/>
      <c r="B608" s="9" t="n"/>
      <c r="C608" s="6" t="n"/>
      <c r="D608" s="6" t="n"/>
      <c r="E608" s="6" t="n"/>
      <c r="F608" s="6" t="n"/>
      <c r="G608" s="6" t="n"/>
      <c r="H608" s="10">
        <f>IF(F608="","",IFERROR(INDEX(Roster!$A$2:$A$600,MATCH(F608,Roster!$E$2:$E$600,0)),""))</f>
        <v/>
      </c>
      <c r="I608" s="10">
        <f>IF(AND(D608="",C608="",F608=""),"",IF(G608&lt;&gt;"","Void",IF(F608="","Needs child",IF(H608="","Child not found",IF(OR(B608="",NOT(ISNUMBER(C608))),"Needs month/pages","OK")))))</f>
        <v/>
      </c>
      <c r="J608" s="10">
        <f>IF(I608="","",IF(I608="OK",IF(COUNTIFS(H609:H$3001,H608,B609:B$3001,B608,G609:G$3001,"")=0,C608,0),0))</f>
        <v/>
      </c>
    </row>
    <row r="609">
      <c r="A609" s="6" t="n"/>
      <c r="B609" s="9" t="n"/>
      <c r="C609" s="6" t="n"/>
      <c r="D609" s="6" t="n"/>
      <c r="E609" s="6" t="n"/>
      <c r="F609" s="6" t="n"/>
      <c r="G609" s="6" t="n"/>
      <c r="H609" s="10">
        <f>IF(F609="","",IFERROR(INDEX(Roster!$A$2:$A$600,MATCH(F609,Roster!$E$2:$E$600,0)),""))</f>
        <v/>
      </c>
      <c r="I609" s="10">
        <f>IF(AND(D609="",C609="",F609=""),"",IF(G609&lt;&gt;"","Void",IF(F609="","Needs child",IF(H609="","Child not found",IF(OR(B609="",NOT(ISNUMBER(C609))),"Needs month/pages","OK")))))</f>
        <v/>
      </c>
      <c r="J609" s="10">
        <f>IF(I609="","",IF(I609="OK",IF(COUNTIFS(H610:H$3001,H609,B610:B$3001,B609,G610:G$3001,"")=0,C609,0),0))</f>
        <v/>
      </c>
    </row>
    <row r="610">
      <c r="A610" s="6" t="n"/>
      <c r="B610" s="9" t="n"/>
      <c r="C610" s="6" t="n"/>
      <c r="D610" s="6" t="n"/>
      <c r="E610" s="6" t="n"/>
      <c r="F610" s="6" t="n"/>
      <c r="G610" s="6" t="n"/>
      <c r="H610" s="10">
        <f>IF(F610="","",IFERROR(INDEX(Roster!$A$2:$A$600,MATCH(F610,Roster!$E$2:$E$600,0)),""))</f>
        <v/>
      </c>
      <c r="I610" s="10">
        <f>IF(AND(D610="",C610="",F610=""),"",IF(G610&lt;&gt;"","Void",IF(F610="","Needs child",IF(H610="","Child not found",IF(OR(B610="",NOT(ISNUMBER(C610))),"Needs month/pages","OK")))))</f>
        <v/>
      </c>
      <c r="J610" s="10">
        <f>IF(I610="","",IF(I610="OK",IF(COUNTIFS(H611:H$3001,H610,B611:B$3001,B610,G611:G$3001,"")=0,C610,0),0))</f>
        <v/>
      </c>
    </row>
    <row r="611">
      <c r="A611" s="6" t="n"/>
      <c r="B611" s="9" t="n"/>
      <c r="C611" s="6" t="n"/>
      <c r="D611" s="6" t="n"/>
      <c r="E611" s="6" t="n"/>
      <c r="F611" s="6" t="n"/>
      <c r="G611" s="6" t="n"/>
      <c r="H611" s="10">
        <f>IF(F611="","",IFERROR(INDEX(Roster!$A$2:$A$600,MATCH(F611,Roster!$E$2:$E$600,0)),""))</f>
        <v/>
      </c>
      <c r="I611" s="10">
        <f>IF(AND(D611="",C611="",F611=""),"",IF(G611&lt;&gt;"","Void",IF(F611="","Needs child",IF(H611="","Child not found",IF(OR(B611="",NOT(ISNUMBER(C611))),"Needs month/pages","OK")))))</f>
        <v/>
      </c>
      <c r="J611" s="10">
        <f>IF(I611="","",IF(I611="OK",IF(COUNTIFS(H612:H$3001,H611,B612:B$3001,B611,G612:G$3001,"")=0,C611,0),0))</f>
        <v/>
      </c>
    </row>
    <row r="612">
      <c r="A612" s="6" t="n"/>
      <c r="B612" s="9" t="n"/>
      <c r="C612" s="6" t="n"/>
      <c r="D612" s="6" t="n"/>
      <c r="E612" s="6" t="n"/>
      <c r="F612" s="6" t="n"/>
      <c r="G612" s="6" t="n"/>
      <c r="H612" s="10">
        <f>IF(F612="","",IFERROR(INDEX(Roster!$A$2:$A$600,MATCH(F612,Roster!$E$2:$E$600,0)),""))</f>
        <v/>
      </c>
      <c r="I612" s="10">
        <f>IF(AND(D612="",C612="",F612=""),"",IF(G612&lt;&gt;"","Void",IF(F612="","Needs child",IF(H612="","Child not found",IF(OR(B612="",NOT(ISNUMBER(C612))),"Needs month/pages","OK")))))</f>
        <v/>
      </c>
      <c r="J612" s="10">
        <f>IF(I612="","",IF(I612="OK",IF(COUNTIFS(H613:H$3001,H612,B613:B$3001,B612,G613:G$3001,"")=0,C612,0),0))</f>
        <v/>
      </c>
    </row>
    <row r="613">
      <c r="A613" s="6" t="n"/>
      <c r="B613" s="9" t="n"/>
      <c r="C613" s="6" t="n"/>
      <c r="D613" s="6" t="n"/>
      <c r="E613" s="6" t="n"/>
      <c r="F613" s="6" t="n"/>
      <c r="G613" s="6" t="n"/>
      <c r="H613" s="10">
        <f>IF(F613="","",IFERROR(INDEX(Roster!$A$2:$A$600,MATCH(F613,Roster!$E$2:$E$600,0)),""))</f>
        <v/>
      </c>
      <c r="I613" s="10">
        <f>IF(AND(D613="",C613="",F613=""),"",IF(G613&lt;&gt;"","Void",IF(F613="","Needs child",IF(H613="","Child not found",IF(OR(B613="",NOT(ISNUMBER(C613))),"Needs month/pages","OK")))))</f>
        <v/>
      </c>
      <c r="J613" s="10">
        <f>IF(I613="","",IF(I613="OK",IF(COUNTIFS(H614:H$3001,H613,B614:B$3001,B613,G614:G$3001,"")=0,C613,0),0))</f>
        <v/>
      </c>
    </row>
    <row r="614">
      <c r="A614" s="6" t="n"/>
      <c r="B614" s="9" t="n"/>
      <c r="C614" s="6" t="n"/>
      <c r="D614" s="6" t="n"/>
      <c r="E614" s="6" t="n"/>
      <c r="F614" s="6" t="n"/>
      <c r="G614" s="6" t="n"/>
      <c r="H614" s="10">
        <f>IF(F614="","",IFERROR(INDEX(Roster!$A$2:$A$600,MATCH(F614,Roster!$E$2:$E$600,0)),""))</f>
        <v/>
      </c>
      <c r="I614" s="10">
        <f>IF(AND(D614="",C614="",F614=""),"",IF(G614&lt;&gt;"","Void",IF(F614="","Needs child",IF(H614="","Child not found",IF(OR(B614="",NOT(ISNUMBER(C614))),"Needs month/pages","OK")))))</f>
        <v/>
      </c>
      <c r="J614" s="10">
        <f>IF(I614="","",IF(I614="OK",IF(COUNTIFS(H615:H$3001,H614,B615:B$3001,B614,G615:G$3001,"")=0,C614,0),0))</f>
        <v/>
      </c>
    </row>
    <row r="615">
      <c r="A615" s="6" t="n"/>
      <c r="B615" s="9" t="n"/>
      <c r="C615" s="6" t="n"/>
      <c r="D615" s="6" t="n"/>
      <c r="E615" s="6" t="n"/>
      <c r="F615" s="6" t="n"/>
      <c r="G615" s="6" t="n"/>
      <c r="H615" s="10">
        <f>IF(F615="","",IFERROR(INDEX(Roster!$A$2:$A$600,MATCH(F615,Roster!$E$2:$E$600,0)),""))</f>
        <v/>
      </c>
      <c r="I615" s="10">
        <f>IF(AND(D615="",C615="",F615=""),"",IF(G615&lt;&gt;"","Void",IF(F615="","Needs child",IF(H615="","Child not found",IF(OR(B615="",NOT(ISNUMBER(C615))),"Needs month/pages","OK")))))</f>
        <v/>
      </c>
      <c r="J615" s="10">
        <f>IF(I615="","",IF(I615="OK",IF(COUNTIFS(H616:H$3001,H615,B616:B$3001,B615,G616:G$3001,"")=0,C615,0),0))</f>
        <v/>
      </c>
    </row>
    <row r="616">
      <c r="A616" s="6" t="n"/>
      <c r="B616" s="9" t="n"/>
      <c r="C616" s="6" t="n"/>
      <c r="D616" s="6" t="n"/>
      <c r="E616" s="6" t="n"/>
      <c r="F616" s="6" t="n"/>
      <c r="G616" s="6" t="n"/>
      <c r="H616" s="10">
        <f>IF(F616="","",IFERROR(INDEX(Roster!$A$2:$A$600,MATCH(F616,Roster!$E$2:$E$600,0)),""))</f>
        <v/>
      </c>
      <c r="I616" s="10">
        <f>IF(AND(D616="",C616="",F616=""),"",IF(G616&lt;&gt;"","Void",IF(F616="","Needs child",IF(H616="","Child not found",IF(OR(B616="",NOT(ISNUMBER(C616))),"Needs month/pages","OK")))))</f>
        <v/>
      </c>
      <c r="J616" s="10">
        <f>IF(I616="","",IF(I616="OK",IF(COUNTIFS(H617:H$3001,H616,B617:B$3001,B616,G617:G$3001,"")=0,C616,0),0))</f>
        <v/>
      </c>
    </row>
    <row r="617">
      <c r="A617" s="6" t="n"/>
      <c r="B617" s="9" t="n"/>
      <c r="C617" s="6" t="n"/>
      <c r="D617" s="6" t="n"/>
      <c r="E617" s="6" t="n"/>
      <c r="F617" s="6" t="n"/>
      <c r="G617" s="6" t="n"/>
      <c r="H617" s="10">
        <f>IF(F617="","",IFERROR(INDEX(Roster!$A$2:$A$600,MATCH(F617,Roster!$E$2:$E$600,0)),""))</f>
        <v/>
      </c>
      <c r="I617" s="10">
        <f>IF(AND(D617="",C617="",F617=""),"",IF(G617&lt;&gt;"","Void",IF(F617="","Needs child",IF(H617="","Child not found",IF(OR(B617="",NOT(ISNUMBER(C617))),"Needs month/pages","OK")))))</f>
        <v/>
      </c>
      <c r="J617" s="10">
        <f>IF(I617="","",IF(I617="OK",IF(COUNTIFS(H618:H$3001,H617,B618:B$3001,B617,G618:G$3001,"")=0,C617,0),0))</f>
        <v/>
      </c>
    </row>
    <row r="618">
      <c r="A618" s="6" t="n"/>
      <c r="B618" s="9" t="n"/>
      <c r="C618" s="6" t="n"/>
      <c r="D618" s="6" t="n"/>
      <c r="E618" s="6" t="n"/>
      <c r="F618" s="6" t="n"/>
      <c r="G618" s="6" t="n"/>
      <c r="H618" s="10">
        <f>IF(F618="","",IFERROR(INDEX(Roster!$A$2:$A$600,MATCH(F618,Roster!$E$2:$E$600,0)),""))</f>
        <v/>
      </c>
      <c r="I618" s="10">
        <f>IF(AND(D618="",C618="",F618=""),"",IF(G618&lt;&gt;"","Void",IF(F618="","Needs child",IF(H618="","Child not found",IF(OR(B618="",NOT(ISNUMBER(C618))),"Needs month/pages","OK")))))</f>
        <v/>
      </c>
      <c r="J618" s="10">
        <f>IF(I618="","",IF(I618="OK",IF(COUNTIFS(H619:H$3001,H618,B619:B$3001,B618,G619:G$3001,"")=0,C618,0),0))</f>
        <v/>
      </c>
    </row>
    <row r="619">
      <c r="A619" s="6" t="n"/>
      <c r="B619" s="9" t="n"/>
      <c r="C619" s="6" t="n"/>
      <c r="D619" s="6" t="n"/>
      <c r="E619" s="6" t="n"/>
      <c r="F619" s="6" t="n"/>
      <c r="G619" s="6" t="n"/>
      <c r="H619" s="10">
        <f>IF(F619="","",IFERROR(INDEX(Roster!$A$2:$A$600,MATCH(F619,Roster!$E$2:$E$600,0)),""))</f>
        <v/>
      </c>
      <c r="I619" s="10">
        <f>IF(AND(D619="",C619="",F619=""),"",IF(G619&lt;&gt;"","Void",IF(F619="","Needs child",IF(H619="","Child not found",IF(OR(B619="",NOT(ISNUMBER(C619))),"Needs month/pages","OK")))))</f>
        <v/>
      </c>
      <c r="J619" s="10">
        <f>IF(I619="","",IF(I619="OK",IF(COUNTIFS(H620:H$3001,H619,B620:B$3001,B619,G620:G$3001,"")=0,C619,0),0))</f>
        <v/>
      </c>
    </row>
    <row r="620">
      <c r="A620" s="6" t="n"/>
      <c r="B620" s="9" t="n"/>
      <c r="C620" s="6" t="n"/>
      <c r="D620" s="6" t="n"/>
      <c r="E620" s="6" t="n"/>
      <c r="F620" s="6" t="n"/>
      <c r="G620" s="6" t="n"/>
      <c r="H620" s="10">
        <f>IF(F620="","",IFERROR(INDEX(Roster!$A$2:$A$600,MATCH(F620,Roster!$E$2:$E$600,0)),""))</f>
        <v/>
      </c>
      <c r="I620" s="10">
        <f>IF(AND(D620="",C620="",F620=""),"",IF(G620&lt;&gt;"","Void",IF(F620="","Needs child",IF(H620="","Child not found",IF(OR(B620="",NOT(ISNUMBER(C620))),"Needs month/pages","OK")))))</f>
        <v/>
      </c>
      <c r="J620" s="10">
        <f>IF(I620="","",IF(I620="OK",IF(COUNTIFS(H621:H$3001,H620,B621:B$3001,B620,G621:G$3001,"")=0,C620,0),0))</f>
        <v/>
      </c>
    </row>
    <row r="621">
      <c r="A621" s="6" t="n"/>
      <c r="B621" s="9" t="n"/>
      <c r="C621" s="6" t="n"/>
      <c r="D621" s="6" t="n"/>
      <c r="E621" s="6" t="n"/>
      <c r="F621" s="6" t="n"/>
      <c r="G621" s="6" t="n"/>
      <c r="H621" s="10">
        <f>IF(F621="","",IFERROR(INDEX(Roster!$A$2:$A$600,MATCH(F621,Roster!$E$2:$E$600,0)),""))</f>
        <v/>
      </c>
      <c r="I621" s="10">
        <f>IF(AND(D621="",C621="",F621=""),"",IF(G621&lt;&gt;"","Void",IF(F621="","Needs child",IF(H621="","Child not found",IF(OR(B621="",NOT(ISNUMBER(C621))),"Needs month/pages","OK")))))</f>
        <v/>
      </c>
      <c r="J621" s="10">
        <f>IF(I621="","",IF(I621="OK",IF(COUNTIFS(H622:H$3001,H621,B622:B$3001,B621,G622:G$3001,"")=0,C621,0),0))</f>
        <v/>
      </c>
    </row>
    <row r="622">
      <c r="A622" s="6" t="n"/>
      <c r="B622" s="9" t="n"/>
      <c r="C622" s="6" t="n"/>
      <c r="D622" s="6" t="n"/>
      <c r="E622" s="6" t="n"/>
      <c r="F622" s="6" t="n"/>
      <c r="G622" s="6" t="n"/>
      <c r="H622" s="10">
        <f>IF(F622="","",IFERROR(INDEX(Roster!$A$2:$A$600,MATCH(F622,Roster!$E$2:$E$600,0)),""))</f>
        <v/>
      </c>
      <c r="I622" s="10">
        <f>IF(AND(D622="",C622="",F622=""),"",IF(G622&lt;&gt;"","Void",IF(F622="","Needs child",IF(H622="","Child not found",IF(OR(B622="",NOT(ISNUMBER(C622))),"Needs month/pages","OK")))))</f>
        <v/>
      </c>
      <c r="J622" s="10">
        <f>IF(I622="","",IF(I622="OK",IF(COUNTIFS(H623:H$3001,H622,B623:B$3001,B622,G623:G$3001,"")=0,C622,0),0))</f>
        <v/>
      </c>
    </row>
    <row r="623">
      <c r="A623" s="6" t="n"/>
      <c r="B623" s="9" t="n"/>
      <c r="C623" s="6" t="n"/>
      <c r="D623" s="6" t="n"/>
      <c r="E623" s="6" t="n"/>
      <c r="F623" s="6" t="n"/>
      <c r="G623" s="6" t="n"/>
      <c r="H623" s="10">
        <f>IF(F623="","",IFERROR(INDEX(Roster!$A$2:$A$600,MATCH(F623,Roster!$E$2:$E$600,0)),""))</f>
        <v/>
      </c>
      <c r="I623" s="10">
        <f>IF(AND(D623="",C623="",F623=""),"",IF(G623&lt;&gt;"","Void",IF(F623="","Needs child",IF(H623="","Child not found",IF(OR(B623="",NOT(ISNUMBER(C623))),"Needs month/pages","OK")))))</f>
        <v/>
      </c>
      <c r="J623" s="10">
        <f>IF(I623="","",IF(I623="OK",IF(COUNTIFS(H624:H$3001,H623,B624:B$3001,B623,G624:G$3001,"")=0,C623,0),0))</f>
        <v/>
      </c>
    </row>
    <row r="624">
      <c r="A624" s="6" t="n"/>
      <c r="B624" s="9" t="n"/>
      <c r="C624" s="6" t="n"/>
      <c r="D624" s="6" t="n"/>
      <c r="E624" s="6" t="n"/>
      <c r="F624" s="6" t="n"/>
      <c r="G624" s="6" t="n"/>
      <c r="H624" s="10">
        <f>IF(F624="","",IFERROR(INDEX(Roster!$A$2:$A$600,MATCH(F624,Roster!$E$2:$E$600,0)),""))</f>
        <v/>
      </c>
      <c r="I624" s="10">
        <f>IF(AND(D624="",C624="",F624=""),"",IF(G624&lt;&gt;"","Void",IF(F624="","Needs child",IF(H624="","Child not found",IF(OR(B624="",NOT(ISNUMBER(C624))),"Needs month/pages","OK")))))</f>
        <v/>
      </c>
      <c r="J624" s="10">
        <f>IF(I624="","",IF(I624="OK",IF(COUNTIFS(H625:H$3001,H624,B625:B$3001,B624,G625:G$3001,"")=0,C624,0),0))</f>
        <v/>
      </c>
    </row>
    <row r="625">
      <c r="A625" s="6" t="n"/>
      <c r="B625" s="9" t="n"/>
      <c r="C625" s="6" t="n"/>
      <c r="D625" s="6" t="n"/>
      <c r="E625" s="6" t="n"/>
      <c r="F625" s="6" t="n"/>
      <c r="G625" s="6" t="n"/>
      <c r="H625" s="10">
        <f>IF(F625="","",IFERROR(INDEX(Roster!$A$2:$A$600,MATCH(F625,Roster!$E$2:$E$600,0)),""))</f>
        <v/>
      </c>
      <c r="I625" s="10">
        <f>IF(AND(D625="",C625="",F625=""),"",IF(G625&lt;&gt;"","Void",IF(F625="","Needs child",IF(H625="","Child not found",IF(OR(B625="",NOT(ISNUMBER(C625))),"Needs month/pages","OK")))))</f>
        <v/>
      </c>
      <c r="J625" s="10">
        <f>IF(I625="","",IF(I625="OK",IF(COUNTIFS(H626:H$3001,H625,B626:B$3001,B625,G626:G$3001,"")=0,C625,0),0))</f>
        <v/>
      </c>
    </row>
    <row r="626">
      <c r="A626" s="6" t="n"/>
      <c r="B626" s="9" t="n"/>
      <c r="C626" s="6" t="n"/>
      <c r="D626" s="6" t="n"/>
      <c r="E626" s="6" t="n"/>
      <c r="F626" s="6" t="n"/>
      <c r="G626" s="6" t="n"/>
      <c r="H626" s="10">
        <f>IF(F626="","",IFERROR(INDEX(Roster!$A$2:$A$600,MATCH(F626,Roster!$E$2:$E$600,0)),""))</f>
        <v/>
      </c>
      <c r="I626" s="10">
        <f>IF(AND(D626="",C626="",F626=""),"",IF(G626&lt;&gt;"","Void",IF(F626="","Needs child",IF(H626="","Child not found",IF(OR(B626="",NOT(ISNUMBER(C626))),"Needs month/pages","OK")))))</f>
        <v/>
      </c>
      <c r="J626" s="10">
        <f>IF(I626="","",IF(I626="OK",IF(COUNTIFS(H627:H$3001,H626,B627:B$3001,B626,G627:G$3001,"")=0,C626,0),0))</f>
        <v/>
      </c>
    </row>
    <row r="627">
      <c r="A627" s="6" t="n"/>
      <c r="B627" s="9" t="n"/>
      <c r="C627" s="6" t="n"/>
      <c r="D627" s="6" t="n"/>
      <c r="E627" s="6" t="n"/>
      <c r="F627" s="6" t="n"/>
      <c r="G627" s="6" t="n"/>
      <c r="H627" s="10">
        <f>IF(F627="","",IFERROR(INDEX(Roster!$A$2:$A$600,MATCH(F627,Roster!$E$2:$E$600,0)),""))</f>
        <v/>
      </c>
      <c r="I627" s="10">
        <f>IF(AND(D627="",C627="",F627=""),"",IF(G627&lt;&gt;"","Void",IF(F627="","Needs child",IF(H627="","Child not found",IF(OR(B627="",NOT(ISNUMBER(C627))),"Needs month/pages","OK")))))</f>
        <v/>
      </c>
      <c r="J627" s="10">
        <f>IF(I627="","",IF(I627="OK",IF(COUNTIFS(H628:H$3001,H627,B628:B$3001,B627,G628:G$3001,"")=0,C627,0),0))</f>
        <v/>
      </c>
    </row>
    <row r="628">
      <c r="A628" s="6" t="n"/>
      <c r="B628" s="9" t="n"/>
      <c r="C628" s="6" t="n"/>
      <c r="D628" s="6" t="n"/>
      <c r="E628" s="6" t="n"/>
      <c r="F628" s="6" t="n"/>
      <c r="G628" s="6" t="n"/>
      <c r="H628" s="10">
        <f>IF(F628="","",IFERROR(INDEX(Roster!$A$2:$A$600,MATCH(F628,Roster!$E$2:$E$600,0)),""))</f>
        <v/>
      </c>
      <c r="I628" s="10">
        <f>IF(AND(D628="",C628="",F628=""),"",IF(G628&lt;&gt;"","Void",IF(F628="","Needs child",IF(H628="","Child not found",IF(OR(B628="",NOT(ISNUMBER(C628))),"Needs month/pages","OK")))))</f>
        <v/>
      </c>
      <c r="J628" s="10">
        <f>IF(I628="","",IF(I628="OK",IF(COUNTIFS(H629:H$3001,H628,B629:B$3001,B628,G629:G$3001,"")=0,C628,0),0))</f>
        <v/>
      </c>
    </row>
    <row r="629">
      <c r="A629" s="6" t="n"/>
      <c r="B629" s="9" t="n"/>
      <c r="C629" s="6" t="n"/>
      <c r="D629" s="6" t="n"/>
      <c r="E629" s="6" t="n"/>
      <c r="F629" s="6" t="n"/>
      <c r="G629" s="6" t="n"/>
      <c r="H629" s="10">
        <f>IF(F629="","",IFERROR(INDEX(Roster!$A$2:$A$600,MATCH(F629,Roster!$E$2:$E$600,0)),""))</f>
        <v/>
      </c>
      <c r="I629" s="10">
        <f>IF(AND(D629="",C629="",F629=""),"",IF(G629&lt;&gt;"","Void",IF(F629="","Needs child",IF(H629="","Child not found",IF(OR(B629="",NOT(ISNUMBER(C629))),"Needs month/pages","OK")))))</f>
        <v/>
      </c>
      <c r="J629" s="10">
        <f>IF(I629="","",IF(I629="OK",IF(COUNTIFS(H630:H$3001,H629,B630:B$3001,B629,G630:G$3001,"")=0,C629,0),0))</f>
        <v/>
      </c>
    </row>
    <row r="630">
      <c r="A630" s="6" t="n"/>
      <c r="B630" s="9" t="n"/>
      <c r="C630" s="6" t="n"/>
      <c r="D630" s="6" t="n"/>
      <c r="E630" s="6" t="n"/>
      <c r="F630" s="6" t="n"/>
      <c r="G630" s="6" t="n"/>
      <c r="H630" s="10">
        <f>IF(F630="","",IFERROR(INDEX(Roster!$A$2:$A$600,MATCH(F630,Roster!$E$2:$E$600,0)),""))</f>
        <v/>
      </c>
      <c r="I630" s="10">
        <f>IF(AND(D630="",C630="",F630=""),"",IF(G630&lt;&gt;"","Void",IF(F630="","Needs child",IF(H630="","Child not found",IF(OR(B630="",NOT(ISNUMBER(C630))),"Needs month/pages","OK")))))</f>
        <v/>
      </c>
      <c r="J630" s="10">
        <f>IF(I630="","",IF(I630="OK",IF(COUNTIFS(H631:H$3001,H630,B631:B$3001,B630,G631:G$3001,"")=0,C630,0),0))</f>
        <v/>
      </c>
    </row>
    <row r="631">
      <c r="A631" s="6" t="n"/>
      <c r="B631" s="9" t="n"/>
      <c r="C631" s="6" t="n"/>
      <c r="D631" s="6" t="n"/>
      <c r="E631" s="6" t="n"/>
      <c r="F631" s="6" t="n"/>
      <c r="G631" s="6" t="n"/>
      <c r="H631" s="10">
        <f>IF(F631="","",IFERROR(INDEX(Roster!$A$2:$A$600,MATCH(F631,Roster!$E$2:$E$600,0)),""))</f>
        <v/>
      </c>
      <c r="I631" s="10">
        <f>IF(AND(D631="",C631="",F631=""),"",IF(G631&lt;&gt;"","Void",IF(F631="","Needs child",IF(H631="","Child not found",IF(OR(B631="",NOT(ISNUMBER(C631))),"Needs month/pages","OK")))))</f>
        <v/>
      </c>
      <c r="J631" s="10">
        <f>IF(I631="","",IF(I631="OK",IF(COUNTIFS(H632:H$3001,H631,B632:B$3001,B631,G632:G$3001,"")=0,C631,0),0))</f>
        <v/>
      </c>
    </row>
    <row r="632">
      <c r="A632" s="6" t="n"/>
      <c r="B632" s="9" t="n"/>
      <c r="C632" s="6" t="n"/>
      <c r="D632" s="6" t="n"/>
      <c r="E632" s="6" t="n"/>
      <c r="F632" s="6" t="n"/>
      <c r="G632" s="6" t="n"/>
      <c r="H632" s="10">
        <f>IF(F632="","",IFERROR(INDEX(Roster!$A$2:$A$600,MATCH(F632,Roster!$E$2:$E$600,0)),""))</f>
        <v/>
      </c>
      <c r="I632" s="10">
        <f>IF(AND(D632="",C632="",F632=""),"",IF(G632&lt;&gt;"","Void",IF(F632="","Needs child",IF(H632="","Child not found",IF(OR(B632="",NOT(ISNUMBER(C632))),"Needs month/pages","OK")))))</f>
        <v/>
      </c>
      <c r="J632" s="10">
        <f>IF(I632="","",IF(I632="OK",IF(COUNTIFS(H633:H$3001,H632,B633:B$3001,B632,G633:G$3001,"")=0,C632,0),0))</f>
        <v/>
      </c>
    </row>
    <row r="633">
      <c r="A633" s="6" t="n"/>
      <c r="B633" s="9" t="n"/>
      <c r="C633" s="6" t="n"/>
      <c r="D633" s="6" t="n"/>
      <c r="E633" s="6" t="n"/>
      <c r="F633" s="6" t="n"/>
      <c r="G633" s="6" t="n"/>
      <c r="H633" s="10">
        <f>IF(F633="","",IFERROR(INDEX(Roster!$A$2:$A$600,MATCH(F633,Roster!$E$2:$E$600,0)),""))</f>
        <v/>
      </c>
      <c r="I633" s="10">
        <f>IF(AND(D633="",C633="",F633=""),"",IF(G633&lt;&gt;"","Void",IF(F633="","Needs child",IF(H633="","Child not found",IF(OR(B633="",NOT(ISNUMBER(C633))),"Needs month/pages","OK")))))</f>
        <v/>
      </c>
      <c r="J633" s="10">
        <f>IF(I633="","",IF(I633="OK",IF(COUNTIFS(H634:H$3001,H633,B634:B$3001,B633,G634:G$3001,"")=0,C633,0),0))</f>
        <v/>
      </c>
    </row>
    <row r="634">
      <c r="A634" s="6" t="n"/>
      <c r="B634" s="9" t="n"/>
      <c r="C634" s="6" t="n"/>
      <c r="D634" s="6" t="n"/>
      <c r="E634" s="6" t="n"/>
      <c r="F634" s="6" t="n"/>
      <c r="G634" s="6" t="n"/>
      <c r="H634" s="10">
        <f>IF(F634="","",IFERROR(INDEX(Roster!$A$2:$A$600,MATCH(F634,Roster!$E$2:$E$600,0)),""))</f>
        <v/>
      </c>
      <c r="I634" s="10">
        <f>IF(AND(D634="",C634="",F634=""),"",IF(G634&lt;&gt;"","Void",IF(F634="","Needs child",IF(H634="","Child not found",IF(OR(B634="",NOT(ISNUMBER(C634))),"Needs month/pages","OK")))))</f>
        <v/>
      </c>
      <c r="J634" s="10">
        <f>IF(I634="","",IF(I634="OK",IF(COUNTIFS(H635:H$3001,H634,B635:B$3001,B634,G635:G$3001,"")=0,C634,0),0))</f>
        <v/>
      </c>
    </row>
    <row r="635">
      <c r="A635" s="6" t="n"/>
      <c r="B635" s="9" t="n"/>
      <c r="C635" s="6" t="n"/>
      <c r="D635" s="6" t="n"/>
      <c r="E635" s="6" t="n"/>
      <c r="F635" s="6" t="n"/>
      <c r="G635" s="6" t="n"/>
      <c r="H635" s="10">
        <f>IF(F635="","",IFERROR(INDEX(Roster!$A$2:$A$600,MATCH(F635,Roster!$E$2:$E$600,0)),""))</f>
        <v/>
      </c>
      <c r="I635" s="10">
        <f>IF(AND(D635="",C635="",F635=""),"",IF(G635&lt;&gt;"","Void",IF(F635="","Needs child",IF(H635="","Child not found",IF(OR(B635="",NOT(ISNUMBER(C635))),"Needs month/pages","OK")))))</f>
        <v/>
      </c>
      <c r="J635" s="10">
        <f>IF(I635="","",IF(I635="OK",IF(COUNTIFS(H636:H$3001,H635,B636:B$3001,B635,G636:G$3001,"")=0,C635,0),0))</f>
        <v/>
      </c>
    </row>
    <row r="636">
      <c r="A636" s="6" t="n"/>
      <c r="B636" s="9" t="n"/>
      <c r="C636" s="6" t="n"/>
      <c r="D636" s="6" t="n"/>
      <c r="E636" s="6" t="n"/>
      <c r="F636" s="6" t="n"/>
      <c r="G636" s="6" t="n"/>
      <c r="H636" s="10">
        <f>IF(F636="","",IFERROR(INDEX(Roster!$A$2:$A$600,MATCH(F636,Roster!$E$2:$E$600,0)),""))</f>
        <v/>
      </c>
      <c r="I636" s="10">
        <f>IF(AND(D636="",C636="",F636=""),"",IF(G636&lt;&gt;"","Void",IF(F636="","Needs child",IF(H636="","Child not found",IF(OR(B636="",NOT(ISNUMBER(C636))),"Needs month/pages","OK")))))</f>
        <v/>
      </c>
      <c r="J636" s="10">
        <f>IF(I636="","",IF(I636="OK",IF(COUNTIFS(H637:H$3001,H636,B637:B$3001,B636,G637:G$3001,"")=0,C636,0),0))</f>
        <v/>
      </c>
    </row>
    <row r="637">
      <c r="A637" s="6" t="n"/>
      <c r="B637" s="9" t="n"/>
      <c r="C637" s="6" t="n"/>
      <c r="D637" s="6" t="n"/>
      <c r="E637" s="6" t="n"/>
      <c r="F637" s="6" t="n"/>
      <c r="G637" s="6" t="n"/>
      <c r="H637" s="10">
        <f>IF(F637="","",IFERROR(INDEX(Roster!$A$2:$A$600,MATCH(F637,Roster!$E$2:$E$600,0)),""))</f>
        <v/>
      </c>
      <c r="I637" s="10">
        <f>IF(AND(D637="",C637="",F637=""),"",IF(G637&lt;&gt;"","Void",IF(F637="","Needs child",IF(H637="","Child not found",IF(OR(B637="",NOT(ISNUMBER(C637))),"Needs month/pages","OK")))))</f>
        <v/>
      </c>
      <c r="J637" s="10">
        <f>IF(I637="","",IF(I637="OK",IF(COUNTIFS(H638:H$3001,H637,B638:B$3001,B637,G638:G$3001,"")=0,C637,0),0))</f>
        <v/>
      </c>
    </row>
    <row r="638">
      <c r="A638" s="6" t="n"/>
      <c r="B638" s="9" t="n"/>
      <c r="C638" s="6" t="n"/>
      <c r="D638" s="6" t="n"/>
      <c r="E638" s="6" t="n"/>
      <c r="F638" s="6" t="n"/>
      <c r="G638" s="6" t="n"/>
      <c r="H638" s="10">
        <f>IF(F638="","",IFERROR(INDEX(Roster!$A$2:$A$600,MATCH(F638,Roster!$E$2:$E$600,0)),""))</f>
        <v/>
      </c>
      <c r="I638" s="10">
        <f>IF(AND(D638="",C638="",F638=""),"",IF(G638&lt;&gt;"","Void",IF(F638="","Needs child",IF(H638="","Child not found",IF(OR(B638="",NOT(ISNUMBER(C638))),"Needs month/pages","OK")))))</f>
        <v/>
      </c>
      <c r="J638" s="10">
        <f>IF(I638="","",IF(I638="OK",IF(COUNTIFS(H639:H$3001,H638,B639:B$3001,B638,G639:G$3001,"")=0,C638,0),0))</f>
        <v/>
      </c>
    </row>
    <row r="639">
      <c r="A639" s="6" t="n"/>
      <c r="B639" s="9" t="n"/>
      <c r="C639" s="6" t="n"/>
      <c r="D639" s="6" t="n"/>
      <c r="E639" s="6" t="n"/>
      <c r="F639" s="6" t="n"/>
      <c r="G639" s="6" t="n"/>
      <c r="H639" s="10">
        <f>IF(F639="","",IFERROR(INDEX(Roster!$A$2:$A$600,MATCH(F639,Roster!$E$2:$E$600,0)),""))</f>
        <v/>
      </c>
      <c r="I639" s="10">
        <f>IF(AND(D639="",C639="",F639=""),"",IF(G639&lt;&gt;"","Void",IF(F639="","Needs child",IF(H639="","Child not found",IF(OR(B639="",NOT(ISNUMBER(C639))),"Needs month/pages","OK")))))</f>
        <v/>
      </c>
      <c r="J639" s="10">
        <f>IF(I639="","",IF(I639="OK",IF(COUNTIFS(H640:H$3001,H639,B640:B$3001,B639,G640:G$3001,"")=0,C639,0),0))</f>
        <v/>
      </c>
    </row>
    <row r="640">
      <c r="A640" s="6" t="n"/>
      <c r="B640" s="9" t="n"/>
      <c r="C640" s="6" t="n"/>
      <c r="D640" s="6" t="n"/>
      <c r="E640" s="6" t="n"/>
      <c r="F640" s="6" t="n"/>
      <c r="G640" s="6" t="n"/>
      <c r="H640" s="10">
        <f>IF(F640="","",IFERROR(INDEX(Roster!$A$2:$A$600,MATCH(F640,Roster!$E$2:$E$600,0)),""))</f>
        <v/>
      </c>
      <c r="I640" s="10">
        <f>IF(AND(D640="",C640="",F640=""),"",IF(G640&lt;&gt;"","Void",IF(F640="","Needs child",IF(H640="","Child not found",IF(OR(B640="",NOT(ISNUMBER(C640))),"Needs month/pages","OK")))))</f>
        <v/>
      </c>
      <c r="J640" s="10">
        <f>IF(I640="","",IF(I640="OK",IF(COUNTIFS(H641:H$3001,H640,B641:B$3001,B640,G641:G$3001,"")=0,C640,0),0))</f>
        <v/>
      </c>
    </row>
    <row r="641">
      <c r="A641" s="6" t="n"/>
      <c r="B641" s="9" t="n"/>
      <c r="C641" s="6" t="n"/>
      <c r="D641" s="6" t="n"/>
      <c r="E641" s="6" t="n"/>
      <c r="F641" s="6" t="n"/>
      <c r="G641" s="6" t="n"/>
      <c r="H641" s="10">
        <f>IF(F641="","",IFERROR(INDEX(Roster!$A$2:$A$600,MATCH(F641,Roster!$E$2:$E$600,0)),""))</f>
        <v/>
      </c>
      <c r="I641" s="10">
        <f>IF(AND(D641="",C641="",F641=""),"",IF(G641&lt;&gt;"","Void",IF(F641="","Needs child",IF(H641="","Child not found",IF(OR(B641="",NOT(ISNUMBER(C641))),"Needs month/pages","OK")))))</f>
        <v/>
      </c>
      <c r="J641" s="10">
        <f>IF(I641="","",IF(I641="OK",IF(COUNTIFS(H642:H$3001,H641,B642:B$3001,B641,G642:G$3001,"")=0,C641,0),0))</f>
        <v/>
      </c>
    </row>
    <row r="642">
      <c r="A642" s="6" t="n"/>
      <c r="B642" s="9" t="n"/>
      <c r="C642" s="6" t="n"/>
      <c r="D642" s="6" t="n"/>
      <c r="E642" s="6" t="n"/>
      <c r="F642" s="6" t="n"/>
      <c r="G642" s="6" t="n"/>
      <c r="H642" s="10">
        <f>IF(F642="","",IFERROR(INDEX(Roster!$A$2:$A$600,MATCH(F642,Roster!$E$2:$E$600,0)),""))</f>
        <v/>
      </c>
      <c r="I642" s="10">
        <f>IF(AND(D642="",C642="",F642=""),"",IF(G642&lt;&gt;"","Void",IF(F642="","Needs child",IF(H642="","Child not found",IF(OR(B642="",NOT(ISNUMBER(C642))),"Needs month/pages","OK")))))</f>
        <v/>
      </c>
      <c r="J642" s="10">
        <f>IF(I642="","",IF(I642="OK",IF(COUNTIFS(H643:H$3001,H642,B643:B$3001,B642,G643:G$3001,"")=0,C642,0),0))</f>
        <v/>
      </c>
    </row>
    <row r="643">
      <c r="A643" s="6" t="n"/>
      <c r="B643" s="9" t="n"/>
      <c r="C643" s="6" t="n"/>
      <c r="D643" s="6" t="n"/>
      <c r="E643" s="6" t="n"/>
      <c r="F643" s="6" t="n"/>
      <c r="G643" s="6" t="n"/>
      <c r="H643" s="10">
        <f>IF(F643="","",IFERROR(INDEX(Roster!$A$2:$A$600,MATCH(F643,Roster!$E$2:$E$600,0)),""))</f>
        <v/>
      </c>
      <c r="I643" s="10">
        <f>IF(AND(D643="",C643="",F643=""),"",IF(G643&lt;&gt;"","Void",IF(F643="","Needs child",IF(H643="","Child not found",IF(OR(B643="",NOT(ISNUMBER(C643))),"Needs month/pages","OK")))))</f>
        <v/>
      </c>
      <c r="J643" s="10">
        <f>IF(I643="","",IF(I643="OK",IF(COUNTIFS(H644:H$3001,H643,B644:B$3001,B643,G644:G$3001,"")=0,C643,0),0))</f>
        <v/>
      </c>
    </row>
    <row r="644">
      <c r="A644" s="6" t="n"/>
      <c r="B644" s="9" t="n"/>
      <c r="C644" s="6" t="n"/>
      <c r="D644" s="6" t="n"/>
      <c r="E644" s="6" t="n"/>
      <c r="F644" s="6" t="n"/>
      <c r="G644" s="6" t="n"/>
      <c r="H644" s="10">
        <f>IF(F644="","",IFERROR(INDEX(Roster!$A$2:$A$600,MATCH(F644,Roster!$E$2:$E$600,0)),""))</f>
        <v/>
      </c>
      <c r="I644" s="10">
        <f>IF(AND(D644="",C644="",F644=""),"",IF(G644&lt;&gt;"","Void",IF(F644="","Needs child",IF(H644="","Child not found",IF(OR(B644="",NOT(ISNUMBER(C644))),"Needs month/pages","OK")))))</f>
        <v/>
      </c>
      <c r="J644" s="10">
        <f>IF(I644="","",IF(I644="OK",IF(COUNTIFS(H645:H$3001,H644,B645:B$3001,B644,G645:G$3001,"")=0,C644,0),0))</f>
        <v/>
      </c>
    </row>
    <row r="645">
      <c r="A645" s="6" t="n"/>
      <c r="B645" s="9" t="n"/>
      <c r="C645" s="6" t="n"/>
      <c r="D645" s="6" t="n"/>
      <c r="E645" s="6" t="n"/>
      <c r="F645" s="6" t="n"/>
      <c r="G645" s="6" t="n"/>
      <c r="H645" s="10">
        <f>IF(F645="","",IFERROR(INDEX(Roster!$A$2:$A$600,MATCH(F645,Roster!$E$2:$E$600,0)),""))</f>
        <v/>
      </c>
      <c r="I645" s="10">
        <f>IF(AND(D645="",C645="",F645=""),"",IF(G645&lt;&gt;"","Void",IF(F645="","Needs child",IF(H645="","Child not found",IF(OR(B645="",NOT(ISNUMBER(C645))),"Needs month/pages","OK")))))</f>
        <v/>
      </c>
      <c r="J645" s="10">
        <f>IF(I645="","",IF(I645="OK",IF(COUNTIFS(H646:H$3001,H645,B646:B$3001,B645,G646:G$3001,"")=0,C645,0),0))</f>
        <v/>
      </c>
    </row>
    <row r="646">
      <c r="A646" s="6" t="n"/>
      <c r="B646" s="9" t="n"/>
      <c r="C646" s="6" t="n"/>
      <c r="D646" s="6" t="n"/>
      <c r="E646" s="6" t="n"/>
      <c r="F646" s="6" t="n"/>
      <c r="G646" s="6" t="n"/>
      <c r="H646" s="10">
        <f>IF(F646="","",IFERROR(INDEX(Roster!$A$2:$A$600,MATCH(F646,Roster!$E$2:$E$600,0)),""))</f>
        <v/>
      </c>
      <c r="I646" s="10">
        <f>IF(AND(D646="",C646="",F646=""),"",IF(G646&lt;&gt;"","Void",IF(F646="","Needs child",IF(H646="","Child not found",IF(OR(B646="",NOT(ISNUMBER(C646))),"Needs month/pages","OK")))))</f>
        <v/>
      </c>
      <c r="J646" s="10">
        <f>IF(I646="","",IF(I646="OK",IF(COUNTIFS(H647:H$3001,H646,B647:B$3001,B646,G647:G$3001,"")=0,C646,0),0))</f>
        <v/>
      </c>
    </row>
    <row r="647">
      <c r="A647" s="6" t="n"/>
      <c r="B647" s="9" t="n"/>
      <c r="C647" s="6" t="n"/>
      <c r="D647" s="6" t="n"/>
      <c r="E647" s="6" t="n"/>
      <c r="F647" s="6" t="n"/>
      <c r="G647" s="6" t="n"/>
      <c r="H647" s="10">
        <f>IF(F647="","",IFERROR(INDEX(Roster!$A$2:$A$600,MATCH(F647,Roster!$E$2:$E$600,0)),""))</f>
        <v/>
      </c>
      <c r="I647" s="10">
        <f>IF(AND(D647="",C647="",F647=""),"",IF(G647&lt;&gt;"","Void",IF(F647="","Needs child",IF(H647="","Child not found",IF(OR(B647="",NOT(ISNUMBER(C647))),"Needs month/pages","OK")))))</f>
        <v/>
      </c>
      <c r="J647" s="10">
        <f>IF(I647="","",IF(I647="OK",IF(COUNTIFS(H648:H$3001,H647,B648:B$3001,B647,G648:G$3001,"")=0,C647,0),0))</f>
        <v/>
      </c>
    </row>
    <row r="648">
      <c r="A648" s="6" t="n"/>
      <c r="B648" s="9" t="n"/>
      <c r="C648" s="6" t="n"/>
      <c r="D648" s="6" t="n"/>
      <c r="E648" s="6" t="n"/>
      <c r="F648" s="6" t="n"/>
      <c r="G648" s="6" t="n"/>
      <c r="H648" s="10">
        <f>IF(F648="","",IFERROR(INDEX(Roster!$A$2:$A$600,MATCH(F648,Roster!$E$2:$E$600,0)),""))</f>
        <v/>
      </c>
      <c r="I648" s="10">
        <f>IF(AND(D648="",C648="",F648=""),"",IF(G648&lt;&gt;"","Void",IF(F648="","Needs child",IF(H648="","Child not found",IF(OR(B648="",NOT(ISNUMBER(C648))),"Needs month/pages","OK")))))</f>
        <v/>
      </c>
      <c r="J648" s="10">
        <f>IF(I648="","",IF(I648="OK",IF(COUNTIFS(H649:H$3001,H648,B649:B$3001,B648,G649:G$3001,"")=0,C648,0),0))</f>
        <v/>
      </c>
    </row>
    <row r="649">
      <c r="A649" s="6" t="n"/>
      <c r="B649" s="9" t="n"/>
      <c r="C649" s="6" t="n"/>
      <c r="D649" s="6" t="n"/>
      <c r="E649" s="6" t="n"/>
      <c r="F649" s="6" t="n"/>
      <c r="G649" s="6" t="n"/>
      <c r="H649" s="10">
        <f>IF(F649="","",IFERROR(INDEX(Roster!$A$2:$A$600,MATCH(F649,Roster!$E$2:$E$600,0)),""))</f>
        <v/>
      </c>
      <c r="I649" s="10">
        <f>IF(AND(D649="",C649="",F649=""),"",IF(G649&lt;&gt;"","Void",IF(F649="","Needs child",IF(H649="","Child not found",IF(OR(B649="",NOT(ISNUMBER(C649))),"Needs month/pages","OK")))))</f>
        <v/>
      </c>
      <c r="J649" s="10">
        <f>IF(I649="","",IF(I649="OK",IF(COUNTIFS(H650:H$3001,H649,B650:B$3001,B649,G650:G$3001,"")=0,C649,0),0))</f>
        <v/>
      </c>
    </row>
    <row r="650">
      <c r="A650" s="6" t="n"/>
      <c r="B650" s="9" t="n"/>
      <c r="C650" s="6" t="n"/>
      <c r="D650" s="6" t="n"/>
      <c r="E650" s="6" t="n"/>
      <c r="F650" s="6" t="n"/>
      <c r="G650" s="6" t="n"/>
      <c r="H650" s="10">
        <f>IF(F650="","",IFERROR(INDEX(Roster!$A$2:$A$600,MATCH(F650,Roster!$E$2:$E$600,0)),""))</f>
        <v/>
      </c>
      <c r="I650" s="10">
        <f>IF(AND(D650="",C650="",F650=""),"",IF(G650&lt;&gt;"","Void",IF(F650="","Needs child",IF(H650="","Child not found",IF(OR(B650="",NOT(ISNUMBER(C650))),"Needs month/pages","OK")))))</f>
        <v/>
      </c>
      <c r="J650" s="10">
        <f>IF(I650="","",IF(I650="OK",IF(COUNTIFS(H651:H$3001,H650,B651:B$3001,B650,G651:G$3001,"")=0,C650,0),0))</f>
        <v/>
      </c>
    </row>
    <row r="651">
      <c r="A651" s="6" t="n"/>
      <c r="B651" s="9" t="n"/>
      <c r="C651" s="6" t="n"/>
      <c r="D651" s="6" t="n"/>
      <c r="E651" s="6" t="n"/>
      <c r="F651" s="6" t="n"/>
      <c r="G651" s="6" t="n"/>
      <c r="H651" s="10">
        <f>IF(F651="","",IFERROR(INDEX(Roster!$A$2:$A$600,MATCH(F651,Roster!$E$2:$E$600,0)),""))</f>
        <v/>
      </c>
      <c r="I651" s="10">
        <f>IF(AND(D651="",C651="",F651=""),"",IF(G651&lt;&gt;"","Void",IF(F651="","Needs child",IF(H651="","Child not found",IF(OR(B651="",NOT(ISNUMBER(C651))),"Needs month/pages","OK")))))</f>
        <v/>
      </c>
      <c r="J651" s="10">
        <f>IF(I651="","",IF(I651="OK",IF(COUNTIFS(H652:H$3001,H651,B652:B$3001,B651,G652:G$3001,"")=0,C651,0),0))</f>
        <v/>
      </c>
    </row>
    <row r="652">
      <c r="A652" s="6" t="n"/>
      <c r="B652" s="9" t="n"/>
      <c r="C652" s="6" t="n"/>
      <c r="D652" s="6" t="n"/>
      <c r="E652" s="6" t="n"/>
      <c r="F652" s="6" t="n"/>
      <c r="G652" s="6" t="n"/>
      <c r="H652" s="10">
        <f>IF(F652="","",IFERROR(INDEX(Roster!$A$2:$A$600,MATCH(F652,Roster!$E$2:$E$600,0)),""))</f>
        <v/>
      </c>
      <c r="I652" s="10">
        <f>IF(AND(D652="",C652="",F652=""),"",IF(G652&lt;&gt;"","Void",IF(F652="","Needs child",IF(H652="","Child not found",IF(OR(B652="",NOT(ISNUMBER(C652))),"Needs month/pages","OK")))))</f>
        <v/>
      </c>
      <c r="J652" s="10">
        <f>IF(I652="","",IF(I652="OK",IF(COUNTIFS(H653:H$3001,H652,B653:B$3001,B652,G653:G$3001,"")=0,C652,0),0))</f>
        <v/>
      </c>
    </row>
    <row r="653">
      <c r="A653" s="6" t="n"/>
      <c r="B653" s="9" t="n"/>
      <c r="C653" s="6" t="n"/>
      <c r="D653" s="6" t="n"/>
      <c r="E653" s="6" t="n"/>
      <c r="F653" s="6" t="n"/>
      <c r="G653" s="6" t="n"/>
      <c r="H653" s="10">
        <f>IF(F653="","",IFERROR(INDEX(Roster!$A$2:$A$600,MATCH(F653,Roster!$E$2:$E$600,0)),""))</f>
        <v/>
      </c>
      <c r="I653" s="10">
        <f>IF(AND(D653="",C653="",F653=""),"",IF(G653&lt;&gt;"","Void",IF(F653="","Needs child",IF(H653="","Child not found",IF(OR(B653="",NOT(ISNUMBER(C653))),"Needs month/pages","OK")))))</f>
        <v/>
      </c>
      <c r="J653" s="10">
        <f>IF(I653="","",IF(I653="OK",IF(COUNTIFS(H654:H$3001,H653,B654:B$3001,B653,G654:G$3001,"")=0,C653,0),0))</f>
        <v/>
      </c>
    </row>
    <row r="654">
      <c r="A654" s="6" t="n"/>
      <c r="B654" s="9" t="n"/>
      <c r="C654" s="6" t="n"/>
      <c r="D654" s="6" t="n"/>
      <c r="E654" s="6" t="n"/>
      <c r="F654" s="6" t="n"/>
      <c r="G654" s="6" t="n"/>
      <c r="H654" s="10">
        <f>IF(F654="","",IFERROR(INDEX(Roster!$A$2:$A$600,MATCH(F654,Roster!$E$2:$E$600,0)),""))</f>
        <v/>
      </c>
      <c r="I654" s="10">
        <f>IF(AND(D654="",C654="",F654=""),"",IF(G654&lt;&gt;"","Void",IF(F654="","Needs child",IF(H654="","Child not found",IF(OR(B654="",NOT(ISNUMBER(C654))),"Needs month/pages","OK")))))</f>
        <v/>
      </c>
      <c r="J654" s="10">
        <f>IF(I654="","",IF(I654="OK",IF(COUNTIFS(H655:H$3001,H654,B655:B$3001,B654,G655:G$3001,"")=0,C654,0),0))</f>
        <v/>
      </c>
    </row>
    <row r="655">
      <c r="A655" s="6" t="n"/>
      <c r="B655" s="9" t="n"/>
      <c r="C655" s="6" t="n"/>
      <c r="D655" s="6" t="n"/>
      <c r="E655" s="6" t="n"/>
      <c r="F655" s="6" t="n"/>
      <c r="G655" s="6" t="n"/>
      <c r="H655" s="10">
        <f>IF(F655="","",IFERROR(INDEX(Roster!$A$2:$A$600,MATCH(F655,Roster!$E$2:$E$600,0)),""))</f>
        <v/>
      </c>
      <c r="I655" s="10">
        <f>IF(AND(D655="",C655="",F655=""),"",IF(G655&lt;&gt;"","Void",IF(F655="","Needs child",IF(H655="","Child not found",IF(OR(B655="",NOT(ISNUMBER(C655))),"Needs month/pages","OK")))))</f>
        <v/>
      </c>
      <c r="J655" s="10">
        <f>IF(I655="","",IF(I655="OK",IF(COUNTIFS(H656:H$3001,H655,B656:B$3001,B655,G656:G$3001,"")=0,C655,0),0))</f>
        <v/>
      </c>
    </row>
    <row r="656">
      <c r="A656" s="6" t="n"/>
      <c r="B656" s="9" t="n"/>
      <c r="C656" s="6" t="n"/>
      <c r="D656" s="6" t="n"/>
      <c r="E656" s="6" t="n"/>
      <c r="F656" s="6" t="n"/>
      <c r="G656" s="6" t="n"/>
      <c r="H656" s="10">
        <f>IF(F656="","",IFERROR(INDEX(Roster!$A$2:$A$600,MATCH(F656,Roster!$E$2:$E$600,0)),""))</f>
        <v/>
      </c>
      <c r="I656" s="10">
        <f>IF(AND(D656="",C656="",F656=""),"",IF(G656&lt;&gt;"","Void",IF(F656="","Needs child",IF(H656="","Child not found",IF(OR(B656="",NOT(ISNUMBER(C656))),"Needs month/pages","OK")))))</f>
        <v/>
      </c>
      <c r="J656" s="10">
        <f>IF(I656="","",IF(I656="OK",IF(COUNTIFS(H657:H$3001,H656,B657:B$3001,B656,G657:G$3001,"")=0,C656,0),0))</f>
        <v/>
      </c>
    </row>
    <row r="657">
      <c r="A657" s="6" t="n"/>
      <c r="B657" s="9" t="n"/>
      <c r="C657" s="6" t="n"/>
      <c r="D657" s="6" t="n"/>
      <c r="E657" s="6" t="n"/>
      <c r="F657" s="6" t="n"/>
      <c r="G657" s="6" t="n"/>
      <c r="H657" s="10">
        <f>IF(F657="","",IFERROR(INDEX(Roster!$A$2:$A$600,MATCH(F657,Roster!$E$2:$E$600,0)),""))</f>
        <v/>
      </c>
      <c r="I657" s="10">
        <f>IF(AND(D657="",C657="",F657=""),"",IF(G657&lt;&gt;"","Void",IF(F657="","Needs child",IF(H657="","Child not found",IF(OR(B657="",NOT(ISNUMBER(C657))),"Needs month/pages","OK")))))</f>
        <v/>
      </c>
      <c r="J657" s="10">
        <f>IF(I657="","",IF(I657="OK",IF(COUNTIFS(H658:H$3001,H657,B658:B$3001,B657,G658:G$3001,"")=0,C657,0),0))</f>
        <v/>
      </c>
    </row>
    <row r="658">
      <c r="A658" s="6" t="n"/>
      <c r="B658" s="9" t="n"/>
      <c r="C658" s="6" t="n"/>
      <c r="D658" s="6" t="n"/>
      <c r="E658" s="6" t="n"/>
      <c r="F658" s="6" t="n"/>
      <c r="G658" s="6" t="n"/>
      <c r="H658" s="10">
        <f>IF(F658="","",IFERROR(INDEX(Roster!$A$2:$A$600,MATCH(F658,Roster!$E$2:$E$600,0)),""))</f>
        <v/>
      </c>
      <c r="I658" s="10">
        <f>IF(AND(D658="",C658="",F658=""),"",IF(G658&lt;&gt;"","Void",IF(F658="","Needs child",IF(H658="","Child not found",IF(OR(B658="",NOT(ISNUMBER(C658))),"Needs month/pages","OK")))))</f>
        <v/>
      </c>
      <c r="J658" s="10">
        <f>IF(I658="","",IF(I658="OK",IF(COUNTIFS(H659:H$3001,H658,B659:B$3001,B658,G659:G$3001,"")=0,C658,0),0))</f>
        <v/>
      </c>
    </row>
    <row r="659">
      <c r="A659" s="6" t="n"/>
      <c r="B659" s="9" t="n"/>
      <c r="C659" s="6" t="n"/>
      <c r="D659" s="6" t="n"/>
      <c r="E659" s="6" t="n"/>
      <c r="F659" s="6" t="n"/>
      <c r="G659" s="6" t="n"/>
      <c r="H659" s="10">
        <f>IF(F659="","",IFERROR(INDEX(Roster!$A$2:$A$600,MATCH(F659,Roster!$E$2:$E$600,0)),""))</f>
        <v/>
      </c>
      <c r="I659" s="10">
        <f>IF(AND(D659="",C659="",F659=""),"",IF(G659&lt;&gt;"","Void",IF(F659="","Needs child",IF(H659="","Child not found",IF(OR(B659="",NOT(ISNUMBER(C659))),"Needs month/pages","OK")))))</f>
        <v/>
      </c>
      <c r="J659" s="10">
        <f>IF(I659="","",IF(I659="OK",IF(COUNTIFS(H660:H$3001,H659,B660:B$3001,B659,G660:G$3001,"")=0,C659,0),0))</f>
        <v/>
      </c>
    </row>
    <row r="660">
      <c r="A660" s="6" t="n"/>
      <c r="B660" s="9" t="n"/>
      <c r="C660" s="6" t="n"/>
      <c r="D660" s="6" t="n"/>
      <c r="E660" s="6" t="n"/>
      <c r="F660" s="6" t="n"/>
      <c r="G660" s="6" t="n"/>
      <c r="H660" s="10">
        <f>IF(F660="","",IFERROR(INDEX(Roster!$A$2:$A$600,MATCH(F660,Roster!$E$2:$E$600,0)),""))</f>
        <v/>
      </c>
      <c r="I660" s="10">
        <f>IF(AND(D660="",C660="",F660=""),"",IF(G660&lt;&gt;"","Void",IF(F660="","Needs child",IF(H660="","Child not found",IF(OR(B660="",NOT(ISNUMBER(C660))),"Needs month/pages","OK")))))</f>
        <v/>
      </c>
      <c r="J660" s="10">
        <f>IF(I660="","",IF(I660="OK",IF(COUNTIFS(H661:H$3001,H660,B661:B$3001,B660,G661:G$3001,"")=0,C660,0),0))</f>
        <v/>
      </c>
    </row>
    <row r="661">
      <c r="A661" s="6" t="n"/>
      <c r="B661" s="9" t="n"/>
      <c r="C661" s="6" t="n"/>
      <c r="D661" s="6" t="n"/>
      <c r="E661" s="6" t="n"/>
      <c r="F661" s="6" t="n"/>
      <c r="G661" s="6" t="n"/>
      <c r="H661" s="10">
        <f>IF(F661="","",IFERROR(INDEX(Roster!$A$2:$A$600,MATCH(F661,Roster!$E$2:$E$600,0)),""))</f>
        <v/>
      </c>
      <c r="I661" s="10">
        <f>IF(AND(D661="",C661="",F661=""),"",IF(G661&lt;&gt;"","Void",IF(F661="","Needs child",IF(H661="","Child not found",IF(OR(B661="",NOT(ISNUMBER(C661))),"Needs month/pages","OK")))))</f>
        <v/>
      </c>
      <c r="J661" s="10">
        <f>IF(I661="","",IF(I661="OK",IF(COUNTIFS(H662:H$3001,H661,B662:B$3001,B661,G662:G$3001,"")=0,C661,0),0))</f>
        <v/>
      </c>
    </row>
    <row r="662">
      <c r="A662" s="6" t="n"/>
      <c r="B662" s="9" t="n"/>
      <c r="C662" s="6" t="n"/>
      <c r="D662" s="6" t="n"/>
      <c r="E662" s="6" t="n"/>
      <c r="F662" s="6" t="n"/>
      <c r="G662" s="6" t="n"/>
      <c r="H662" s="10">
        <f>IF(F662="","",IFERROR(INDEX(Roster!$A$2:$A$600,MATCH(F662,Roster!$E$2:$E$600,0)),""))</f>
        <v/>
      </c>
      <c r="I662" s="10">
        <f>IF(AND(D662="",C662="",F662=""),"",IF(G662&lt;&gt;"","Void",IF(F662="","Needs child",IF(H662="","Child not found",IF(OR(B662="",NOT(ISNUMBER(C662))),"Needs month/pages","OK")))))</f>
        <v/>
      </c>
      <c r="J662" s="10">
        <f>IF(I662="","",IF(I662="OK",IF(COUNTIFS(H663:H$3001,H662,B663:B$3001,B662,G663:G$3001,"")=0,C662,0),0))</f>
        <v/>
      </c>
    </row>
    <row r="663">
      <c r="A663" s="6" t="n"/>
      <c r="B663" s="9" t="n"/>
      <c r="C663" s="6" t="n"/>
      <c r="D663" s="6" t="n"/>
      <c r="E663" s="6" t="n"/>
      <c r="F663" s="6" t="n"/>
      <c r="G663" s="6" t="n"/>
      <c r="H663" s="10">
        <f>IF(F663="","",IFERROR(INDEX(Roster!$A$2:$A$600,MATCH(F663,Roster!$E$2:$E$600,0)),""))</f>
        <v/>
      </c>
      <c r="I663" s="10">
        <f>IF(AND(D663="",C663="",F663=""),"",IF(G663&lt;&gt;"","Void",IF(F663="","Needs child",IF(H663="","Child not found",IF(OR(B663="",NOT(ISNUMBER(C663))),"Needs month/pages","OK")))))</f>
        <v/>
      </c>
      <c r="J663" s="10">
        <f>IF(I663="","",IF(I663="OK",IF(COUNTIFS(H664:H$3001,H663,B664:B$3001,B663,G664:G$3001,"")=0,C663,0),0))</f>
        <v/>
      </c>
    </row>
    <row r="664">
      <c r="A664" s="6" t="n"/>
      <c r="B664" s="9" t="n"/>
      <c r="C664" s="6" t="n"/>
      <c r="D664" s="6" t="n"/>
      <c r="E664" s="6" t="n"/>
      <c r="F664" s="6" t="n"/>
      <c r="G664" s="6" t="n"/>
      <c r="H664" s="10">
        <f>IF(F664="","",IFERROR(INDEX(Roster!$A$2:$A$600,MATCH(F664,Roster!$E$2:$E$600,0)),""))</f>
        <v/>
      </c>
      <c r="I664" s="10">
        <f>IF(AND(D664="",C664="",F664=""),"",IF(G664&lt;&gt;"","Void",IF(F664="","Needs child",IF(H664="","Child not found",IF(OR(B664="",NOT(ISNUMBER(C664))),"Needs month/pages","OK")))))</f>
        <v/>
      </c>
      <c r="J664" s="10">
        <f>IF(I664="","",IF(I664="OK",IF(COUNTIFS(H665:H$3001,H664,B665:B$3001,B664,G665:G$3001,"")=0,C664,0),0))</f>
        <v/>
      </c>
    </row>
    <row r="665">
      <c r="A665" s="6" t="n"/>
      <c r="B665" s="9" t="n"/>
      <c r="C665" s="6" t="n"/>
      <c r="D665" s="6" t="n"/>
      <c r="E665" s="6" t="n"/>
      <c r="F665" s="6" t="n"/>
      <c r="G665" s="6" t="n"/>
      <c r="H665" s="10">
        <f>IF(F665="","",IFERROR(INDEX(Roster!$A$2:$A$600,MATCH(F665,Roster!$E$2:$E$600,0)),""))</f>
        <v/>
      </c>
      <c r="I665" s="10">
        <f>IF(AND(D665="",C665="",F665=""),"",IF(G665&lt;&gt;"","Void",IF(F665="","Needs child",IF(H665="","Child not found",IF(OR(B665="",NOT(ISNUMBER(C665))),"Needs month/pages","OK")))))</f>
        <v/>
      </c>
      <c r="J665" s="10">
        <f>IF(I665="","",IF(I665="OK",IF(COUNTIFS(H666:H$3001,H665,B666:B$3001,B665,G666:G$3001,"")=0,C665,0),0))</f>
        <v/>
      </c>
    </row>
    <row r="666">
      <c r="A666" s="6" t="n"/>
      <c r="B666" s="9" t="n"/>
      <c r="C666" s="6" t="n"/>
      <c r="D666" s="6" t="n"/>
      <c r="E666" s="6" t="n"/>
      <c r="F666" s="6" t="n"/>
      <c r="G666" s="6" t="n"/>
      <c r="H666" s="10">
        <f>IF(F666="","",IFERROR(INDEX(Roster!$A$2:$A$600,MATCH(F666,Roster!$E$2:$E$600,0)),""))</f>
        <v/>
      </c>
      <c r="I666" s="10">
        <f>IF(AND(D666="",C666="",F666=""),"",IF(G666&lt;&gt;"","Void",IF(F666="","Needs child",IF(H666="","Child not found",IF(OR(B666="",NOT(ISNUMBER(C666))),"Needs month/pages","OK")))))</f>
        <v/>
      </c>
      <c r="J666" s="10">
        <f>IF(I666="","",IF(I666="OK",IF(COUNTIFS(H667:H$3001,H666,B667:B$3001,B666,G667:G$3001,"")=0,C666,0),0))</f>
        <v/>
      </c>
    </row>
    <row r="667">
      <c r="A667" s="6" t="n"/>
      <c r="B667" s="9" t="n"/>
      <c r="C667" s="6" t="n"/>
      <c r="D667" s="6" t="n"/>
      <c r="E667" s="6" t="n"/>
      <c r="F667" s="6" t="n"/>
      <c r="G667" s="6" t="n"/>
      <c r="H667" s="10">
        <f>IF(F667="","",IFERROR(INDEX(Roster!$A$2:$A$600,MATCH(F667,Roster!$E$2:$E$600,0)),""))</f>
        <v/>
      </c>
      <c r="I667" s="10">
        <f>IF(AND(D667="",C667="",F667=""),"",IF(G667&lt;&gt;"","Void",IF(F667="","Needs child",IF(H667="","Child not found",IF(OR(B667="",NOT(ISNUMBER(C667))),"Needs month/pages","OK")))))</f>
        <v/>
      </c>
      <c r="J667" s="10">
        <f>IF(I667="","",IF(I667="OK",IF(COUNTIFS(H668:H$3001,H667,B668:B$3001,B667,G668:G$3001,"")=0,C667,0),0))</f>
        <v/>
      </c>
    </row>
    <row r="668">
      <c r="A668" s="6" t="n"/>
      <c r="B668" s="9" t="n"/>
      <c r="C668" s="6" t="n"/>
      <c r="D668" s="6" t="n"/>
      <c r="E668" s="6" t="n"/>
      <c r="F668" s="6" t="n"/>
      <c r="G668" s="6" t="n"/>
      <c r="H668" s="10">
        <f>IF(F668="","",IFERROR(INDEX(Roster!$A$2:$A$600,MATCH(F668,Roster!$E$2:$E$600,0)),""))</f>
        <v/>
      </c>
      <c r="I668" s="10">
        <f>IF(AND(D668="",C668="",F668=""),"",IF(G668&lt;&gt;"","Void",IF(F668="","Needs child",IF(H668="","Child not found",IF(OR(B668="",NOT(ISNUMBER(C668))),"Needs month/pages","OK")))))</f>
        <v/>
      </c>
      <c r="J668" s="10">
        <f>IF(I668="","",IF(I668="OK",IF(COUNTIFS(H669:H$3001,H668,B669:B$3001,B668,G669:G$3001,"")=0,C668,0),0))</f>
        <v/>
      </c>
    </row>
    <row r="669">
      <c r="A669" s="6" t="n"/>
      <c r="B669" s="9" t="n"/>
      <c r="C669" s="6" t="n"/>
      <c r="D669" s="6" t="n"/>
      <c r="E669" s="6" t="n"/>
      <c r="F669" s="6" t="n"/>
      <c r="G669" s="6" t="n"/>
      <c r="H669" s="10">
        <f>IF(F669="","",IFERROR(INDEX(Roster!$A$2:$A$600,MATCH(F669,Roster!$E$2:$E$600,0)),""))</f>
        <v/>
      </c>
      <c r="I669" s="10">
        <f>IF(AND(D669="",C669="",F669=""),"",IF(G669&lt;&gt;"","Void",IF(F669="","Needs child",IF(H669="","Child not found",IF(OR(B669="",NOT(ISNUMBER(C669))),"Needs month/pages","OK")))))</f>
        <v/>
      </c>
      <c r="J669" s="10">
        <f>IF(I669="","",IF(I669="OK",IF(COUNTIFS(H670:H$3001,H669,B670:B$3001,B669,G670:G$3001,"")=0,C669,0),0))</f>
        <v/>
      </c>
    </row>
    <row r="670">
      <c r="A670" s="6" t="n"/>
      <c r="B670" s="9" t="n"/>
      <c r="C670" s="6" t="n"/>
      <c r="D670" s="6" t="n"/>
      <c r="E670" s="6" t="n"/>
      <c r="F670" s="6" t="n"/>
      <c r="G670" s="6" t="n"/>
      <c r="H670" s="10">
        <f>IF(F670="","",IFERROR(INDEX(Roster!$A$2:$A$600,MATCH(F670,Roster!$E$2:$E$600,0)),""))</f>
        <v/>
      </c>
      <c r="I670" s="10">
        <f>IF(AND(D670="",C670="",F670=""),"",IF(G670&lt;&gt;"","Void",IF(F670="","Needs child",IF(H670="","Child not found",IF(OR(B670="",NOT(ISNUMBER(C670))),"Needs month/pages","OK")))))</f>
        <v/>
      </c>
      <c r="J670" s="10">
        <f>IF(I670="","",IF(I670="OK",IF(COUNTIFS(H671:H$3001,H670,B671:B$3001,B670,G671:G$3001,"")=0,C670,0),0))</f>
        <v/>
      </c>
    </row>
    <row r="671">
      <c r="A671" s="6" t="n"/>
      <c r="B671" s="9" t="n"/>
      <c r="C671" s="6" t="n"/>
      <c r="D671" s="6" t="n"/>
      <c r="E671" s="6" t="n"/>
      <c r="F671" s="6" t="n"/>
      <c r="G671" s="6" t="n"/>
      <c r="H671" s="10">
        <f>IF(F671="","",IFERROR(INDEX(Roster!$A$2:$A$600,MATCH(F671,Roster!$E$2:$E$600,0)),""))</f>
        <v/>
      </c>
      <c r="I671" s="10">
        <f>IF(AND(D671="",C671="",F671=""),"",IF(G671&lt;&gt;"","Void",IF(F671="","Needs child",IF(H671="","Child not found",IF(OR(B671="",NOT(ISNUMBER(C671))),"Needs month/pages","OK")))))</f>
        <v/>
      </c>
      <c r="J671" s="10">
        <f>IF(I671="","",IF(I671="OK",IF(COUNTIFS(H672:H$3001,H671,B672:B$3001,B671,G672:G$3001,"")=0,C671,0),0))</f>
        <v/>
      </c>
    </row>
    <row r="672">
      <c r="A672" s="6" t="n"/>
      <c r="B672" s="9" t="n"/>
      <c r="C672" s="6" t="n"/>
      <c r="D672" s="6" t="n"/>
      <c r="E672" s="6" t="n"/>
      <c r="F672" s="6" t="n"/>
      <c r="G672" s="6" t="n"/>
      <c r="H672" s="10">
        <f>IF(F672="","",IFERROR(INDEX(Roster!$A$2:$A$600,MATCH(F672,Roster!$E$2:$E$600,0)),""))</f>
        <v/>
      </c>
      <c r="I672" s="10">
        <f>IF(AND(D672="",C672="",F672=""),"",IF(G672&lt;&gt;"","Void",IF(F672="","Needs child",IF(H672="","Child not found",IF(OR(B672="",NOT(ISNUMBER(C672))),"Needs month/pages","OK")))))</f>
        <v/>
      </c>
      <c r="J672" s="10">
        <f>IF(I672="","",IF(I672="OK",IF(COUNTIFS(H673:H$3001,H672,B673:B$3001,B672,G673:G$3001,"")=0,C672,0),0))</f>
        <v/>
      </c>
    </row>
    <row r="673">
      <c r="A673" s="6" t="n"/>
      <c r="B673" s="9" t="n"/>
      <c r="C673" s="6" t="n"/>
      <c r="D673" s="6" t="n"/>
      <c r="E673" s="6" t="n"/>
      <c r="F673" s="6" t="n"/>
      <c r="G673" s="6" t="n"/>
      <c r="H673" s="10">
        <f>IF(F673="","",IFERROR(INDEX(Roster!$A$2:$A$600,MATCH(F673,Roster!$E$2:$E$600,0)),""))</f>
        <v/>
      </c>
      <c r="I673" s="10">
        <f>IF(AND(D673="",C673="",F673=""),"",IF(G673&lt;&gt;"","Void",IF(F673="","Needs child",IF(H673="","Child not found",IF(OR(B673="",NOT(ISNUMBER(C673))),"Needs month/pages","OK")))))</f>
        <v/>
      </c>
      <c r="J673" s="10">
        <f>IF(I673="","",IF(I673="OK",IF(COUNTIFS(H674:H$3001,H673,B674:B$3001,B673,G674:G$3001,"")=0,C673,0),0))</f>
        <v/>
      </c>
    </row>
    <row r="674">
      <c r="A674" s="6" t="n"/>
      <c r="B674" s="9" t="n"/>
      <c r="C674" s="6" t="n"/>
      <c r="D674" s="6" t="n"/>
      <c r="E674" s="6" t="n"/>
      <c r="F674" s="6" t="n"/>
      <c r="G674" s="6" t="n"/>
      <c r="H674" s="10">
        <f>IF(F674="","",IFERROR(INDEX(Roster!$A$2:$A$600,MATCH(F674,Roster!$E$2:$E$600,0)),""))</f>
        <v/>
      </c>
      <c r="I674" s="10">
        <f>IF(AND(D674="",C674="",F674=""),"",IF(G674&lt;&gt;"","Void",IF(F674="","Needs child",IF(H674="","Child not found",IF(OR(B674="",NOT(ISNUMBER(C674))),"Needs month/pages","OK")))))</f>
        <v/>
      </c>
      <c r="J674" s="10">
        <f>IF(I674="","",IF(I674="OK",IF(COUNTIFS(H675:H$3001,H674,B675:B$3001,B674,G675:G$3001,"")=0,C674,0),0))</f>
        <v/>
      </c>
    </row>
    <row r="675">
      <c r="A675" s="6" t="n"/>
      <c r="B675" s="9" t="n"/>
      <c r="C675" s="6" t="n"/>
      <c r="D675" s="6" t="n"/>
      <c r="E675" s="6" t="n"/>
      <c r="F675" s="6" t="n"/>
      <c r="G675" s="6" t="n"/>
      <c r="H675" s="10">
        <f>IF(F675="","",IFERROR(INDEX(Roster!$A$2:$A$600,MATCH(F675,Roster!$E$2:$E$600,0)),""))</f>
        <v/>
      </c>
      <c r="I675" s="10">
        <f>IF(AND(D675="",C675="",F675=""),"",IF(G675&lt;&gt;"","Void",IF(F675="","Needs child",IF(H675="","Child not found",IF(OR(B675="",NOT(ISNUMBER(C675))),"Needs month/pages","OK")))))</f>
        <v/>
      </c>
      <c r="J675" s="10">
        <f>IF(I675="","",IF(I675="OK",IF(COUNTIFS(H676:H$3001,H675,B676:B$3001,B675,G676:G$3001,"")=0,C675,0),0))</f>
        <v/>
      </c>
    </row>
    <row r="676">
      <c r="A676" s="6" t="n"/>
      <c r="B676" s="9" t="n"/>
      <c r="C676" s="6" t="n"/>
      <c r="D676" s="6" t="n"/>
      <c r="E676" s="6" t="n"/>
      <c r="F676" s="6" t="n"/>
      <c r="G676" s="6" t="n"/>
      <c r="H676" s="10">
        <f>IF(F676="","",IFERROR(INDEX(Roster!$A$2:$A$600,MATCH(F676,Roster!$E$2:$E$600,0)),""))</f>
        <v/>
      </c>
      <c r="I676" s="10">
        <f>IF(AND(D676="",C676="",F676=""),"",IF(G676&lt;&gt;"","Void",IF(F676="","Needs child",IF(H676="","Child not found",IF(OR(B676="",NOT(ISNUMBER(C676))),"Needs month/pages","OK")))))</f>
        <v/>
      </c>
      <c r="J676" s="10">
        <f>IF(I676="","",IF(I676="OK",IF(COUNTIFS(H677:H$3001,H676,B677:B$3001,B676,G677:G$3001,"")=0,C676,0),0))</f>
        <v/>
      </c>
    </row>
    <row r="677">
      <c r="A677" s="6" t="n"/>
      <c r="B677" s="9" t="n"/>
      <c r="C677" s="6" t="n"/>
      <c r="D677" s="6" t="n"/>
      <c r="E677" s="6" t="n"/>
      <c r="F677" s="6" t="n"/>
      <c r="G677" s="6" t="n"/>
      <c r="H677" s="10">
        <f>IF(F677="","",IFERROR(INDEX(Roster!$A$2:$A$600,MATCH(F677,Roster!$E$2:$E$600,0)),""))</f>
        <v/>
      </c>
      <c r="I677" s="10">
        <f>IF(AND(D677="",C677="",F677=""),"",IF(G677&lt;&gt;"","Void",IF(F677="","Needs child",IF(H677="","Child not found",IF(OR(B677="",NOT(ISNUMBER(C677))),"Needs month/pages","OK")))))</f>
        <v/>
      </c>
      <c r="J677" s="10">
        <f>IF(I677="","",IF(I677="OK",IF(COUNTIFS(H678:H$3001,H677,B678:B$3001,B677,G678:G$3001,"")=0,C677,0),0))</f>
        <v/>
      </c>
    </row>
    <row r="678">
      <c r="A678" s="6" t="n"/>
      <c r="B678" s="9" t="n"/>
      <c r="C678" s="6" t="n"/>
      <c r="D678" s="6" t="n"/>
      <c r="E678" s="6" t="n"/>
      <c r="F678" s="6" t="n"/>
      <c r="G678" s="6" t="n"/>
      <c r="H678" s="10">
        <f>IF(F678="","",IFERROR(INDEX(Roster!$A$2:$A$600,MATCH(F678,Roster!$E$2:$E$600,0)),""))</f>
        <v/>
      </c>
      <c r="I678" s="10">
        <f>IF(AND(D678="",C678="",F678=""),"",IF(G678&lt;&gt;"","Void",IF(F678="","Needs child",IF(H678="","Child not found",IF(OR(B678="",NOT(ISNUMBER(C678))),"Needs month/pages","OK")))))</f>
        <v/>
      </c>
      <c r="J678" s="10">
        <f>IF(I678="","",IF(I678="OK",IF(COUNTIFS(H679:H$3001,H678,B679:B$3001,B678,G679:G$3001,"")=0,C678,0),0))</f>
        <v/>
      </c>
    </row>
    <row r="679">
      <c r="A679" s="6" t="n"/>
      <c r="B679" s="9" t="n"/>
      <c r="C679" s="6" t="n"/>
      <c r="D679" s="6" t="n"/>
      <c r="E679" s="6" t="n"/>
      <c r="F679" s="6" t="n"/>
      <c r="G679" s="6" t="n"/>
      <c r="H679" s="10">
        <f>IF(F679="","",IFERROR(INDEX(Roster!$A$2:$A$600,MATCH(F679,Roster!$E$2:$E$600,0)),""))</f>
        <v/>
      </c>
      <c r="I679" s="10">
        <f>IF(AND(D679="",C679="",F679=""),"",IF(G679&lt;&gt;"","Void",IF(F679="","Needs child",IF(H679="","Child not found",IF(OR(B679="",NOT(ISNUMBER(C679))),"Needs month/pages","OK")))))</f>
        <v/>
      </c>
      <c r="J679" s="10">
        <f>IF(I679="","",IF(I679="OK",IF(COUNTIFS(H680:H$3001,H679,B680:B$3001,B679,G680:G$3001,"")=0,C679,0),0))</f>
        <v/>
      </c>
    </row>
    <row r="680">
      <c r="A680" s="6" t="n"/>
      <c r="B680" s="9" t="n"/>
      <c r="C680" s="6" t="n"/>
      <c r="D680" s="6" t="n"/>
      <c r="E680" s="6" t="n"/>
      <c r="F680" s="6" t="n"/>
      <c r="G680" s="6" t="n"/>
      <c r="H680" s="10">
        <f>IF(F680="","",IFERROR(INDEX(Roster!$A$2:$A$600,MATCH(F680,Roster!$E$2:$E$600,0)),""))</f>
        <v/>
      </c>
      <c r="I680" s="10">
        <f>IF(AND(D680="",C680="",F680=""),"",IF(G680&lt;&gt;"","Void",IF(F680="","Needs child",IF(H680="","Child not found",IF(OR(B680="",NOT(ISNUMBER(C680))),"Needs month/pages","OK")))))</f>
        <v/>
      </c>
      <c r="J680" s="10">
        <f>IF(I680="","",IF(I680="OK",IF(COUNTIFS(H681:H$3001,H680,B681:B$3001,B680,G681:G$3001,"")=0,C680,0),0))</f>
        <v/>
      </c>
    </row>
    <row r="681">
      <c r="A681" s="6" t="n"/>
      <c r="B681" s="9" t="n"/>
      <c r="C681" s="6" t="n"/>
      <c r="D681" s="6" t="n"/>
      <c r="E681" s="6" t="n"/>
      <c r="F681" s="6" t="n"/>
      <c r="G681" s="6" t="n"/>
      <c r="H681" s="10">
        <f>IF(F681="","",IFERROR(INDEX(Roster!$A$2:$A$600,MATCH(F681,Roster!$E$2:$E$600,0)),""))</f>
        <v/>
      </c>
      <c r="I681" s="10">
        <f>IF(AND(D681="",C681="",F681=""),"",IF(G681&lt;&gt;"","Void",IF(F681="","Needs child",IF(H681="","Child not found",IF(OR(B681="",NOT(ISNUMBER(C681))),"Needs month/pages","OK")))))</f>
        <v/>
      </c>
      <c r="J681" s="10">
        <f>IF(I681="","",IF(I681="OK",IF(COUNTIFS(H682:H$3001,H681,B682:B$3001,B681,G682:G$3001,"")=0,C681,0),0))</f>
        <v/>
      </c>
    </row>
    <row r="682">
      <c r="A682" s="6" t="n"/>
      <c r="B682" s="9" t="n"/>
      <c r="C682" s="6" t="n"/>
      <c r="D682" s="6" t="n"/>
      <c r="E682" s="6" t="n"/>
      <c r="F682" s="6" t="n"/>
      <c r="G682" s="6" t="n"/>
      <c r="H682" s="10">
        <f>IF(F682="","",IFERROR(INDEX(Roster!$A$2:$A$600,MATCH(F682,Roster!$E$2:$E$600,0)),""))</f>
        <v/>
      </c>
      <c r="I682" s="10">
        <f>IF(AND(D682="",C682="",F682=""),"",IF(G682&lt;&gt;"","Void",IF(F682="","Needs child",IF(H682="","Child not found",IF(OR(B682="",NOT(ISNUMBER(C682))),"Needs month/pages","OK")))))</f>
        <v/>
      </c>
      <c r="J682" s="10">
        <f>IF(I682="","",IF(I682="OK",IF(COUNTIFS(H683:H$3001,H682,B683:B$3001,B682,G683:G$3001,"")=0,C682,0),0))</f>
        <v/>
      </c>
    </row>
    <row r="683">
      <c r="A683" s="6" t="n"/>
      <c r="B683" s="9" t="n"/>
      <c r="C683" s="6" t="n"/>
      <c r="D683" s="6" t="n"/>
      <c r="E683" s="6" t="n"/>
      <c r="F683" s="6" t="n"/>
      <c r="G683" s="6" t="n"/>
      <c r="H683" s="10">
        <f>IF(F683="","",IFERROR(INDEX(Roster!$A$2:$A$600,MATCH(F683,Roster!$E$2:$E$600,0)),""))</f>
        <v/>
      </c>
      <c r="I683" s="10">
        <f>IF(AND(D683="",C683="",F683=""),"",IF(G683&lt;&gt;"","Void",IF(F683="","Needs child",IF(H683="","Child not found",IF(OR(B683="",NOT(ISNUMBER(C683))),"Needs month/pages","OK")))))</f>
        <v/>
      </c>
      <c r="J683" s="10">
        <f>IF(I683="","",IF(I683="OK",IF(COUNTIFS(H684:H$3001,H683,B684:B$3001,B683,G684:G$3001,"")=0,C683,0),0))</f>
        <v/>
      </c>
    </row>
    <row r="684">
      <c r="A684" s="6" t="n"/>
      <c r="B684" s="9" t="n"/>
      <c r="C684" s="6" t="n"/>
      <c r="D684" s="6" t="n"/>
      <c r="E684" s="6" t="n"/>
      <c r="F684" s="6" t="n"/>
      <c r="G684" s="6" t="n"/>
      <c r="H684" s="10">
        <f>IF(F684="","",IFERROR(INDEX(Roster!$A$2:$A$600,MATCH(F684,Roster!$E$2:$E$600,0)),""))</f>
        <v/>
      </c>
      <c r="I684" s="10">
        <f>IF(AND(D684="",C684="",F684=""),"",IF(G684&lt;&gt;"","Void",IF(F684="","Needs child",IF(H684="","Child not found",IF(OR(B684="",NOT(ISNUMBER(C684))),"Needs month/pages","OK")))))</f>
        <v/>
      </c>
      <c r="J684" s="10">
        <f>IF(I684="","",IF(I684="OK",IF(COUNTIFS(H685:H$3001,H684,B685:B$3001,B684,G685:G$3001,"")=0,C684,0),0))</f>
        <v/>
      </c>
    </row>
    <row r="685">
      <c r="A685" s="6" t="n"/>
      <c r="B685" s="9" t="n"/>
      <c r="C685" s="6" t="n"/>
      <c r="D685" s="6" t="n"/>
      <c r="E685" s="6" t="n"/>
      <c r="F685" s="6" t="n"/>
      <c r="G685" s="6" t="n"/>
      <c r="H685" s="10">
        <f>IF(F685="","",IFERROR(INDEX(Roster!$A$2:$A$600,MATCH(F685,Roster!$E$2:$E$600,0)),""))</f>
        <v/>
      </c>
      <c r="I685" s="10">
        <f>IF(AND(D685="",C685="",F685=""),"",IF(G685&lt;&gt;"","Void",IF(F685="","Needs child",IF(H685="","Child not found",IF(OR(B685="",NOT(ISNUMBER(C685))),"Needs month/pages","OK")))))</f>
        <v/>
      </c>
      <c r="J685" s="10">
        <f>IF(I685="","",IF(I685="OK",IF(COUNTIFS(H686:H$3001,H685,B686:B$3001,B685,G686:G$3001,"")=0,C685,0),0))</f>
        <v/>
      </c>
    </row>
    <row r="686">
      <c r="A686" s="6" t="n"/>
      <c r="B686" s="9" t="n"/>
      <c r="C686" s="6" t="n"/>
      <c r="D686" s="6" t="n"/>
      <c r="E686" s="6" t="n"/>
      <c r="F686" s="6" t="n"/>
      <c r="G686" s="6" t="n"/>
      <c r="H686" s="10">
        <f>IF(F686="","",IFERROR(INDEX(Roster!$A$2:$A$600,MATCH(F686,Roster!$E$2:$E$600,0)),""))</f>
        <v/>
      </c>
      <c r="I686" s="10">
        <f>IF(AND(D686="",C686="",F686=""),"",IF(G686&lt;&gt;"","Void",IF(F686="","Needs child",IF(H686="","Child not found",IF(OR(B686="",NOT(ISNUMBER(C686))),"Needs month/pages","OK")))))</f>
        <v/>
      </c>
      <c r="J686" s="10">
        <f>IF(I686="","",IF(I686="OK",IF(COUNTIFS(H687:H$3001,H686,B687:B$3001,B686,G687:G$3001,"")=0,C686,0),0))</f>
        <v/>
      </c>
    </row>
    <row r="687">
      <c r="A687" s="6" t="n"/>
      <c r="B687" s="9" t="n"/>
      <c r="C687" s="6" t="n"/>
      <c r="D687" s="6" t="n"/>
      <c r="E687" s="6" t="n"/>
      <c r="F687" s="6" t="n"/>
      <c r="G687" s="6" t="n"/>
      <c r="H687" s="10">
        <f>IF(F687="","",IFERROR(INDEX(Roster!$A$2:$A$600,MATCH(F687,Roster!$E$2:$E$600,0)),""))</f>
        <v/>
      </c>
      <c r="I687" s="10">
        <f>IF(AND(D687="",C687="",F687=""),"",IF(G687&lt;&gt;"","Void",IF(F687="","Needs child",IF(H687="","Child not found",IF(OR(B687="",NOT(ISNUMBER(C687))),"Needs month/pages","OK")))))</f>
        <v/>
      </c>
      <c r="J687" s="10">
        <f>IF(I687="","",IF(I687="OK",IF(COUNTIFS(H688:H$3001,H687,B688:B$3001,B687,G688:G$3001,"")=0,C687,0),0))</f>
        <v/>
      </c>
    </row>
    <row r="688">
      <c r="A688" s="6" t="n"/>
      <c r="B688" s="9" t="n"/>
      <c r="C688" s="6" t="n"/>
      <c r="D688" s="6" t="n"/>
      <c r="E688" s="6" t="n"/>
      <c r="F688" s="6" t="n"/>
      <c r="G688" s="6" t="n"/>
      <c r="H688" s="10">
        <f>IF(F688="","",IFERROR(INDEX(Roster!$A$2:$A$600,MATCH(F688,Roster!$E$2:$E$600,0)),""))</f>
        <v/>
      </c>
      <c r="I688" s="10">
        <f>IF(AND(D688="",C688="",F688=""),"",IF(G688&lt;&gt;"","Void",IF(F688="","Needs child",IF(H688="","Child not found",IF(OR(B688="",NOT(ISNUMBER(C688))),"Needs month/pages","OK")))))</f>
        <v/>
      </c>
      <c r="J688" s="10">
        <f>IF(I688="","",IF(I688="OK",IF(COUNTIFS(H689:H$3001,H688,B689:B$3001,B688,G689:G$3001,"")=0,C688,0),0))</f>
        <v/>
      </c>
    </row>
    <row r="689">
      <c r="A689" s="6" t="n"/>
      <c r="B689" s="9" t="n"/>
      <c r="C689" s="6" t="n"/>
      <c r="D689" s="6" t="n"/>
      <c r="E689" s="6" t="n"/>
      <c r="F689" s="6" t="n"/>
      <c r="G689" s="6" t="n"/>
      <c r="H689" s="10">
        <f>IF(F689="","",IFERROR(INDEX(Roster!$A$2:$A$600,MATCH(F689,Roster!$E$2:$E$600,0)),""))</f>
        <v/>
      </c>
      <c r="I689" s="10">
        <f>IF(AND(D689="",C689="",F689=""),"",IF(G689&lt;&gt;"","Void",IF(F689="","Needs child",IF(H689="","Child not found",IF(OR(B689="",NOT(ISNUMBER(C689))),"Needs month/pages","OK")))))</f>
        <v/>
      </c>
      <c r="J689" s="10">
        <f>IF(I689="","",IF(I689="OK",IF(COUNTIFS(H690:H$3001,H689,B690:B$3001,B689,G690:G$3001,"")=0,C689,0),0))</f>
        <v/>
      </c>
    </row>
    <row r="690">
      <c r="A690" s="6" t="n"/>
      <c r="B690" s="9" t="n"/>
      <c r="C690" s="6" t="n"/>
      <c r="D690" s="6" t="n"/>
      <c r="E690" s="6" t="n"/>
      <c r="F690" s="6" t="n"/>
      <c r="G690" s="6" t="n"/>
      <c r="H690" s="10">
        <f>IF(F690="","",IFERROR(INDEX(Roster!$A$2:$A$600,MATCH(F690,Roster!$E$2:$E$600,0)),""))</f>
        <v/>
      </c>
      <c r="I690" s="10">
        <f>IF(AND(D690="",C690="",F690=""),"",IF(G690&lt;&gt;"","Void",IF(F690="","Needs child",IF(H690="","Child not found",IF(OR(B690="",NOT(ISNUMBER(C690))),"Needs month/pages","OK")))))</f>
        <v/>
      </c>
      <c r="J690" s="10">
        <f>IF(I690="","",IF(I690="OK",IF(COUNTIFS(H691:H$3001,H690,B691:B$3001,B690,G691:G$3001,"")=0,C690,0),0))</f>
        <v/>
      </c>
    </row>
    <row r="691">
      <c r="A691" s="6" t="n"/>
      <c r="B691" s="9" t="n"/>
      <c r="C691" s="6" t="n"/>
      <c r="D691" s="6" t="n"/>
      <c r="E691" s="6" t="n"/>
      <c r="F691" s="6" t="n"/>
      <c r="G691" s="6" t="n"/>
      <c r="H691" s="10">
        <f>IF(F691="","",IFERROR(INDEX(Roster!$A$2:$A$600,MATCH(F691,Roster!$E$2:$E$600,0)),""))</f>
        <v/>
      </c>
      <c r="I691" s="10">
        <f>IF(AND(D691="",C691="",F691=""),"",IF(G691&lt;&gt;"","Void",IF(F691="","Needs child",IF(H691="","Child not found",IF(OR(B691="",NOT(ISNUMBER(C691))),"Needs month/pages","OK")))))</f>
        <v/>
      </c>
      <c r="J691" s="10">
        <f>IF(I691="","",IF(I691="OK",IF(COUNTIFS(H692:H$3001,H691,B692:B$3001,B691,G692:G$3001,"")=0,C691,0),0))</f>
        <v/>
      </c>
    </row>
    <row r="692">
      <c r="A692" s="6" t="n"/>
      <c r="B692" s="9" t="n"/>
      <c r="C692" s="6" t="n"/>
      <c r="D692" s="6" t="n"/>
      <c r="E692" s="6" t="n"/>
      <c r="F692" s="6" t="n"/>
      <c r="G692" s="6" t="n"/>
      <c r="H692" s="10">
        <f>IF(F692="","",IFERROR(INDEX(Roster!$A$2:$A$600,MATCH(F692,Roster!$E$2:$E$600,0)),""))</f>
        <v/>
      </c>
      <c r="I692" s="10">
        <f>IF(AND(D692="",C692="",F692=""),"",IF(G692&lt;&gt;"","Void",IF(F692="","Needs child",IF(H692="","Child not found",IF(OR(B692="",NOT(ISNUMBER(C692))),"Needs month/pages","OK")))))</f>
        <v/>
      </c>
      <c r="J692" s="10">
        <f>IF(I692="","",IF(I692="OK",IF(COUNTIFS(H693:H$3001,H692,B693:B$3001,B692,G693:G$3001,"")=0,C692,0),0))</f>
        <v/>
      </c>
    </row>
    <row r="693">
      <c r="A693" s="6" t="n"/>
      <c r="B693" s="9" t="n"/>
      <c r="C693" s="6" t="n"/>
      <c r="D693" s="6" t="n"/>
      <c r="E693" s="6" t="n"/>
      <c r="F693" s="6" t="n"/>
      <c r="G693" s="6" t="n"/>
      <c r="H693" s="10">
        <f>IF(F693="","",IFERROR(INDEX(Roster!$A$2:$A$600,MATCH(F693,Roster!$E$2:$E$600,0)),""))</f>
        <v/>
      </c>
      <c r="I693" s="10">
        <f>IF(AND(D693="",C693="",F693=""),"",IF(G693&lt;&gt;"","Void",IF(F693="","Needs child",IF(H693="","Child not found",IF(OR(B693="",NOT(ISNUMBER(C693))),"Needs month/pages","OK")))))</f>
        <v/>
      </c>
      <c r="J693" s="10">
        <f>IF(I693="","",IF(I693="OK",IF(COUNTIFS(H694:H$3001,H693,B694:B$3001,B693,G694:G$3001,"")=0,C693,0),0))</f>
        <v/>
      </c>
    </row>
    <row r="694">
      <c r="A694" s="6" t="n"/>
      <c r="B694" s="9" t="n"/>
      <c r="C694" s="6" t="n"/>
      <c r="D694" s="6" t="n"/>
      <c r="E694" s="6" t="n"/>
      <c r="F694" s="6" t="n"/>
      <c r="G694" s="6" t="n"/>
      <c r="H694" s="10">
        <f>IF(F694="","",IFERROR(INDEX(Roster!$A$2:$A$600,MATCH(F694,Roster!$E$2:$E$600,0)),""))</f>
        <v/>
      </c>
      <c r="I694" s="10">
        <f>IF(AND(D694="",C694="",F694=""),"",IF(G694&lt;&gt;"","Void",IF(F694="","Needs child",IF(H694="","Child not found",IF(OR(B694="",NOT(ISNUMBER(C694))),"Needs month/pages","OK")))))</f>
        <v/>
      </c>
      <c r="J694" s="10">
        <f>IF(I694="","",IF(I694="OK",IF(COUNTIFS(H695:H$3001,H694,B695:B$3001,B694,G695:G$3001,"")=0,C694,0),0))</f>
        <v/>
      </c>
    </row>
    <row r="695">
      <c r="A695" s="6" t="n"/>
      <c r="B695" s="9" t="n"/>
      <c r="C695" s="6" t="n"/>
      <c r="D695" s="6" t="n"/>
      <c r="E695" s="6" t="n"/>
      <c r="F695" s="6" t="n"/>
      <c r="G695" s="6" t="n"/>
      <c r="H695" s="10">
        <f>IF(F695="","",IFERROR(INDEX(Roster!$A$2:$A$600,MATCH(F695,Roster!$E$2:$E$600,0)),""))</f>
        <v/>
      </c>
      <c r="I695" s="10">
        <f>IF(AND(D695="",C695="",F695=""),"",IF(G695&lt;&gt;"","Void",IF(F695="","Needs child",IF(H695="","Child not found",IF(OR(B695="",NOT(ISNUMBER(C695))),"Needs month/pages","OK")))))</f>
        <v/>
      </c>
      <c r="J695" s="10">
        <f>IF(I695="","",IF(I695="OK",IF(COUNTIFS(H696:H$3001,H695,B696:B$3001,B695,G696:G$3001,"")=0,C695,0),0))</f>
        <v/>
      </c>
    </row>
    <row r="696">
      <c r="A696" s="6" t="n"/>
      <c r="B696" s="9" t="n"/>
      <c r="C696" s="6" t="n"/>
      <c r="D696" s="6" t="n"/>
      <c r="E696" s="6" t="n"/>
      <c r="F696" s="6" t="n"/>
      <c r="G696" s="6" t="n"/>
      <c r="H696" s="10">
        <f>IF(F696="","",IFERROR(INDEX(Roster!$A$2:$A$600,MATCH(F696,Roster!$E$2:$E$600,0)),""))</f>
        <v/>
      </c>
      <c r="I696" s="10">
        <f>IF(AND(D696="",C696="",F696=""),"",IF(G696&lt;&gt;"","Void",IF(F696="","Needs child",IF(H696="","Child not found",IF(OR(B696="",NOT(ISNUMBER(C696))),"Needs month/pages","OK")))))</f>
        <v/>
      </c>
      <c r="J696" s="10">
        <f>IF(I696="","",IF(I696="OK",IF(COUNTIFS(H697:H$3001,H696,B697:B$3001,B696,G697:G$3001,"")=0,C696,0),0))</f>
        <v/>
      </c>
    </row>
    <row r="697">
      <c r="A697" s="6" t="n"/>
      <c r="B697" s="9" t="n"/>
      <c r="C697" s="6" t="n"/>
      <c r="D697" s="6" t="n"/>
      <c r="E697" s="6" t="n"/>
      <c r="F697" s="6" t="n"/>
      <c r="G697" s="6" t="n"/>
      <c r="H697" s="10">
        <f>IF(F697="","",IFERROR(INDEX(Roster!$A$2:$A$600,MATCH(F697,Roster!$E$2:$E$600,0)),""))</f>
        <v/>
      </c>
      <c r="I697" s="10">
        <f>IF(AND(D697="",C697="",F697=""),"",IF(G697&lt;&gt;"","Void",IF(F697="","Needs child",IF(H697="","Child not found",IF(OR(B697="",NOT(ISNUMBER(C697))),"Needs month/pages","OK")))))</f>
        <v/>
      </c>
      <c r="J697" s="10">
        <f>IF(I697="","",IF(I697="OK",IF(COUNTIFS(H698:H$3001,H697,B698:B$3001,B697,G698:G$3001,"")=0,C697,0),0))</f>
        <v/>
      </c>
    </row>
    <row r="698">
      <c r="A698" s="6" t="n"/>
      <c r="B698" s="9" t="n"/>
      <c r="C698" s="6" t="n"/>
      <c r="D698" s="6" t="n"/>
      <c r="E698" s="6" t="n"/>
      <c r="F698" s="6" t="n"/>
      <c r="G698" s="6" t="n"/>
      <c r="H698" s="10">
        <f>IF(F698="","",IFERROR(INDEX(Roster!$A$2:$A$600,MATCH(F698,Roster!$E$2:$E$600,0)),""))</f>
        <v/>
      </c>
      <c r="I698" s="10">
        <f>IF(AND(D698="",C698="",F698=""),"",IF(G698&lt;&gt;"","Void",IF(F698="","Needs child",IF(H698="","Child not found",IF(OR(B698="",NOT(ISNUMBER(C698))),"Needs month/pages","OK")))))</f>
        <v/>
      </c>
      <c r="J698" s="10">
        <f>IF(I698="","",IF(I698="OK",IF(COUNTIFS(H699:H$3001,H698,B699:B$3001,B698,G699:G$3001,"")=0,C698,0),0))</f>
        <v/>
      </c>
    </row>
    <row r="699">
      <c r="A699" s="6" t="n"/>
      <c r="B699" s="9" t="n"/>
      <c r="C699" s="6" t="n"/>
      <c r="D699" s="6" t="n"/>
      <c r="E699" s="6" t="n"/>
      <c r="F699" s="6" t="n"/>
      <c r="G699" s="6" t="n"/>
      <c r="H699" s="10">
        <f>IF(F699="","",IFERROR(INDEX(Roster!$A$2:$A$600,MATCH(F699,Roster!$E$2:$E$600,0)),""))</f>
        <v/>
      </c>
      <c r="I699" s="10">
        <f>IF(AND(D699="",C699="",F699=""),"",IF(G699&lt;&gt;"","Void",IF(F699="","Needs child",IF(H699="","Child not found",IF(OR(B699="",NOT(ISNUMBER(C699))),"Needs month/pages","OK")))))</f>
        <v/>
      </c>
      <c r="J699" s="10">
        <f>IF(I699="","",IF(I699="OK",IF(COUNTIFS(H700:H$3001,H699,B700:B$3001,B699,G700:G$3001,"")=0,C699,0),0))</f>
        <v/>
      </c>
    </row>
    <row r="700">
      <c r="A700" s="6" t="n"/>
      <c r="B700" s="9" t="n"/>
      <c r="C700" s="6" t="n"/>
      <c r="D700" s="6" t="n"/>
      <c r="E700" s="6" t="n"/>
      <c r="F700" s="6" t="n"/>
      <c r="G700" s="6" t="n"/>
      <c r="H700" s="10">
        <f>IF(F700="","",IFERROR(INDEX(Roster!$A$2:$A$600,MATCH(F700,Roster!$E$2:$E$600,0)),""))</f>
        <v/>
      </c>
      <c r="I700" s="10">
        <f>IF(AND(D700="",C700="",F700=""),"",IF(G700&lt;&gt;"","Void",IF(F700="","Needs child",IF(H700="","Child not found",IF(OR(B700="",NOT(ISNUMBER(C700))),"Needs month/pages","OK")))))</f>
        <v/>
      </c>
      <c r="J700" s="10">
        <f>IF(I700="","",IF(I700="OK",IF(COUNTIFS(H701:H$3001,H700,B701:B$3001,B700,G701:G$3001,"")=0,C700,0),0))</f>
        <v/>
      </c>
    </row>
    <row r="701">
      <c r="A701" s="6" t="n"/>
      <c r="B701" s="9" t="n"/>
      <c r="C701" s="6" t="n"/>
      <c r="D701" s="6" t="n"/>
      <c r="E701" s="6" t="n"/>
      <c r="F701" s="6" t="n"/>
      <c r="G701" s="6" t="n"/>
      <c r="H701" s="10">
        <f>IF(F701="","",IFERROR(INDEX(Roster!$A$2:$A$600,MATCH(F701,Roster!$E$2:$E$600,0)),""))</f>
        <v/>
      </c>
      <c r="I701" s="10">
        <f>IF(AND(D701="",C701="",F701=""),"",IF(G701&lt;&gt;"","Void",IF(F701="","Needs child",IF(H701="","Child not found",IF(OR(B701="",NOT(ISNUMBER(C701))),"Needs month/pages","OK")))))</f>
        <v/>
      </c>
      <c r="J701" s="10">
        <f>IF(I701="","",IF(I701="OK",IF(COUNTIFS(H702:H$3001,H701,B702:B$3001,B701,G702:G$3001,"")=0,C701,0),0))</f>
        <v/>
      </c>
    </row>
    <row r="702">
      <c r="A702" s="6" t="n"/>
      <c r="B702" s="9" t="n"/>
      <c r="C702" s="6" t="n"/>
      <c r="D702" s="6" t="n"/>
      <c r="E702" s="6" t="n"/>
      <c r="F702" s="6" t="n"/>
      <c r="G702" s="6" t="n"/>
      <c r="H702" s="10">
        <f>IF(F702="","",IFERROR(INDEX(Roster!$A$2:$A$600,MATCH(F702,Roster!$E$2:$E$600,0)),""))</f>
        <v/>
      </c>
      <c r="I702" s="10">
        <f>IF(AND(D702="",C702="",F702=""),"",IF(G702&lt;&gt;"","Void",IF(F702="","Needs child",IF(H702="","Child not found",IF(OR(B702="",NOT(ISNUMBER(C702))),"Needs month/pages","OK")))))</f>
        <v/>
      </c>
      <c r="J702" s="10">
        <f>IF(I702="","",IF(I702="OK",IF(COUNTIFS(H703:H$3001,H702,B703:B$3001,B702,G703:G$3001,"")=0,C702,0),0))</f>
        <v/>
      </c>
    </row>
    <row r="703">
      <c r="A703" s="6" t="n"/>
      <c r="B703" s="9" t="n"/>
      <c r="C703" s="6" t="n"/>
      <c r="D703" s="6" t="n"/>
      <c r="E703" s="6" t="n"/>
      <c r="F703" s="6" t="n"/>
      <c r="G703" s="6" t="n"/>
      <c r="H703" s="10">
        <f>IF(F703="","",IFERROR(INDEX(Roster!$A$2:$A$600,MATCH(F703,Roster!$E$2:$E$600,0)),""))</f>
        <v/>
      </c>
      <c r="I703" s="10">
        <f>IF(AND(D703="",C703="",F703=""),"",IF(G703&lt;&gt;"","Void",IF(F703="","Needs child",IF(H703="","Child not found",IF(OR(B703="",NOT(ISNUMBER(C703))),"Needs month/pages","OK")))))</f>
        <v/>
      </c>
      <c r="J703" s="10">
        <f>IF(I703="","",IF(I703="OK",IF(COUNTIFS(H704:H$3001,H703,B704:B$3001,B703,G704:G$3001,"")=0,C703,0),0))</f>
        <v/>
      </c>
    </row>
    <row r="704">
      <c r="A704" s="6" t="n"/>
      <c r="B704" s="9" t="n"/>
      <c r="C704" s="6" t="n"/>
      <c r="D704" s="6" t="n"/>
      <c r="E704" s="6" t="n"/>
      <c r="F704" s="6" t="n"/>
      <c r="G704" s="6" t="n"/>
      <c r="H704" s="10">
        <f>IF(F704="","",IFERROR(INDEX(Roster!$A$2:$A$600,MATCH(F704,Roster!$E$2:$E$600,0)),""))</f>
        <v/>
      </c>
      <c r="I704" s="10">
        <f>IF(AND(D704="",C704="",F704=""),"",IF(G704&lt;&gt;"","Void",IF(F704="","Needs child",IF(H704="","Child not found",IF(OR(B704="",NOT(ISNUMBER(C704))),"Needs month/pages","OK")))))</f>
        <v/>
      </c>
      <c r="J704" s="10">
        <f>IF(I704="","",IF(I704="OK",IF(COUNTIFS(H705:H$3001,H704,B705:B$3001,B704,G705:G$3001,"")=0,C704,0),0))</f>
        <v/>
      </c>
    </row>
    <row r="705">
      <c r="A705" s="6" t="n"/>
      <c r="B705" s="9" t="n"/>
      <c r="C705" s="6" t="n"/>
      <c r="D705" s="6" t="n"/>
      <c r="E705" s="6" t="n"/>
      <c r="F705" s="6" t="n"/>
      <c r="G705" s="6" t="n"/>
      <c r="H705" s="10">
        <f>IF(F705="","",IFERROR(INDEX(Roster!$A$2:$A$600,MATCH(F705,Roster!$E$2:$E$600,0)),""))</f>
        <v/>
      </c>
      <c r="I705" s="10">
        <f>IF(AND(D705="",C705="",F705=""),"",IF(G705&lt;&gt;"","Void",IF(F705="","Needs child",IF(H705="","Child not found",IF(OR(B705="",NOT(ISNUMBER(C705))),"Needs month/pages","OK")))))</f>
        <v/>
      </c>
      <c r="J705" s="10">
        <f>IF(I705="","",IF(I705="OK",IF(COUNTIFS(H706:H$3001,H705,B706:B$3001,B705,G706:G$3001,"")=0,C705,0),0))</f>
        <v/>
      </c>
    </row>
    <row r="706">
      <c r="A706" s="6" t="n"/>
      <c r="B706" s="9" t="n"/>
      <c r="C706" s="6" t="n"/>
      <c r="D706" s="6" t="n"/>
      <c r="E706" s="6" t="n"/>
      <c r="F706" s="6" t="n"/>
      <c r="G706" s="6" t="n"/>
      <c r="H706" s="10">
        <f>IF(F706="","",IFERROR(INDEX(Roster!$A$2:$A$600,MATCH(F706,Roster!$E$2:$E$600,0)),""))</f>
        <v/>
      </c>
      <c r="I706" s="10">
        <f>IF(AND(D706="",C706="",F706=""),"",IF(G706&lt;&gt;"","Void",IF(F706="","Needs child",IF(H706="","Child not found",IF(OR(B706="",NOT(ISNUMBER(C706))),"Needs month/pages","OK")))))</f>
        <v/>
      </c>
      <c r="J706" s="10">
        <f>IF(I706="","",IF(I706="OK",IF(COUNTIFS(H707:H$3001,H706,B707:B$3001,B706,G707:G$3001,"")=0,C706,0),0))</f>
        <v/>
      </c>
    </row>
    <row r="707">
      <c r="A707" s="6" t="n"/>
      <c r="B707" s="9" t="n"/>
      <c r="C707" s="6" t="n"/>
      <c r="D707" s="6" t="n"/>
      <c r="E707" s="6" t="n"/>
      <c r="F707" s="6" t="n"/>
      <c r="G707" s="6" t="n"/>
      <c r="H707" s="10">
        <f>IF(F707="","",IFERROR(INDEX(Roster!$A$2:$A$600,MATCH(F707,Roster!$E$2:$E$600,0)),""))</f>
        <v/>
      </c>
      <c r="I707" s="10">
        <f>IF(AND(D707="",C707="",F707=""),"",IF(G707&lt;&gt;"","Void",IF(F707="","Needs child",IF(H707="","Child not found",IF(OR(B707="",NOT(ISNUMBER(C707))),"Needs month/pages","OK")))))</f>
        <v/>
      </c>
      <c r="J707" s="10">
        <f>IF(I707="","",IF(I707="OK",IF(COUNTIFS(H708:H$3001,H707,B708:B$3001,B707,G708:G$3001,"")=0,C707,0),0))</f>
        <v/>
      </c>
    </row>
    <row r="708">
      <c r="A708" s="6" t="n"/>
      <c r="B708" s="9" t="n"/>
      <c r="C708" s="6" t="n"/>
      <c r="D708" s="6" t="n"/>
      <c r="E708" s="6" t="n"/>
      <c r="F708" s="6" t="n"/>
      <c r="G708" s="6" t="n"/>
      <c r="H708" s="10">
        <f>IF(F708="","",IFERROR(INDEX(Roster!$A$2:$A$600,MATCH(F708,Roster!$E$2:$E$600,0)),""))</f>
        <v/>
      </c>
      <c r="I708" s="10">
        <f>IF(AND(D708="",C708="",F708=""),"",IF(G708&lt;&gt;"","Void",IF(F708="","Needs child",IF(H708="","Child not found",IF(OR(B708="",NOT(ISNUMBER(C708))),"Needs month/pages","OK")))))</f>
        <v/>
      </c>
      <c r="J708" s="10">
        <f>IF(I708="","",IF(I708="OK",IF(COUNTIFS(H709:H$3001,H708,B709:B$3001,B708,G709:G$3001,"")=0,C708,0),0))</f>
        <v/>
      </c>
    </row>
    <row r="709">
      <c r="A709" s="6" t="n"/>
      <c r="B709" s="9" t="n"/>
      <c r="C709" s="6" t="n"/>
      <c r="D709" s="6" t="n"/>
      <c r="E709" s="6" t="n"/>
      <c r="F709" s="6" t="n"/>
      <c r="G709" s="6" t="n"/>
      <c r="H709" s="10">
        <f>IF(F709="","",IFERROR(INDEX(Roster!$A$2:$A$600,MATCH(F709,Roster!$E$2:$E$600,0)),""))</f>
        <v/>
      </c>
      <c r="I709" s="10">
        <f>IF(AND(D709="",C709="",F709=""),"",IF(G709&lt;&gt;"","Void",IF(F709="","Needs child",IF(H709="","Child not found",IF(OR(B709="",NOT(ISNUMBER(C709))),"Needs month/pages","OK")))))</f>
        <v/>
      </c>
      <c r="J709" s="10">
        <f>IF(I709="","",IF(I709="OK",IF(COUNTIFS(H710:H$3001,H709,B710:B$3001,B709,G710:G$3001,"")=0,C709,0),0))</f>
        <v/>
      </c>
    </row>
    <row r="710">
      <c r="A710" s="6" t="n"/>
      <c r="B710" s="9" t="n"/>
      <c r="C710" s="6" t="n"/>
      <c r="D710" s="6" t="n"/>
      <c r="E710" s="6" t="n"/>
      <c r="F710" s="6" t="n"/>
      <c r="G710" s="6" t="n"/>
      <c r="H710" s="10">
        <f>IF(F710="","",IFERROR(INDEX(Roster!$A$2:$A$600,MATCH(F710,Roster!$E$2:$E$600,0)),""))</f>
        <v/>
      </c>
      <c r="I710" s="10">
        <f>IF(AND(D710="",C710="",F710=""),"",IF(G710&lt;&gt;"","Void",IF(F710="","Needs child",IF(H710="","Child not found",IF(OR(B710="",NOT(ISNUMBER(C710))),"Needs month/pages","OK")))))</f>
        <v/>
      </c>
      <c r="J710" s="10">
        <f>IF(I710="","",IF(I710="OK",IF(COUNTIFS(H711:H$3001,H710,B711:B$3001,B710,G711:G$3001,"")=0,C710,0),0))</f>
        <v/>
      </c>
    </row>
    <row r="711">
      <c r="A711" s="6" t="n"/>
      <c r="B711" s="9" t="n"/>
      <c r="C711" s="6" t="n"/>
      <c r="D711" s="6" t="n"/>
      <c r="E711" s="6" t="n"/>
      <c r="F711" s="6" t="n"/>
      <c r="G711" s="6" t="n"/>
      <c r="H711" s="10">
        <f>IF(F711="","",IFERROR(INDEX(Roster!$A$2:$A$600,MATCH(F711,Roster!$E$2:$E$600,0)),""))</f>
        <v/>
      </c>
      <c r="I711" s="10">
        <f>IF(AND(D711="",C711="",F711=""),"",IF(G711&lt;&gt;"","Void",IF(F711="","Needs child",IF(H711="","Child not found",IF(OR(B711="",NOT(ISNUMBER(C711))),"Needs month/pages","OK")))))</f>
        <v/>
      </c>
      <c r="J711" s="10">
        <f>IF(I711="","",IF(I711="OK",IF(COUNTIFS(H712:H$3001,H711,B712:B$3001,B711,G712:G$3001,"")=0,C711,0),0))</f>
        <v/>
      </c>
    </row>
    <row r="712">
      <c r="A712" s="6" t="n"/>
      <c r="B712" s="9" t="n"/>
      <c r="C712" s="6" t="n"/>
      <c r="D712" s="6" t="n"/>
      <c r="E712" s="6" t="n"/>
      <c r="F712" s="6" t="n"/>
      <c r="G712" s="6" t="n"/>
      <c r="H712" s="10">
        <f>IF(F712="","",IFERROR(INDEX(Roster!$A$2:$A$600,MATCH(F712,Roster!$E$2:$E$600,0)),""))</f>
        <v/>
      </c>
      <c r="I712" s="10">
        <f>IF(AND(D712="",C712="",F712=""),"",IF(G712&lt;&gt;"","Void",IF(F712="","Needs child",IF(H712="","Child not found",IF(OR(B712="",NOT(ISNUMBER(C712))),"Needs month/pages","OK")))))</f>
        <v/>
      </c>
      <c r="J712" s="10">
        <f>IF(I712="","",IF(I712="OK",IF(COUNTIFS(H713:H$3001,H712,B713:B$3001,B712,G713:G$3001,"")=0,C712,0),0))</f>
        <v/>
      </c>
    </row>
    <row r="713">
      <c r="A713" s="6" t="n"/>
      <c r="B713" s="9" t="n"/>
      <c r="C713" s="6" t="n"/>
      <c r="D713" s="6" t="n"/>
      <c r="E713" s="6" t="n"/>
      <c r="F713" s="6" t="n"/>
      <c r="G713" s="6" t="n"/>
      <c r="H713" s="10">
        <f>IF(F713="","",IFERROR(INDEX(Roster!$A$2:$A$600,MATCH(F713,Roster!$E$2:$E$600,0)),""))</f>
        <v/>
      </c>
      <c r="I713" s="10">
        <f>IF(AND(D713="",C713="",F713=""),"",IF(G713&lt;&gt;"","Void",IF(F713="","Needs child",IF(H713="","Child not found",IF(OR(B713="",NOT(ISNUMBER(C713))),"Needs month/pages","OK")))))</f>
        <v/>
      </c>
      <c r="J713" s="10">
        <f>IF(I713="","",IF(I713="OK",IF(COUNTIFS(H714:H$3001,H713,B714:B$3001,B713,G714:G$3001,"")=0,C713,0),0))</f>
        <v/>
      </c>
    </row>
    <row r="714">
      <c r="A714" s="6" t="n"/>
      <c r="B714" s="9" t="n"/>
      <c r="C714" s="6" t="n"/>
      <c r="D714" s="6" t="n"/>
      <c r="E714" s="6" t="n"/>
      <c r="F714" s="6" t="n"/>
      <c r="G714" s="6" t="n"/>
      <c r="H714" s="10">
        <f>IF(F714="","",IFERROR(INDEX(Roster!$A$2:$A$600,MATCH(F714,Roster!$E$2:$E$600,0)),""))</f>
        <v/>
      </c>
      <c r="I714" s="10">
        <f>IF(AND(D714="",C714="",F714=""),"",IF(G714&lt;&gt;"","Void",IF(F714="","Needs child",IF(H714="","Child not found",IF(OR(B714="",NOT(ISNUMBER(C714))),"Needs month/pages","OK")))))</f>
        <v/>
      </c>
      <c r="J714" s="10">
        <f>IF(I714="","",IF(I714="OK",IF(COUNTIFS(H715:H$3001,H714,B715:B$3001,B714,G715:G$3001,"")=0,C714,0),0))</f>
        <v/>
      </c>
    </row>
    <row r="715">
      <c r="A715" s="6" t="n"/>
      <c r="B715" s="9" t="n"/>
      <c r="C715" s="6" t="n"/>
      <c r="D715" s="6" t="n"/>
      <c r="E715" s="6" t="n"/>
      <c r="F715" s="6" t="n"/>
      <c r="G715" s="6" t="n"/>
      <c r="H715" s="10">
        <f>IF(F715="","",IFERROR(INDEX(Roster!$A$2:$A$600,MATCH(F715,Roster!$E$2:$E$600,0)),""))</f>
        <v/>
      </c>
      <c r="I715" s="10">
        <f>IF(AND(D715="",C715="",F715=""),"",IF(G715&lt;&gt;"","Void",IF(F715="","Needs child",IF(H715="","Child not found",IF(OR(B715="",NOT(ISNUMBER(C715))),"Needs month/pages","OK")))))</f>
        <v/>
      </c>
      <c r="J715" s="10">
        <f>IF(I715="","",IF(I715="OK",IF(COUNTIFS(H716:H$3001,H715,B716:B$3001,B715,G716:G$3001,"")=0,C715,0),0))</f>
        <v/>
      </c>
    </row>
    <row r="716">
      <c r="A716" s="6" t="n"/>
      <c r="B716" s="9" t="n"/>
      <c r="C716" s="6" t="n"/>
      <c r="D716" s="6" t="n"/>
      <c r="E716" s="6" t="n"/>
      <c r="F716" s="6" t="n"/>
      <c r="G716" s="6" t="n"/>
      <c r="H716" s="10">
        <f>IF(F716="","",IFERROR(INDEX(Roster!$A$2:$A$600,MATCH(F716,Roster!$E$2:$E$600,0)),""))</f>
        <v/>
      </c>
      <c r="I716" s="10">
        <f>IF(AND(D716="",C716="",F716=""),"",IF(G716&lt;&gt;"","Void",IF(F716="","Needs child",IF(H716="","Child not found",IF(OR(B716="",NOT(ISNUMBER(C716))),"Needs month/pages","OK")))))</f>
        <v/>
      </c>
      <c r="J716" s="10">
        <f>IF(I716="","",IF(I716="OK",IF(COUNTIFS(H717:H$3001,H716,B717:B$3001,B716,G717:G$3001,"")=0,C716,0),0))</f>
        <v/>
      </c>
    </row>
    <row r="717">
      <c r="A717" s="6" t="n"/>
      <c r="B717" s="9" t="n"/>
      <c r="C717" s="6" t="n"/>
      <c r="D717" s="6" t="n"/>
      <c r="E717" s="6" t="n"/>
      <c r="F717" s="6" t="n"/>
      <c r="G717" s="6" t="n"/>
      <c r="H717" s="10">
        <f>IF(F717="","",IFERROR(INDEX(Roster!$A$2:$A$600,MATCH(F717,Roster!$E$2:$E$600,0)),""))</f>
        <v/>
      </c>
      <c r="I717" s="10">
        <f>IF(AND(D717="",C717="",F717=""),"",IF(G717&lt;&gt;"","Void",IF(F717="","Needs child",IF(H717="","Child not found",IF(OR(B717="",NOT(ISNUMBER(C717))),"Needs month/pages","OK")))))</f>
        <v/>
      </c>
      <c r="J717" s="10">
        <f>IF(I717="","",IF(I717="OK",IF(COUNTIFS(H718:H$3001,H717,B718:B$3001,B717,G718:G$3001,"")=0,C717,0),0))</f>
        <v/>
      </c>
    </row>
    <row r="718">
      <c r="A718" s="6" t="n"/>
      <c r="B718" s="9" t="n"/>
      <c r="C718" s="6" t="n"/>
      <c r="D718" s="6" t="n"/>
      <c r="E718" s="6" t="n"/>
      <c r="F718" s="6" t="n"/>
      <c r="G718" s="6" t="n"/>
      <c r="H718" s="10">
        <f>IF(F718="","",IFERROR(INDEX(Roster!$A$2:$A$600,MATCH(F718,Roster!$E$2:$E$600,0)),""))</f>
        <v/>
      </c>
      <c r="I718" s="10">
        <f>IF(AND(D718="",C718="",F718=""),"",IF(G718&lt;&gt;"","Void",IF(F718="","Needs child",IF(H718="","Child not found",IF(OR(B718="",NOT(ISNUMBER(C718))),"Needs month/pages","OK")))))</f>
        <v/>
      </c>
      <c r="J718" s="10">
        <f>IF(I718="","",IF(I718="OK",IF(COUNTIFS(H719:H$3001,H718,B719:B$3001,B718,G719:G$3001,"")=0,C718,0),0))</f>
        <v/>
      </c>
    </row>
    <row r="719">
      <c r="A719" s="6" t="n"/>
      <c r="B719" s="9" t="n"/>
      <c r="C719" s="6" t="n"/>
      <c r="D719" s="6" t="n"/>
      <c r="E719" s="6" t="n"/>
      <c r="F719" s="6" t="n"/>
      <c r="G719" s="6" t="n"/>
      <c r="H719" s="10">
        <f>IF(F719="","",IFERROR(INDEX(Roster!$A$2:$A$600,MATCH(F719,Roster!$E$2:$E$600,0)),""))</f>
        <v/>
      </c>
      <c r="I719" s="10">
        <f>IF(AND(D719="",C719="",F719=""),"",IF(G719&lt;&gt;"","Void",IF(F719="","Needs child",IF(H719="","Child not found",IF(OR(B719="",NOT(ISNUMBER(C719))),"Needs month/pages","OK")))))</f>
        <v/>
      </c>
      <c r="J719" s="10">
        <f>IF(I719="","",IF(I719="OK",IF(COUNTIFS(H720:H$3001,H719,B720:B$3001,B719,G720:G$3001,"")=0,C719,0),0))</f>
        <v/>
      </c>
    </row>
    <row r="720">
      <c r="A720" s="6" t="n"/>
      <c r="B720" s="9" t="n"/>
      <c r="C720" s="6" t="n"/>
      <c r="D720" s="6" t="n"/>
      <c r="E720" s="6" t="n"/>
      <c r="F720" s="6" t="n"/>
      <c r="G720" s="6" t="n"/>
      <c r="H720" s="10">
        <f>IF(F720="","",IFERROR(INDEX(Roster!$A$2:$A$600,MATCH(F720,Roster!$E$2:$E$600,0)),""))</f>
        <v/>
      </c>
      <c r="I720" s="10">
        <f>IF(AND(D720="",C720="",F720=""),"",IF(G720&lt;&gt;"","Void",IF(F720="","Needs child",IF(H720="","Child not found",IF(OR(B720="",NOT(ISNUMBER(C720))),"Needs month/pages","OK")))))</f>
        <v/>
      </c>
      <c r="J720" s="10">
        <f>IF(I720="","",IF(I720="OK",IF(COUNTIFS(H721:H$3001,H720,B721:B$3001,B720,G721:G$3001,"")=0,C720,0),0))</f>
        <v/>
      </c>
    </row>
    <row r="721">
      <c r="A721" s="6" t="n"/>
      <c r="B721" s="9" t="n"/>
      <c r="C721" s="6" t="n"/>
      <c r="D721" s="6" t="n"/>
      <c r="E721" s="6" t="n"/>
      <c r="F721" s="6" t="n"/>
      <c r="G721" s="6" t="n"/>
      <c r="H721" s="10">
        <f>IF(F721="","",IFERROR(INDEX(Roster!$A$2:$A$600,MATCH(F721,Roster!$E$2:$E$600,0)),""))</f>
        <v/>
      </c>
      <c r="I721" s="10">
        <f>IF(AND(D721="",C721="",F721=""),"",IF(G721&lt;&gt;"","Void",IF(F721="","Needs child",IF(H721="","Child not found",IF(OR(B721="",NOT(ISNUMBER(C721))),"Needs month/pages","OK")))))</f>
        <v/>
      </c>
      <c r="J721" s="10">
        <f>IF(I721="","",IF(I721="OK",IF(COUNTIFS(H722:H$3001,H721,B722:B$3001,B721,G722:G$3001,"")=0,C721,0),0))</f>
        <v/>
      </c>
    </row>
    <row r="722">
      <c r="A722" s="6" t="n"/>
      <c r="B722" s="9" t="n"/>
      <c r="C722" s="6" t="n"/>
      <c r="D722" s="6" t="n"/>
      <c r="E722" s="6" t="n"/>
      <c r="F722" s="6" t="n"/>
      <c r="G722" s="6" t="n"/>
      <c r="H722" s="10">
        <f>IF(F722="","",IFERROR(INDEX(Roster!$A$2:$A$600,MATCH(F722,Roster!$E$2:$E$600,0)),""))</f>
        <v/>
      </c>
      <c r="I722" s="10">
        <f>IF(AND(D722="",C722="",F722=""),"",IF(G722&lt;&gt;"","Void",IF(F722="","Needs child",IF(H722="","Child not found",IF(OR(B722="",NOT(ISNUMBER(C722))),"Needs month/pages","OK")))))</f>
        <v/>
      </c>
      <c r="J722" s="10">
        <f>IF(I722="","",IF(I722="OK",IF(COUNTIFS(H723:H$3001,H722,B723:B$3001,B722,G723:G$3001,"")=0,C722,0),0))</f>
        <v/>
      </c>
    </row>
    <row r="723">
      <c r="A723" s="6" t="n"/>
      <c r="B723" s="9" t="n"/>
      <c r="C723" s="6" t="n"/>
      <c r="D723" s="6" t="n"/>
      <c r="E723" s="6" t="n"/>
      <c r="F723" s="6" t="n"/>
      <c r="G723" s="6" t="n"/>
      <c r="H723" s="10">
        <f>IF(F723="","",IFERROR(INDEX(Roster!$A$2:$A$600,MATCH(F723,Roster!$E$2:$E$600,0)),""))</f>
        <v/>
      </c>
      <c r="I723" s="10">
        <f>IF(AND(D723="",C723="",F723=""),"",IF(G723&lt;&gt;"","Void",IF(F723="","Needs child",IF(H723="","Child not found",IF(OR(B723="",NOT(ISNUMBER(C723))),"Needs month/pages","OK")))))</f>
        <v/>
      </c>
      <c r="J723" s="10">
        <f>IF(I723="","",IF(I723="OK",IF(COUNTIFS(H724:H$3001,H723,B724:B$3001,B723,G724:G$3001,"")=0,C723,0),0))</f>
        <v/>
      </c>
    </row>
    <row r="724">
      <c r="A724" s="6" t="n"/>
      <c r="B724" s="9" t="n"/>
      <c r="C724" s="6" t="n"/>
      <c r="D724" s="6" t="n"/>
      <c r="E724" s="6" t="n"/>
      <c r="F724" s="6" t="n"/>
      <c r="G724" s="6" t="n"/>
      <c r="H724" s="10">
        <f>IF(F724="","",IFERROR(INDEX(Roster!$A$2:$A$600,MATCH(F724,Roster!$E$2:$E$600,0)),""))</f>
        <v/>
      </c>
      <c r="I724" s="10">
        <f>IF(AND(D724="",C724="",F724=""),"",IF(G724&lt;&gt;"","Void",IF(F724="","Needs child",IF(H724="","Child not found",IF(OR(B724="",NOT(ISNUMBER(C724))),"Needs month/pages","OK")))))</f>
        <v/>
      </c>
      <c r="J724" s="10">
        <f>IF(I724="","",IF(I724="OK",IF(COUNTIFS(H725:H$3001,H724,B725:B$3001,B724,G725:G$3001,"")=0,C724,0),0))</f>
        <v/>
      </c>
    </row>
    <row r="725">
      <c r="A725" s="6" t="n"/>
      <c r="B725" s="9" t="n"/>
      <c r="C725" s="6" t="n"/>
      <c r="D725" s="6" t="n"/>
      <c r="E725" s="6" t="n"/>
      <c r="F725" s="6" t="n"/>
      <c r="G725" s="6" t="n"/>
      <c r="H725" s="10">
        <f>IF(F725="","",IFERROR(INDEX(Roster!$A$2:$A$600,MATCH(F725,Roster!$E$2:$E$600,0)),""))</f>
        <v/>
      </c>
      <c r="I725" s="10">
        <f>IF(AND(D725="",C725="",F725=""),"",IF(G725&lt;&gt;"","Void",IF(F725="","Needs child",IF(H725="","Child not found",IF(OR(B725="",NOT(ISNUMBER(C725))),"Needs month/pages","OK")))))</f>
        <v/>
      </c>
      <c r="J725" s="10">
        <f>IF(I725="","",IF(I725="OK",IF(COUNTIFS(H726:H$3001,H725,B726:B$3001,B725,G726:G$3001,"")=0,C725,0),0))</f>
        <v/>
      </c>
    </row>
    <row r="726">
      <c r="A726" s="6" t="n"/>
      <c r="B726" s="9" t="n"/>
      <c r="C726" s="6" t="n"/>
      <c r="D726" s="6" t="n"/>
      <c r="E726" s="6" t="n"/>
      <c r="F726" s="6" t="n"/>
      <c r="G726" s="6" t="n"/>
      <c r="H726" s="10">
        <f>IF(F726="","",IFERROR(INDEX(Roster!$A$2:$A$600,MATCH(F726,Roster!$E$2:$E$600,0)),""))</f>
        <v/>
      </c>
      <c r="I726" s="10">
        <f>IF(AND(D726="",C726="",F726=""),"",IF(G726&lt;&gt;"","Void",IF(F726="","Needs child",IF(H726="","Child not found",IF(OR(B726="",NOT(ISNUMBER(C726))),"Needs month/pages","OK")))))</f>
        <v/>
      </c>
      <c r="J726" s="10">
        <f>IF(I726="","",IF(I726="OK",IF(COUNTIFS(H727:H$3001,H726,B727:B$3001,B726,G727:G$3001,"")=0,C726,0),0))</f>
        <v/>
      </c>
    </row>
    <row r="727">
      <c r="A727" s="6" t="n"/>
      <c r="B727" s="9" t="n"/>
      <c r="C727" s="6" t="n"/>
      <c r="D727" s="6" t="n"/>
      <c r="E727" s="6" t="n"/>
      <c r="F727" s="6" t="n"/>
      <c r="G727" s="6" t="n"/>
      <c r="H727" s="10">
        <f>IF(F727="","",IFERROR(INDEX(Roster!$A$2:$A$600,MATCH(F727,Roster!$E$2:$E$600,0)),""))</f>
        <v/>
      </c>
      <c r="I727" s="10">
        <f>IF(AND(D727="",C727="",F727=""),"",IF(G727&lt;&gt;"","Void",IF(F727="","Needs child",IF(H727="","Child not found",IF(OR(B727="",NOT(ISNUMBER(C727))),"Needs month/pages","OK")))))</f>
        <v/>
      </c>
      <c r="J727" s="10">
        <f>IF(I727="","",IF(I727="OK",IF(COUNTIFS(H728:H$3001,H727,B728:B$3001,B727,G728:G$3001,"")=0,C727,0),0))</f>
        <v/>
      </c>
    </row>
    <row r="728">
      <c r="A728" s="6" t="n"/>
      <c r="B728" s="9" t="n"/>
      <c r="C728" s="6" t="n"/>
      <c r="D728" s="6" t="n"/>
      <c r="E728" s="6" t="n"/>
      <c r="F728" s="6" t="n"/>
      <c r="G728" s="6" t="n"/>
      <c r="H728" s="10">
        <f>IF(F728="","",IFERROR(INDEX(Roster!$A$2:$A$600,MATCH(F728,Roster!$E$2:$E$600,0)),""))</f>
        <v/>
      </c>
      <c r="I728" s="10">
        <f>IF(AND(D728="",C728="",F728=""),"",IF(G728&lt;&gt;"","Void",IF(F728="","Needs child",IF(H728="","Child not found",IF(OR(B728="",NOT(ISNUMBER(C728))),"Needs month/pages","OK")))))</f>
        <v/>
      </c>
      <c r="J728" s="10">
        <f>IF(I728="","",IF(I728="OK",IF(COUNTIFS(H729:H$3001,H728,B729:B$3001,B728,G729:G$3001,"")=0,C728,0),0))</f>
        <v/>
      </c>
    </row>
    <row r="729">
      <c r="A729" s="6" t="n"/>
      <c r="B729" s="9" t="n"/>
      <c r="C729" s="6" t="n"/>
      <c r="D729" s="6" t="n"/>
      <c r="E729" s="6" t="n"/>
      <c r="F729" s="6" t="n"/>
      <c r="G729" s="6" t="n"/>
      <c r="H729" s="10">
        <f>IF(F729="","",IFERROR(INDEX(Roster!$A$2:$A$600,MATCH(F729,Roster!$E$2:$E$600,0)),""))</f>
        <v/>
      </c>
      <c r="I729" s="10">
        <f>IF(AND(D729="",C729="",F729=""),"",IF(G729&lt;&gt;"","Void",IF(F729="","Needs child",IF(H729="","Child not found",IF(OR(B729="",NOT(ISNUMBER(C729))),"Needs month/pages","OK")))))</f>
        <v/>
      </c>
      <c r="J729" s="10">
        <f>IF(I729="","",IF(I729="OK",IF(COUNTIFS(H730:H$3001,H729,B730:B$3001,B729,G730:G$3001,"")=0,C729,0),0))</f>
        <v/>
      </c>
    </row>
    <row r="730">
      <c r="A730" s="6" t="n"/>
      <c r="B730" s="9" t="n"/>
      <c r="C730" s="6" t="n"/>
      <c r="D730" s="6" t="n"/>
      <c r="E730" s="6" t="n"/>
      <c r="F730" s="6" t="n"/>
      <c r="G730" s="6" t="n"/>
      <c r="H730" s="10">
        <f>IF(F730="","",IFERROR(INDEX(Roster!$A$2:$A$600,MATCH(F730,Roster!$E$2:$E$600,0)),""))</f>
        <v/>
      </c>
      <c r="I730" s="10">
        <f>IF(AND(D730="",C730="",F730=""),"",IF(G730&lt;&gt;"","Void",IF(F730="","Needs child",IF(H730="","Child not found",IF(OR(B730="",NOT(ISNUMBER(C730))),"Needs month/pages","OK")))))</f>
        <v/>
      </c>
      <c r="J730" s="10">
        <f>IF(I730="","",IF(I730="OK",IF(COUNTIFS(H731:H$3001,H730,B731:B$3001,B730,G731:G$3001,"")=0,C730,0),0))</f>
        <v/>
      </c>
    </row>
    <row r="731">
      <c r="A731" s="6" t="n"/>
      <c r="B731" s="9" t="n"/>
      <c r="C731" s="6" t="n"/>
      <c r="D731" s="6" t="n"/>
      <c r="E731" s="6" t="n"/>
      <c r="F731" s="6" t="n"/>
      <c r="G731" s="6" t="n"/>
      <c r="H731" s="10">
        <f>IF(F731="","",IFERROR(INDEX(Roster!$A$2:$A$600,MATCH(F731,Roster!$E$2:$E$600,0)),""))</f>
        <v/>
      </c>
      <c r="I731" s="10">
        <f>IF(AND(D731="",C731="",F731=""),"",IF(G731&lt;&gt;"","Void",IF(F731="","Needs child",IF(H731="","Child not found",IF(OR(B731="",NOT(ISNUMBER(C731))),"Needs month/pages","OK")))))</f>
        <v/>
      </c>
      <c r="J731" s="10">
        <f>IF(I731="","",IF(I731="OK",IF(COUNTIFS(H732:H$3001,H731,B732:B$3001,B731,G732:G$3001,"")=0,C731,0),0))</f>
        <v/>
      </c>
    </row>
    <row r="732">
      <c r="A732" s="6" t="n"/>
      <c r="B732" s="9" t="n"/>
      <c r="C732" s="6" t="n"/>
      <c r="D732" s="6" t="n"/>
      <c r="E732" s="6" t="n"/>
      <c r="F732" s="6" t="n"/>
      <c r="G732" s="6" t="n"/>
      <c r="H732" s="10">
        <f>IF(F732="","",IFERROR(INDEX(Roster!$A$2:$A$600,MATCH(F732,Roster!$E$2:$E$600,0)),""))</f>
        <v/>
      </c>
      <c r="I732" s="10">
        <f>IF(AND(D732="",C732="",F732=""),"",IF(G732&lt;&gt;"","Void",IF(F732="","Needs child",IF(H732="","Child not found",IF(OR(B732="",NOT(ISNUMBER(C732))),"Needs month/pages","OK")))))</f>
        <v/>
      </c>
      <c r="J732" s="10">
        <f>IF(I732="","",IF(I732="OK",IF(COUNTIFS(H733:H$3001,H732,B733:B$3001,B732,G733:G$3001,"")=0,C732,0),0))</f>
        <v/>
      </c>
    </row>
    <row r="733">
      <c r="A733" s="6" t="n"/>
      <c r="B733" s="9" t="n"/>
      <c r="C733" s="6" t="n"/>
      <c r="D733" s="6" t="n"/>
      <c r="E733" s="6" t="n"/>
      <c r="F733" s="6" t="n"/>
      <c r="G733" s="6" t="n"/>
      <c r="H733" s="10">
        <f>IF(F733="","",IFERROR(INDEX(Roster!$A$2:$A$600,MATCH(F733,Roster!$E$2:$E$600,0)),""))</f>
        <v/>
      </c>
      <c r="I733" s="10">
        <f>IF(AND(D733="",C733="",F733=""),"",IF(G733&lt;&gt;"","Void",IF(F733="","Needs child",IF(H733="","Child not found",IF(OR(B733="",NOT(ISNUMBER(C733))),"Needs month/pages","OK")))))</f>
        <v/>
      </c>
      <c r="J733" s="10">
        <f>IF(I733="","",IF(I733="OK",IF(COUNTIFS(H734:H$3001,H733,B734:B$3001,B733,G734:G$3001,"")=0,C733,0),0))</f>
        <v/>
      </c>
    </row>
    <row r="734">
      <c r="A734" s="6" t="n"/>
      <c r="B734" s="9" t="n"/>
      <c r="C734" s="6" t="n"/>
      <c r="D734" s="6" t="n"/>
      <c r="E734" s="6" t="n"/>
      <c r="F734" s="6" t="n"/>
      <c r="G734" s="6" t="n"/>
      <c r="H734" s="10">
        <f>IF(F734="","",IFERROR(INDEX(Roster!$A$2:$A$600,MATCH(F734,Roster!$E$2:$E$600,0)),""))</f>
        <v/>
      </c>
      <c r="I734" s="10">
        <f>IF(AND(D734="",C734="",F734=""),"",IF(G734&lt;&gt;"","Void",IF(F734="","Needs child",IF(H734="","Child not found",IF(OR(B734="",NOT(ISNUMBER(C734))),"Needs month/pages","OK")))))</f>
        <v/>
      </c>
      <c r="J734" s="10">
        <f>IF(I734="","",IF(I734="OK",IF(COUNTIFS(H735:H$3001,H734,B735:B$3001,B734,G735:G$3001,"")=0,C734,0),0))</f>
        <v/>
      </c>
    </row>
    <row r="735">
      <c r="A735" s="6" t="n"/>
      <c r="B735" s="9" t="n"/>
      <c r="C735" s="6" t="n"/>
      <c r="D735" s="6" t="n"/>
      <c r="E735" s="6" t="n"/>
      <c r="F735" s="6" t="n"/>
      <c r="G735" s="6" t="n"/>
      <c r="H735" s="10">
        <f>IF(F735="","",IFERROR(INDEX(Roster!$A$2:$A$600,MATCH(F735,Roster!$E$2:$E$600,0)),""))</f>
        <v/>
      </c>
      <c r="I735" s="10">
        <f>IF(AND(D735="",C735="",F735=""),"",IF(G735&lt;&gt;"","Void",IF(F735="","Needs child",IF(H735="","Child not found",IF(OR(B735="",NOT(ISNUMBER(C735))),"Needs month/pages","OK")))))</f>
        <v/>
      </c>
      <c r="J735" s="10">
        <f>IF(I735="","",IF(I735="OK",IF(COUNTIFS(H736:H$3001,H735,B736:B$3001,B735,G736:G$3001,"")=0,C735,0),0))</f>
        <v/>
      </c>
    </row>
    <row r="736">
      <c r="A736" s="6" t="n"/>
      <c r="B736" s="9" t="n"/>
      <c r="C736" s="6" t="n"/>
      <c r="D736" s="6" t="n"/>
      <c r="E736" s="6" t="n"/>
      <c r="F736" s="6" t="n"/>
      <c r="G736" s="6" t="n"/>
      <c r="H736" s="10">
        <f>IF(F736="","",IFERROR(INDEX(Roster!$A$2:$A$600,MATCH(F736,Roster!$E$2:$E$600,0)),""))</f>
        <v/>
      </c>
      <c r="I736" s="10">
        <f>IF(AND(D736="",C736="",F736=""),"",IF(G736&lt;&gt;"","Void",IF(F736="","Needs child",IF(H736="","Child not found",IF(OR(B736="",NOT(ISNUMBER(C736))),"Needs month/pages","OK")))))</f>
        <v/>
      </c>
      <c r="J736" s="10">
        <f>IF(I736="","",IF(I736="OK",IF(COUNTIFS(H737:H$3001,H736,B737:B$3001,B736,G737:G$3001,"")=0,C736,0),0))</f>
        <v/>
      </c>
    </row>
    <row r="737">
      <c r="A737" s="6" t="n"/>
      <c r="B737" s="9" t="n"/>
      <c r="C737" s="6" t="n"/>
      <c r="D737" s="6" t="n"/>
      <c r="E737" s="6" t="n"/>
      <c r="F737" s="6" t="n"/>
      <c r="G737" s="6" t="n"/>
      <c r="H737" s="10">
        <f>IF(F737="","",IFERROR(INDEX(Roster!$A$2:$A$600,MATCH(F737,Roster!$E$2:$E$600,0)),""))</f>
        <v/>
      </c>
      <c r="I737" s="10">
        <f>IF(AND(D737="",C737="",F737=""),"",IF(G737&lt;&gt;"","Void",IF(F737="","Needs child",IF(H737="","Child not found",IF(OR(B737="",NOT(ISNUMBER(C737))),"Needs month/pages","OK")))))</f>
        <v/>
      </c>
      <c r="J737" s="10">
        <f>IF(I737="","",IF(I737="OK",IF(COUNTIFS(H738:H$3001,H737,B738:B$3001,B737,G738:G$3001,"")=0,C737,0),0))</f>
        <v/>
      </c>
    </row>
    <row r="738">
      <c r="A738" s="6" t="n"/>
      <c r="B738" s="9" t="n"/>
      <c r="C738" s="6" t="n"/>
      <c r="D738" s="6" t="n"/>
      <c r="E738" s="6" t="n"/>
      <c r="F738" s="6" t="n"/>
      <c r="G738" s="6" t="n"/>
      <c r="H738" s="10">
        <f>IF(F738="","",IFERROR(INDEX(Roster!$A$2:$A$600,MATCH(F738,Roster!$E$2:$E$600,0)),""))</f>
        <v/>
      </c>
      <c r="I738" s="10">
        <f>IF(AND(D738="",C738="",F738=""),"",IF(G738&lt;&gt;"","Void",IF(F738="","Needs child",IF(H738="","Child not found",IF(OR(B738="",NOT(ISNUMBER(C738))),"Needs month/pages","OK")))))</f>
        <v/>
      </c>
      <c r="J738" s="10">
        <f>IF(I738="","",IF(I738="OK",IF(COUNTIFS(H739:H$3001,H738,B739:B$3001,B738,G739:G$3001,"")=0,C738,0),0))</f>
        <v/>
      </c>
    </row>
    <row r="739">
      <c r="A739" s="6" t="n"/>
      <c r="B739" s="9" t="n"/>
      <c r="C739" s="6" t="n"/>
      <c r="D739" s="6" t="n"/>
      <c r="E739" s="6" t="n"/>
      <c r="F739" s="6" t="n"/>
      <c r="G739" s="6" t="n"/>
      <c r="H739" s="10">
        <f>IF(F739="","",IFERROR(INDEX(Roster!$A$2:$A$600,MATCH(F739,Roster!$E$2:$E$600,0)),""))</f>
        <v/>
      </c>
      <c r="I739" s="10">
        <f>IF(AND(D739="",C739="",F739=""),"",IF(G739&lt;&gt;"","Void",IF(F739="","Needs child",IF(H739="","Child not found",IF(OR(B739="",NOT(ISNUMBER(C739))),"Needs month/pages","OK")))))</f>
        <v/>
      </c>
      <c r="J739" s="10">
        <f>IF(I739="","",IF(I739="OK",IF(COUNTIFS(H740:H$3001,H739,B740:B$3001,B739,G740:G$3001,"")=0,C739,0),0))</f>
        <v/>
      </c>
    </row>
    <row r="740">
      <c r="A740" s="6" t="n"/>
      <c r="B740" s="9" t="n"/>
      <c r="C740" s="6" t="n"/>
      <c r="D740" s="6" t="n"/>
      <c r="E740" s="6" t="n"/>
      <c r="F740" s="6" t="n"/>
      <c r="G740" s="6" t="n"/>
      <c r="H740" s="10">
        <f>IF(F740="","",IFERROR(INDEX(Roster!$A$2:$A$600,MATCH(F740,Roster!$E$2:$E$600,0)),""))</f>
        <v/>
      </c>
      <c r="I740" s="10">
        <f>IF(AND(D740="",C740="",F740=""),"",IF(G740&lt;&gt;"","Void",IF(F740="","Needs child",IF(H740="","Child not found",IF(OR(B740="",NOT(ISNUMBER(C740))),"Needs month/pages","OK")))))</f>
        <v/>
      </c>
      <c r="J740" s="10">
        <f>IF(I740="","",IF(I740="OK",IF(COUNTIFS(H741:H$3001,H740,B741:B$3001,B740,G741:G$3001,"")=0,C740,0),0))</f>
        <v/>
      </c>
    </row>
    <row r="741">
      <c r="A741" s="6" t="n"/>
      <c r="B741" s="9" t="n"/>
      <c r="C741" s="6" t="n"/>
      <c r="D741" s="6" t="n"/>
      <c r="E741" s="6" t="n"/>
      <c r="F741" s="6" t="n"/>
      <c r="G741" s="6" t="n"/>
      <c r="H741" s="10">
        <f>IF(F741="","",IFERROR(INDEX(Roster!$A$2:$A$600,MATCH(F741,Roster!$E$2:$E$600,0)),""))</f>
        <v/>
      </c>
      <c r="I741" s="10">
        <f>IF(AND(D741="",C741="",F741=""),"",IF(G741&lt;&gt;"","Void",IF(F741="","Needs child",IF(H741="","Child not found",IF(OR(B741="",NOT(ISNUMBER(C741))),"Needs month/pages","OK")))))</f>
        <v/>
      </c>
      <c r="J741" s="10">
        <f>IF(I741="","",IF(I741="OK",IF(COUNTIFS(H742:H$3001,H741,B742:B$3001,B741,G742:G$3001,"")=0,C741,0),0))</f>
        <v/>
      </c>
    </row>
    <row r="742">
      <c r="A742" s="6" t="n"/>
      <c r="B742" s="9" t="n"/>
      <c r="C742" s="6" t="n"/>
      <c r="D742" s="6" t="n"/>
      <c r="E742" s="6" t="n"/>
      <c r="F742" s="6" t="n"/>
      <c r="G742" s="6" t="n"/>
      <c r="H742" s="10">
        <f>IF(F742="","",IFERROR(INDEX(Roster!$A$2:$A$600,MATCH(F742,Roster!$E$2:$E$600,0)),""))</f>
        <v/>
      </c>
      <c r="I742" s="10">
        <f>IF(AND(D742="",C742="",F742=""),"",IF(G742&lt;&gt;"","Void",IF(F742="","Needs child",IF(H742="","Child not found",IF(OR(B742="",NOT(ISNUMBER(C742))),"Needs month/pages","OK")))))</f>
        <v/>
      </c>
      <c r="J742" s="10">
        <f>IF(I742="","",IF(I742="OK",IF(COUNTIFS(H743:H$3001,H742,B743:B$3001,B742,G743:G$3001,"")=0,C742,0),0))</f>
        <v/>
      </c>
    </row>
    <row r="743">
      <c r="A743" s="6" t="n"/>
      <c r="B743" s="9" t="n"/>
      <c r="C743" s="6" t="n"/>
      <c r="D743" s="6" t="n"/>
      <c r="E743" s="6" t="n"/>
      <c r="F743" s="6" t="n"/>
      <c r="G743" s="6" t="n"/>
      <c r="H743" s="10">
        <f>IF(F743="","",IFERROR(INDEX(Roster!$A$2:$A$600,MATCH(F743,Roster!$E$2:$E$600,0)),""))</f>
        <v/>
      </c>
      <c r="I743" s="10">
        <f>IF(AND(D743="",C743="",F743=""),"",IF(G743&lt;&gt;"","Void",IF(F743="","Needs child",IF(H743="","Child not found",IF(OR(B743="",NOT(ISNUMBER(C743))),"Needs month/pages","OK")))))</f>
        <v/>
      </c>
      <c r="J743" s="10">
        <f>IF(I743="","",IF(I743="OK",IF(COUNTIFS(H744:H$3001,H743,B744:B$3001,B743,G744:G$3001,"")=0,C743,0),0))</f>
        <v/>
      </c>
    </row>
    <row r="744">
      <c r="A744" s="6" t="n"/>
      <c r="B744" s="9" t="n"/>
      <c r="C744" s="6" t="n"/>
      <c r="D744" s="6" t="n"/>
      <c r="E744" s="6" t="n"/>
      <c r="F744" s="6" t="n"/>
      <c r="G744" s="6" t="n"/>
      <c r="H744" s="10">
        <f>IF(F744="","",IFERROR(INDEX(Roster!$A$2:$A$600,MATCH(F744,Roster!$E$2:$E$600,0)),""))</f>
        <v/>
      </c>
      <c r="I744" s="10">
        <f>IF(AND(D744="",C744="",F744=""),"",IF(G744&lt;&gt;"","Void",IF(F744="","Needs child",IF(H744="","Child not found",IF(OR(B744="",NOT(ISNUMBER(C744))),"Needs month/pages","OK")))))</f>
        <v/>
      </c>
      <c r="J744" s="10">
        <f>IF(I744="","",IF(I744="OK",IF(COUNTIFS(H745:H$3001,H744,B745:B$3001,B744,G745:G$3001,"")=0,C744,0),0))</f>
        <v/>
      </c>
    </row>
    <row r="745">
      <c r="A745" s="6" t="n"/>
      <c r="B745" s="9" t="n"/>
      <c r="C745" s="6" t="n"/>
      <c r="D745" s="6" t="n"/>
      <c r="E745" s="6" t="n"/>
      <c r="F745" s="6" t="n"/>
      <c r="G745" s="6" t="n"/>
      <c r="H745" s="10">
        <f>IF(F745="","",IFERROR(INDEX(Roster!$A$2:$A$600,MATCH(F745,Roster!$E$2:$E$600,0)),""))</f>
        <v/>
      </c>
      <c r="I745" s="10">
        <f>IF(AND(D745="",C745="",F745=""),"",IF(G745&lt;&gt;"","Void",IF(F745="","Needs child",IF(H745="","Child not found",IF(OR(B745="",NOT(ISNUMBER(C745))),"Needs month/pages","OK")))))</f>
        <v/>
      </c>
      <c r="J745" s="10">
        <f>IF(I745="","",IF(I745="OK",IF(COUNTIFS(H746:H$3001,H745,B746:B$3001,B745,G746:G$3001,"")=0,C745,0),0))</f>
        <v/>
      </c>
    </row>
    <row r="746">
      <c r="A746" s="6" t="n"/>
      <c r="B746" s="9" t="n"/>
      <c r="C746" s="6" t="n"/>
      <c r="D746" s="6" t="n"/>
      <c r="E746" s="6" t="n"/>
      <c r="F746" s="6" t="n"/>
      <c r="G746" s="6" t="n"/>
      <c r="H746" s="10">
        <f>IF(F746="","",IFERROR(INDEX(Roster!$A$2:$A$600,MATCH(F746,Roster!$E$2:$E$600,0)),""))</f>
        <v/>
      </c>
      <c r="I746" s="10">
        <f>IF(AND(D746="",C746="",F746=""),"",IF(G746&lt;&gt;"","Void",IF(F746="","Needs child",IF(H746="","Child not found",IF(OR(B746="",NOT(ISNUMBER(C746))),"Needs month/pages","OK")))))</f>
        <v/>
      </c>
      <c r="J746" s="10">
        <f>IF(I746="","",IF(I746="OK",IF(COUNTIFS(H747:H$3001,H746,B747:B$3001,B746,G747:G$3001,"")=0,C746,0),0))</f>
        <v/>
      </c>
    </row>
    <row r="747">
      <c r="A747" s="6" t="n"/>
      <c r="B747" s="9" t="n"/>
      <c r="C747" s="6" t="n"/>
      <c r="D747" s="6" t="n"/>
      <c r="E747" s="6" t="n"/>
      <c r="F747" s="6" t="n"/>
      <c r="G747" s="6" t="n"/>
      <c r="H747" s="10">
        <f>IF(F747="","",IFERROR(INDEX(Roster!$A$2:$A$600,MATCH(F747,Roster!$E$2:$E$600,0)),""))</f>
        <v/>
      </c>
      <c r="I747" s="10">
        <f>IF(AND(D747="",C747="",F747=""),"",IF(G747&lt;&gt;"","Void",IF(F747="","Needs child",IF(H747="","Child not found",IF(OR(B747="",NOT(ISNUMBER(C747))),"Needs month/pages","OK")))))</f>
        <v/>
      </c>
      <c r="J747" s="10">
        <f>IF(I747="","",IF(I747="OK",IF(COUNTIFS(H748:H$3001,H747,B748:B$3001,B747,G748:G$3001,"")=0,C747,0),0))</f>
        <v/>
      </c>
    </row>
    <row r="748">
      <c r="A748" s="6" t="n"/>
      <c r="B748" s="9" t="n"/>
      <c r="C748" s="6" t="n"/>
      <c r="D748" s="6" t="n"/>
      <c r="E748" s="6" t="n"/>
      <c r="F748" s="6" t="n"/>
      <c r="G748" s="6" t="n"/>
      <c r="H748" s="10">
        <f>IF(F748="","",IFERROR(INDEX(Roster!$A$2:$A$600,MATCH(F748,Roster!$E$2:$E$600,0)),""))</f>
        <v/>
      </c>
      <c r="I748" s="10">
        <f>IF(AND(D748="",C748="",F748=""),"",IF(G748&lt;&gt;"","Void",IF(F748="","Needs child",IF(H748="","Child not found",IF(OR(B748="",NOT(ISNUMBER(C748))),"Needs month/pages","OK")))))</f>
        <v/>
      </c>
      <c r="J748" s="10">
        <f>IF(I748="","",IF(I748="OK",IF(COUNTIFS(H749:H$3001,H748,B749:B$3001,B748,G749:G$3001,"")=0,C748,0),0))</f>
        <v/>
      </c>
    </row>
    <row r="749">
      <c r="A749" s="6" t="n"/>
      <c r="B749" s="9" t="n"/>
      <c r="C749" s="6" t="n"/>
      <c r="D749" s="6" t="n"/>
      <c r="E749" s="6" t="n"/>
      <c r="F749" s="6" t="n"/>
      <c r="G749" s="6" t="n"/>
      <c r="H749" s="10">
        <f>IF(F749="","",IFERROR(INDEX(Roster!$A$2:$A$600,MATCH(F749,Roster!$E$2:$E$600,0)),""))</f>
        <v/>
      </c>
      <c r="I749" s="10">
        <f>IF(AND(D749="",C749="",F749=""),"",IF(G749&lt;&gt;"","Void",IF(F749="","Needs child",IF(H749="","Child not found",IF(OR(B749="",NOT(ISNUMBER(C749))),"Needs month/pages","OK")))))</f>
        <v/>
      </c>
      <c r="J749" s="10">
        <f>IF(I749="","",IF(I749="OK",IF(COUNTIFS(H750:H$3001,H749,B750:B$3001,B749,G750:G$3001,"")=0,C749,0),0))</f>
        <v/>
      </c>
    </row>
    <row r="750">
      <c r="A750" s="6" t="n"/>
      <c r="B750" s="9" t="n"/>
      <c r="C750" s="6" t="n"/>
      <c r="D750" s="6" t="n"/>
      <c r="E750" s="6" t="n"/>
      <c r="F750" s="6" t="n"/>
      <c r="G750" s="6" t="n"/>
      <c r="H750" s="10">
        <f>IF(F750="","",IFERROR(INDEX(Roster!$A$2:$A$600,MATCH(F750,Roster!$E$2:$E$600,0)),""))</f>
        <v/>
      </c>
      <c r="I750" s="10">
        <f>IF(AND(D750="",C750="",F750=""),"",IF(G750&lt;&gt;"","Void",IF(F750="","Needs child",IF(H750="","Child not found",IF(OR(B750="",NOT(ISNUMBER(C750))),"Needs month/pages","OK")))))</f>
        <v/>
      </c>
      <c r="J750" s="10">
        <f>IF(I750="","",IF(I750="OK",IF(COUNTIFS(H751:H$3001,H750,B751:B$3001,B750,G751:G$3001,"")=0,C750,0),0))</f>
        <v/>
      </c>
    </row>
    <row r="751">
      <c r="A751" s="6" t="n"/>
      <c r="B751" s="9" t="n"/>
      <c r="C751" s="6" t="n"/>
      <c r="D751" s="6" t="n"/>
      <c r="E751" s="6" t="n"/>
      <c r="F751" s="6" t="n"/>
      <c r="G751" s="6" t="n"/>
      <c r="H751" s="10">
        <f>IF(F751="","",IFERROR(INDEX(Roster!$A$2:$A$600,MATCH(F751,Roster!$E$2:$E$600,0)),""))</f>
        <v/>
      </c>
      <c r="I751" s="10">
        <f>IF(AND(D751="",C751="",F751=""),"",IF(G751&lt;&gt;"","Void",IF(F751="","Needs child",IF(H751="","Child not found",IF(OR(B751="",NOT(ISNUMBER(C751))),"Needs month/pages","OK")))))</f>
        <v/>
      </c>
      <c r="J751" s="10">
        <f>IF(I751="","",IF(I751="OK",IF(COUNTIFS(H752:H$3001,H751,B752:B$3001,B751,G752:G$3001,"")=0,C751,0),0))</f>
        <v/>
      </c>
    </row>
    <row r="752">
      <c r="A752" s="6" t="n"/>
      <c r="B752" s="9" t="n"/>
      <c r="C752" s="6" t="n"/>
      <c r="D752" s="6" t="n"/>
      <c r="E752" s="6" t="n"/>
      <c r="F752" s="6" t="n"/>
      <c r="G752" s="6" t="n"/>
      <c r="H752" s="10">
        <f>IF(F752="","",IFERROR(INDEX(Roster!$A$2:$A$600,MATCH(F752,Roster!$E$2:$E$600,0)),""))</f>
        <v/>
      </c>
      <c r="I752" s="10">
        <f>IF(AND(D752="",C752="",F752=""),"",IF(G752&lt;&gt;"","Void",IF(F752="","Needs child",IF(H752="","Child not found",IF(OR(B752="",NOT(ISNUMBER(C752))),"Needs month/pages","OK")))))</f>
        <v/>
      </c>
      <c r="J752" s="10">
        <f>IF(I752="","",IF(I752="OK",IF(COUNTIFS(H753:H$3001,H752,B753:B$3001,B752,G753:G$3001,"")=0,C752,0),0))</f>
        <v/>
      </c>
    </row>
    <row r="753">
      <c r="A753" s="6" t="n"/>
      <c r="B753" s="9" t="n"/>
      <c r="C753" s="6" t="n"/>
      <c r="D753" s="6" t="n"/>
      <c r="E753" s="6" t="n"/>
      <c r="F753" s="6" t="n"/>
      <c r="G753" s="6" t="n"/>
      <c r="H753" s="10">
        <f>IF(F753="","",IFERROR(INDEX(Roster!$A$2:$A$600,MATCH(F753,Roster!$E$2:$E$600,0)),""))</f>
        <v/>
      </c>
      <c r="I753" s="10">
        <f>IF(AND(D753="",C753="",F753=""),"",IF(G753&lt;&gt;"","Void",IF(F753="","Needs child",IF(H753="","Child not found",IF(OR(B753="",NOT(ISNUMBER(C753))),"Needs month/pages","OK")))))</f>
        <v/>
      </c>
      <c r="J753" s="10">
        <f>IF(I753="","",IF(I753="OK",IF(COUNTIFS(H754:H$3001,H753,B754:B$3001,B753,G754:G$3001,"")=0,C753,0),0))</f>
        <v/>
      </c>
    </row>
    <row r="754">
      <c r="A754" s="6" t="n"/>
      <c r="B754" s="9" t="n"/>
      <c r="C754" s="6" t="n"/>
      <c r="D754" s="6" t="n"/>
      <c r="E754" s="6" t="n"/>
      <c r="F754" s="6" t="n"/>
      <c r="G754" s="6" t="n"/>
      <c r="H754" s="10">
        <f>IF(F754="","",IFERROR(INDEX(Roster!$A$2:$A$600,MATCH(F754,Roster!$E$2:$E$600,0)),""))</f>
        <v/>
      </c>
      <c r="I754" s="10">
        <f>IF(AND(D754="",C754="",F754=""),"",IF(G754&lt;&gt;"","Void",IF(F754="","Needs child",IF(H754="","Child not found",IF(OR(B754="",NOT(ISNUMBER(C754))),"Needs month/pages","OK")))))</f>
        <v/>
      </c>
      <c r="J754" s="10">
        <f>IF(I754="","",IF(I754="OK",IF(COUNTIFS(H755:H$3001,H754,B755:B$3001,B754,G755:G$3001,"")=0,C754,0),0))</f>
        <v/>
      </c>
    </row>
    <row r="755">
      <c r="A755" s="6" t="n"/>
      <c r="B755" s="9" t="n"/>
      <c r="C755" s="6" t="n"/>
      <c r="D755" s="6" t="n"/>
      <c r="E755" s="6" t="n"/>
      <c r="F755" s="6" t="n"/>
      <c r="G755" s="6" t="n"/>
      <c r="H755" s="10">
        <f>IF(F755="","",IFERROR(INDEX(Roster!$A$2:$A$600,MATCH(F755,Roster!$E$2:$E$600,0)),""))</f>
        <v/>
      </c>
      <c r="I755" s="10">
        <f>IF(AND(D755="",C755="",F755=""),"",IF(G755&lt;&gt;"","Void",IF(F755="","Needs child",IF(H755="","Child not found",IF(OR(B755="",NOT(ISNUMBER(C755))),"Needs month/pages","OK")))))</f>
        <v/>
      </c>
      <c r="J755" s="10">
        <f>IF(I755="","",IF(I755="OK",IF(COUNTIFS(H756:H$3001,H755,B756:B$3001,B755,G756:G$3001,"")=0,C755,0),0))</f>
        <v/>
      </c>
    </row>
    <row r="756">
      <c r="A756" s="6" t="n"/>
      <c r="B756" s="9" t="n"/>
      <c r="C756" s="6" t="n"/>
      <c r="D756" s="6" t="n"/>
      <c r="E756" s="6" t="n"/>
      <c r="F756" s="6" t="n"/>
      <c r="G756" s="6" t="n"/>
      <c r="H756" s="10">
        <f>IF(F756="","",IFERROR(INDEX(Roster!$A$2:$A$600,MATCH(F756,Roster!$E$2:$E$600,0)),""))</f>
        <v/>
      </c>
      <c r="I756" s="10">
        <f>IF(AND(D756="",C756="",F756=""),"",IF(G756&lt;&gt;"","Void",IF(F756="","Needs child",IF(H756="","Child not found",IF(OR(B756="",NOT(ISNUMBER(C756))),"Needs month/pages","OK")))))</f>
        <v/>
      </c>
      <c r="J756" s="10">
        <f>IF(I756="","",IF(I756="OK",IF(COUNTIFS(H757:H$3001,H756,B757:B$3001,B756,G757:G$3001,"")=0,C756,0),0))</f>
        <v/>
      </c>
    </row>
    <row r="757">
      <c r="A757" s="6" t="n"/>
      <c r="B757" s="9" t="n"/>
      <c r="C757" s="6" t="n"/>
      <c r="D757" s="6" t="n"/>
      <c r="E757" s="6" t="n"/>
      <c r="F757" s="6" t="n"/>
      <c r="G757" s="6" t="n"/>
      <c r="H757" s="10">
        <f>IF(F757="","",IFERROR(INDEX(Roster!$A$2:$A$600,MATCH(F757,Roster!$E$2:$E$600,0)),""))</f>
        <v/>
      </c>
      <c r="I757" s="10">
        <f>IF(AND(D757="",C757="",F757=""),"",IF(G757&lt;&gt;"","Void",IF(F757="","Needs child",IF(H757="","Child not found",IF(OR(B757="",NOT(ISNUMBER(C757))),"Needs month/pages","OK")))))</f>
        <v/>
      </c>
      <c r="J757" s="10">
        <f>IF(I757="","",IF(I757="OK",IF(COUNTIFS(H758:H$3001,H757,B758:B$3001,B757,G758:G$3001,"")=0,C757,0),0))</f>
        <v/>
      </c>
    </row>
    <row r="758">
      <c r="A758" s="6" t="n"/>
      <c r="B758" s="9" t="n"/>
      <c r="C758" s="6" t="n"/>
      <c r="D758" s="6" t="n"/>
      <c r="E758" s="6" t="n"/>
      <c r="F758" s="6" t="n"/>
      <c r="G758" s="6" t="n"/>
      <c r="H758" s="10">
        <f>IF(F758="","",IFERROR(INDEX(Roster!$A$2:$A$600,MATCH(F758,Roster!$E$2:$E$600,0)),""))</f>
        <v/>
      </c>
      <c r="I758" s="10">
        <f>IF(AND(D758="",C758="",F758=""),"",IF(G758&lt;&gt;"","Void",IF(F758="","Needs child",IF(H758="","Child not found",IF(OR(B758="",NOT(ISNUMBER(C758))),"Needs month/pages","OK")))))</f>
        <v/>
      </c>
      <c r="J758" s="10">
        <f>IF(I758="","",IF(I758="OK",IF(COUNTIFS(H759:H$3001,H758,B759:B$3001,B758,G759:G$3001,"")=0,C758,0),0))</f>
        <v/>
      </c>
    </row>
    <row r="759">
      <c r="A759" s="6" t="n"/>
      <c r="B759" s="9" t="n"/>
      <c r="C759" s="6" t="n"/>
      <c r="D759" s="6" t="n"/>
      <c r="E759" s="6" t="n"/>
      <c r="F759" s="6" t="n"/>
      <c r="G759" s="6" t="n"/>
      <c r="H759" s="10">
        <f>IF(F759="","",IFERROR(INDEX(Roster!$A$2:$A$600,MATCH(F759,Roster!$E$2:$E$600,0)),""))</f>
        <v/>
      </c>
      <c r="I759" s="10">
        <f>IF(AND(D759="",C759="",F759=""),"",IF(G759&lt;&gt;"","Void",IF(F759="","Needs child",IF(H759="","Child not found",IF(OR(B759="",NOT(ISNUMBER(C759))),"Needs month/pages","OK")))))</f>
        <v/>
      </c>
      <c r="J759" s="10">
        <f>IF(I759="","",IF(I759="OK",IF(COUNTIFS(H760:H$3001,H759,B760:B$3001,B759,G760:G$3001,"")=0,C759,0),0))</f>
        <v/>
      </c>
    </row>
    <row r="760">
      <c r="A760" s="6" t="n"/>
      <c r="B760" s="9" t="n"/>
      <c r="C760" s="6" t="n"/>
      <c r="D760" s="6" t="n"/>
      <c r="E760" s="6" t="n"/>
      <c r="F760" s="6" t="n"/>
      <c r="G760" s="6" t="n"/>
      <c r="H760" s="10">
        <f>IF(F760="","",IFERROR(INDEX(Roster!$A$2:$A$600,MATCH(F760,Roster!$E$2:$E$600,0)),""))</f>
        <v/>
      </c>
      <c r="I760" s="10">
        <f>IF(AND(D760="",C760="",F760=""),"",IF(G760&lt;&gt;"","Void",IF(F760="","Needs child",IF(H760="","Child not found",IF(OR(B760="",NOT(ISNUMBER(C760))),"Needs month/pages","OK")))))</f>
        <v/>
      </c>
      <c r="J760" s="10">
        <f>IF(I760="","",IF(I760="OK",IF(COUNTIFS(H761:H$3001,H760,B761:B$3001,B760,G761:G$3001,"")=0,C760,0),0))</f>
        <v/>
      </c>
    </row>
    <row r="761">
      <c r="A761" s="6" t="n"/>
      <c r="B761" s="9" t="n"/>
      <c r="C761" s="6" t="n"/>
      <c r="D761" s="6" t="n"/>
      <c r="E761" s="6" t="n"/>
      <c r="F761" s="6" t="n"/>
      <c r="G761" s="6" t="n"/>
      <c r="H761" s="10">
        <f>IF(F761="","",IFERROR(INDEX(Roster!$A$2:$A$600,MATCH(F761,Roster!$E$2:$E$600,0)),""))</f>
        <v/>
      </c>
      <c r="I761" s="10">
        <f>IF(AND(D761="",C761="",F761=""),"",IF(G761&lt;&gt;"","Void",IF(F761="","Needs child",IF(H761="","Child not found",IF(OR(B761="",NOT(ISNUMBER(C761))),"Needs month/pages","OK")))))</f>
        <v/>
      </c>
      <c r="J761" s="10">
        <f>IF(I761="","",IF(I761="OK",IF(COUNTIFS(H762:H$3001,H761,B762:B$3001,B761,G762:G$3001,"")=0,C761,0),0))</f>
        <v/>
      </c>
    </row>
    <row r="762">
      <c r="A762" s="6" t="n"/>
      <c r="B762" s="9" t="n"/>
      <c r="C762" s="6" t="n"/>
      <c r="D762" s="6" t="n"/>
      <c r="E762" s="6" t="n"/>
      <c r="F762" s="6" t="n"/>
      <c r="G762" s="6" t="n"/>
      <c r="H762" s="10">
        <f>IF(F762="","",IFERROR(INDEX(Roster!$A$2:$A$600,MATCH(F762,Roster!$E$2:$E$600,0)),""))</f>
        <v/>
      </c>
      <c r="I762" s="10">
        <f>IF(AND(D762="",C762="",F762=""),"",IF(G762&lt;&gt;"","Void",IF(F762="","Needs child",IF(H762="","Child not found",IF(OR(B762="",NOT(ISNUMBER(C762))),"Needs month/pages","OK")))))</f>
        <v/>
      </c>
      <c r="J762" s="10">
        <f>IF(I762="","",IF(I762="OK",IF(COUNTIFS(H763:H$3001,H762,B763:B$3001,B762,G763:G$3001,"")=0,C762,0),0))</f>
        <v/>
      </c>
    </row>
    <row r="763">
      <c r="A763" s="6" t="n"/>
      <c r="B763" s="9" t="n"/>
      <c r="C763" s="6" t="n"/>
      <c r="D763" s="6" t="n"/>
      <c r="E763" s="6" t="n"/>
      <c r="F763" s="6" t="n"/>
      <c r="G763" s="6" t="n"/>
      <c r="H763" s="10">
        <f>IF(F763="","",IFERROR(INDEX(Roster!$A$2:$A$600,MATCH(F763,Roster!$E$2:$E$600,0)),""))</f>
        <v/>
      </c>
      <c r="I763" s="10">
        <f>IF(AND(D763="",C763="",F763=""),"",IF(G763&lt;&gt;"","Void",IF(F763="","Needs child",IF(H763="","Child not found",IF(OR(B763="",NOT(ISNUMBER(C763))),"Needs month/pages","OK")))))</f>
        <v/>
      </c>
      <c r="J763" s="10">
        <f>IF(I763="","",IF(I763="OK",IF(COUNTIFS(H764:H$3001,H763,B764:B$3001,B763,G764:G$3001,"")=0,C763,0),0))</f>
        <v/>
      </c>
    </row>
    <row r="764">
      <c r="A764" s="6" t="n"/>
      <c r="B764" s="9" t="n"/>
      <c r="C764" s="6" t="n"/>
      <c r="D764" s="6" t="n"/>
      <c r="E764" s="6" t="n"/>
      <c r="F764" s="6" t="n"/>
      <c r="G764" s="6" t="n"/>
      <c r="H764" s="10">
        <f>IF(F764="","",IFERROR(INDEX(Roster!$A$2:$A$600,MATCH(F764,Roster!$E$2:$E$600,0)),""))</f>
        <v/>
      </c>
      <c r="I764" s="10">
        <f>IF(AND(D764="",C764="",F764=""),"",IF(G764&lt;&gt;"","Void",IF(F764="","Needs child",IF(H764="","Child not found",IF(OR(B764="",NOT(ISNUMBER(C764))),"Needs month/pages","OK")))))</f>
        <v/>
      </c>
      <c r="J764" s="10">
        <f>IF(I764="","",IF(I764="OK",IF(COUNTIFS(H765:H$3001,H764,B765:B$3001,B764,G765:G$3001,"")=0,C764,0),0))</f>
        <v/>
      </c>
    </row>
    <row r="765">
      <c r="A765" s="6" t="n"/>
      <c r="B765" s="9" t="n"/>
      <c r="C765" s="6" t="n"/>
      <c r="D765" s="6" t="n"/>
      <c r="E765" s="6" t="n"/>
      <c r="F765" s="6" t="n"/>
      <c r="G765" s="6" t="n"/>
      <c r="H765" s="10">
        <f>IF(F765="","",IFERROR(INDEX(Roster!$A$2:$A$600,MATCH(F765,Roster!$E$2:$E$600,0)),""))</f>
        <v/>
      </c>
      <c r="I765" s="10">
        <f>IF(AND(D765="",C765="",F765=""),"",IF(G765&lt;&gt;"","Void",IF(F765="","Needs child",IF(H765="","Child not found",IF(OR(B765="",NOT(ISNUMBER(C765))),"Needs month/pages","OK")))))</f>
        <v/>
      </c>
      <c r="J765" s="10">
        <f>IF(I765="","",IF(I765="OK",IF(COUNTIFS(H766:H$3001,H765,B766:B$3001,B765,G766:G$3001,"")=0,C765,0),0))</f>
        <v/>
      </c>
    </row>
    <row r="766">
      <c r="A766" s="6" t="n"/>
      <c r="B766" s="9" t="n"/>
      <c r="C766" s="6" t="n"/>
      <c r="D766" s="6" t="n"/>
      <c r="E766" s="6" t="n"/>
      <c r="F766" s="6" t="n"/>
      <c r="G766" s="6" t="n"/>
      <c r="H766" s="10">
        <f>IF(F766="","",IFERROR(INDEX(Roster!$A$2:$A$600,MATCH(F766,Roster!$E$2:$E$600,0)),""))</f>
        <v/>
      </c>
      <c r="I766" s="10">
        <f>IF(AND(D766="",C766="",F766=""),"",IF(G766&lt;&gt;"","Void",IF(F766="","Needs child",IF(H766="","Child not found",IF(OR(B766="",NOT(ISNUMBER(C766))),"Needs month/pages","OK")))))</f>
        <v/>
      </c>
      <c r="J766" s="10">
        <f>IF(I766="","",IF(I766="OK",IF(COUNTIFS(H767:H$3001,H766,B767:B$3001,B766,G767:G$3001,"")=0,C766,0),0))</f>
        <v/>
      </c>
    </row>
    <row r="767">
      <c r="A767" s="6" t="n"/>
      <c r="B767" s="9" t="n"/>
      <c r="C767" s="6" t="n"/>
      <c r="D767" s="6" t="n"/>
      <c r="E767" s="6" t="n"/>
      <c r="F767" s="6" t="n"/>
      <c r="G767" s="6" t="n"/>
      <c r="H767" s="10">
        <f>IF(F767="","",IFERROR(INDEX(Roster!$A$2:$A$600,MATCH(F767,Roster!$E$2:$E$600,0)),""))</f>
        <v/>
      </c>
      <c r="I767" s="10">
        <f>IF(AND(D767="",C767="",F767=""),"",IF(G767&lt;&gt;"","Void",IF(F767="","Needs child",IF(H767="","Child not found",IF(OR(B767="",NOT(ISNUMBER(C767))),"Needs month/pages","OK")))))</f>
        <v/>
      </c>
      <c r="J767" s="10">
        <f>IF(I767="","",IF(I767="OK",IF(COUNTIFS(H768:H$3001,H767,B768:B$3001,B767,G768:G$3001,"")=0,C767,0),0))</f>
        <v/>
      </c>
    </row>
    <row r="768">
      <c r="A768" s="6" t="n"/>
      <c r="B768" s="9" t="n"/>
      <c r="C768" s="6" t="n"/>
      <c r="D768" s="6" t="n"/>
      <c r="E768" s="6" t="n"/>
      <c r="F768" s="6" t="n"/>
      <c r="G768" s="6" t="n"/>
      <c r="H768" s="10">
        <f>IF(F768="","",IFERROR(INDEX(Roster!$A$2:$A$600,MATCH(F768,Roster!$E$2:$E$600,0)),""))</f>
        <v/>
      </c>
      <c r="I768" s="10">
        <f>IF(AND(D768="",C768="",F768=""),"",IF(G768&lt;&gt;"","Void",IF(F768="","Needs child",IF(H768="","Child not found",IF(OR(B768="",NOT(ISNUMBER(C768))),"Needs month/pages","OK")))))</f>
        <v/>
      </c>
      <c r="J768" s="10">
        <f>IF(I768="","",IF(I768="OK",IF(COUNTIFS(H769:H$3001,H768,B769:B$3001,B768,G769:G$3001,"")=0,C768,0),0))</f>
        <v/>
      </c>
    </row>
    <row r="769">
      <c r="A769" s="6" t="n"/>
      <c r="B769" s="9" t="n"/>
      <c r="C769" s="6" t="n"/>
      <c r="D769" s="6" t="n"/>
      <c r="E769" s="6" t="n"/>
      <c r="F769" s="6" t="n"/>
      <c r="G769" s="6" t="n"/>
      <c r="H769" s="10">
        <f>IF(F769="","",IFERROR(INDEX(Roster!$A$2:$A$600,MATCH(F769,Roster!$E$2:$E$600,0)),""))</f>
        <v/>
      </c>
      <c r="I769" s="10">
        <f>IF(AND(D769="",C769="",F769=""),"",IF(G769&lt;&gt;"","Void",IF(F769="","Needs child",IF(H769="","Child not found",IF(OR(B769="",NOT(ISNUMBER(C769))),"Needs month/pages","OK")))))</f>
        <v/>
      </c>
      <c r="J769" s="10">
        <f>IF(I769="","",IF(I769="OK",IF(COUNTIFS(H770:H$3001,H769,B770:B$3001,B769,G770:G$3001,"")=0,C769,0),0))</f>
        <v/>
      </c>
    </row>
    <row r="770">
      <c r="A770" s="6" t="n"/>
      <c r="B770" s="9" t="n"/>
      <c r="C770" s="6" t="n"/>
      <c r="D770" s="6" t="n"/>
      <c r="E770" s="6" t="n"/>
      <c r="F770" s="6" t="n"/>
      <c r="G770" s="6" t="n"/>
      <c r="H770" s="10">
        <f>IF(F770="","",IFERROR(INDEX(Roster!$A$2:$A$600,MATCH(F770,Roster!$E$2:$E$600,0)),""))</f>
        <v/>
      </c>
      <c r="I770" s="10">
        <f>IF(AND(D770="",C770="",F770=""),"",IF(G770&lt;&gt;"","Void",IF(F770="","Needs child",IF(H770="","Child not found",IF(OR(B770="",NOT(ISNUMBER(C770))),"Needs month/pages","OK")))))</f>
        <v/>
      </c>
      <c r="J770" s="10">
        <f>IF(I770="","",IF(I770="OK",IF(COUNTIFS(H771:H$3001,H770,B771:B$3001,B770,G771:G$3001,"")=0,C770,0),0))</f>
        <v/>
      </c>
    </row>
    <row r="771">
      <c r="A771" s="6" t="n"/>
      <c r="B771" s="9" t="n"/>
      <c r="C771" s="6" t="n"/>
      <c r="D771" s="6" t="n"/>
      <c r="E771" s="6" t="n"/>
      <c r="F771" s="6" t="n"/>
      <c r="G771" s="6" t="n"/>
      <c r="H771" s="10">
        <f>IF(F771="","",IFERROR(INDEX(Roster!$A$2:$A$600,MATCH(F771,Roster!$E$2:$E$600,0)),""))</f>
        <v/>
      </c>
      <c r="I771" s="10">
        <f>IF(AND(D771="",C771="",F771=""),"",IF(G771&lt;&gt;"","Void",IF(F771="","Needs child",IF(H771="","Child not found",IF(OR(B771="",NOT(ISNUMBER(C771))),"Needs month/pages","OK")))))</f>
        <v/>
      </c>
      <c r="J771" s="10">
        <f>IF(I771="","",IF(I771="OK",IF(COUNTIFS(H772:H$3001,H771,B772:B$3001,B771,G772:G$3001,"")=0,C771,0),0))</f>
        <v/>
      </c>
    </row>
    <row r="772">
      <c r="A772" s="6" t="n"/>
      <c r="B772" s="9" t="n"/>
      <c r="C772" s="6" t="n"/>
      <c r="D772" s="6" t="n"/>
      <c r="E772" s="6" t="n"/>
      <c r="F772" s="6" t="n"/>
      <c r="G772" s="6" t="n"/>
      <c r="H772" s="10">
        <f>IF(F772="","",IFERROR(INDEX(Roster!$A$2:$A$600,MATCH(F772,Roster!$E$2:$E$600,0)),""))</f>
        <v/>
      </c>
      <c r="I772" s="10">
        <f>IF(AND(D772="",C772="",F772=""),"",IF(G772&lt;&gt;"","Void",IF(F772="","Needs child",IF(H772="","Child not found",IF(OR(B772="",NOT(ISNUMBER(C772))),"Needs month/pages","OK")))))</f>
        <v/>
      </c>
      <c r="J772" s="10">
        <f>IF(I772="","",IF(I772="OK",IF(COUNTIFS(H773:H$3001,H772,B773:B$3001,B772,G773:G$3001,"")=0,C772,0),0))</f>
        <v/>
      </c>
    </row>
    <row r="773">
      <c r="A773" s="6" t="n"/>
      <c r="B773" s="9" t="n"/>
      <c r="C773" s="6" t="n"/>
      <c r="D773" s="6" t="n"/>
      <c r="E773" s="6" t="n"/>
      <c r="F773" s="6" t="n"/>
      <c r="G773" s="6" t="n"/>
      <c r="H773" s="10">
        <f>IF(F773="","",IFERROR(INDEX(Roster!$A$2:$A$600,MATCH(F773,Roster!$E$2:$E$600,0)),""))</f>
        <v/>
      </c>
      <c r="I773" s="10">
        <f>IF(AND(D773="",C773="",F773=""),"",IF(G773&lt;&gt;"","Void",IF(F773="","Needs child",IF(H773="","Child not found",IF(OR(B773="",NOT(ISNUMBER(C773))),"Needs month/pages","OK")))))</f>
        <v/>
      </c>
      <c r="J773" s="10">
        <f>IF(I773="","",IF(I773="OK",IF(COUNTIFS(H774:H$3001,H773,B774:B$3001,B773,G774:G$3001,"")=0,C773,0),0))</f>
        <v/>
      </c>
    </row>
    <row r="774">
      <c r="A774" s="6" t="n"/>
      <c r="B774" s="9" t="n"/>
      <c r="C774" s="6" t="n"/>
      <c r="D774" s="6" t="n"/>
      <c r="E774" s="6" t="n"/>
      <c r="F774" s="6" t="n"/>
      <c r="G774" s="6" t="n"/>
      <c r="H774" s="10">
        <f>IF(F774="","",IFERROR(INDEX(Roster!$A$2:$A$600,MATCH(F774,Roster!$E$2:$E$600,0)),""))</f>
        <v/>
      </c>
      <c r="I774" s="10">
        <f>IF(AND(D774="",C774="",F774=""),"",IF(G774&lt;&gt;"","Void",IF(F774="","Needs child",IF(H774="","Child not found",IF(OR(B774="",NOT(ISNUMBER(C774))),"Needs month/pages","OK")))))</f>
        <v/>
      </c>
      <c r="J774" s="10">
        <f>IF(I774="","",IF(I774="OK",IF(COUNTIFS(H775:H$3001,H774,B775:B$3001,B774,G775:G$3001,"")=0,C774,0),0))</f>
        <v/>
      </c>
    </row>
    <row r="775">
      <c r="A775" s="6" t="n"/>
      <c r="B775" s="9" t="n"/>
      <c r="C775" s="6" t="n"/>
      <c r="D775" s="6" t="n"/>
      <c r="E775" s="6" t="n"/>
      <c r="F775" s="6" t="n"/>
      <c r="G775" s="6" t="n"/>
      <c r="H775" s="10">
        <f>IF(F775="","",IFERROR(INDEX(Roster!$A$2:$A$600,MATCH(F775,Roster!$E$2:$E$600,0)),""))</f>
        <v/>
      </c>
      <c r="I775" s="10">
        <f>IF(AND(D775="",C775="",F775=""),"",IF(G775&lt;&gt;"","Void",IF(F775="","Needs child",IF(H775="","Child not found",IF(OR(B775="",NOT(ISNUMBER(C775))),"Needs month/pages","OK")))))</f>
        <v/>
      </c>
      <c r="J775" s="10">
        <f>IF(I775="","",IF(I775="OK",IF(COUNTIFS(H776:H$3001,H775,B776:B$3001,B775,G776:G$3001,"")=0,C775,0),0))</f>
        <v/>
      </c>
    </row>
    <row r="776">
      <c r="A776" s="6" t="n"/>
      <c r="B776" s="9" t="n"/>
      <c r="C776" s="6" t="n"/>
      <c r="D776" s="6" t="n"/>
      <c r="E776" s="6" t="n"/>
      <c r="F776" s="6" t="n"/>
      <c r="G776" s="6" t="n"/>
      <c r="H776" s="10">
        <f>IF(F776="","",IFERROR(INDEX(Roster!$A$2:$A$600,MATCH(F776,Roster!$E$2:$E$600,0)),""))</f>
        <v/>
      </c>
      <c r="I776" s="10">
        <f>IF(AND(D776="",C776="",F776=""),"",IF(G776&lt;&gt;"","Void",IF(F776="","Needs child",IF(H776="","Child not found",IF(OR(B776="",NOT(ISNUMBER(C776))),"Needs month/pages","OK")))))</f>
        <v/>
      </c>
      <c r="J776" s="10">
        <f>IF(I776="","",IF(I776="OK",IF(COUNTIFS(H777:H$3001,H776,B777:B$3001,B776,G777:G$3001,"")=0,C776,0),0))</f>
        <v/>
      </c>
    </row>
    <row r="777">
      <c r="A777" s="6" t="n"/>
      <c r="B777" s="9" t="n"/>
      <c r="C777" s="6" t="n"/>
      <c r="D777" s="6" t="n"/>
      <c r="E777" s="6" t="n"/>
      <c r="F777" s="6" t="n"/>
      <c r="G777" s="6" t="n"/>
      <c r="H777" s="10">
        <f>IF(F777="","",IFERROR(INDEX(Roster!$A$2:$A$600,MATCH(F777,Roster!$E$2:$E$600,0)),""))</f>
        <v/>
      </c>
      <c r="I777" s="10">
        <f>IF(AND(D777="",C777="",F777=""),"",IF(G777&lt;&gt;"","Void",IF(F777="","Needs child",IF(H777="","Child not found",IF(OR(B777="",NOT(ISNUMBER(C777))),"Needs month/pages","OK")))))</f>
        <v/>
      </c>
      <c r="J777" s="10">
        <f>IF(I777="","",IF(I777="OK",IF(COUNTIFS(H778:H$3001,H777,B778:B$3001,B777,G778:G$3001,"")=0,C777,0),0))</f>
        <v/>
      </c>
    </row>
    <row r="778">
      <c r="A778" s="6" t="n"/>
      <c r="B778" s="9" t="n"/>
      <c r="C778" s="6" t="n"/>
      <c r="D778" s="6" t="n"/>
      <c r="E778" s="6" t="n"/>
      <c r="F778" s="6" t="n"/>
      <c r="G778" s="6" t="n"/>
      <c r="H778" s="10">
        <f>IF(F778="","",IFERROR(INDEX(Roster!$A$2:$A$600,MATCH(F778,Roster!$E$2:$E$600,0)),""))</f>
        <v/>
      </c>
      <c r="I778" s="10">
        <f>IF(AND(D778="",C778="",F778=""),"",IF(G778&lt;&gt;"","Void",IF(F778="","Needs child",IF(H778="","Child not found",IF(OR(B778="",NOT(ISNUMBER(C778))),"Needs month/pages","OK")))))</f>
        <v/>
      </c>
      <c r="J778" s="10">
        <f>IF(I778="","",IF(I778="OK",IF(COUNTIFS(H779:H$3001,H778,B779:B$3001,B778,G779:G$3001,"")=0,C778,0),0))</f>
        <v/>
      </c>
    </row>
    <row r="779">
      <c r="A779" s="6" t="n"/>
      <c r="B779" s="9" t="n"/>
      <c r="C779" s="6" t="n"/>
      <c r="D779" s="6" t="n"/>
      <c r="E779" s="6" t="n"/>
      <c r="F779" s="6" t="n"/>
      <c r="G779" s="6" t="n"/>
      <c r="H779" s="10">
        <f>IF(F779="","",IFERROR(INDEX(Roster!$A$2:$A$600,MATCH(F779,Roster!$E$2:$E$600,0)),""))</f>
        <v/>
      </c>
      <c r="I779" s="10">
        <f>IF(AND(D779="",C779="",F779=""),"",IF(G779&lt;&gt;"","Void",IF(F779="","Needs child",IF(H779="","Child not found",IF(OR(B779="",NOT(ISNUMBER(C779))),"Needs month/pages","OK")))))</f>
        <v/>
      </c>
      <c r="J779" s="10">
        <f>IF(I779="","",IF(I779="OK",IF(COUNTIFS(H780:H$3001,H779,B780:B$3001,B779,G780:G$3001,"")=0,C779,0),0))</f>
        <v/>
      </c>
    </row>
    <row r="780">
      <c r="A780" s="6" t="n"/>
      <c r="B780" s="9" t="n"/>
      <c r="C780" s="6" t="n"/>
      <c r="D780" s="6" t="n"/>
      <c r="E780" s="6" t="n"/>
      <c r="F780" s="6" t="n"/>
      <c r="G780" s="6" t="n"/>
      <c r="H780" s="10">
        <f>IF(F780="","",IFERROR(INDEX(Roster!$A$2:$A$600,MATCH(F780,Roster!$E$2:$E$600,0)),""))</f>
        <v/>
      </c>
      <c r="I780" s="10">
        <f>IF(AND(D780="",C780="",F780=""),"",IF(G780&lt;&gt;"","Void",IF(F780="","Needs child",IF(H780="","Child not found",IF(OR(B780="",NOT(ISNUMBER(C780))),"Needs month/pages","OK")))))</f>
        <v/>
      </c>
      <c r="J780" s="10">
        <f>IF(I780="","",IF(I780="OK",IF(COUNTIFS(H781:H$3001,H780,B781:B$3001,B780,G781:G$3001,"")=0,C780,0),0))</f>
        <v/>
      </c>
    </row>
    <row r="781">
      <c r="A781" s="6" t="n"/>
      <c r="B781" s="9" t="n"/>
      <c r="C781" s="6" t="n"/>
      <c r="D781" s="6" t="n"/>
      <c r="E781" s="6" t="n"/>
      <c r="F781" s="6" t="n"/>
      <c r="G781" s="6" t="n"/>
      <c r="H781" s="10">
        <f>IF(F781="","",IFERROR(INDEX(Roster!$A$2:$A$600,MATCH(F781,Roster!$E$2:$E$600,0)),""))</f>
        <v/>
      </c>
      <c r="I781" s="10">
        <f>IF(AND(D781="",C781="",F781=""),"",IF(G781&lt;&gt;"","Void",IF(F781="","Needs child",IF(H781="","Child not found",IF(OR(B781="",NOT(ISNUMBER(C781))),"Needs month/pages","OK")))))</f>
        <v/>
      </c>
      <c r="J781" s="10">
        <f>IF(I781="","",IF(I781="OK",IF(COUNTIFS(H782:H$3001,H781,B782:B$3001,B781,G782:G$3001,"")=0,C781,0),0))</f>
        <v/>
      </c>
    </row>
    <row r="782">
      <c r="A782" s="6" t="n"/>
      <c r="B782" s="9" t="n"/>
      <c r="C782" s="6" t="n"/>
      <c r="D782" s="6" t="n"/>
      <c r="E782" s="6" t="n"/>
      <c r="F782" s="6" t="n"/>
      <c r="G782" s="6" t="n"/>
      <c r="H782" s="10">
        <f>IF(F782="","",IFERROR(INDEX(Roster!$A$2:$A$600,MATCH(F782,Roster!$E$2:$E$600,0)),""))</f>
        <v/>
      </c>
      <c r="I782" s="10">
        <f>IF(AND(D782="",C782="",F782=""),"",IF(G782&lt;&gt;"","Void",IF(F782="","Needs child",IF(H782="","Child not found",IF(OR(B782="",NOT(ISNUMBER(C782))),"Needs month/pages","OK")))))</f>
        <v/>
      </c>
      <c r="J782" s="10">
        <f>IF(I782="","",IF(I782="OK",IF(COUNTIFS(H783:H$3001,H782,B783:B$3001,B782,G783:G$3001,"")=0,C782,0),0))</f>
        <v/>
      </c>
    </row>
    <row r="783">
      <c r="A783" s="6" t="n"/>
      <c r="B783" s="9" t="n"/>
      <c r="C783" s="6" t="n"/>
      <c r="D783" s="6" t="n"/>
      <c r="E783" s="6" t="n"/>
      <c r="F783" s="6" t="n"/>
      <c r="G783" s="6" t="n"/>
      <c r="H783" s="10">
        <f>IF(F783="","",IFERROR(INDEX(Roster!$A$2:$A$600,MATCH(F783,Roster!$E$2:$E$600,0)),""))</f>
        <v/>
      </c>
      <c r="I783" s="10">
        <f>IF(AND(D783="",C783="",F783=""),"",IF(G783&lt;&gt;"","Void",IF(F783="","Needs child",IF(H783="","Child not found",IF(OR(B783="",NOT(ISNUMBER(C783))),"Needs month/pages","OK")))))</f>
        <v/>
      </c>
      <c r="J783" s="10">
        <f>IF(I783="","",IF(I783="OK",IF(COUNTIFS(H784:H$3001,H783,B784:B$3001,B783,G784:G$3001,"")=0,C783,0),0))</f>
        <v/>
      </c>
    </row>
    <row r="784">
      <c r="A784" s="6" t="n"/>
      <c r="B784" s="9" t="n"/>
      <c r="C784" s="6" t="n"/>
      <c r="D784" s="6" t="n"/>
      <c r="E784" s="6" t="n"/>
      <c r="F784" s="6" t="n"/>
      <c r="G784" s="6" t="n"/>
      <c r="H784" s="10">
        <f>IF(F784="","",IFERROR(INDEX(Roster!$A$2:$A$600,MATCH(F784,Roster!$E$2:$E$600,0)),""))</f>
        <v/>
      </c>
      <c r="I784" s="10">
        <f>IF(AND(D784="",C784="",F784=""),"",IF(G784&lt;&gt;"","Void",IF(F784="","Needs child",IF(H784="","Child not found",IF(OR(B784="",NOT(ISNUMBER(C784))),"Needs month/pages","OK")))))</f>
        <v/>
      </c>
      <c r="J784" s="10">
        <f>IF(I784="","",IF(I784="OK",IF(COUNTIFS(H785:H$3001,H784,B785:B$3001,B784,G785:G$3001,"")=0,C784,0),0))</f>
        <v/>
      </c>
    </row>
    <row r="785">
      <c r="A785" s="6" t="n"/>
      <c r="B785" s="9" t="n"/>
      <c r="C785" s="6" t="n"/>
      <c r="D785" s="6" t="n"/>
      <c r="E785" s="6" t="n"/>
      <c r="F785" s="6" t="n"/>
      <c r="G785" s="6" t="n"/>
      <c r="H785" s="10">
        <f>IF(F785="","",IFERROR(INDEX(Roster!$A$2:$A$600,MATCH(F785,Roster!$E$2:$E$600,0)),""))</f>
        <v/>
      </c>
      <c r="I785" s="10">
        <f>IF(AND(D785="",C785="",F785=""),"",IF(G785&lt;&gt;"","Void",IF(F785="","Needs child",IF(H785="","Child not found",IF(OR(B785="",NOT(ISNUMBER(C785))),"Needs month/pages","OK")))))</f>
        <v/>
      </c>
      <c r="J785" s="10">
        <f>IF(I785="","",IF(I785="OK",IF(COUNTIFS(H786:H$3001,H785,B786:B$3001,B785,G786:G$3001,"")=0,C785,0),0))</f>
        <v/>
      </c>
    </row>
    <row r="786">
      <c r="A786" s="6" t="n"/>
      <c r="B786" s="9" t="n"/>
      <c r="C786" s="6" t="n"/>
      <c r="D786" s="6" t="n"/>
      <c r="E786" s="6" t="n"/>
      <c r="F786" s="6" t="n"/>
      <c r="G786" s="6" t="n"/>
      <c r="H786" s="10">
        <f>IF(F786="","",IFERROR(INDEX(Roster!$A$2:$A$600,MATCH(F786,Roster!$E$2:$E$600,0)),""))</f>
        <v/>
      </c>
      <c r="I786" s="10">
        <f>IF(AND(D786="",C786="",F786=""),"",IF(G786&lt;&gt;"","Void",IF(F786="","Needs child",IF(H786="","Child not found",IF(OR(B786="",NOT(ISNUMBER(C786))),"Needs month/pages","OK")))))</f>
        <v/>
      </c>
      <c r="J786" s="10">
        <f>IF(I786="","",IF(I786="OK",IF(COUNTIFS(H787:H$3001,H786,B787:B$3001,B786,G787:G$3001,"")=0,C786,0),0))</f>
        <v/>
      </c>
    </row>
    <row r="787">
      <c r="A787" s="6" t="n"/>
      <c r="B787" s="9" t="n"/>
      <c r="C787" s="6" t="n"/>
      <c r="D787" s="6" t="n"/>
      <c r="E787" s="6" t="n"/>
      <c r="F787" s="6" t="n"/>
      <c r="G787" s="6" t="n"/>
      <c r="H787" s="10">
        <f>IF(F787="","",IFERROR(INDEX(Roster!$A$2:$A$600,MATCH(F787,Roster!$E$2:$E$600,0)),""))</f>
        <v/>
      </c>
      <c r="I787" s="10">
        <f>IF(AND(D787="",C787="",F787=""),"",IF(G787&lt;&gt;"","Void",IF(F787="","Needs child",IF(H787="","Child not found",IF(OR(B787="",NOT(ISNUMBER(C787))),"Needs month/pages","OK")))))</f>
        <v/>
      </c>
      <c r="J787" s="10">
        <f>IF(I787="","",IF(I787="OK",IF(COUNTIFS(H788:H$3001,H787,B788:B$3001,B787,G788:G$3001,"")=0,C787,0),0))</f>
        <v/>
      </c>
    </row>
    <row r="788">
      <c r="A788" s="6" t="n"/>
      <c r="B788" s="9" t="n"/>
      <c r="C788" s="6" t="n"/>
      <c r="D788" s="6" t="n"/>
      <c r="E788" s="6" t="n"/>
      <c r="F788" s="6" t="n"/>
      <c r="G788" s="6" t="n"/>
      <c r="H788" s="10">
        <f>IF(F788="","",IFERROR(INDEX(Roster!$A$2:$A$600,MATCH(F788,Roster!$E$2:$E$600,0)),""))</f>
        <v/>
      </c>
      <c r="I788" s="10">
        <f>IF(AND(D788="",C788="",F788=""),"",IF(G788&lt;&gt;"","Void",IF(F788="","Needs child",IF(H788="","Child not found",IF(OR(B788="",NOT(ISNUMBER(C788))),"Needs month/pages","OK")))))</f>
        <v/>
      </c>
      <c r="J788" s="10">
        <f>IF(I788="","",IF(I788="OK",IF(COUNTIFS(H789:H$3001,H788,B789:B$3001,B788,G789:G$3001,"")=0,C788,0),0))</f>
        <v/>
      </c>
    </row>
    <row r="789">
      <c r="A789" s="6" t="n"/>
      <c r="B789" s="9" t="n"/>
      <c r="C789" s="6" t="n"/>
      <c r="D789" s="6" t="n"/>
      <c r="E789" s="6" t="n"/>
      <c r="F789" s="6" t="n"/>
      <c r="G789" s="6" t="n"/>
      <c r="H789" s="10">
        <f>IF(F789="","",IFERROR(INDEX(Roster!$A$2:$A$600,MATCH(F789,Roster!$E$2:$E$600,0)),""))</f>
        <v/>
      </c>
      <c r="I789" s="10">
        <f>IF(AND(D789="",C789="",F789=""),"",IF(G789&lt;&gt;"","Void",IF(F789="","Needs child",IF(H789="","Child not found",IF(OR(B789="",NOT(ISNUMBER(C789))),"Needs month/pages","OK")))))</f>
        <v/>
      </c>
      <c r="J789" s="10">
        <f>IF(I789="","",IF(I789="OK",IF(COUNTIFS(H790:H$3001,H789,B790:B$3001,B789,G790:G$3001,"")=0,C789,0),0))</f>
        <v/>
      </c>
    </row>
    <row r="790">
      <c r="A790" s="6" t="n"/>
      <c r="B790" s="9" t="n"/>
      <c r="C790" s="6" t="n"/>
      <c r="D790" s="6" t="n"/>
      <c r="E790" s="6" t="n"/>
      <c r="F790" s="6" t="n"/>
      <c r="G790" s="6" t="n"/>
      <c r="H790" s="10">
        <f>IF(F790="","",IFERROR(INDEX(Roster!$A$2:$A$600,MATCH(F790,Roster!$E$2:$E$600,0)),""))</f>
        <v/>
      </c>
      <c r="I790" s="10">
        <f>IF(AND(D790="",C790="",F790=""),"",IF(G790&lt;&gt;"","Void",IF(F790="","Needs child",IF(H790="","Child not found",IF(OR(B790="",NOT(ISNUMBER(C790))),"Needs month/pages","OK")))))</f>
        <v/>
      </c>
      <c r="J790" s="10">
        <f>IF(I790="","",IF(I790="OK",IF(COUNTIFS(H791:H$3001,H790,B791:B$3001,B790,G791:G$3001,"")=0,C790,0),0))</f>
        <v/>
      </c>
    </row>
    <row r="791">
      <c r="A791" s="6" t="n"/>
      <c r="B791" s="9" t="n"/>
      <c r="C791" s="6" t="n"/>
      <c r="D791" s="6" t="n"/>
      <c r="E791" s="6" t="n"/>
      <c r="F791" s="6" t="n"/>
      <c r="G791" s="6" t="n"/>
      <c r="H791" s="10">
        <f>IF(F791="","",IFERROR(INDEX(Roster!$A$2:$A$600,MATCH(F791,Roster!$E$2:$E$600,0)),""))</f>
        <v/>
      </c>
      <c r="I791" s="10">
        <f>IF(AND(D791="",C791="",F791=""),"",IF(G791&lt;&gt;"","Void",IF(F791="","Needs child",IF(H791="","Child not found",IF(OR(B791="",NOT(ISNUMBER(C791))),"Needs month/pages","OK")))))</f>
        <v/>
      </c>
      <c r="J791" s="10">
        <f>IF(I791="","",IF(I791="OK",IF(COUNTIFS(H792:H$3001,H791,B792:B$3001,B791,G792:G$3001,"")=0,C791,0),0))</f>
        <v/>
      </c>
    </row>
    <row r="792">
      <c r="A792" s="6" t="n"/>
      <c r="B792" s="9" t="n"/>
      <c r="C792" s="6" t="n"/>
      <c r="D792" s="6" t="n"/>
      <c r="E792" s="6" t="n"/>
      <c r="F792" s="6" t="n"/>
      <c r="G792" s="6" t="n"/>
      <c r="H792" s="10">
        <f>IF(F792="","",IFERROR(INDEX(Roster!$A$2:$A$600,MATCH(F792,Roster!$E$2:$E$600,0)),""))</f>
        <v/>
      </c>
      <c r="I792" s="10">
        <f>IF(AND(D792="",C792="",F792=""),"",IF(G792&lt;&gt;"","Void",IF(F792="","Needs child",IF(H792="","Child not found",IF(OR(B792="",NOT(ISNUMBER(C792))),"Needs month/pages","OK")))))</f>
        <v/>
      </c>
      <c r="J792" s="10">
        <f>IF(I792="","",IF(I792="OK",IF(COUNTIFS(H793:H$3001,H792,B793:B$3001,B792,G793:G$3001,"")=0,C792,0),0))</f>
        <v/>
      </c>
    </row>
    <row r="793">
      <c r="A793" s="6" t="n"/>
      <c r="B793" s="9" t="n"/>
      <c r="C793" s="6" t="n"/>
      <c r="D793" s="6" t="n"/>
      <c r="E793" s="6" t="n"/>
      <c r="F793" s="6" t="n"/>
      <c r="G793" s="6" t="n"/>
      <c r="H793" s="10">
        <f>IF(F793="","",IFERROR(INDEX(Roster!$A$2:$A$600,MATCH(F793,Roster!$E$2:$E$600,0)),""))</f>
        <v/>
      </c>
      <c r="I793" s="10">
        <f>IF(AND(D793="",C793="",F793=""),"",IF(G793&lt;&gt;"","Void",IF(F793="","Needs child",IF(H793="","Child not found",IF(OR(B793="",NOT(ISNUMBER(C793))),"Needs month/pages","OK")))))</f>
        <v/>
      </c>
      <c r="J793" s="10">
        <f>IF(I793="","",IF(I793="OK",IF(COUNTIFS(H794:H$3001,H793,B794:B$3001,B793,G794:G$3001,"")=0,C793,0),0))</f>
        <v/>
      </c>
    </row>
    <row r="794">
      <c r="A794" s="6" t="n"/>
      <c r="B794" s="9" t="n"/>
      <c r="C794" s="6" t="n"/>
      <c r="D794" s="6" t="n"/>
      <c r="E794" s="6" t="n"/>
      <c r="F794" s="6" t="n"/>
      <c r="G794" s="6" t="n"/>
      <c r="H794" s="10">
        <f>IF(F794="","",IFERROR(INDEX(Roster!$A$2:$A$600,MATCH(F794,Roster!$E$2:$E$600,0)),""))</f>
        <v/>
      </c>
      <c r="I794" s="10">
        <f>IF(AND(D794="",C794="",F794=""),"",IF(G794&lt;&gt;"","Void",IF(F794="","Needs child",IF(H794="","Child not found",IF(OR(B794="",NOT(ISNUMBER(C794))),"Needs month/pages","OK")))))</f>
        <v/>
      </c>
      <c r="J794" s="10">
        <f>IF(I794="","",IF(I794="OK",IF(COUNTIFS(H795:H$3001,H794,B795:B$3001,B794,G795:G$3001,"")=0,C794,0),0))</f>
        <v/>
      </c>
    </row>
    <row r="795">
      <c r="A795" s="6" t="n"/>
      <c r="B795" s="9" t="n"/>
      <c r="C795" s="6" t="n"/>
      <c r="D795" s="6" t="n"/>
      <c r="E795" s="6" t="n"/>
      <c r="F795" s="6" t="n"/>
      <c r="G795" s="6" t="n"/>
      <c r="H795" s="10">
        <f>IF(F795="","",IFERROR(INDEX(Roster!$A$2:$A$600,MATCH(F795,Roster!$E$2:$E$600,0)),""))</f>
        <v/>
      </c>
      <c r="I795" s="10">
        <f>IF(AND(D795="",C795="",F795=""),"",IF(G795&lt;&gt;"","Void",IF(F795="","Needs child",IF(H795="","Child not found",IF(OR(B795="",NOT(ISNUMBER(C795))),"Needs month/pages","OK")))))</f>
        <v/>
      </c>
      <c r="J795" s="10">
        <f>IF(I795="","",IF(I795="OK",IF(COUNTIFS(H796:H$3001,H795,B796:B$3001,B795,G796:G$3001,"")=0,C795,0),0))</f>
        <v/>
      </c>
    </row>
    <row r="796">
      <c r="A796" s="6" t="n"/>
      <c r="B796" s="9" t="n"/>
      <c r="C796" s="6" t="n"/>
      <c r="D796" s="6" t="n"/>
      <c r="E796" s="6" t="n"/>
      <c r="F796" s="6" t="n"/>
      <c r="G796" s="6" t="n"/>
      <c r="H796" s="10">
        <f>IF(F796="","",IFERROR(INDEX(Roster!$A$2:$A$600,MATCH(F796,Roster!$E$2:$E$600,0)),""))</f>
        <v/>
      </c>
      <c r="I796" s="10">
        <f>IF(AND(D796="",C796="",F796=""),"",IF(G796&lt;&gt;"","Void",IF(F796="","Needs child",IF(H796="","Child not found",IF(OR(B796="",NOT(ISNUMBER(C796))),"Needs month/pages","OK")))))</f>
        <v/>
      </c>
      <c r="J796" s="10">
        <f>IF(I796="","",IF(I796="OK",IF(COUNTIFS(H797:H$3001,H796,B797:B$3001,B796,G797:G$3001,"")=0,C796,0),0))</f>
        <v/>
      </c>
    </row>
    <row r="797">
      <c r="A797" s="6" t="n"/>
      <c r="B797" s="9" t="n"/>
      <c r="C797" s="6" t="n"/>
      <c r="D797" s="6" t="n"/>
      <c r="E797" s="6" t="n"/>
      <c r="F797" s="6" t="n"/>
      <c r="G797" s="6" t="n"/>
      <c r="H797" s="10">
        <f>IF(F797="","",IFERROR(INDEX(Roster!$A$2:$A$600,MATCH(F797,Roster!$E$2:$E$600,0)),""))</f>
        <v/>
      </c>
      <c r="I797" s="10">
        <f>IF(AND(D797="",C797="",F797=""),"",IF(G797&lt;&gt;"","Void",IF(F797="","Needs child",IF(H797="","Child not found",IF(OR(B797="",NOT(ISNUMBER(C797))),"Needs month/pages","OK")))))</f>
        <v/>
      </c>
      <c r="J797" s="10">
        <f>IF(I797="","",IF(I797="OK",IF(COUNTIFS(H798:H$3001,H797,B798:B$3001,B797,G798:G$3001,"")=0,C797,0),0))</f>
        <v/>
      </c>
    </row>
    <row r="798">
      <c r="A798" s="6" t="n"/>
      <c r="B798" s="9" t="n"/>
      <c r="C798" s="6" t="n"/>
      <c r="D798" s="6" t="n"/>
      <c r="E798" s="6" t="n"/>
      <c r="F798" s="6" t="n"/>
      <c r="G798" s="6" t="n"/>
      <c r="H798" s="10">
        <f>IF(F798="","",IFERROR(INDEX(Roster!$A$2:$A$600,MATCH(F798,Roster!$E$2:$E$600,0)),""))</f>
        <v/>
      </c>
      <c r="I798" s="10">
        <f>IF(AND(D798="",C798="",F798=""),"",IF(G798&lt;&gt;"","Void",IF(F798="","Needs child",IF(H798="","Child not found",IF(OR(B798="",NOT(ISNUMBER(C798))),"Needs month/pages","OK")))))</f>
        <v/>
      </c>
      <c r="J798" s="10">
        <f>IF(I798="","",IF(I798="OK",IF(COUNTIFS(H799:H$3001,H798,B799:B$3001,B798,G799:G$3001,"")=0,C798,0),0))</f>
        <v/>
      </c>
    </row>
    <row r="799">
      <c r="A799" s="6" t="n"/>
      <c r="B799" s="9" t="n"/>
      <c r="C799" s="6" t="n"/>
      <c r="D799" s="6" t="n"/>
      <c r="E799" s="6" t="n"/>
      <c r="F799" s="6" t="n"/>
      <c r="G799" s="6" t="n"/>
      <c r="H799" s="10">
        <f>IF(F799="","",IFERROR(INDEX(Roster!$A$2:$A$600,MATCH(F799,Roster!$E$2:$E$600,0)),""))</f>
        <v/>
      </c>
      <c r="I799" s="10">
        <f>IF(AND(D799="",C799="",F799=""),"",IF(G799&lt;&gt;"","Void",IF(F799="","Needs child",IF(H799="","Child not found",IF(OR(B799="",NOT(ISNUMBER(C799))),"Needs month/pages","OK")))))</f>
        <v/>
      </c>
      <c r="J799" s="10">
        <f>IF(I799="","",IF(I799="OK",IF(COUNTIFS(H800:H$3001,H799,B800:B$3001,B799,G800:G$3001,"")=0,C799,0),0))</f>
        <v/>
      </c>
    </row>
    <row r="800">
      <c r="A800" s="6" t="n"/>
      <c r="B800" s="9" t="n"/>
      <c r="C800" s="6" t="n"/>
      <c r="D800" s="6" t="n"/>
      <c r="E800" s="6" t="n"/>
      <c r="F800" s="6" t="n"/>
      <c r="G800" s="6" t="n"/>
      <c r="H800" s="10">
        <f>IF(F800="","",IFERROR(INDEX(Roster!$A$2:$A$600,MATCH(F800,Roster!$E$2:$E$600,0)),""))</f>
        <v/>
      </c>
      <c r="I800" s="10">
        <f>IF(AND(D800="",C800="",F800=""),"",IF(G800&lt;&gt;"","Void",IF(F800="","Needs child",IF(H800="","Child not found",IF(OR(B800="",NOT(ISNUMBER(C800))),"Needs month/pages","OK")))))</f>
        <v/>
      </c>
      <c r="J800" s="10">
        <f>IF(I800="","",IF(I800="OK",IF(COUNTIFS(H801:H$3001,H800,B801:B$3001,B800,G801:G$3001,"")=0,C800,0),0))</f>
        <v/>
      </c>
    </row>
    <row r="801">
      <c r="A801" s="6" t="n"/>
      <c r="B801" s="9" t="n"/>
      <c r="C801" s="6" t="n"/>
      <c r="D801" s="6" t="n"/>
      <c r="E801" s="6" t="n"/>
      <c r="F801" s="6" t="n"/>
      <c r="G801" s="6" t="n"/>
      <c r="H801" s="10">
        <f>IF(F801="","",IFERROR(INDEX(Roster!$A$2:$A$600,MATCH(F801,Roster!$E$2:$E$600,0)),""))</f>
        <v/>
      </c>
      <c r="I801" s="10">
        <f>IF(AND(D801="",C801="",F801=""),"",IF(G801&lt;&gt;"","Void",IF(F801="","Needs child",IF(H801="","Child not found",IF(OR(B801="",NOT(ISNUMBER(C801))),"Needs month/pages","OK")))))</f>
        <v/>
      </c>
      <c r="J801" s="10">
        <f>IF(I801="","",IF(I801="OK",IF(COUNTIFS(H802:H$3001,H801,B802:B$3001,B801,G802:G$3001,"")=0,C801,0),0))</f>
        <v/>
      </c>
    </row>
    <row r="802">
      <c r="A802" s="6" t="n"/>
      <c r="B802" s="9" t="n"/>
      <c r="C802" s="6" t="n"/>
      <c r="D802" s="6" t="n"/>
      <c r="E802" s="6" t="n"/>
      <c r="F802" s="6" t="n"/>
      <c r="G802" s="6" t="n"/>
      <c r="H802" s="10">
        <f>IF(F802="","",IFERROR(INDEX(Roster!$A$2:$A$600,MATCH(F802,Roster!$E$2:$E$600,0)),""))</f>
        <v/>
      </c>
      <c r="I802" s="10">
        <f>IF(AND(D802="",C802="",F802=""),"",IF(G802&lt;&gt;"","Void",IF(F802="","Needs child",IF(H802="","Child not found",IF(OR(B802="",NOT(ISNUMBER(C802))),"Needs month/pages","OK")))))</f>
        <v/>
      </c>
      <c r="J802" s="10">
        <f>IF(I802="","",IF(I802="OK",IF(COUNTIFS(H803:H$3001,H802,B803:B$3001,B802,G803:G$3001,"")=0,C802,0),0))</f>
        <v/>
      </c>
    </row>
    <row r="803">
      <c r="A803" s="6" t="n"/>
      <c r="B803" s="9" t="n"/>
      <c r="C803" s="6" t="n"/>
      <c r="D803" s="6" t="n"/>
      <c r="E803" s="6" t="n"/>
      <c r="F803" s="6" t="n"/>
      <c r="G803" s="6" t="n"/>
      <c r="H803" s="10">
        <f>IF(F803="","",IFERROR(INDEX(Roster!$A$2:$A$600,MATCH(F803,Roster!$E$2:$E$600,0)),""))</f>
        <v/>
      </c>
      <c r="I803" s="10">
        <f>IF(AND(D803="",C803="",F803=""),"",IF(G803&lt;&gt;"","Void",IF(F803="","Needs child",IF(H803="","Child not found",IF(OR(B803="",NOT(ISNUMBER(C803))),"Needs month/pages","OK")))))</f>
        <v/>
      </c>
      <c r="J803" s="10">
        <f>IF(I803="","",IF(I803="OK",IF(COUNTIFS(H804:H$3001,H803,B804:B$3001,B803,G804:G$3001,"")=0,C803,0),0))</f>
        <v/>
      </c>
    </row>
    <row r="804">
      <c r="A804" s="6" t="n"/>
      <c r="B804" s="9" t="n"/>
      <c r="C804" s="6" t="n"/>
      <c r="D804" s="6" t="n"/>
      <c r="E804" s="6" t="n"/>
      <c r="F804" s="6" t="n"/>
      <c r="G804" s="6" t="n"/>
      <c r="H804" s="10">
        <f>IF(F804="","",IFERROR(INDEX(Roster!$A$2:$A$600,MATCH(F804,Roster!$E$2:$E$600,0)),""))</f>
        <v/>
      </c>
      <c r="I804" s="10">
        <f>IF(AND(D804="",C804="",F804=""),"",IF(G804&lt;&gt;"","Void",IF(F804="","Needs child",IF(H804="","Child not found",IF(OR(B804="",NOT(ISNUMBER(C804))),"Needs month/pages","OK")))))</f>
        <v/>
      </c>
      <c r="J804" s="10">
        <f>IF(I804="","",IF(I804="OK",IF(COUNTIFS(H805:H$3001,H804,B805:B$3001,B804,G805:G$3001,"")=0,C804,0),0))</f>
        <v/>
      </c>
    </row>
    <row r="805">
      <c r="A805" s="6" t="n"/>
      <c r="B805" s="9" t="n"/>
      <c r="C805" s="6" t="n"/>
      <c r="D805" s="6" t="n"/>
      <c r="E805" s="6" t="n"/>
      <c r="F805" s="6" t="n"/>
      <c r="G805" s="6" t="n"/>
      <c r="H805" s="10">
        <f>IF(F805="","",IFERROR(INDEX(Roster!$A$2:$A$600,MATCH(F805,Roster!$E$2:$E$600,0)),""))</f>
        <v/>
      </c>
      <c r="I805" s="10">
        <f>IF(AND(D805="",C805="",F805=""),"",IF(G805&lt;&gt;"","Void",IF(F805="","Needs child",IF(H805="","Child not found",IF(OR(B805="",NOT(ISNUMBER(C805))),"Needs month/pages","OK")))))</f>
        <v/>
      </c>
      <c r="J805" s="10">
        <f>IF(I805="","",IF(I805="OK",IF(COUNTIFS(H806:H$3001,H805,B806:B$3001,B805,G806:G$3001,"")=0,C805,0),0))</f>
        <v/>
      </c>
    </row>
    <row r="806">
      <c r="A806" s="6" t="n"/>
      <c r="B806" s="9" t="n"/>
      <c r="C806" s="6" t="n"/>
      <c r="D806" s="6" t="n"/>
      <c r="E806" s="6" t="n"/>
      <c r="F806" s="6" t="n"/>
      <c r="G806" s="6" t="n"/>
      <c r="H806" s="10">
        <f>IF(F806="","",IFERROR(INDEX(Roster!$A$2:$A$600,MATCH(F806,Roster!$E$2:$E$600,0)),""))</f>
        <v/>
      </c>
      <c r="I806" s="10">
        <f>IF(AND(D806="",C806="",F806=""),"",IF(G806&lt;&gt;"","Void",IF(F806="","Needs child",IF(H806="","Child not found",IF(OR(B806="",NOT(ISNUMBER(C806))),"Needs month/pages","OK")))))</f>
        <v/>
      </c>
      <c r="J806" s="10">
        <f>IF(I806="","",IF(I806="OK",IF(COUNTIFS(H807:H$3001,H806,B807:B$3001,B806,G807:G$3001,"")=0,C806,0),0))</f>
        <v/>
      </c>
    </row>
    <row r="807">
      <c r="A807" s="6" t="n"/>
      <c r="B807" s="9" t="n"/>
      <c r="C807" s="6" t="n"/>
      <c r="D807" s="6" t="n"/>
      <c r="E807" s="6" t="n"/>
      <c r="F807" s="6" t="n"/>
      <c r="G807" s="6" t="n"/>
      <c r="H807" s="10">
        <f>IF(F807="","",IFERROR(INDEX(Roster!$A$2:$A$600,MATCH(F807,Roster!$E$2:$E$600,0)),""))</f>
        <v/>
      </c>
      <c r="I807" s="10">
        <f>IF(AND(D807="",C807="",F807=""),"",IF(G807&lt;&gt;"","Void",IF(F807="","Needs child",IF(H807="","Child not found",IF(OR(B807="",NOT(ISNUMBER(C807))),"Needs month/pages","OK")))))</f>
        <v/>
      </c>
      <c r="J807" s="10">
        <f>IF(I807="","",IF(I807="OK",IF(COUNTIFS(H808:H$3001,H807,B808:B$3001,B807,G808:G$3001,"")=0,C807,0),0))</f>
        <v/>
      </c>
    </row>
    <row r="808">
      <c r="A808" s="6" t="n"/>
      <c r="B808" s="9" t="n"/>
      <c r="C808" s="6" t="n"/>
      <c r="D808" s="6" t="n"/>
      <c r="E808" s="6" t="n"/>
      <c r="F808" s="6" t="n"/>
      <c r="G808" s="6" t="n"/>
      <c r="H808" s="10">
        <f>IF(F808="","",IFERROR(INDEX(Roster!$A$2:$A$600,MATCH(F808,Roster!$E$2:$E$600,0)),""))</f>
        <v/>
      </c>
      <c r="I808" s="10">
        <f>IF(AND(D808="",C808="",F808=""),"",IF(G808&lt;&gt;"","Void",IF(F808="","Needs child",IF(H808="","Child not found",IF(OR(B808="",NOT(ISNUMBER(C808))),"Needs month/pages","OK")))))</f>
        <v/>
      </c>
      <c r="J808" s="10">
        <f>IF(I808="","",IF(I808="OK",IF(COUNTIFS(H809:H$3001,H808,B809:B$3001,B808,G809:G$3001,"")=0,C808,0),0))</f>
        <v/>
      </c>
    </row>
    <row r="809">
      <c r="A809" s="6" t="n"/>
      <c r="B809" s="9" t="n"/>
      <c r="C809" s="6" t="n"/>
      <c r="D809" s="6" t="n"/>
      <c r="E809" s="6" t="n"/>
      <c r="F809" s="6" t="n"/>
      <c r="G809" s="6" t="n"/>
      <c r="H809" s="10">
        <f>IF(F809="","",IFERROR(INDEX(Roster!$A$2:$A$600,MATCH(F809,Roster!$E$2:$E$600,0)),""))</f>
        <v/>
      </c>
      <c r="I809" s="10">
        <f>IF(AND(D809="",C809="",F809=""),"",IF(G809&lt;&gt;"","Void",IF(F809="","Needs child",IF(H809="","Child not found",IF(OR(B809="",NOT(ISNUMBER(C809))),"Needs month/pages","OK")))))</f>
        <v/>
      </c>
      <c r="J809" s="10">
        <f>IF(I809="","",IF(I809="OK",IF(COUNTIFS(H810:H$3001,H809,B810:B$3001,B809,G810:G$3001,"")=0,C809,0),0))</f>
        <v/>
      </c>
    </row>
    <row r="810">
      <c r="A810" s="6" t="n"/>
      <c r="B810" s="9" t="n"/>
      <c r="C810" s="6" t="n"/>
      <c r="D810" s="6" t="n"/>
      <c r="E810" s="6" t="n"/>
      <c r="F810" s="6" t="n"/>
      <c r="G810" s="6" t="n"/>
      <c r="H810" s="10">
        <f>IF(F810="","",IFERROR(INDEX(Roster!$A$2:$A$600,MATCH(F810,Roster!$E$2:$E$600,0)),""))</f>
        <v/>
      </c>
      <c r="I810" s="10">
        <f>IF(AND(D810="",C810="",F810=""),"",IF(G810&lt;&gt;"","Void",IF(F810="","Needs child",IF(H810="","Child not found",IF(OR(B810="",NOT(ISNUMBER(C810))),"Needs month/pages","OK")))))</f>
        <v/>
      </c>
      <c r="J810" s="10">
        <f>IF(I810="","",IF(I810="OK",IF(COUNTIFS(H811:H$3001,H810,B811:B$3001,B810,G811:G$3001,"")=0,C810,0),0))</f>
        <v/>
      </c>
    </row>
    <row r="811">
      <c r="A811" s="6" t="n"/>
      <c r="B811" s="9" t="n"/>
      <c r="C811" s="6" t="n"/>
      <c r="D811" s="6" t="n"/>
      <c r="E811" s="6" t="n"/>
      <c r="F811" s="6" t="n"/>
      <c r="G811" s="6" t="n"/>
      <c r="H811" s="10">
        <f>IF(F811="","",IFERROR(INDEX(Roster!$A$2:$A$600,MATCH(F811,Roster!$E$2:$E$600,0)),""))</f>
        <v/>
      </c>
      <c r="I811" s="10">
        <f>IF(AND(D811="",C811="",F811=""),"",IF(G811&lt;&gt;"","Void",IF(F811="","Needs child",IF(H811="","Child not found",IF(OR(B811="",NOT(ISNUMBER(C811))),"Needs month/pages","OK")))))</f>
        <v/>
      </c>
      <c r="J811" s="10">
        <f>IF(I811="","",IF(I811="OK",IF(COUNTIFS(H812:H$3001,H811,B812:B$3001,B811,G812:G$3001,"")=0,C811,0),0))</f>
        <v/>
      </c>
    </row>
    <row r="812">
      <c r="A812" s="6" t="n"/>
      <c r="B812" s="9" t="n"/>
      <c r="C812" s="6" t="n"/>
      <c r="D812" s="6" t="n"/>
      <c r="E812" s="6" t="n"/>
      <c r="F812" s="6" t="n"/>
      <c r="G812" s="6" t="n"/>
      <c r="H812" s="10">
        <f>IF(F812="","",IFERROR(INDEX(Roster!$A$2:$A$600,MATCH(F812,Roster!$E$2:$E$600,0)),""))</f>
        <v/>
      </c>
      <c r="I812" s="10">
        <f>IF(AND(D812="",C812="",F812=""),"",IF(G812&lt;&gt;"","Void",IF(F812="","Needs child",IF(H812="","Child not found",IF(OR(B812="",NOT(ISNUMBER(C812))),"Needs month/pages","OK")))))</f>
        <v/>
      </c>
      <c r="J812" s="10">
        <f>IF(I812="","",IF(I812="OK",IF(COUNTIFS(H813:H$3001,H812,B813:B$3001,B812,G813:G$3001,"")=0,C812,0),0))</f>
        <v/>
      </c>
    </row>
    <row r="813">
      <c r="A813" s="6" t="n"/>
      <c r="B813" s="9" t="n"/>
      <c r="C813" s="6" t="n"/>
      <c r="D813" s="6" t="n"/>
      <c r="E813" s="6" t="n"/>
      <c r="F813" s="6" t="n"/>
      <c r="G813" s="6" t="n"/>
      <c r="H813" s="10">
        <f>IF(F813="","",IFERROR(INDEX(Roster!$A$2:$A$600,MATCH(F813,Roster!$E$2:$E$600,0)),""))</f>
        <v/>
      </c>
      <c r="I813" s="10">
        <f>IF(AND(D813="",C813="",F813=""),"",IF(G813&lt;&gt;"","Void",IF(F813="","Needs child",IF(H813="","Child not found",IF(OR(B813="",NOT(ISNUMBER(C813))),"Needs month/pages","OK")))))</f>
        <v/>
      </c>
      <c r="J813" s="10">
        <f>IF(I813="","",IF(I813="OK",IF(COUNTIFS(H814:H$3001,H813,B814:B$3001,B813,G814:G$3001,"")=0,C813,0),0))</f>
        <v/>
      </c>
    </row>
    <row r="814">
      <c r="A814" s="6" t="n"/>
      <c r="B814" s="9" t="n"/>
      <c r="C814" s="6" t="n"/>
      <c r="D814" s="6" t="n"/>
      <c r="E814" s="6" t="n"/>
      <c r="F814" s="6" t="n"/>
      <c r="G814" s="6" t="n"/>
      <c r="H814" s="10">
        <f>IF(F814="","",IFERROR(INDEX(Roster!$A$2:$A$600,MATCH(F814,Roster!$E$2:$E$600,0)),""))</f>
        <v/>
      </c>
      <c r="I814" s="10">
        <f>IF(AND(D814="",C814="",F814=""),"",IF(G814&lt;&gt;"","Void",IF(F814="","Needs child",IF(H814="","Child not found",IF(OR(B814="",NOT(ISNUMBER(C814))),"Needs month/pages","OK")))))</f>
        <v/>
      </c>
      <c r="J814" s="10">
        <f>IF(I814="","",IF(I814="OK",IF(COUNTIFS(H815:H$3001,H814,B815:B$3001,B814,G815:G$3001,"")=0,C814,0),0))</f>
        <v/>
      </c>
    </row>
    <row r="815">
      <c r="A815" s="6" t="n"/>
      <c r="B815" s="9" t="n"/>
      <c r="C815" s="6" t="n"/>
      <c r="D815" s="6" t="n"/>
      <c r="E815" s="6" t="n"/>
      <c r="F815" s="6" t="n"/>
      <c r="G815" s="6" t="n"/>
      <c r="H815" s="10">
        <f>IF(F815="","",IFERROR(INDEX(Roster!$A$2:$A$600,MATCH(F815,Roster!$E$2:$E$600,0)),""))</f>
        <v/>
      </c>
      <c r="I815" s="10">
        <f>IF(AND(D815="",C815="",F815=""),"",IF(G815&lt;&gt;"","Void",IF(F815="","Needs child",IF(H815="","Child not found",IF(OR(B815="",NOT(ISNUMBER(C815))),"Needs month/pages","OK")))))</f>
        <v/>
      </c>
      <c r="J815" s="10">
        <f>IF(I815="","",IF(I815="OK",IF(COUNTIFS(H816:H$3001,H815,B816:B$3001,B815,G816:G$3001,"")=0,C815,0),0))</f>
        <v/>
      </c>
    </row>
    <row r="816">
      <c r="A816" s="6" t="n"/>
      <c r="B816" s="9" t="n"/>
      <c r="C816" s="6" t="n"/>
      <c r="D816" s="6" t="n"/>
      <c r="E816" s="6" t="n"/>
      <c r="F816" s="6" t="n"/>
      <c r="G816" s="6" t="n"/>
      <c r="H816" s="10">
        <f>IF(F816="","",IFERROR(INDEX(Roster!$A$2:$A$600,MATCH(F816,Roster!$E$2:$E$600,0)),""))</f>
        <v/>
      </c>
      <c r="I816" s="10">
        <f>IF(AND(D816="",C816="",F816=""),"",IF(G816&lt;&gt;"","Void",IF(F816="","Needs child",IF(H816="","Child not found",IF(OR(B816="",NOT(ISNUMBER(C816))),"Needs month/pages","OK")))))</f>
        <v/>
      </c>
      <c r="J816" s="10">
        <f>IF(I816="","",IF(I816="OK",IF(COUNTIFS(H817:H$3001,H816,B817:B$3001,B816,G817:G$3001,"")=0,C816,0),0))</f>
        <v/>
      </c>
    </row>
    <row r="817">
      <c r="A817" s="6" t="n"/>
      <c r="B817" s="9" t="n"/>
      <c r="C817" s="6" t="n"/>
      <c r="D817" s="6" t="n"/>
      <c r="E817" s="6" t="n"/>
      <c r="F817" s="6" t="n"/>
      <c r="G817" s="6" t="n"/>
      <c r="H817" s="10">
        <f>IF(F817="","",IFERROR(INDEX(Roster!$A$2:$A$600,MATCH(F817,Roster!$E$2:$E$600,0)),""))</f>
        <v/>
      </c>
      <c r="I817" s="10">
        <f>IF(AND(D817="",C817="",F817=""),"",IF(G817&lt;&gt;"","Void",IF(F817="","Needs child",IF(H817="","Child not found",IF(OR(B817="",NOT(ISNUMBER(C817))),"Needs month/pages","OK")))))</f>
        <v/>
      </c>
      <c r="J817" s="10">
        <f>IF(I817="","",IF(I817="OK",IF(COUNTIFS(H818:H$3001,H817,B818:B$3001,B817,G818:G$3001,"")=0,C817,0),0))</f>
        <v/>
      </c>
    </row>
    <row r="818">
      <c r="A818" s="6" t="n"/>
      <c r="B818" s="9" t="n"/>
      <c r="C818" s="6" t="n"/>
      <c r="D818" s="6" t="n"/>
      <c r="E818" s="6" t="n"/>
      <c r="F818" s="6" t="n"/>
      <c r="G818" s="6" t="n"/>
      <c r="H818" s="10">
        <f>IF(F818="","",IFERROR(INDEX(Roster!$A$2:$A$600,MATCH(F818,Roster!$E$2:$E$600,0)),""))</f>
        <v/>
      </c>
      <c r="I818" s="10">
        <f>IF(AND(D818="",C818="",F818=""),"",IF(G818&lt;&gt;"","Void",IF(F818="","Needs child",IF(H818="","Child not found",IF(OR(B818="",NOT(ISNUMBER(C818))),"Needs month/pages","OK")))))</f>
        <v/>
      </c>
      <c r="J818" s="10">
        <f>IF(I818="","",IF(I818="OK",IF(COUNTIFS(H819:H$3001,H818,B819:B$3001,B818,G819:G$3001,"")=0,C818,0),0))</f>
        <v/>
      </c>
    </row>
    <row r="819">
      <c r="A819" s="6" t="n"/>
      <c r="B819" s="9" t="n"/>
      <c r="C819" s="6" t="n"/>
      <c r="D819" s="6" t="n"/>
      <c r="E819" s="6" t="n"/>
      <c r="F819" s="6" t="n"/>
      <c r="G819" s="6" t="n"/>
      <c r="H819" s="10">
        <f>IF(F819="","",IFERROR(INDEX(Roster!$A$2:$A$600,MATCH(F819,Roster!$E$2:$E$600,0)),""))</f>
        <v/>
      </c>
      <c r="I819" s="10">
        <f>IF(AND(D819="",C819="",F819=""),"",IF(G819&lt;&gt;"","Void",IF(F819="","Needs child",IF(H819="","Child not found",IF(OR(B819="",NOT(ISNUMBER(C819))),"Needs month/pages","OK")))))</f>
        <v/>
      </c>
      <c r="J819" s="10">
        <f>IF(I819="","",IF(I819="OK",IF(COUNTIFS(H820:H$3001,H819,B820:B$3001,B819,G820:G$3001,"")=0,C819,0),0))</f>
        <v/>
      </c>
    </row>
    <row r="820">
      <c r="A820" s="6" t="n"/>
      <c r="B820" s="9" t="n"/>
      <c r="C820" s="6" t="n"/>
      <c r="D820" s="6" t="n"/>
      <c r="E820" s="6" t="n"/>
      <c r="F820" s="6" t="n"/>
      <c r="G820" s="6" t="n"/>
      <c r="H820" s="10">
        <f>IF(F820="","",IFERROR(INDEX(Roster!$A$2:$A$600,MATCH(F820,Roster!$E$2:$E$600,0)),""))</f>
        <v/>
      </c>
      <c r="I820" s="10">
        <f>IF(AND(D820="",C820="",F820=""),"",IF(G820&lt;&gt;"","Void",IF(F820="","Needs child",IF(H820="","Child not found",IF(OR(B820="",NOT(ISNUMBER(C820))),"Needs month/pages","OK")))))</f>
        <v/>
      </c>
      <c r="J820" s="10">
        <f>IF(I820="","",IF(I820="OK",IF(COUNTIFS(H821:H$3001,H820,B821:B$3001,B820,G821:G$3001,"")=0,C820,0),0))</f>
        <v/>
      </c>
    </row>
    <row r="821">
      <c r="A821" s="6" t="n"/>
      <c r="B821" s="9" t="n"/>
      <c r="C821" s="6" t="n"/>
      <c r="D821" s="6" t="n"/>
      <c r="E821" s="6" t="n"/>
      <c r="F821" s="6" t="n"/>
      <c r="G821" s="6" t="n"/>
      <c r="H821" s="10">
        <f>IF(F821="","",IFERROR(INDEX(Roster!$A$2:$A$600,MATCH(F821,Roster!$E$2:$E$600,0)),""))</f>
        <v/>
      </c>
      <c r="I821" s="10">
        <f>IF(AND(D821="",C821="",F821=""),"",IF(G821&lt;&gt;"","Void",IF(F821="","Needs child",IF(H821="","Child not found",IF(OR(B821="",NOT(ISNUMBER(C821))),"Needs month/pages","OK")))))</f>
        <v/>
      </c>
      <c r="J821" s="10">
        <f>IF(I821="","",IF(I821="OK",IF(COUNTIFS(H822:H$3001,H821,B822:B$3001,B821,G822:G$3001,"")=0,C821,0),0))</f>
        <v/>
      </c>
    </row>
    <row r="822">
      <c r="A822" s="6" t="n"/>
      <c r="B822" s="9" t="n"/>
      <c r="C822" s="6" t="n"/>
      <c r="D822" s="6" t="n"/>
      <c r="E822" s="6" t="n"/>
      <c r="F822" s="6" t="n"/>
      <c r="G822" s="6" t="n"/>
      <c r="H822" s="10">
        <f>IF(F822="","",IFERROR(INDEX(Roster!$A$2:$A$600,MATCH(F822,Roster!$E$2:$E$600,0)),""))</f>
        <v/>
      </c>
      <c r="I822" s="10">
        <f>IF(AND(D822="",C822="",F822=""),"",IF(G822&lt;&gt;"","Void",IF(F822="","Needs child",IF(H822="","Child not found",IF(OR(B822="",NOT(ISNUMBER(C822))),"Needs month/pages","OK")))))</f>
        <v/>
      </c>
      <c r="J822" s="10">
        <f>IF(I822="","",IF(I822="OK",IF(COUNTIFS(H823:H$3001,H822,B823:B$3001,B822,G823:G$3001,"")=0,C822,0),0))</f>
        <v/>
      </c>
    </row>
    <row r="823">
      <c r="A823" s="6" t="n"/>
      <c r="B823" s="9" t="n"/>
      <c r="C823" s="6" t="n"/>
      <c r="D823" s="6" t="n"/>
      <c r="E823" s="6" t="n"/>
      <c r="F823" s="6" t="n"/>
      <c r="G823" s="6" t="n"/>
      <c r="H823" s="10">
        <f>IF(F823="","",IFERROR(INDEX(Roster!$A$2:$A$600,MATCH(F823,Roster!$E$2:$E$600,0)),""))</f>
        <v/>
      </c>
      <c r="I823" s="10">
        <f>IF(AND(D823="",C823="",F823=""),"",IF(G823&lt;&gt;"","Void",IF(F823="","Needs child",IF(H823="","Child not found",IF(OR(B823="",NOT(ISNUMBER(C823))),"Needs month/pages","OK")))))</f>
        <v/>
      </c>
      <c r="J823" s="10">
        <f>IF(I823="","",IF(I823="OK",IF(COUNTIFS(H824:H$3001,H823,B824:B$3001,B823,G824:G$3001,"")=0,C823,0),0))</f>
        <v/>
      </c>
    </row>
    <row r="824">
      <c r="A824" s="6" t="n"/>
      <c r="B824" s="9" t="n"/>
      <c r="C824" s="6" t="n"/>
      <c r="D824" s="6" t="n"/>
      <c r="E824" s="6" t="n"/>
      <c r="F824" s="6" t="n"/>
      <c r="G824" s="6" t="n"/>
      <c r="H824" s="10">
        <f>IF(F824="","",IFERROR(INDEX(Roster!$A$2:$A$600,MATCH(F824,Roster!$E$2:$E$600,0)),""))</f>
        <v/>
      </c>
      <c r="I824" s="10">
        <f>IF(AND(D824="",C824="",F824=""),"",IF(G824&lt;&gt;"","Void",IF(F824="","Needs child",IF(H824="","Child not found",IF(OR(B824="",NOT(ISNUMBER(C824))),"Needs month/pages","OK")))))</f>
        <v/>
      </c>
      <c r="J824" s="10">
        <f>IF(I824="","",IF(I824="OK",IF(COUNTIFS(H825:H$3001,H824,B825:B$3001,B824,G825:G$3001,"")=0,C824,0),0))</f>
        <v/>
      </c>
    </row>
    <row r="825">
      <c r="A825" s="6" t="n"/>
      <c r="B825" s="9" t="n"/>
      <c r="C825" s="6" t="n"/>
      <c r="D825" s="6" t="n"/>
      <c r="E825" s="6" t="n"/>
      <c r="F825" s="6" t="n"/>
      <c r="G825" s="6" t="n"/>
      <c r="H825" s="10">
        <f>IF(F825="","",IFERROR(INDEX(Roster!$A$2:$A$600,MATCH(F825,Roster!$E$2:$E$600,0)),""))</f>
        <v/>
      </c>
      <c r="I825" s="10">
        <f>IF(AND(D825="",C825="",F825=""),"",IF(G825&lt;&gt;"","Void",IF(F825="","Needs child",IF(H825="","Child not found",IF(OR(B825="",NOT(ISNUMBER(C825))),"Needs month/pages","OK")))))</f>
        <v/>
      </c>
      <c r="J825" s="10">
        <f>IF(I825="","",IF(I825="OK",IF(COUNTIFS(H826:H$3001,H825,B826:B$3001,B825,G826:G$3001,"")=0,C825,0),0))</f>
        <v/>
      </c>
    </row>
    <row r="826">
      <c r="A826" s="6" t="n"/>
      <c r="B826" s="9" t="n"/>
      <c r="C826" s="6" t="n"/>
      <c r="D826" s="6" t="n"/>
      <c r="E826" s="6" t="n"/>
      <c r="F826" s="6" t="n"/>
      <c r="G826" s="6" t="n"/>
      <c r="H826" s="10">
        <f>IF(F826="","",IFERROR(INDEX(Roster!$A$2:$A$600,MATCH(F826,Roster!$E$2:$E$600,0)),""))</f>
        <v/>
      </c>
      <c r="I826" s="10">
        <f>IF(AND(D826="",C826="",F826=""),"",IF(G826&lt;&gt;"","Void",IF(F826="","Needs child",IF(H826="","Child not found",IF(OR(B826="",NOT(ISNUMBER(C826))),"Needs month/pages","OK")))))</f>
        <v/>
      </c>
      <c r="J826" s="10">
        <f>IF(I826="","",IF(I826="OK",IF(COUNTIFS(H827:H$3001,H826,B827:B$3001,B826,G827:G$3001,"")=0,C826,0),0))</f>
        <v/>
      </c>
    </row>
    <row r="827">
      <c r="A827" s="6" t="n"/>
      <c r="B827" s="9" t="n"/>
      <c r="C827" s="6" t="n"/>
      <c r="D827" s="6" t="n"/>
      <c r="E827" s="6" t="n"/>
      <c r="F827" s="6" t="n"/>
      <c r="G827" s="6" t="n"/>
      <c r="H827" s="10">
        <f>IF(F827="","",IFERROR(INDEX(Roster!$A$2:$A$600,MATCH(F827,Roster!$E$2:$E$600,0)),""))</f>
        <v/>
      </c>
      <c r="I827" s="10">
        <f>IF(AND(D827="",C827="",F827=""),"",IF(G827&lt;&gt;"","Void",IF(F827="","Needs child",IF(H827="","Child not found",IF(OR(B827="",NOT(ISNUMBER(C827))),"Needs month/pages","OK")))))</f>
        <v/>
      </c>
      <c r="J827" s="10">
        <f>IF(I827="","",IF(I827="OK",IF(COUNTIFS(H828:H$3001,H827,B828:B$3001,B827,G828:G$3001,"")=0,C827,0),0))</f>
        <v/>
      </c>
    </row>
    <row r="828">
      <c r="A828" s="6" t="n"/>
      <c r="B828" s="9" t="n"/>
      <c r="C828" s="6" t="n"/>
      <c r="D828" s="6" t="n"/>
      <c r="E828" s="6" t="n"/>
      <c r="F828" s="6" t="n"/>
      <c r="G828" s="6" t="n"/>
      <c r="H828" s="10">
        <f>IF(F828="","",IFERROR(INDEX(Roster!$A$2:$A$600,MATCH(F828,Roster!$E$2:$E$600,0)),""))</f>
        <v/>
      </c>
      <c r="I828" s="10">
        <f>IF(AND(D828="",C828="",F828=""),"",IF(G828&lt;&gt;"","Void",IF(F828="","Needs child",IF(H828="","Child not found",IF(OR(B828="",NOT(ISNUMBER(C828))),"Needs month/pages","OK")))))</f>
        <v/>
      </c>
      <c r="J828" s="10">
        <f>IF(I828="","",IF(I828="OK",IF(COUNTIFS(H829:H$3001,H828,B829:B$3001,B828,G829:G$3001,"")=0,C828,0),0))</f>
        <v/>
      </c>
    </row>
    <row r="829">
      <c r="A829" s="6" t="n"/>
      <c r="B829" s="9" t="n"/>
      <c r="C829" s="6" t="n"/>
      <c r="D829" s="6" t="n"/>
      <c r="E829" s="6" t="n"/>
      <c r="F829" s="6" t="n"/>
      <c r="G829" s="6" t="n"/>
      <c r="H829" s="10">
        <f>IF(F829="","",IFERROR(INDEX(Roster!$A$2:$A$600,MATCH(F829,Roster!$E$2:$E$600,0)),""))</f>
        <v/>
      </c>
      <c r="I829" s="10">
        <f>IF(AND(D829="",C829="",F829=""),"",IF(G829&lt;&gt;"","Void",IF(F829="","Needs child",IF(H829="","Child not found",IF(OR(B829="",NOT(ISNUMBER(C829))),"Needs month/pages","OK")))))</f>
        <v/>
      </c>
      <c r="J829" s="10">
        <f>IF(I829="","",IF(I829="OK",IF(COUNTIFS(H830:H$3001,H829,B830:B$3001,B829,G830:G$3001,"")=0,C829,0),0))</f>
        <v/>
      </c>
    </row>
    <row r="830">
      <c r="A830" s="6" t="n"/>
      <c r="B830" s="9" t="n"/>
      <c r="C830" s="6" t="n"/>
      <c r="D830" s="6" t="n"/>
      <c r="E830" s="6" t="n"/>
      <c r="F830" s="6" t="n"/>
      <c r="G830" s="6" t="n"/>
      <c r="H830" s="10">
        <f>IF(F830="","",IFERROR(INDEX(Roster!$A$2:$A$600,MATCH(F830,Roster!$E$2:$E$600,0)),""))</f>
        <v/>
      </c>
      <c r="I830" s="10">
        <f>IF(AND(D830="",C830="",F830=""),"",IF(G830&lt;&gt;"","Void",IF(F830="","Needs child",IF(H830="","Child not found",IF(OR(B830="",NOT(ISNUMBER(C830))),"Needs month/pages","OK")))))</f>
        <v/>
      </c>
      <c r="J830" s="10">
        <f>IF(I830="","",IF(I830="OK",IF(COUNTIFS(H831:H$3001,H830,B831:B$3001,B830,G831:G$3001,"")=0,C830,0),0))</f>
        <v/>
      </c>
    </row>
    <row r="831">
      <c r="A831" s="6" t="n"/>
      <c r="B831" s="9" t="n"/>
      <c r="C831" s="6" t="n"/>
      <c r="D831" s="6" t="n"/>
      <c r="E831" s="6" t="n"/>
      <c r="F831" s="6" t="n"/>
      <c r="G831" s="6" t="n"/>
      <c r="H831" s="10">
        <f>IF(F831="","",IFERROR(INDEX(Roster!$A$2:$A$600,MATCH(F831,Roster!$E$2:$E$600,0)),""))</f>
        <v/>
      </c>
      <c r="I831" s="10">
        <f>IF(AND(D831="",C831="",F831=""),"",IF(G831&lt;&gt;"","Void",IF(F831="","Needs child",IF(H831="","Child not found",IF(OR(B831="",NOT(ISNUMBER(C831))),"Needs month/pages","OK")))))</f>
        <v/>
      </c>
      <c r="J831" s="10">
        <f>IF(I831="","",IF(I831="OK",IF(COUNTIFS(H832:H$3001,H831,B832:B$3001,B831,G832:G$3001,"")=0,C831,0),0))</f>
        <v/>
      </c>
    </row>
    <row r="832">
      <c r="A832" s="6" t="n"/>
      <c r="B832" s="9" t="n"/>
      <c r="C832" s="6" t="n"/>
      <c r="D832" s="6" t="n"/>
      <c r="E832" s="6" t="n"/>
      <c r="F832" s="6" t="n"/>
      <c r="G832" s="6" t="n"/>
      <c r="H832" s="10">
        <f>IF(F832="","",IFERROR(INDEX(Roster!$A$2:$A$600,MATCH(F832,Roster!$E$2:$E$600,0)),""))</f>
        <v/>
      </c>
      <c r="I832" s="10">
        <f>IF(AND(D832="",C832="",F832=""),"",IF(G832&lt;&gt;"","Void",IF(F832="","Needs child",IF(H832="","Child not found",IF(OR(B832="",NOT(ISNUMBER(C832))),"Needs month/pages","OK")))))</f>
        <v/>
      </c>
      <c r="J832" s="10">
        <f>IF(I832="","",IF(I832="OK",IF(COUNTIFS(H833:H$3001,H832,B833:B$3001,B832,G833:G$3001,"")=0,C832,0),0))</f>
        <v/>
      </c>
    </row>
    <row r="833">
      <c r="A833" s="6" t="n"/>
      <c r="B833" s="9" t="n"/>
      <c r="C833" s="6" t="n"/>
      <c r="D833" s="6" t="n"/>
      <c r="E833" s="6" t="n"/>
      <c r="F833" s="6" t="n"/>
      <c r="G833" s="6" t="n"/>
      <c r="H833" s="10">
        <f>IF(F833="","",IFERROR(INDEX(Roster!$A$2:$A$600,MATCH(F833,Roster!$E$2:$E$600,0)),""))</f>
        <v/>
      </c>
      <c r="I833" s="10">
        <f>IF(AND(D833="",C833="",F833=""),"",IF(G833&lt;&gt;"","Void",IF(F833="","Needs child",IF(H833="","Child not found",IF(OR(B833="",NOT(ISNUMBER(C833))),"Needs month/pages","OK")))))</f>
        <v/>
      </c>
      <c r="J833" s="10">
        <f>IF(I833="","",IF(I833="OK",IF(COUNTIFS(H834:H$3001,H833,B834:B$3001,B833,G834:G$3001,"")=0,C833,0),0))</f>
        <v/>
      </c>
    </row>
    <row r="834">
      <c r="A834" s="6" t="n"/>
      <c r="B834" s="9" t="n"/>
      <c r="C834" s="6" t="n"/>
      <c r="D834" s="6" t="n"/>
      <c r="E834" s="6" t="n"/>
      <c r="F834" s="6" t="n"/>
      <c r="G834" s="6" t="n"/>
      <c r="H834" s="10">
        <f>IF(F834="","",IFERROR(INDEX(Roster!$A$2:$A$600,MATCH(F834,Roster!$E$2:$E$600,0)),""))</f>
        <v/>
      </c>
      <c r="I834" s="10">
        <f>IF(AND(D834="",C834="",F834=""),"",IF(G834&lt;&gt;"","Void",IF(F834="","Needs child",IF(H834="","Child not found",IF(OR(B834="",NOT(ISNUMBER(C834))),"Needs month/pages","OK")))))</f>
        <v/>
      </c>
      <c r="J834" s="10">
        <f>IF(I834="","",IF(I834="OK",IF(COUNTIFS(H835:H$3001,H834,B835:B$3001,B834,G835:G$3001,"")=0,C834,0),0))</f>
        <v/>
      </c>
    </row>
    <row r="835">
      <c r="A835" s="6" t="n"/>
      <c r="B835" s="9" t="n"/>
      <c r="C835" s="6" t="n"/>
      <c r="D835" s="6" t="n"/>
      <c r="E835" s="6" t="n"/>
      <c r="F835" s="6" t="n"/>
      <c r="G835" s="6" t="n"/>
      <c r="H835" s="10">
        <f>IF(F835="","",IFERROR(INDEX(Roster!$A$2:$A$600,MATCH(F835,Roster!$E$2:$E$600,0)),""))</f>
        <v/>
      </c>
      <c r="I835" s="10">
        <f>IF(AND(D835="",C835="",F835=""),"",IF(G835&lt;&gt;"","Void",IF(F835="","Needs child",IF(H835="","Child not found",IF(OR(B835="",NOT(ISNUMBER(C835))),"Needs month/pages","OK")))))</f>
        <v/>
      </c>
      <c r="J835" s="10">
        <f>IF(I835="","",IF(I835="OK",IF(COUNTIFS(H836:H$3001,H835,B836:B$3001,B835,G836:G$3001,"")=0,C835,0),0))</f>
        <v/>
      </c>
    </row>
    <row r="836">
      <c r="A836" s="6" t="n"/>
      <c r="B836" s="9" t="n"/>
      <c r="C836" s="6" t="n"/>
      <c r="D836" s="6" t="n"/>
      <c r="E836" s="6" t="n"/>
      <c r="F836" s="6" t="n"/>
      <c r="G836" s="6" t="n"/>
      <c r="H836" s="10">
        <f>IF(F836="","",IFERROR(INDEX(Roster!$A$2:$A$600,MATCH(F836,Roster!$E$2:$E$600,0)),""))</f>
        <v/>
      </c>
      <c r="I836" s="10">
        <f>IF(AND(D836="",C836="",F836=""),"",IF(G836&lt;&gt;"","Void",IF(F836="","Needs child",IF(H836="","Child not found",IF(OR(B836="",NOT(ISNUMBER(C836))),"Needs month/pages","OK")))))</f>
        <v/>
      </c>
      <c r="J836" s="10">
        <f>IF(I836="","",IF(I836="OK",IF(COUNTIFS(H837:H$3001,H836,B837:B$3001,B836,G837:G$3001,"")=0,C836,0),0))</f>
        <v/>
      </c>
    </row>
    <row r="837">
      <c r="A837" s="6" t="n"/>
      <c r="B837" s="9" t="n"/>
      <c r="C837" s="6" t="n"/>
      <c r="D837" s="6" t="n"/>
      <c r="E837" s="6" t="n"/>
      <c r="F837" s="6" t="n"/>
      <c r="G837" s="6" t="n"/>
      <c r="H837" s="10">
        <f>IF(F837="","",IFERROR(INDEX(Roster!$A$2:$A$600,MATCH(F837,Roster!$E$2:$E$600,0)),""))</f>
        <v/>
      </c>
      <c r="I837" s="10">
        <f>IF(AND(D837="",C837="",F837=""),"",IF(G837&lt;&gt;"","Void",IF(F837="","Needs child",IF(H837="","Child not found",IF(OR(B837="",NOT(ISNUMBER(C837))),"Needs month/pages","OK")))))</f>
        <v/>
      </c>
      <c r="J837" s="10">
        <f>IF(I837="","",IF(I837="OK",IF(COUNTIFS(H838:H$3001,H837,B838:B$3001,B837,G838:G$3001,"")=0,C837,0),0))</f>
        <v/>
      </c>
    </row>
    <row r="838">
      <c r="A838" s="6" t="n"/>
      <c r="B838" s="9" t="n"/>
      <c r="C838" s="6" t="n"/>
      <c r="D838" s="6" t="n"/>
      <c r="E838" s="6" t="n"/>
      <c r="F838" s="6" t="n"/>
      <c r="G838" s="6" t="n"/>
      <c r="H838" s="10">
        <f>IF(F838="","",IFERROR(INDEX(Roster!$A$2:$A$600,MATCH(F838,Roster!$E$2:$E$600,0)),""))</f>
        <v/>
      </c>
      <c r="I838" s="10">
        <f>IF(AND(D838="",C838="",F838=""),"",IF(G838&lt;&gt;"","Void",IF(F838="","Needs child",IF(H838="","Child not found",IF(OR(B838="",NOT(ISNUMBER(C838))),"Needs month/pages","OK")))))</f>
        <v/>
      </c>
      <c r="J838" s="10">
        <f>IF(I838="","",IF(I838="OK",IF(COUNTIFS(H839:H$3001,H838,B839:B$3001,B838,G839:G$3001,"")=0,C838,0),0))</f>
        <v/>
      </c>
    </row>
    <row r="839">
      <c r="A839" s="6" t="n"/>
      <c r="B839" s="9" t="n"/>
      <c r="C839" s="6" t="n"/>
      <c r="D839" s="6" t="n"/>
      <c r="E839" s="6" t="n"/>
      <c r="F839" s="6" t="n"/>
      <c r="G839" s="6" t="n"/>
      <c r="H839" s="10">
        <f>IF(F839="","",IFERROR(INDEX(Roster!$A$2:$A$600,MATCH(F839,Roster!$E$2:$E$600,0)),""))</f>
        <v/>
      </c>
      <c r="I839" s="10">
        <f>IF(AND(D839="",C839="",F839=""),"",IF(G839&lt;&gt;"","Void",IF(F839="","Needs child",IF(H839="","Child not found",IF(OR(B839="",NOT(ISNUMBER(C839))),"Needs month/pages","OK")))))</f>
        <v/>
      </c>
      <c r="J839" s="10">
        <f>IF(I839="","",IF(I839="OK",IF(COUNTIFS(H840:H$3001,H839,B840:B$3001,B839,G840:G$3001,"")=0,C839,0),0))</f>
        <v/>
      </c>
    </row>
    <row r="840">
      <c r="A840" s="6" t="n"/>
      <c r="B840" s="9" t="n"/>
      <c r="C840" s="6" t="n"/>
      <c r="D840" s="6" t="n"/>
      <c r="E840" s="6" t="n"/>
      <c r="F840" s="6" t="n"/>
      <c r="G840" s="6" t="n"/>
      <c r="H840" s="10">
        <f>IF(F840="","",IFERROR(INDEX(Roster!$A$2:$A$600,MATCH(F840,Roster!$E$2:$E$600,0)),""))</f>
        <v/>
      </c>
      <c r="I840" s="10">
        <f>IF(AND(D840="",C840="",F840=""),"",IF(G840&lt;&gt;"","Void",IF(F840="","Needs child",IF(H840="","Child not found",IF(OR(B840="",NOT(ISNUMBER(C840))),"Needs month/pages","OK")))))</f>
        <v/>
      </c>
      <c r="J840" s="10">
        <f>IF(I840="","",IF(I840="OK",IF(COUNTIFS(H841:H$3001,H840,B841:B$3001,B840,G841:G$3001,"")=0,C840,0),0))</f>
        <v/>
      </c>
    </row>
    <row r="841">
      <c r="A841" s="6" t="n"/>
      <c r="B841" s="9" t="n"/>
      <c r="C841" s="6" t="n"/>
      <c r="D841" s="6" t="n"/>
      <c r="E841" s="6" t="n"/>
      <c r="F841" s="6" t="n"/>
      <c r="G841" s="6" t="n"/>
      <c r="H841" s="10">
        <f>IF(F841="","",IFERROR(INDEX(Roster!$A$2:$A$600,MATCH(F841,Roster!$E$2:$E$600,0)),""))</f>
        <v/>
      </c>
      <c r="I841" s="10">
        <f>IF(AND(D841="",C841="",F841=""),"",IF(G841&lt;&gt;"","Void",IF(F841="","Needs child",IF(H841="","Child not found",IF(OR(B841="",NOT(ISNUMBER(C841))),"Needs month/pages","OK")))))</f>
        <v/>
      </c>
      <c r="J841" s="10">
        <f>IF(I841="","",IF(I841="OK",IF(COUNTIFS(H842:H$3001,H841,B842:B$3001,B841,G842:G$3001,"")=0,C841,0),0))</f>
        <v/>
      </c>
    </row>
    <row r="842">
      <c r="A842" s="6" t="n"/>
      <c r="B842" s="9" t="n"/>
      <c r="C842" s="6" t="n"/>
      <c r="D842" s="6" t="n"/>
      <c r="E842" s="6" t="n"/>
      <c r="F842" s="6" t="n"/>
      <c r="G842" s="6" t="n"/>
      <c r="H842" s="10">
        <f>IF(F842="","",IFERROR(INDEX(Roster!$A$2:$A$600,MATCH(F842,Roster!$E$2:$E$600,0)),""))</f>
        <v/>
      </c>
      <c r="I842" s="10">
        <f>IF(AND(D842="",C842="",F842=""),"",IF(G842&lt;&gt;"","Void",IF(F842="","Needs child",IF(H842="","Child not found",IF(OR(B842="",NOT(ISNUMBER(C842))),"Needs month/pages","OK")))))</f>
        <v/>
      </c>
      <c r="J842" s="10">
        <f>IF(I842="","",IF(I842="OK",IF(COUNTIFS(H843:H$3001,H842,B843:B$3001,B842,G843:G$3001,"")=0,C842,0),0))</f>
        <v/>
      </c>
    </row>
    <row r="843">
      <c r="A843" s="6" t="n"/>
      <c r="B843" s="9" t="n"/>
      <c r="C843" s="6" t="n"/>
      <c r="D843" s="6" t="n"/>
      <c r="E843" s="6" t="n"/>
      <c r="F843" s="6" t="n"/>
      <c r="G843" s="6" t="n"/>
      <c r="H843" s="10">
        <f>IF(F843="","",IFERROR(INDEX(Roster!$A$2:$A$600,MATCH(F843,Roster!$E$2:$E$600,0)),""))</f>
        <v/>
      </c>
      <c r="I843" s="10">
        <f>IF(AND(D843="",C843="",F843=""),"",IF(G843&lt;&gt;"","Void",IF(F843="","Needs child",IF(H843="","Child not found",IF(OR(B843="",NOT(ISNUMBER(C843))),"Needs month/pages","OK")))))</f>
        <v/>
      </c>
      <c r="J843" s="10">
        <f>IF(I843="","",IF(I843="OK",IF(COUNTIFS(H844:H$3001,H843,B844:B$3001,B843,G844:G$3001,"")=0,C843,0),0))</f>
        <v/>
      </c>
    </row>
    <row r="844">
      <c r="A844" s="6" t="n"/>
      <c r="B844" s="9" t="n"/>
      <c r="C844" s="6" t="n"/>
      <c r="D844" s="6" t="n"/>
      <c r="E844" s="6" t="n"/>
      <c r="F844" s="6" t="n"/>
      <c r="G844" s="6" t="n"/>
      <c r="H844" s="10">
        <f>IF(F844="","",IFERROR(INDEX(Roster!$A$2:$A$600,MATCH(F844,Roster!$E$2:$E$600,0)),""))</f>
        <v/>
      </c>
      <c r="I844" s="10">
        <f>IF(AND(D844="",C844="",F844=""),"",IF(G844&lt;&gt;"","Void",IF(F844="","Needs child",IF(H844="","Child not found",IF(OR(B844="",NOT(ISNUMBER(C844))),"Needs month/pages","OK")))))</f>
        <v/>
      </c>
      <c r="J844" s="10">
        <f>IF(I844="","",IF(I844="OK",IF(COUNTIFS(H845:H$3001,H844,B845:B$3001,B844,G845:G$3001,"")=0,C844,0),0))</f>
        <v/>
      </c>
    </row>
    <row r="845">
      <c r="A845" s="6" t="n"/>
      <c r="B845" s="9" t="n"/>
      <c r="C845" s="6" t="n"/>
      <c r="D845" s="6" t="n"/>
      <c r="E845" s="6" t="n"/>
      <c r="F845" s="6" t="n"/>
      <c r="G845" s="6" t="n"/>
      <c r="H845" s="10">
        <f>IF(F845="","",IFERROR(INDEX(Roster!$A$2:$A$600,MATCH(F845,Roster!$E$2:$E$600,0)),""))</f>
        <v/>
      </c>
      <c r="I845" s="10">
        <f>IF(AND(D845="",C845="",F845=""),"",IF(G845&lt;&gt;"","Void",IF(F845="","Needs child",IF(H845="","Child not found",IF(OR(B845="",NOT(ISNUMBER(C845))),"Needs month/pages","OK")))))</f>
        <v/>
      </c>
      <c r="J845" s="10">
        <f>IF(I845="","",IF(I845="OK",IF(COUNTIFS(H846:H$3001,H845,B846:B$3001,B845,G846:G$3001,"")=0,C845,0),0))</f>
        <v/>
      </c>
    </row>
    <row r="846">
      <c r="A846" s="6" t="n"/>
      <c r="B846" s="9" t="n"/>
      <c r="C846" s="6" t="n"/>
      <c r="D846" s="6" t="n"/>
      <c r="E846" s="6" t="n"/>
      <c r="F846" s="6" t="n"/>
      <c r="G846" s="6" t="n"/>
      <c r="H846" s="10">
        <f>IF(F846="","",IFERROR(INDEX(Roster!$A$2:$A$600,MATCH(F846,Roster!$E$2:$E$600,0)),""))</f>
        <v/>
      </c>
      <c r="I846" s="10">
        <f>IF(AND(D846="",C846="",F846=""),"",IF(G846&lt;&gt;"","Void",IF(F846="","Needs child",IF(H846="","Child not found",IF(OR(B846="",NOT(ISNUMBER(C846))),"Needs month/pages","OK")))))</f>
        <v/>
      </c>
      <c r="J846" s="10">
        <f>IF(I846="","",IF(I846="OK",IF(COUNTIFS(H847:H$3001,H846,B847:B$3001,B846,G847:G$3001,"")=0,C846,0),0))</f>
        <v/>
      </c>
    </row>
    <row r="847">
      <c r="A847" s="6" t="n"/>
      <c r="B847" s="9" t="n"/>
      <c r="C847" s="6" t="n"/>
      <c r="D847" s="6" t="n"/>
      <c r="E847" s="6" t="n"/>
      <c r="F847" s="6" t="n"/>
      <c r="G847" s="6" t="n"/>
      <c r="H847" s="10">
        <f>IF(F847="","",IFERROR(INDEX(Roster!$A$2:$A$600,MATCH(F847,Roster!$E$2:$E$600,0)),""))</f>
        <v/>
      </c>
      <c r="I847" s="10">
        <f>IF(AND(D847="",C847="",F847=""),"",IF(G847&lt;&gt;"","Void",IF(F847="","Needs child",IF(H847="","Child not found",IF(OR(B847="",NOT(ISNUMBER(C847))),"Needs month/pages","OK")))))</f>
        <v/>
      </c>
      <c r="J847" s="10">
        <f>IF(I847="","",IF(I847="OK",IF(COUNTIFS(H848:H$3001,H847,B848:B$3001,B847,G848:G$3001,"")=0,C847,0),0))</f>
        <v/>
      </c>
    </row>
    <row r="848">
      <c r="A848" s="6" t="n"/>
      <c r="B848" s="9" t="n"/>
      <c r="C848" s="6" t="n"/>
      <c r="D848" s="6" t="n"/>
      <c r="E848" s="6" t="n"/>
      <c r="F848" s="6" t="n"/>
      <c r="G848" s="6" t="n"/>
      <c r="H848" s="10">
        <f>IF(F848="","",IFERROR(INDEX(Roster!$A$2:$A$600,MATCH(F848,Roster!$E$2:$E$600,0)),""))</f>
        <v/>
      </c>
      <c r="I848" s="10">
        <f>IF(AND(D848="",C848="",F848=""),"",IF(G848&lt;&gt;"","Void",IF(F848="","Needs child",IF(H848="","Child not found",IF(OR(B848="",NOT(ISNUMBER(C848))),"Needs month/pages","OK")))))</f>
        <v/>
      </c>
      <c r="J848" s="10">
        <f>IF(I848="","",IF(I848="OK",IF(COUNTIFS(H849:H$3001,H848,B849:B$3001,B848,G849:G$3001,"")=0,C848,0),0))</f>
        <v/>
      </c>
    </row>
    <row r="849">
      <c r="A849" s="6" t="n"/>
      <c r="B849" s="9" t="n"/>
      <c r="C849" s="6" t="n"/>
      <c r="D849" s="6" t="n"/>
      <c r="E849" s="6" t="n"/>
      <c r="F849" s="6" t="n"/>
      <c r="G849" s="6" t="n"/>
      <c r="H849" s="10">
        <f>IF(F849="","",IFERROR(INDEX(Roster!$A$2:$A$600,MATCH(F849,Roster!$E$2:$E$600,0)),""))</f>
        <v/>
      </c>
      <c r="I849" s="10">
        <f>IF(AND(D849="",C849="",F849=""),"",IF(G849&lt;&gt;"","Void",IF(F849="","Needs child",IF(H849="","Child not found",IF(OR(B849="",NOT(ISNUMBER(C849))),"Needs month/pages","OK")))))</f>
        <v/>
      </c>
      <c r="J849" s="10">
        <f>IF(I849="","",IF(I849="OK",IF(COUNTIFS(H850:H$3001,H849,B850:B$3001,B849,G850:G$3001,"")=0,C849,0),0))</f>
        <v/>
      </c>
    </row>
    <row r="850">
      <c r="A850" s="6" t="n"/>
      <c r="B850" s="9" t="n"/>
      <c r="C850" s="6" t="n"/>
      <c r="D850" s="6" t="n"/>
      <c r="E850" s="6" t="n"/>
      <c r="F850" s="6" t="n"/>
      <c r="G850" s="6" t="n"/>
      <c r="H850" s="10">
        <f>IF(F850="","",IFERROR(INDEX(Roster!$A$2:$A$600,MATCH(F850,Roster!$E$2:$E$600,0)),""))</f>
        <v/>
      </c>
      <c r="I850" s="10">
        <f>IF(AND(D850="",C850="",F850=""),"",IF(G850&lt;&gt;"","Void",IF(F850="","Needs child",IF(H850="","Child not found",IF(OR(B850="",NOT(ISNUMBER(C850))),"Needs month/pages","OK")))))</f>
        <v/>
      </c>
      <c r="J850" s="10">
        <f>IF(I850="","",IF(I850="OK",IF(COUNTIFS(H851:H$3001,H850,B851:B$3001,B850,G851:G$3001,"")=0,C850,0),0))</f>
        <v/>
      </c>
    </row>
    <row r="851">
      <c r="A851" s="6" t="n"/>
      <c r="B851" s="9" t="n"/>
      <c r="C851" s="6" t="n"/>
      <c r="D851" s="6" t="n"/>
      <c r="E851" s="6" t="n"/>
      <c r="F851" s="6" t="n"/>
      <c r="G851" s="6" t="n"/>
      <c r="H851" s="10">
        <f>IF(F851="","",IFERROR(INDEX(Roster!$A$2:$A$600,MATCH(F851,Roster!$E$2:$E$600,0)),""))</f>
        <v/>
      </c>
      <c r="I851" s="10">
        <f>IF(AND(D851="",C851="",F851=""),"",IF(G851&lt;&gt;"","Void",IF(F851="","Needs child",IF(H851="","Child not found",IF(OR(B851="",NOT(ISNUMBER(C851))),"Needs month/pages","OK")))))</f>
        <v/>
      </c>
      <c r="J851" s="10">
        <f>IF(I851="","",IF(I851="OK",IF(COUNTIFS(H852:H$3001,H851,B852:B$3001,B851,G852:G$3001,"")=0,C851,0),0))</f>
        <v/>
      </c>
    </row>
    <row r="852">
      <c r="A852" s="6" t="n"/>
      <c r="B852" s="9" t="n"/>
      <c r="C852" s="6" t="n"/>
      <c r="D852" s="6" t="n"/>
      <c r="E852" s="6" t="n"/>
      <c r="F852" s="6" t="n"/>
      <c r="G852" s="6" t="n"/>
      <c r="H852" s="10">
        <f>IF(F852="","",IFERROR(INDEX(Roster!$A$2:$A$600,MATCH(F852,Roster!$E$2:$E$600,0)),""))</f>
        <v/>
      </c>
      <c r="I852" s="10">
        <f>IF(AND(D852="",C852="",F852=""),"",IF(G852&lt;&gt;"","Void",IF(F852="","Needs child",IF(H852="","Child not found",IF(OR(B852="",NOT(ISNUMBER(C852))),"Needs month/pages","OK")))))</f>
        <v/>
      </c>
      <c r="J852" s="10">
        <f>IF(I852="","",IF(I852="OK",IF(COUNTIFS(H853:H$3001,H852,B853:B$3001,B852,G853:G$3001,"")=0,C852,0),0))</f>
        <v/>
      </c>
    </row>
    <row r="853">
      <c r="A853" s="6" t="n"/>
      <c r="B853" s="9" t="n"/>
      <c r="C853" s="6" t="n"/>
      <c r="D853" s="6" t="n"/>
      <c r="E853" s="6" t="n"/>
      <c r="F853" s="6" t="n"/>
      <c r="G853" s="6" t="n"/>
      <c r="H853" s="10">
        <f>IF(F853="","",IFERROR(INDEX(Roster!$A$2:$A$600,MATCH(F853,Roster!$E$2:$E$600,0)),""))</f>
        <v/>
      </c>
      <c r="I853" s="10">
        <f>IF(AND(D853="",C853="",F853=""),"",IF(G853&lt;&gt;"","Void",IF(F853="","Needs child",IF(H853="","Child not found",IF(OR(B853="",NOT(ISNUMBER(C853))),"Needs month/pages","OK")))))</f>
        <v/>
      </c>
      <c r="J853" s="10">
        <f>IF(I853="","",IF(I853="OK",IF(COUNTIFS(H854:H$3001,H853,B854:B$3001,B853,G854:G$3001,"")=0,C853,0),0))</f>
        <v/>
      </c>
    </row>
    <row r="854">
      <c r="A854" s="6" t="n"/>
      <c r="B854" s="9" t="n"/>
      <c r="C854" s="6" t="n"/>
      <c r="D854" s="6" t="n"/>
      <c r="E854" s="6" t="n"/>
      <c r="F854" s="6" t="n"/>
      <c r="G854" s="6" t="n"/>
      <c r="H854" s="10">
        <f>IF(F854="","",IFERROR(INDEX(Roster!$A$2:$A$600,MATCH(F854,Roster!$E$2:$E$600,0)),""))</f>
        <v/>
      </c>
      <c r="I854" s="10">
        <f>IF(AND(D854="",C854="",F854=""),"",IF(G854&lt;&gt;"","Void",IF(F854="","Needs child",IF(H854="","Child not found",IF(OR(B854="",NOT(ISNUMBER(C854))),"Needs month/pages","OK")))))</f>
        <v/>
      </c>
      <c r="J854" s="10">
        <f>IF(I854="","",IF(I854="OK",IF(COUNTIFS(H855:H$3001,H854,B855:B$3001,B854,G855:G$3001,"")=0,C854,0),0))</f>
        <v/>
      </c>
    </row>
    <row r="855">
      <c r="A855" s="6" t="n"/>
      <c r="B855" s="9" t="n"/>
      <c r="C855" s="6" t="n"/>
      <c r="D855" s="6" t="n"/>
      <c r="E855" s="6" t="n"/>
      <c r="F855" s="6" t="n"/>
      <c r="G855" s="6" t="n"/>
      <c r="H855" s="10">
        <f>IF(F855="","",IFERROR(INDEX(Roster!$A$2:$A$600,MATCH(F855,Roster!$E$2:$E$600,0)),""))</f>
        <v/>
      </c>
      <c r="I855" s="10">
        <f>IF(AND(D855="",C855="",F855=""),"",IF(G855&lt;&gt;"","Void",IF(F855="","Needs child",IF(H855="","Child not found",IF(OR(B855="",NOT(ISNUMBER(C855))),"Needs month/pages","OK")))))</f>
        <v/>
      </c>
      <c r="J855" s="10">
        <f>IF(I855="","",IF(I855="OK",IF(COUNTIFS(H856:H$3001,H855,B856:B$3001,B855,G856:G$3001,"")=0,C855,0),0))</f>
        <v/>
      </c>
    </row>
    <row r="856">
      <c r="A856" s="6" t="n"/>
      <c r="B856" s="9" t="n"/>
      <c r="C856" s="6" t="n"/>
      <c r="D856" s="6" t="n"/>
      <c r="E856" s="6" t="n"/>
      <c r="F856" s="6" t="n"/>
      <c r="G856" s="6" t="n"/>
      <c r="H856" s="10">
        <f>IF(F856="","",IFERROR(INDEX(Roster!$A$2:$A$600,MATCH(F856,Roster!$E$2:$E$600,0)),""))</f>
        <v/>
      </c>
      <c r="I856" s="10">
        <f>IF(AND(D856="",C856="",F856=""),"",IF(G856&lt;&gt;"","Void",IF(F856="","Needs child",IF(H856="","Child not found",IF(OR(B856="",NOT(ISNUMBER(C856))),"Needs month/pages","OK")))))</f>
        <v/>
      </c>
      <c r="J856" s="10">
        <f>IF(I856="","",IF(I856="OK",IF(COUNTIFS(H857:H$3001,H856,B857:B$3001,B856,G857:G$3001,"")=0,C856,0),0))</f>
        <v/>
      </c>
    </row>
    <row r="857">
      <c r="A857" s="6" t="n"/>
      <c r="B857" s="9" t="n"/>
      <c r="C857" s="6" t="n"/>
      <c r="D857" s="6" t="n"/>
      <c r="E857" s="6" t="n"/>
      <c r="F857" s="6" t="n"/>
      <c r="G857" s="6" t="n"/>
      <c r="H857" s="10">
        <f>IF(F857="","",IFERROR(INDEX(Roster!$A$2:$A$600,MATCH(F857,Roster!$E$2:$E$600,0)),""))</f>
        <v/>
      </c>
      <c r="I857" s="10">
        <f>IF(AND(D857="",C857="",F857=""),"",IF(G857&lt;&gt;"","Void",IF(F857="","Needs child",IF(H857="","Child not found",IF(OR(B857="",NOT(ISNUMBER(C857))),"Needs month/pages","OK")))))</f>
        <v/>
      </c>
      <c r="J857" s="10">
        <f>IF(I857="","",IF(I857="OK",IF(COUNTIFS(H858:H$3001,H857,B858:B$3001,B857,G858:G$3001,"")=0,C857,0),0))</f>
        <v/>
      </c>
    </row>
    <row r="858">
      <c r="A858" s="6" t="n"/>
      <c r="B858" s="9" t="n"/>
      <c r="C858" s="6" t="n"/>
      <c r="D858" s="6" t="n"/>
      <c r="E858" s="6" t="n"/>
      <c r="F858" s="6" t="n"/>
      <c r="G858" s="6" t="n"/>
      <c r="H858" s="10">
        <f>IF(F858="","",IFERROR(INDEX(Roster!$A$2:$A$600,MATCH(F858,Roster!$E$2:$E$600,0)),""))</f>
        <v/>
      </c>
      <c r="I858" s="10">
        <f>IF(AND(D858="",C858="",F858=""),"",IF(G858&lt;&gt;"","Void",IF(F858="","Needs child",IF(H858="","Child not found",IF(OR(B858="",NOT(ISNUMBER(C858))),"Needs month/pages","OK")))))</f>
        <v/>
      </c>
      <c r="J858" s="10">
        <f>IF(I858="","",IF(I858="OK",IF(COUNTIFS(H859:H$3001,H858,B859:B$3001,B858,G859:G$3001,"")=0,C858,0),0))</f>
        <v/>
      </c>
    </row>
    <row r="859">
      <c r="A859" s="6" t="n"/>
      <c r="B859" s="9" t="n"/>
      <c r="C859" s="6" t="n"/>
      <c r="D859" s="6" t="n"/>
      <c r="E859" s="6" t="n"/>
      <c r="F859" s="6" t="n"/>
      <c r="G859" s="6" t="n"/>
      <c r="H859" s="10">
        <f>IF(F859="","",IFERROR(INDEX(Roster!$A$2:$A$600,MATCH(F859,Roster!$E$2:$E$600,0)),""))</f>
        <v/>
      </c>
      <c r="I859" s="10">
        <f>IF(AND(D859="",C859="",F859=""),"",IF(G859&lt;&gt;"","Void",IF(F859="","Needs child",IF(H859="","Child not found",IF(OR(B859="",NOT(ISNUMBER(C859))),"Needs month/pages","OK")))))</f>
        <v/>
      </c>
      <c r="J859" s="10">
        <f>IF(I859="","",IF(I859="OK",IF(COUNTIFS(H860:H$3001,H859,B860:B$3001,B859,G860:G$3001,"")=0,C859,0),0))</f>
        <v/>
      </c>
    </row>
    <row r="860">
      <c r="A860" s="6" t="n"/>
      <c r="B860" s="9" t="n"/>
      <c r="C860" s="6" t="n"/>
      <c r="D860" s="6" t="n"/>
      <c r="E860" s="6" t="n"/>
      <c r="F860" s="6" t="n"/>
      <c r="G860" s="6" t="n"/>
      <c r="H860" s="10">
        <f>IF(F860="","",IFERROR(INDEX(Roster!$A$2:$A$600,MATCH(F860,Roster!$E$2:$E$600,0)),""))</f>
        <v/>
      </c>
      <c r="I860" s="10">
        <f>IF(AND(D860="",C860="",F860=""),"",IF(G860&lt;&gt;"","Void",IF(F860="","Needs child",IF(H860="","Child not found",IF(OR(B860="",NOT(ISNUMBER(C860))),"Needs month/pages","OK")))))</f>
        <v/>
      </c>
      <c r="J860" s="10">
        <f>IF(I860="","",IF(I860="OK",IF(COUNTIFS(H861:H$3001,H860,B861:B$3001,B860,G861:G$3001,"")=0,C860,0),0))</f>
        <v/>
      </c>
    </row>
    <row r="861">
      <c r="A861" s="6" t="n"/>
      <c r="B861" s="9" t="n"/>
      <c r="C861" s="6" t="n"/>
      <c r="D861" s="6" t="n"/>
      <c r="E861" s="6" t="n"/>
      <c r="F861" s="6" t="n"/>
      <c r="G861" s="6" t="n"/>
      <c r="H861" s="10">
        <f>IF(F861="","",IFERROR(INDEX(Roster!$A$2:$A$600,MATCH(F861,Roster!$E$2:$E$600,0)),""))</f>
        <v/>
      </c>
      <c r="I861" s="10">
        <f>IF(AND(D861="",C861="",F861=""),"",IF(G861&lt;&gt;"","Void",IF(F861="","Needs child",IF(H861="","Child not found",IF(OR(B861="",NOT(ISNUMBER(C861))),"Needs month/pages","OK")))))</f>
        <v/>
      </c>
      <c r="J861" s="10">
        <f>IF(I861="","",IF(I861="OK",IF(COUNTIFS(H862:H$3001,H861,B862:B$3001,B861,G862:G$3001,"")=0,C861,0),0))</f>
        <v/>
      </c>
    </row>
    <row r="862">
      <c r="A862" s="6" t="n"/>
      <c r="B862" s="9" t="n"/>
      <c r="C862" s="6" t="n"/>
      <c r="D862" s="6" t="n"/>
      <c r="E862" s="6" t="n"/>
      <c r="F862" s="6" t="n"/>
      <c r="G862" s="6" t="n"/>
      <c r="H862" s="10">
        <f>IF(F862="","",IFERROR(INDEX(Roster!$A$2:$A$600,MATCH(F862,Roster!$E$2:$E$600,0)),""))</f>
        <v/>
      </c>
      <c r="I862" s="10">
        <f>IF(AND(D862="",C862="",F862=""),"",IF(G862&lt;&gt;"","Void",IF(F862="","Needs child",IF(H862="","Child not found",IF(OR(B862="",NOT(ISNUMBER(C862))),"Needs month/pages","OK")))))</f>
        <v/>
      </c>
      <c r="J862" s="10">
        <f>IF(I862="","",IF(I862="OK",IF(COUNTIFS(H863:H$3001,H862,B863:B$3001,B862,G863:G$3001,"")=0,C862,0),0))</f>
        <v/>
      </c>
    </row>
    <row r="863">
      <c r="A863" s="6" t="n"/>
      <c r="B863" s="9" t="n"/>
      <c r="C863" s="6" t="n"/>
      <c r="D863" s="6" t="n"/>
      <c r="E863" s="6" t="n"/>
      <c r="F863" s="6" t="n"/>
      <c r="G863" s="6" t="n"/>
      <c r="H863" s="10">
        <f>IF(F863="","",IFERROR(INDEX(Roster!$A$2:$A$600,MATCH(F863,Roster!$E$2:$E$600,0)),""))</f>
        <v/>
      </c>
      <c r="I863" s="10">
        <f>IF(AND(D863="",C863="",F863=""),"",IF(G863&lt;&gt;"","Void",IF(F863="","Needs child",IF(H863="","Child not found",IF(OR(B863="",NOT(ISNUMBER(C863))),"Needs month/pages","OK")))))</f>
        <v/>
      </c>
      <c r="J863" s="10">
        <f>IF(I863="","",IF(I863="OK",IF(COUNTIFS(H864:H$3001,H863,B864:B$3001,B863,G864:G$3001,"")=0,C863,0),0))</f>
        <v/>
      </c>
    </row>
    <row r="864">
      <c r="A864" s="6" t="n"/>
      <c r="B864" s="9" t="n"/>
      <c r="C864" s="6" t="n"/>
      <c r="D864" s="6" t="n"/>
      <c r="E864" s="6" t="n"/>
      <c r="F864" s="6" t="n"/>
      <c r="G864" s="6" t="n"/>
      <c r="H864" s="10">
        <f>IF(F864="","",IFERROR(INDEX(Roster!$A$2:$A$600,MATCH(F864,Roster!$E$2:$E$600,0)),""))</f>
        <v/>
      </c>
      <c r="I864" s="10">
        <f>IF(AND(D864="",C864="",F864=""),"",IF(G864&lt;&gt;"","Void",IF(F864="","Needs child",IF(H864="","Child not found",IF(OR(B864="",NOT(ISNUMBER(C864))),"Needs month/pages","OK")))))</f>
        <v/>
      </c>
      <c r="J864" s="10">
        <f>IF(I864="","",IF(I864="OK",IF(COUNTIFS(H865:H$3001,H864,B865:B$3001,B864,G865:G$3001,"")=0,C864,0),0))</f>
        <v/>
      </c>
    </row>
    <row r="865">
      <c r="A865" s="6" t="n"/>
      <c r="B865" s="9" t="n"/>
      <c r="C865" s="6" t="n"/>
      <c r="D865" s="6" t="n"/>
      <c r="E865" s="6" t="n"/>
      <c r="F865" s="6" t="n"/>
      <c r="G865" s="6" t="n"/>
      <c r="H865" s="10">
        <f>IF(F865="","",IFERROR(INDEX(Roster!$A$2:$A$600,MATCH(F865,Roster!$E$2:$E$600,0)),""))</f>
        <v/>
      </c>
      <c r="I865" s="10">
        <f>IF(AND(D865="",C865="",F865=""),"",IF(G865&lt;&gt;"","Void",IF(F865="","Needs child",IF(H865="","Child not found",IF(OR(B865="",NOT(ISNUMBER(C865))),"Needs month/pages","OK")))))</f>
        <v/>
      </c>
      <c r="J865" s="10">
        <f>IF(I865="","",IF(I865="OK",IF(COUNTIFS(H866:H$3001,H865,B866:B$3001,B865,G866:G$3001,"")=0,C865,0),0))</f>
        <v/>
      </c>
    </row>
    <row r="866">
      <c r="A866" s="6" t="n"/>
      <c r="B866" s="9" t="n"/>
      <c r="C866" s="6" t="n"/>
      <c r="D866" s="6" t="n"/>
      <c r="E866" s="6" t="n"/>
      <c r="F866" s="6" t="n"/>
      <c r="G866" s="6" t="n"/>
      <c r="H866" s="10">
        <f>IF(F866="","",IFERROR(INDEX(Roster!$A$2:$A$600,MATCH(F866,Roster!$E$2:$E$600,0)),""))</f>
        <v/>
      </c>
      <c r="I866" s="10">
        <f>IF(AND(D866="",C866="",F866=""),"",IF(G866&lt;&gt;"","Void",IF(F866="","Needs child",IF(H866="","Child not found",IF(OR(B866="",NOT(ISNUMBER(C866))),"Needs month/pages","OK")))))</f>
        <v/>
      </c>
      <c r="J866" s="10">
        <f>IF(I866="","",IF(I866="OK",IF(COUNTIFS(H867:H$3001,H866,B867:B$3001,B866,G867:G$3001,"")=0,C866,0),0))</f>
        <v/>
      </c>
    </row>
    <row r="867">
      <c r="A867" s="6" t="n"/>
      <c r="B867" s="9" t="n"/>
      <c r="C867" s="6" t="n"/>
      <c r="D867" s="6" t="n"/>
      <c r="E867" s="6" t="n"/>
      <c r="F867" s="6" t="n"/>
      <c r="G867" s="6" t="n"/>
      <c r="H867" s="10">
        <f>IF(F867="","",IFERROR(INDEX(Roster!$A$2:$A$600,MATCH(F867,Roster!$E$2:$E$600,0)),""))</f>
        <v/>
      </c>
      <c r="I867" s="10">
        <f>IF(AND(D867="",C867="",F867=""),"",IF(G867&lt;&gt;"","Void",IF(F867="","Needs child",IF(H867="","Child not found",IF(OR(B867="",NOT(ISNUMBER(C867))),"Needs month/pages","OK")))))</f>
        <v/>
      </c>
      <c r="J867" s="10">
        <f>IF(I867="","",IF(I867="OK",IF(COUNTIFS(H868:H$3001,H867,B868:B$3001,B867,G868:G$3001,"")=0,C867,0),0))</f>
        <v/>
      </c>
    </row>
    <row r="868">
      <c r="A868" s="6" t="n"/>
      <c r="B868" s="9" t="n"/>
      <c r="C868" s="6" t="n"/>
      <c r="D868" s="6" t="n"/>
      <c r="E868" s="6" t="n"/>
      <c r="F868" s="6" t="n"/>
      <c r="G868" s="6" t="n"/>
      <c r="H868" s="10">
        <f>IF(F868="","",IFERROR(INDEX(Roster!$A$2:$A$600,MATCH(F868,Roster!$E$2:$E$600,0)),""))</f>
        <v/>
      </c>
      <c r="I868" s="10">
        <f>IF(AND(D868="",C868="",F868=""),"",IF(G868&lt;&gt;"","Void",IF(F868="","Needs child",IF(H868="","Child not found",IF(OR(B868="",NOT(ISNUMBER(C868))),"Needs month/pages","OK")))))</f>
        <v/>
      </c>
      <c r="J868" s="10">
        <f>IF(I868="","",IF(I868="OK",IF(COUNTIFS(H869:H$3001,H868,B869:B$3001,B868,G869:G$3001,"")=0,C868,0),0))</f>
        <v/>
      </c>
    </row>
    <row r="869">
      <c r="A869" s="6" t="n"/>
      <c r="B869" s="9" t="n"/>
      <c r="C869" s="6" t="n"/>
      <c r="D869" s="6" t="n"/>
      <c r="E869" s="6" t="n"/>
      <c r="F869" s="6" t="n"/>
      <c r="G869" s="6" t="n"/>
      <c r="H869" s="10">
        <f>IF(F869="","",IFERROR(INDEX(Roster!$A$2:$A$600,MATCH(F869,Roster!$E$2:$E$600,0)),""))</f>
        <v/>
      </c>
      <c r="I869" s="10">
        <f>IF(AND(D869="",C869="",F869=""),"",IF(G869&lt;&gt;"","Void",IF(F869="","Needs child",IF(H869="","Child not found",IF(OR(B869="",NOT(ISNUMBER(C869))),"Needs month/pages","OK")))))</f>
        <v/>
      </c>
      <c r="J869" s="10">
        <f>IF(I869="","",IF(I869="OK",IF(COUNTIFS(H870:H$3001,H869,B870:B$3001,B869,G870:G$3001,"")=0,C869,0),0))</f>
        <v/>
      </c>
    </row>
    <row r="870">
      <c r="A870" s="6" t="n"/>
      <c r="B870" s="9" t="n"/>
      <c r="C870" s="6" t="n"/>
      <c r="D870" s="6" t="n"/>
      <c r="E870" s="6" t="n"/>
      <c r="F870" s="6" t="n"/>
      <c r="G870" s="6" t="n"/>
      <c r="H870" s="10">
        <f>IF(F870="","",IFERROR(INDEX(Roster!$A$2:$A$600,MATCH(F870,Roster!$E$2:$E$600,0)),""))</f>
        <v/>
      </c>
      <c r="I870" s="10">
        <f>IF(AND(D870="",C870="",F870=""),"",IF(G870&lt;&gt;"","Void",IF(F870="","Needs child",IF(H870="","Child not found",IF(OR(B870="",NOT(ISNUMBER(C870))),"Needs month/pages","OK")))))</f>
        <v/>
      </c>
      <c r="J870" s="10">
        <f>IF(I870="","",IF(I870="OK",IF(COUNTIFS(H871:H$3001,H870,B871:B$3001,B870,G871:G$3001,"")=0,C870,0),0))</f>
        <v/>
      </c>
    </row>
    <row r="871">
      <c r="A871" s="6" t="n"/>
      <c r="B871" s="9" t="n"/>
      <c r="C871" s="6" t="n"/>
      <c r="D871" s="6" t="n"/>
      <c r="E871" s="6" t="n"/>
      <c r="F871" s="6" t="n"/>
      <c r="G871" s="6" t="n"/>
      <c r="H871" s="10">
        <f>IF(F871="","",IFERROR(INDEX(Roster!$A$2:$A$600,MATCH(F871,Roster!$E$2:$E$600,0)),""))</f>
        <v/>
      </c>
      <c r="I871" s="10">
        <f>IF(AND(D871="",C871="",F871=""),"",IF(G871&lt;&gt;"","Void",IF(F871="","Needs child",IF(H871="","Child not found",IF(OR(B871="",NOT(ISNUMBER(C871))),"Needs month/pages","OK")))))</f>
        <v/>
      </c>
      <c r="J871" s="10">
        <f>IF(I871="","",IF(I871="OK",IF(COUNTIFS(H872:H$3001,H871,B872:B$3001,B871,G872:G$3001,"")=0,C871,0),0))</f>
        <v/>
      </c>
    </row>
    <row r="872">
      <c r="A872" s="6" t="n"/>
      <c r="B872" s="9" t="n"/>
      <c r="C872" s="6" t="n"/>
      <c r="D872" s="6" t="n"/>
      <c r="E872" s="6" t="n"/>
      <c r="F872" s="6" t="n"/>
      <c r="G872" s="6" t="n"/>
      <c r="H872" s="10">
        <f>IF(F872="","",IFERROR(INDEX(Roster!$A$2:$A$600,MATCH(F872,Roster!$E$2:$E$600,0)),""))</f>
        <v/>
      </c>
      <c r="I872" s="10">
        <f>IF(AND(D872="",C872="",F872=""),"",IF(G872&lt;&gt;"","Void",IF(F872="","Needs child",IF(H872="","Child not found",IF(OR(B872="",NOT(ISNUMBER(C872))),"Needs month/pages","OK")))))</f>
        <v/>
      </c>
      <c r="J872" s="10">
        <f>IF(I872="","",IF(I872="OK",IF(COUNTIFS(H873:H$3001,H872,B873:B$3001,B872,G873:G$3001,"")=0,C872,0),0))</f>
        <v/>
      </c>
    </row>
    <row r="873">
      <c r="A873" s="6" t="n"/>
      <c r="B873" s="9" t="n"/>
      <c r="C873" s="6" t="n"/>
      <c r="D873" s="6" t="n"/>
      <c r="E873" s="6" t="n"/>
      <c r="F873" s="6" t="n"/>
      <c r="G873" s="6" t="n"/>
      <c r="H873" s="10">
        <f>IF(F873="","",IFERROR(INDEX(Roster!$A$2:$A$600,MATCH(F873,Roster!$E$2:$E$600,0)),""))</f>
        <v/>
      </c>
      <c r="I873" s="10">
        <f>IF(AND(D873="",C873="",F873=""),"",IF(G873&lt;&gt;"","Void",IF(F873="","Needs child",IF(H873="","Child not found",IF(OR(B873="",NOT(ISNUMBER(C873))),"Needs month/pages","OK")))))</f>
        <v/>
      </c>
      <c r="J873" s="10">
        <f>IF(I873="","",IF(I873="OK",IF(COUNTIFS(H874:H$3001,H873,B874:B$3001,B873,G874:G$3001,"")=0,C873,0),0))</f>
        <v/>
      </c>
    </row>
    <row r="874">
      <c r="A874" s="6" t="n"/>
      <c r="B874" s="9" t="n"/>
      <c r="C874" s="6" t="n"/>
      <c r="D874" s="6" t="n"/>
      <c r="E874" s="6" t="n"/>
      <c r="F874" s="6" t="n"/>
      <c r="G874" s="6" t="n"/>
      <c r="H874" s="10">
        <f>IF(F874="","",IFERROR(INDEX(Roster!$A$2:$A$600,MATCH(F874,Roster!$E$2:$E$600,0)),""))</f>
        <v/>
      </c>
      <c r="I874" s="10">
        <f>IF(AND(D874="",C874="",F874=""),"",IF(G874&lt;&gt;"","Void",IF(F874="","Needs child",IF(H874="","Child not found",IF(OR(B874="",NOT(ISNUMBER(C874))),"Needs month/pages","OK")))))</f>
        <v/>
      </c>
      <c r="J874" s="10">
        <f>IF(I874="","",IF(I874="OK",IF(COUNTIFS(H875:H$3001,H874,B875:B$3001,B874,G875:G$3001,"")=0,C874,0),0))</f>
        <v/>
      </c>
    </row>
    <row r="875">
      <c r="A875" s="6" t="n"/>
      <c r="B875" s="9" t="n"/>
      <c r="C875" s="6" t="n"/>
      <c r="D875" s="6" t="n"/>
      <c r="E875" s="6" t="n"/>
      <c r="F875" s="6" t="n"/>
      <c r="G875" s="6" t="n"/>
      <c r="H875" s="10">
        <f>IF(F875="","",IFERROR(INDEX(Roster!$A$2:$A$600,MATCH(F875,Roster!$E$2:$E$600,0)),""))</f>
        <v/>
      </c>
      <c r="I875" s="10">
        <f>IF(AND(D875="",C875="",F875=""),"",IF(G875&lt;&gt;"","Void",IF(F875="","Needs child",IF(H875="","Child not found",IF(OR(B875="",NOT(ISNUMBER(C875))),"Needs month/pages","OK")))))</f>
        <v/>
      </c>
      <c r="J875" s="10">
        <f>IF(I875="","",IF(I875="OK",IF(COUNTIFS(H876:H$3001,H875,B876:B$3001,B875,G876:G$3001,"")=0,C875,0),0))</f>
        <v/>
      </c>
    </row>
    <row r="876">
      <c r="A876" s="6" t="n"/>
      <c r="B876" s="9" t="n"/>
      <c r="C876" s="6" t="n"/>
      <c r="D876" s="6" t="n"/>
      <c r="E876" s="6" t="n"/>
      <c r="F876" s="6" t="n"/>
      <c r="G876" s="6" t="n"/>
      <c r="H876" s="10">
        <f>IF(F876="","",IFERROR(INDEX(Roster!$A$2:$A$600,MATCH(F876,Roster!$E$2:$E$600,0)),""))</f>
        <v/>
      </c>
      <c r="I876" s="10">
        <f>IF(AND(D876="",C876="",F876=""),"",IF(G876&lt;&gt;"","Void",IF(F876="","Needs child",IF(H876="","Child not found",IF(OR(B876="",NOT(ISNUMBER(C876))),"Needs month/pages","OK")))))</f>
        <v/>
      </c>
      <c r="J876" s="10">
        <f>IF(I876="","",IF(I876="OK",IF(COUNTIFS(H877:H$3001,H876,B877:B$3001,B876,G877:G$3001,"")=0,C876,0),0))</f>
        <v/>
      </c>
    </row>
    <row r="877">
      <c r="A877" s="6" t="n"/>
      <c r="B877" s="9" t="n"/>
      <c r="C877" s="6" t="n"/>
      <c r="D877" s="6" t="n"/>
      <c r="E877" s="6" t="n"/>
      <c r="F877" s="6" t="n"/>
      <c r="G877" s="6" t="n"/>
      <c r="H877" s="10">
        <f>IF(F877="","",IFERROR(INDEX(Roster!$A$2:$A$600,MATCH(F877,Roster!$E$2:$E$600,0)),""))</f>
        <v/>
      </c>
      <c r="I877" s="10">
        <f>IF(AND(D877="",C877="",F877=""),"",IF(G877&lt;&gt;"","Void",IF(F877="","Needs child",IF(H877="","Child not found",IF(OR(B877="",NOT(ISNUMBER(C877))),"Needs month/pages","OK")))))</f>
        <v/>
      </c>
      <c r="J877" s="10">
        <f>IF(I877="","",IF(I877="OK",IF(COUNTIFS(H878:H$3001,H877,B878:B$3001,B877,G878:G$3001,"")=0,C877,0),0))</f>
        <v/>
      </c>
    </row>
    <row r="878">
      <c r="A878" s="6" t="n"/>
      <c r="B878" s="9" t="n"/>
      <c r="C878" s="6" t="n"/>
      <c r="D878" s="6" t="n"/>
      <c r="E878" s="6" t="n"/>
      <c r="F878" s="6" t="n"/>
      <c r="G878" s="6" t="n"/>
      <c r="H878" s="10">
        <f>IF(F878="","",IFERROR(INDEX(Roster!$A$2:$A$600,MATCH(F878,Roster!$E$2:$E$600,0)),""))</f>
        <v/>
      </c>
      <c r="I878" s="10">
        <f>IF(AND(D878="",C878="",F878=""),"",IF(G878&lt;&gt;"","Void",IF(F878="","Needs child",IF(H878="","Child not found",IF(OR(B878="",NOT(ISNUMBER(C878))),"Needs month/pages","OK")))))</f>
        <v/>
      </c>
      <c r="J878" s="10">
        <f>IF(I878="","",IF(I878="OK",IF(COUNTIFS(H879:H$3001,H878,B879:B$3001,B878,G879:G$3001,"")=0,C878,0),0))</f>
        <v/>
      </c>
    </row>
    <row r="879">
      <c r="A879" s="6" t="n"/>
      <c r="B879" s="9" t="n"/>
      <c r="C879" s="6" t="n"/>
      <c r="D879" s="6" t="n"/>
      <c r="E879" s="6" t="n"/>
      <c r="F879" s="6" t="n"/>
      <c r="G879" s="6" t="n"/>
      <c r="H879" s="10">
        <f>IF(F879="","",IFERROR(INDEX(Roster!$A$2:$A$600,MATCH(F879,Roster!$E$2:$E$600,0)),""))</f>
        <v/>
      </c>
      <c r="I879" s="10">
        <f>IF(AND(D879="",C879="",F879=""),"",IF(G879&lt;&gt;"","Void",IF(F879="","Needs child",IF(H879="","Child not found",IF(OR(B879="",NOT(ISNUMBER(C879))),"Needs month/pages","OK")))))</f>
        <v/>
      </c>
      <c r="J879" s="10">
        <f>IF(I879="","",IF(I879="OK",IF(COUNTIFS(H880:H$3001,H879,B880:B$3001,B879,G880:G$3001,"")=0,C879,0),0))</f>
        <v/>
      </c>
    </row>
    <row r="880">
      <c r="A880" s="6" t="n"/>
      <c r="B880" s="9" t="n"/>
      <c r="C880" s="6" t="n"/>
      <c r="D880" s="6" t="n"/>
      <c r="E880" s="6" t="n"/>
      <c r="F880" s="6" t="n"/>
      <c r="G880" s="6" t="n"/>
      <c r="H880" s="10">
        <f>IF(F880="","",IFERROR(INDEX(Roster!$A$2:$A$600,MATCH(F880,Roster!$E$2:$E$600,0)),""))</f>
        <v/>
      </c>
      <c r="I880" s="10">
        <f>IF(AND(D880="",C880="",F880=""),"",IF(G880&lt;&gt;"","Void",IF(F880="","Needs child",IF(H880="","Child not found",IF(OR(B880="",NOT(ISNUMBER(C880))),"Needs month/pages","OK")))))</f>
        <v/>
      </c>
      <c r="J880" s="10">
        <f>IF(I880="","",IF(I880="OK",IF(COUNTIFS(H881:H$3001,H880,B881:B$3001,B880,G881:G$3001,"")=0,C880,0),0))</f>
        <v/>
      </c>
    </row>
    <row r="881">
      <c r="A881" s="6" t="n"/>
      <c r="B881" s="9" t="n"/>
      <c r="C881" s="6" t="n"/>
      <c r="D881" s="6" t="n"/>
      <c r="E881" s="6" t="n"/>
      <c r="F881" s="6" t="n"/>
      <c r="G881" s="6" t="n"/>
      <c r="H881" s="10">
        <f>IF(F881="","",IFERROR(INDEX(Roster!$A$2:$A$600,MATCH(F881,Roster!$E$2:$E$600,0)),""))</f>
        <v/>
      </c>
      <c r="I881" s="10">
        <f>IF(AND(D881="",C881="",F881=""),"",IF(G881&lt;&gt;"","Void",IF(F881="","Needs child",IF(H881="","Child not found",IF(OR(B881="",NOT(ISNUMBER(C881))),"Needs month/pages","OK")))))</f>
        <v/>
      </c>
      <c r="J881" s="10">
        <f>IF(I881="","",IF(I881="OK",IF(COUNTIFS(H882:H$3001,H881,B882:B$3001,B881,G882:G$3001,"")=0,C881,0),0))</f>
        <v/>
      </c>
    </row>
    <row r="882">
      <c r="A882" s="6" t="n"/>
      <c r="B882" s="9" t="n"/>
      <c r="C882" s="6" t="n"/>
      <c r="D882" s="6" t="n"/>
      <c r="E882" s="6" t="n"/>
      <c r="F882" s="6" t="n"/>
      <c r="G882" s="6" t="n"/>
      <c r="H882" s="10">
        <f>IF(F882="","",IFERROR(INDEX(Roster!$A$2:$A$600,MATCH(F882,Roster!$E$2:$E$600,0)),""))</f>
        <v/>
      </c>
      <c r="I882" s="10">
        <f>IF(AND(D882="",C882="",F882=""),"",IF(G882&lt;&gt;"","Void",IF(F882="","Needs child",IF(H882="","Child not found",IF(OR(B882="",NOT(ISNUMBER(C882))),"Needs month/pages","OK")))))</f>
        <v/>
      </c>
      <c r="J882" s="10">
        <f>IF(I882="","",IF(I882="OK",IF(COUNTIFS(H883:H$3001,H882,B883:B$3001,B882,G883:G$3001,"")=0,C882,0),0))</f>
        <v/>
      </c>
    </row>
    <row r="883">
      <c r="A883" s="6" t="n"/>
      <c r="B883" s="9" t="n"/>
      <c r="C883" s="6" t="n"/>
      <c r="D883" s="6" t="n"/>
      <c r="E883" s="6" t="n"/>
      <c r="F883" s="6" t="n"/>
      <c r="G883" s="6" t="n"/>
      <c r="H883" s="10">
        <f>IF(F883="","",IFERROR(INDEX(Roster!$A$2:$A$600,MATCH(F883,Roster!$E$2:$E$600,0)),""))</f>
        <v/>
      </c>
      <c r="I883" s="10">
        <f>IF(AND(D883="",C883="",F883=""),"",IF(G883&lt;&gt;"","Void",IF(F883="","Needs child",IF(H883="","Child not found",IF(OR(B883="",NOT(ISNUMBER(C883))),"Needs month/pages","OK")))))</f>
        <v/>
      </c>
      <c r="J883" s="10">
        <f>IF(I883="","",IF(I883="OK",IF(COUNTIFS(H884:H$3001,H883,B884:B$3001,B883,G884:G$3001,"")=0,C883,0),0))</f>
        <v/>
      </c>
    </row>
    <row r="884">
      <c r="A884" s="6" t="n"/>
      <c r="B884" s="9" t="n"/>
      <c r="C884" s="6" t="n"/>
      <c r="D884" s="6" t="n"/>
      <c r="E884" s="6" t="n"/>
      <c r="F884" s="6" t="n"/>
      <c r="G884" s="6" t="n"/>
      <c r="H884" s="10">
        <f>IF(F884="","",IFERROR(INDEX(Roster!$A$2:$A$600,MATCH(F884,Roster!$E$2:$E$600,0)),""))</f>
        <v/>
      </c>
      <c r="I884" s="10">
        <f>IF(AND(D884="",C884="",F884=""),"",IF(G884&lt;&gt;"","Void",IF(F884="","Needs child",IF(H884="","Child not found",IF(OR(B884="",NOT(ISNUMBER(C884))),"Needs month/pages","OK")))))</f>
        <v/>
      </c>
      <c r="J884" s="10">
        <f>IF(I884="","",IF(I884="OK",IF(COUNTIFS(H885:H$3001,H884,B885:B$3001,B884,G885:G$3001,"")=0,C884,0),0))</f>
        <v/>
      </c>
    </row>
    <row r="885">
      <c r="A885" s="6" t="n"/>
      <c r="B885" s="9" t="n"/>
      <c r="C885" s="6" t="n"/>
      <c r="D885" s="6" t="n"/>
      <c r="E885" s="6" t="n"/>
      <c r="F885" s="6" t="n"/>
      <c r="G885" s="6" t="n"/>
      <c r="H885" s="10">
        <f>IF(F885="","",IFERROR(INDEX(Roster!$A$2:$A$600,MATCH(F885,Roster!$E$2:$E$600,0)),""))</f>
        <v/>
      </c>
      <c r="I885" s="10">
        <f>IF(AND(D885="",C885="",F885=""),"",IF(G885&lt;&gt;"","Void",IF(F885="","Needs child",IF(H885="","Child not found",IF(OR(B885="",NOT(ISNUMBER(C885))),"Needs month/pages","OK")))))</f>
        <v/>
      </c>
      <c r="J885" s="10">
        <f>IF(I885="","",IF(I885="OK",IF(COUNTIFS(H886:H$3001,H885,B886:B$3001,B885,G886:G$3001,"")=0,C885,0),0))</f>
        <v/>
      </c>
    </row>
    <row r="886">
      <c r="A886" s="6" t="n"/>
      <c r="B886" s="9" t="n"/>
      <c r="C886" s="6" t="n"/>
      <c r="D886" s="6" t="n"/>
      <c r="E886" s="6" t="n"/>
      <c r="F886" s="6" t="n"/>
      <c r="G886" s="6" t="n"/>
      <c r="H886" s="10">
        <f>IF(F886="","",IFERROR(INDEX(Roster!$A$2:$A$600,MATCH(F886,Roster!$E$2:$E$600,0)),""))</f>
        <v/>
      </c>
      <c r="I886" s="10">
        <f>IF(AND(D886="",C886="",F886=""),"",IF(G886&lt;&gt;"","Void",IF(F886="","Needs child",IF(H886="","Child not found",IF(OR(B886="",NOT(ISNUMBER(C886))),"Needs month/pages","OK")))))</f>
        <v/>
      </c>
      <c r="J886" s="10">
        <f>IF(I886="","",IF(I886="OK",IF(COUNTIFS(H887:H$3001,H886,B887:B$3001,B886,G887:G$3001,"")=0,C886,0),0))</f>
        <v/>
      </c>
    </row>
    <row r="887">
      <c r="A887" s="6" t="n"/>
      <c r="B887" s="9" t="n"/>
      <c r="C887" s="6" t="n"/>
      <c r="D887" s="6" t="n"/>
      <c r="E887" s="6" t="n"/>
      <c r="F887" s="6" t="n"/>
      <c r="G887" s="6" t="n"/>
      <c r="H887" s="10">
        <f>IF(F887="","",IFERROR(INDEX(Roster!$A$2:$A$600,MATCH(F887,Roster!$E$2:$E$600,0)),""))</f>
        <v/>
      </c>
      <c r="I887" s="10">
        <f>IF(AND(D887="",C887="",F887=""),"",IF(G887&lt;&gt;"","Void",IF(F887="","Needs child",IF(H887="","Child not found",IF(OR(B887="",NOT(ISNUMBER(C887))),"Needs month/pages","OK")))))</f>
        <v/>
      </c>
      <c r="J887" s="10">
        <f>IF(I887="","",IF(I887="OK",IF(COUNTIFS(H888:H$3001,H887,B888:B$3001,B887,G888:G$3001,"")=0,C887,0),0))</f>
        <v/>
      </c>
    </row>
    <row r="888">
      <c r="A888" s="6" t="n"/>
      <c r="B888" s="9" t="n"/>
      <c r="C888" s="6" t="n"/>
      <c r="D888" s="6" t="n"/>
      <c r="E888" s="6" t="n"/>
      <c r="F888" s="6" t="n"/>
      <c r="G888" s="6" t="n"/>
      <c r="H888" s="10">
        <f>IF(F888="","",IFERROR(INDEX(Roster!$A$2:$A$600,MATCH(F888,Roster!$E$2:$E$600,0)),""))</f>
        <v/>
      </c>
      <c r="I888" s="10">
        <f>IF(AND(D888="",C888="",F888=""),"",IF(G888&lt;&gt;"","Void",IF(F888="","Needs child",IF(H888="","Child not found",IF(OR(B888="",NOT(ISNUMBER(C888))),"Needs month/pages","OK")))))</f>
        <v/>
      </c>
      <c r="J888" s="10">
        <f>IF(I888="","",IF(I888="OK",IF(COUNTIFS(H889:H$3001,H888,B889:B$3001,B888,G889:G$3001,"")=0,C888,0),0))</f>
        <v/>
      </c>
    </row>
    <row r="889">
      <c r="A889" s="6" t="n"/>
      <c r="B889" s="9" t="n"/>
      <c r="C889" s="6" t="n"/>
      <c r="D889" s="6" t="n"/>
      <c r="E889" s="6" t="n"/>
      <c r="F889" s="6" t="n"/>
      <c r="G889" s="6" t="n"/>
      <c r="H889" s="10">
        <f>IF(F889="","",IFERROR(INDEX(Roster!$A$2:$A$600,MATCH(F889,Roster!$E$2:$E$600,0)),""))</f>
        <v/>
      </c>
      <c r="I889" s="10">
        <f>IF(AND(D889="",C889="",F889=""),"",IF(G889&lt;&gt;"","Void",IF(F889="","Needs child",IF(H889="","Child not found",IF(OR(B889="",NOT(ISNUMBER(C889))),"Needs month/pages","OK")))))</f>
        <v/>
      </c>
      <c r="J889" s="10">
        <f>IF(I889="","",IF(I889="OK",IF(COUNTIFS(H890:H$3001,H889,B890:B$3001,B889,G890:G$3001,"")=0,C889,0),0))</f>
        <v/>
      </c>
    </row>
    <row r="890">
      <c r="A890" s="6" t="n"/>
      <c r="B890" s="9" t="n"/>
      <c r="C890" s="6" t="n"/>
      <c r="D890" s="6" t="n"/>
      <c r="E890" s="6" t="n"/>
      <c r="F890" s="6" t="n"/>
      <c r="G890" s="6" t="n"/>
      <c r="H890" s="10">
        <f>IF(F890="","",IFERROR(INDEX(Roster!$A$2:$A$600,MATCH(F890,Roster!$E$2:$E$600,0)),""))</f>
        <v/>
      </c>
      <c r="I890" s="10">
        <f>IF(AND(D890="",C890="",F890=""),"",IF(G890&lt;&gt;"","Void",IF(F890="","Needs child",IF(H890="","Child not found",IF(OR(B890="",NOT(ISNUMBER(C890))),"Needs month/pages","OK")))))</f>
        <v/>
      </c>
      <c r="J890" s="10">
        <f>IF(I890="","",IF(I890="OK",IF(COUNTIFS(H891:H$3001,H890,B891:B$3001,B890,G891:G$3001,"")=0,C890,0),0))</f>
        <v/>
      </c>
    </row>
    <row r="891">
      <c r="A891" s="6" t="n"/>
      <c r="B891" s="9" t="n"/>
      <c r="C891" s="6" t="n"/>
      <c r="D891" s="6" t="n"/>
      <c r="E891" s="6" t="n"/>
      <c r="F891" s="6" t="n"/>
      <c r="G891" s="6" t="n"/>
      <c r="H891" s="10">
        <f>IF(F891="","",IFERROR(INDEX(Roster!$A$2:$A$600,MATCH(F891,Roster!$E$2:$E$600,0)),""))</f>
        <v/>
      </c>
      <c r="I891" s="10">
        <f>IF(AND(D891="",C891="",F891=""),"",IF(G891&lt;&gt;"","Void",IF(F891="","Needs child",IF(H891="","Child not found",IF(OR(B891="",NOT(ISNUMBER(C891))),"Needs month/pages","OK")))))</f>
        <v/>
      </c>
      <c r="J891" s="10">
        <f>IF(I891="","",IF(I891="OK",IF(COUNTIFS(H892:H$3001,H891,B892:B$3001,B891,G892:G$3001,"")=0,C891,0),0))</f>
        <v/>
      </c>
    </row>
    <row r="892">
      <c r="A892" s="6" t="n"/>
      <c r="B892" s="9" t="n"/>
      <c r="C892" s="6" t="n"/>
      <c r="D892" s="6" t="n"/>
      <c r="E892" s="6" t="n"/>
      <c r="F892" s="6" t="n"/>
      <c r="G892" s="6" t="n"/>
      <c r="H892" s="10">
        <f>IF(F892="","",IFERROR(INDEX(Roster!$A$2:$A$600,MATCH(F892,Roster!$E$2:$E$600,0)),""))</f>
        <v/>
      </c>
      <c r="I892" s="10">
        <f>IF(AND(D892="",C892="",F892=""),"",IF(G892&lt;&gt;"","Void",IF(F892="","Needs child",IF(H892="","Child not found",IF(OR(B892="",NOT(ISNUMBER(C892))),"Needs month/pages","OK")))))</f>
        <v/>
      </c>
      <c r="J892" s="10">
        <f>IF(I892="","",IF(I892="OK",IF(COUNTIFS(H893:H$3001,H892,B893:B$3001,B892,G893:G$3001,"")=0,C892,0),0))</f>
        <v/>
      </c>
    </row>
    <row r="893">
      <c r="A893" s="6" t="n"/>
      <c r="B893" s="9" t="n"/>
      <c r="C893" s="6" t="n"/>
      <c r="D893" s="6" t="n"/>
      <c r="E893" s="6" t="n"/>
      <c r="F893" s="6" t="n"/>
      <c r="G893" s="6" t="n"/>
      <c r="H893" s="10">
        <f>IF(F893="","",IFERROR(INDEX(Roster!$A$2:$A$600,MATCH(F893,Roster!$E$2:$E$600,0)),""))</f>
        <v/>
      </c>
      <c r="I893" s="10">
        <f>IF(AND(D893="",C893="",F893=""),"",IF(G893&lt;&gt;"","Void",IF(F893="","Needs child",IF(H893="","Child not found",IF(OR(B893="",NOT(ISNUMBER(C893))),"Needs month/pages","OK")))))</f>
        <v/>
      </c>
      <c r="J893" s="10">
        <f>IF(I893="","",IF(I893="OK",IF(COUNTIFS(H894:H$3001,H893,B894:B$3001,B893,G894:G$3001,"")=0,C893,0),0))</f>
        <v/>
      </c>
    </row>
    <row r="894">
      <c r="A894" s="6" t="n"/>
      <c r="B894" s="9" t="n"/>
      <c r="C894" s="6" t="n"/>
      <c r="D894" s="6" t="n"/>
      <c r="E894" s="6" t="n"/>
      <c r="F894" s="6" t="n"/>
      <c r="G894" s="6" t="n"/>
      <c r="H894" s="10">
        <f>IF(F894="","",IFERROR(INDEX(Roster!$A$2:$A$600,MATCH(F894,Roster!$E$2:$E$600,0)),""))</f>
        <v/>
      </c>
      <c r="I894" s="10">
        <f>IF(AND(D894="",C894="",F894=""),"",IF(G894&lt;&gt;"","Void",IF(F894="","Needs child",IF(H894="","Child not found",IF(OR(B894="",NOT(ISNUMBER(C894))),"Needs month/pages","OK")))))</f>
        <v/>
      </c>
      <c r="J894" s="10">
        <f>IF(I894="","",IF(I894="OK",IF(COUNTIFS(H895:H$3001,H894,B895:B$3001,B894,G895:G$3001,"")=0,C894,0),0))</f>
        <v/>
      </c>
    </row>
    <row r="895">
      <c r="A895" s="6" t="n"/>
      <c r="B895" s="9" t="n"/>
      <c r="C895" s="6" t="n"/>
      <c r="D895" s="6" t="n"/>
      <c r="E895" s="6" t="n"/>
      <c r="F895" s="6" t="n"/>
      <c r="G895" s="6" t="n"/>
      <c r="H895" s="10">
        <f>IF(F895="","",IFERROR(INDEX(Roster!$A$2:$A$600,MATCH(F895,Roster!$E$2:$E$600,0)),""))</f>
        <v/>
      </c>
      <c r="I895" s="10">
        <f>IF(AND(D895="",C895="",F895=""),"",IF(G895&lt;&gt;"","Void",IF(F895="","Needs child",IF(H895="","Child not found",IF(OR(B895="",NOT(ISNUMBER(C895))),"Needs month/pages","OK")))))</f>
        <v/>
      </c>
      <c r="J895" s="10">
        <f>IF(I895="","",IF(I895="OK",IF(COUNTIFS(H896:H$3001,H895,B896:B$3001,B895,G896:G$3001,"")=0,C895,0),0))</f>
        <v/>
      </c>
    </row>
    <row r="896">
      <c r="A896" s="6" t="n"/>
      <c r="B896" s="9" t="n"/>
      <c r="C896" s="6" t="n"/>
      <c r="D896" s="6" t="n"/>
      <c r="E896" s="6" t="n"/>
      <c r="F896" s="6" t="n"/>
      <c r="G896" s="6" t="n"/>
      <c r="H896" s="10">
        <f>IF(F896="","",IFERROR(INDEX(Roster!$A$2:$A$600,MATCH(F896,Roster!$E$2:$E$600,0)),""))</f>
        <v/>
      </c>
      <c r="I896" s="10">
        <f>IF(AND(D896="",C896="",F896=""),"",IF(G896&lt;&gt;"","Void",IF(F896="","Needs child",IF(H896="","Child not found",IF(OR(B896="",NOT(ISNUMBER(C896))),"Needs month/pages","OK")))))</f>
        <v/>
      </c>
      <c r="J896" s="10">
        <f>IF(I896="","",IF(I896="OK",IF(COUNTIFS(H897:H$3001,H896,B897:B$3001,B896,G897:G$3001,"")=0,C896,0),0))</f>
        <v/>
      </c>
    </row>
    <row r="897">
      <c r="A897" s="6" t="n"/>
      <c r="B897" s="9" t="n"/>
      <c r="C897" s="6" t="n"/>
      <c r="D897" s="6" t="n"/>
      <c r="E897" s="6" t="n"/>
      <c r="F897" s="6" t="n"/>
      <c r="G897" s="6" t="n"/>
      <c r="H897" s="10">
        <f>IF(F897="","",IFERROR(INDEX(Roster!$A$2:$A$600,MATCH(F897,Roster!$E$2:$E$600,0)),""))</f>
        <v/>
      </c>
      <c r="I897" s="10">
        <f>IF(AND(D897="",C897="",F897=""),"",IF(G897&lt;&gt;"","Void",IF(F897="","Needs child",IF(H897="","Child not found",IF(OR(B897="",NOT(ISNUMBER(C897))),"Needs month/pages","OK")))))</f>
        <v/>
      </c>
      <c r="J897" s="10">
        <f>IF(I897="","",IF(I897="OK",IF(COUNTIFS(H898:H$3001,H897,B898:B$3001,B897,G898:G$3001,"")=0,C897,0),0))</f>
        <v/>
      </c>
    </row>
    <row r="898">
      <c r="A898" s="6" t="n"/>
      <c r="B898" s="9" t="n"/>
      <c r="C898" s="6" t="n"/>
      <c r="D898" s="6" t="n"/>
      <c r="E898" s="6" t="n"/>
      <c r="F898" s="6" t="n"/>
      <c r="G898" s="6" t="n"/>
      <c r="H898" s="10">
        <f>IF(F898="","",IFERROR(INDEX(Roster!$A$2:$A$600,MATCH(F898,Roster!$E$2:$E$600,0)),""))</f>
        <v/>
      </c>
      <c r="I898" s="10">
        <f>IF(AND(D898="",C898="",F898=""),"",IF(G898&lt;&gt;"","Void",IF(F898="","Needs child",IF(H898="","Child not found",IF(OR(B898="",NOT(ISNUMBER(C898))),"Needs month/pages","OK")))))</f>
        <v/>
      </c>
      <c r="J898" s="10">
        <f>IF(I898="","",IF(I898="OK",IF(COUNTIFS(H899:H$3001,H898,B899:B$3001,B898,G899:G$3001,"")=0,C898,0),0))</f>
        <v/>
      </c>
    </row>
    <row r="899">
      <c r="A899" s="6" t="n"/>
      <c r="B899" s="9" t="n"/>
      <c r="C899" s="6" t="n"/>
      <c r="D899" s="6" t="n"/>
      <c r="E899" s="6" t="n"/>
      <c r="F899" s="6" t="n"/>
      <c r="G899" s="6" t="n"/>
      <c r="H899" s="10">
        <f>IF(F899="","",IFERROR(INDEX(Roster!$A$2:$A$600,MATCH(F899,Roster!$E$2:$E$600,0)),""))</f>
        <v/>
      </c>
      <c r="I899" s="10">
        <f>IF(AND(D899="",C899="",F899=""),"",IF(G899&lt;&gt;"","Void",IF(F899="","Needs child",IF(H899="","Child not found",IF(OR(B899="",NOT(ISNUMBER(C899))),"Needs month/pages","OK")))))</f>
        <v/>
      </c>
      <c r="J899" s="10">
        <f>IF(I899="","",IF(I899="OK",IF(COUNTIFS(H900:H$3001,H899,B900:B$3001,B899,G900:G$3001,"")=0,C899,0),0))</f>
        <v/>
      </c>
    </row>
    <row r="900">
      <c r="A900" s="6" t="n"/>
      <c r="B900" s="9" t="n"/>
      <c r="C900" s="6" t="n"/>
      <c r="D900" s="6" t="n"/>
      <c r="E900" s="6" t="n"/>
      <c r="F900" s="6" t="n"/>
      <c r="G900" s="6" t="n"/>
      <c r="H900" s="10">
        <f>IF(F900="","",IFERROR(INDEX(Roster!$A$2:$A$600,MATCH(F900,Roster!$E$2:$E$600,0)),""))</f>
        <v/>
      </c>
      <c r="I900" s="10">
        <f>IF(AND(D900="",C900="",F900=""),"",IF(G900&lt;&gt;"","Void",IF(F900="","Needs child",IF(H900="","Child not found",IF(OR(B900="",NOT(ISNUMBER(C900))),"Needs month/pages","OK")))))</f>
        <v/>
      </c>
      <c r="J900" s="10">
        <f>IF(I900="","",IF(I900="OK",IF(COUNTIFS(H901:H$3001,H900,B901:B$3001,B900,G901:G$3001,"")=0,C900,0),0))</f>
        <v/>
      </c>
    </row>
    <row r="901">
      <c r="A901" s="6" t="n"/>
      <c r="B901" s="9" t="n"/>
      <c r="C901" s="6" t="n"/>
      <c r="D901" s="6" t="n"/>
      <c r="E901" s="6" t="n"/>
      <c r="F901" s="6" t="n"/>
      <c r="G901" s="6" t="n"/>
      <c r="H901" s="10">
        <f>IF(F901="","",IFERROR(INDEX(Roster!$A$2:$A$600,MATCH(F901,Roster!$E$2:$E$600,0)),""))</f>
        <v/>
      </c>
      <c r="I901" s="10">
        <f>IF(AND(D901="",C901="",F901=""),"",IF(G901&lt;&gt;"","Void",IF(F901="","Needs child",IF(H901="","Child not found",IF(OR(B901="",NOT(ISNUMBER(C901))),"Needs month/pages","OK")))))</f>
        <v/>
      </c>
      <c r="J901" s="10">
        <f>IF(I901="","",IF(I901="OK",IF(COUNTIFS(H902:H$3001,H901,B902:B$3001,B901,G902:G$3001,"")=0,C901,0),0))</f>
        <v/>
      </c>
    </row>
    <row r="902">
      <c r="A902" s="6" t="n"/>
      <c r="B902" s="9" t="n"/>
      <c r="C902" s="6" t="n"/>
      <c r="D902" s="6" t="n"/>
      <c r="E902" s="6" t="n"/>
      <c r="F902" s="6" t="n"/>
      <c r="G902" s="6" t="n"/>
      <c r="H902" s="10">
        <f>IF(F902="","",IFERROR(INDEX(Roster!$A$2:$A$600,MATCH(F902,Roster!$E$2:$E$600,0)),""))</f>
        <v/>
      </c>
      <c r="I902" s="10">
        <f>IF(AND(D902="",C902="",F902=""),"",IF(G902&lt;&gt;"","Void",IF(F902="","Needs child",IF(H902="","Child not found",IF(OR(B902="",NOT(ISNUMBER(C902))),"Needs month/pages","OK")))))</f>
        <v/>
      </c>
      <c r="J902" s="10">
        <f>IF(I902="","",IF(I902="OK",IF(COUNTIFS(H903:H$3001,H902,B903:B$3001,B902,G903:G$3001,"")=0,C902,0),0))</f>
        <v/>
      </c>
    </row>
    <row r="903">
      <c r="A903" s="6" t="n"/>
      <c r="B903" s="9" t="n"/>
      <c r="C903" s="6" t="n"/>
      <c r="D903" s="6" t="n"/>
      <c r="E903" s="6" t="n"/>
      <c r="F903" s="6" t="n"/>
      <c r="G903" s="6" t="n"/>
      <c r="H903" s="10">
        <f>IF(F903="","",IFERROR(INDEX(Roster!$A$2:$A$600,MATCH(F903,Roster!$E$2:$E$600,0)),""))</f>
        <v/>
      </c>
      <c r="I903" s="10">
        <f>IF(AND(D903="",C903="",F903=""),"",IF(G903&lt;&gt;"","Void",IF(F903="","Needs child",IF(H903="","Child not found",IF(OR(B903="",NOT(ISNUMBER(C903))),"Needs month/pages","OK")))))</f>
        <v/>
      </c>
      <c r="J903" s="10">
        <f>IF(I903="","",IF(I903="OK",IF(COUNTIFS(H904:H$3001,H903,B904:B$3001,B903,G904:G$3001,"")=0,C903,0),0))</f>
        <v/>
      </c>
    </row>
    <row r="904">
      <c r="A904" s="6" t="n"/>
      <c r="B904" s="9" t="n"/>
      <c r="C904" s="6" t="n"/>
      <c r="D904" s="6" t="n"/>
      <c r="E904" s="6" t="n"/>
      <c r="F904" s="6" t="n"/>
      <c r="G904" s="6" t="n"/>
      <c r="H904" s="10">
        <f>IF(F904="","",IFERROR(INDEX(Roster!$A$2:$A$600,MATCH(F904,Roster!$E$2:$E$600,0)),""))</f>
        <v/>
      </c>
      <c r="I904" s="10">
        <f>IF(AND(D904="",C904="",F904=""),"",IF(G904&lt;&gt;"","Void",IF(F904="","Needs child",IF(H904="","Child not found",IF(OR(B904="",NOT(ISNUMBER(C904))),"Needs month/pages","OK")))))</f>
        <v/>
      </c>
      <c r="J904" s="10">
        <f>IF(I904="","",IF(I904="OK",IF(COUNTIFS(H905:H$3001,H904,B905:B$3001,B904,G905:G$3001,"")=0,C904,0),0))</f>
        <v/>
      </c>
    </row>
    <row r="905">
      <c r="A905" s="6" t="n"/>
      <c r="B905" s="9" t="n"/>
      <c r="C905" s="6" t="n"/>
      <c r="D905" s="6" t="n"/>
      <c r="E905" s="6" t="n"/>
      <c r="F905" s="6" t="n"/>
      <c r="G905" s="6" t="n"/>
      <c r="H905" s="10">
        <f>IF(F905="","",IFERROR(INDEX(Roster!$A$2:$A$600,MATCH(F905,Roster!$E$2:$E$600,0)),""))</f>
        <v/>
      </c>
      <c r="I905" s="10">
        <f>IF(AND(D905="",C905="",F905=""),"",IF(G905&lt;&gt;"","Void",IF(F905="","Needs child",IF(H905="","Child not found",IF(OR(B905="",NOT(ISNUMBER(C905))),"Needs month/pages","OK")))))</f>
        <v/>
      </c>
      <c r="J905" s="10">
        <f>IF(I905="","",IF(I905="OK",IF(COUNTIFS(H906:H$3001,H905,B906:B$3001,B905,G906:G$3001,"")=0,C905,0),0))</f>
        <v/>
      </c>
    </row>
    <row r="906">
      <c r="A906" s="6" t="n"/>
      <c r="B906" s="9" t="n"/>
      <c r="C906" s="6" t="n"/>
      <c r="D906" s="6" t="n"/>
      <c r="E906" s="6" t="n"/>
      <c r="F906" s="6" t="n"/>
      <c r="G906" s="6" t="n"/>
      <c r="H906" s="10">
        <f>IF(F906="","",IFERROR(INDEX(Roster!$A$2:$A$600,MATCH(F906,Roster!$E$2:$E$600,0)),""))</f>
        <v/>
      </c>
      <c r="I906" s="10">
        <f>IF(AND(D906="",C906="",F906=""),"",IF(G906&lt;&gt;"","Void",IF(F906="","Needs child",IF(H906="","Child not found",IF(OR(B906="",NOT(ISNUMBER(C906))),"Needs month/pages","OK")))))</f>
        <v/>
      </c>
      <c r="J906" s="10">
        <f>IF(I906="","",IF(I906="OK",IF(COUNTIFS(H907:H$3001,H906,B907:B$3001,B906,G907:G$3001,"")=0,C906,0),0))</f>
        <v/>
      </c>
    </row>
    <row r="907">
      <c r="A907" s="6" t="n"/>
      <c r="B907" s="9" t="n"/>
      <c r="C907" s="6" t="n"/>
      <c r="D907" s="6" t="n"/>
      <c r="E907" s="6" t="n"/>
      <c r="F907" s="6" t="n"/>
      <c r="G907" s="6" t="n"/>
      <c r="H907" s="10">
        <f>IF(F907="","",IFERROR(INDEX(Roster!$A$2:$A$600,MATCH(F907,Roster!$E$2:$E$600,0)),""))</f>
        <v/>
      </c>
      <c r="I907" s="10">
        <f>IF(AND(D907="",C907="",F907=""),"",IF(G907&lt;&gt;"","Void",IF(F907="","Needs child",IF(H907="","Child not found",IF(OR(B907="",NOT(ISNUMBER(C907))),"Needs month/pages","OK")))))</f>
        <v/>
      </c>
      <c r="J907" s="10">
        <f>IF(I907="","",IF(I907="OK",IF(COUNTIFS(H908:H$3001,H907,B908:B$3001,B907,G908:G$3001,"")=0,C907,0),0))</f>
        <v/>
      </c>
    </row>
    <row r="908">
      <c r="A908" s="6" t="n"/>
      <c r="B908" s="9" t="n"/>
      <c r="C908" s="6" t="n"/>
      <c r="D908" s="6" t="n"/>
      <c r="E908" s="6" t="n"/>
      <c r="F908" s="6" t="n"/>
      <c r="G908" s="6" t="n"/>
      <c r="H908" s="10">
        <f>IF(F908="","",IFERROR(INDEX(Roster!$A$2:$A$600,MATCH(F908,Roster!$E$2:$E$600,0)),""))</f>
        <v/>
      </c>
      <c r="I908" s="10">
        <f>IF(AND(D908="",C908="",F908=""),"",IF(G908&lt;&gt;"","Void",IF(F908="","Needs child",IF(H908="","Child not found",IF(OR(B908="",NOT(ISNUMBER(C908))),"Needs month/pages","OK")))))</f>
        <v/>
      </c>
      <c r="J908" s="10">
        <f>IF(I908="","",IF(I908="OK",IF(COUNTIFS(H909:H$3001,H908,B909:B$3001,B908,G909:G$3001,"")=0,C908,0),0))</f>
        <v/>
      </c>
    </row>
    <row r="909">
      <c r="A909" s="6" t="n"/>
      <c r="B909" s="9" t="n"/>
      <c r="C909" s="6" t="n"/>
      <c r="D909" s="6" t="n"/>
      <c r="E909" s="6" t="n"/>
      <c r="F909" s="6" t="n"/>
      <c r="G909" s="6" t="n"/>
      <c r="H909" s="10">
        <f>IF(F909="","",IFERROR(INDEX(Roster!$A$2:$A$600,MATCH(F909,Roster!$E$2:$E$600,0)),""))</f>
        <v/>
      </c>
      <c r="I909" s="10">
        <f>IF(AND(D909="",C909="",F909=""),"",IF(G909&lt;&gt;"","Void",IF(F909="","Needs child",IF(H909="","Child not found",IF(OR(B909="",NOT(ISNUMBER(C909))),"Needs month/pages","OK")))))</f>
        <v/>
      </c>
      <c r="J909" s="10">
        <f>IF(I909="","",IF(I909="OK",IF(COUNTIFS(H910:H$3001,H909,B910:B$3001,B909,G910:G$3001,"")=0,C909,0),0))</f>
        <v/>
      </c>
    </row>
    <row r="910">
      <c r="A910" s="6" t="n"/>
      <c r="B910" s="9" t="n"/>
      <c r="C910" s="6" t="n"/>
      <c r="D910" s="6" t="n"/>
      <c r="E910" s="6" t="n"/>
      <c r="F910" s="6" t="n"/>
      <c r="G910" s="6" t="n"/>
      <c r="H910" s="10">
        <f>IF(F910="","",IFERROR(INDEX(Roster!$A$2:$A$600,MATCH(F910,Roster!$E$2:$E$600,0)),""))</f>
        <v/>
      </c>
      <c r="I910" s="10">
        <f>IF(AND(D910="",C910="",F910=""),"",IF(G910&lt;&gt;"","Void",IF(F910="","Needs child",IF(H910="","Child not found",IF(OR(B910="",NOT(ISNUMBER(C910))),"Needs month/pages","OK")))))</f>
        <v/>
      </c>
      <c r="J910" s="10">
        <f>IF(I910="","",IF(I910="OK",IF(COUNTIFS(H911:H$3001,H910,B911:B$3001,B910,G911:G$3001,"")=0,C910,0),0))</f>
        <v/>
      </c>
    </row>
    <row r="911">
      <c r="A911" s="6" t="n"/>
      <c r="B911" s="9" t="n"/>
      <c r="C911" s="6" t="n"/>
      <c r="D911" s="6" t="n"/>
      <c r="E911" s="6" t="n"/>
      <c r="F911" s="6" t="n"/>
      <c r="G911" s="6" t="n"/>
      <c r="H911" s="10">
        <f>IF(F911="","",IFERROR(INDEX(Roster!$A$2:$A$600,MATCH(F911,Roster!$E$2:$E$600,0)),""))</f>
        <v/>
      </c>
      <c r="I911" s="10">
        <f>IF(AND(D911="",C911="",F911=""),"",IF(G911&lt;&gt;"","Void",IF(F911="","Needs child",IF(H911="","Child not found",IF(OR(B911="",NOT(ISNUMBER(C911))),"Needs month/pages","OK")))))</f>
        <v/>
      </c>
      <c r="J911" s="10">
        <f>IF(I911="","",IF(I911="OK",IF(COUNTIFS(H912:H$3001,H911,B912:B$3001,B911,G912:G$3001,"")=0,C911,0),0))</f>
        <v/>
      </c>
    </row>
    <row r="912">
      <c r="A912" s="6" t="n"/>
      <c r="B912" s="9" t="n"/>
      <c r="C912" s="6" t="n"/>
      <c r="D912" s="6" t="n"/>
      <c r="E912" s="6" t="n"/>
      <c r="F912" s="6" t="n"/>
      <c r="G912" s="6" t="n"/>
      <c r="H912" s="10">
        <f>IF(F912="","",IFERROR(INDEX(Roster!$A$2:$A$600,MATCH(F912,Roster!$E$2:$E$600,0)),""))</f>
        <v/>
      </c>
      <c r="I912" s="10">
        <f>IF(AND(D912="",C912="",F912=""),"",IF(G912&lt;&gt;"","Void",IF(F912="","Needs child",IF(H912="","Child not found",IF(OR(B912="",NOT(ISNUMBER(C912))),"Needs month/pages","OK")))))</f>
        <v/>
      </c>
      <c r="J912" s="10">
        <f>IF(I912="","",IF(I912="OK",IF(COUNTIFS(H913:H$3001,H912,B913:B$3001,B912,G913:G$3001,"")=0,C912,0),0))</f>
        <v/>
      </c>
    </row>
    <row r="913">
      <c r="A913" s="6" t="n"/>
      <c r="B913" s="9" t="n"/>
      <c r="C913" s="6" t="n"/>
      <c r="D913" s="6" t="n"/>
      <c r="E913" s="6" t="n"/>
      <c r="F913" s="6" t="n"/>
      <c r="G913" s="6" t="n"/>
      <c r="H913" s="10">
        <f>IF(F913="","",IFERROR(INDEX(Roster!$A$2:$A$600,MATCH(F913,Roster!$E$2:$E$600,0)),""))</f>
        <v/>
      </c>
      <c r="I913" s="10">
        <f>IF(AND(D913="",C913="",F913=""),"",IF(G913&lt;&gt;"","Void",IF(F913="","Needs child",IF(H913="","Child not found",IF(OR(B913="",NOT(ISNUMBER(C913))),"Needs month/pages","OK")))))</f>
        <v/>
      </c>
      <c r="J913" s="10">
        <f>IF(I913="","",IF(I913="OK",IF(COUNTIFS(H914:H$3001,H913,B914:B$3001,B913,G914:G$3001,"")=0,C913,0),0))</f>
        <v/>
      </c>
    </row>
    <row r="914">
      <c r="A914" s="6" t="n"/>
      <c r="B914" s="9" t="n"/>
      <c r="C914" s="6" t="n"/>
      <c r="D914" s="6" t="n"/>
      <c r="E914" s="6" t="n"/>
      <c r="F914" s="6" t="n"/>
      <c r="G914" s="6" t="n"/>
      <c r="H914" s="10">
        <f>IF(F914="","",IFERROR(INDEX(Roster!$A$2:$A$600,MATCH(F914,Roster!$E$2:$E$600,0)),""))</f>
        <v/>
      </c>
      <c r="I914" s="10">
        <f>IF(AND(D914="",C914="",F914=""),"",IF(G914&lt;&gt;"","Void",IF(F914="","Needs child",IF(H914="","Child not found",IF(OR(B914="",NOT(ISNUMBER(C914))),"Needs month/pages","OK")))))</f>
        <v/>
      </c>
      <c r="J914" s="10">
        <f>IF(I914="","",IF(I914="OK",IF(COUNTIFS(H915:H$3001,H914,B915:B$3001,B914,G915:G$3001,"")=0,C914,0),0))</f>
        <v/>
      </c>
    </row>
    <row r="915">
      <c r="A915" s="6" t="n"/>
      <c r="B915" s="9" t="n"/>
      <c r="C915" s="6" t="n"/>
      <c r="D915" s="6" t="n"/>
      <c r="E915" s="6" t="n"/>
      <c r="F915" s="6" t="n"/>
      <c r="G915" s="6" t="n"/>
      <c r="H915" s="10">
        <f>IF(F915="","",IFERROR(INDEX(Roster!$A$2:$A$600,MATCH(F915,Roster!$E$2:$E$600,0)),""))</f>
        <v/>
      </c>
      <c r="I915" s="10">
        <f>IF(AND(D915="",C915="",F915=""),"",IF(G915&lt;&gt;"","Void",IF(F915="","Needs child",IF(H915="","Child not found",IF(OR(B915="",NOT(ISNUMBER(C915))),"Needs month/pages","OK")))))</f>
        <v/>
      </c>
      <c r="J915" s="10">
        <f>IF(I915="","",IF(I915="OK",IF(COUNTIFS(H916:H$3001,H915,B916:B$3001,B915,G916:G$3001,"")=0,C915,0),0))</f>
        <v/>
      </c>
    </row>
    <row r="916">
      <c r="A916" s="6" t="n"/>
      <c r="B916" s="9" t="n"/>
      <c r="C916" s="6" t="n"/>
      <c r="D916" s="6" t="n"/>
      <c r="E916" s="6" t="n"/>
      <c r="F916" s="6" t="n"/>
      <c r="G916" s="6" t="n"/>
      <c r="H916" s="10">
        <f>IF(F916="","",IFERROR(INDEX(Roster!$A$2:$A$600,MATCH(F916,Roster!$E$2:$E$600,0)),""))</f>
        <v/>
      </c>
      <c r="I916" s="10">
        <f>IF(AND(D916="",C916="",F916=""),"",IF(G916&lt;&gt;"","Void",IF(F916="","Needs child",IF(H916="","Child not found",IF(OR(B916="",NOT(ISNUMBER(C916))),"Needs month/pages","OK")))))</f>
        <v/>
      </c>
      <c r="J916" s="10">
        <f>IF(I916="","",IF(I916="OK",IF(COUNTIFS(H917:H$3001,H916,B917:B$3001,B916,G917:G$3001,"")=0,C916,0),0))</f>
        <v/>
      </c>
    </row>
    <row r="917">
      <c r="A917" s="6" t="n"/>
      <c r="B917" s="9" t="n"/>
      <c r="C917" s="6" t="n"/>
      <c r="D917" s="6" t="n"/>
      <c r="E917" s="6" t="n"/>
      <c r="F917" s="6" t="n"/>
      <c r="G917" s="6" t="n"/>
      <c r="H917" s="10">
        <f>IF(F917="","",IFERROR(INDEX(Roster!$A$2:$A$600,MATCH(F917,Roster!$E$2:$E$600,0)),""))</f>
        <v/>
      </c>
      <c r="I917" s="10">
        <f>IF(AND(D917="",C917="",F917=""),"",IF(G917&lt;&gt;"","Void",IF(F917="","Needs child",IF(H917="","Child not found",IF(OR(B917="",NOT(ISNUMBER(C917))),"Needs month/pages","OK")))))</f>
        <v/>
      </c>
      <c r="J917" s="10">
        <f>IF(I917="","",IF(I917="OK",IF(COUNTIFS(H918:H$3001,H917,B918:B$3001,B917,G918:G$3001,"")=0,C917,0),0))</f>
        <v/>
      </c>
    </row>
    <row r="918">
      <c r="A918" s="6" t="n"/>
      <c r="B918" s="9" t="n"/>
      <c r="C918" s="6" t="n"/>
      <c r="D918" s="6" t="n"/>
      <c r="E918" s="6" t="n"/>
      <c r="F918" s="6" t="n"/>
      <c r="G918" s="6" t="n"/>
      <c r="H918" s="10">
        <f>IF(F918="","",IFERROR(INDEX(Roster!$A$2:$A$600,MATCH(F918,Roster!$E$2:$E$600,0)),""))</f>
        <v/>
      </c>
      <c r="I918" s="10">
        <f>IF(AND(D918="",C918="",F918=""),"",IF(G918&lt;&gt;"","Void",IF(F918="","Needs child",IF(H918="","Child not found",IF(OR(B918="",NOT(ISNUMBER(C918))),"Needs month/pages","OK")))))</f>
        <v/>
      </c>
      <c r="J918" s="10">
        <f>IF(I918="","",IF(I918="OK",IF(COUNTIFS(H919:H$3001,H918,B919:B$3001,B918,G919:G$3001,"")=0,C918,0),0))</f>
        <v/>
      </c>
    </row>
    <row r="919">
      <c r="A919" s="6" t="n"/>
      <c r="B919" s="9" t="n"/>
      <c r="C919" s="6" t="n"/>
      <c r="D919" s="6" t="n"/>
      <c r="E919" s="6" t="n"/>
      <c r="F919" s="6" t="n"/>
      <c r="G919" s="6" t="n"/>
      <c r="H919" s="10">
        <f>IF(F919="","",IFERROR(INDEX(Roster!$A$2:$A$600,MATCH(F919,Roster!$E$2:$E$600,0)),""))</f>
        <v/>
      </c>
      <c r="I919" s="10">
        <f>IF(AND(D919="",C919="",F919=""),"",IF(G919&lt;&gt;"","Void",IF(F919="","Needs child",IF(H919="","Child not found",IF(OR(B919="",NOT(ISNUMBER(C919))),"Needs month/pages","OK")))))</f>
        <v/>
      </c>
      <c r="J919" s="10">
        <f>IF(I919="","",IF(I919="OK",IF(COUNTIFS(H920:H$3001,H919,B920:B$3001,B919,G920:G$3001,"")=0,C919,0),0))</f>
        <v/>
      </c>
    </row>
    <row r="920">
      <c r="A920" s="6" t="n"/>
      <c r="B920" s="9" t="n"/>
      <c r="C920" s="6" t="n"/>
      <c r="D920" s="6" t="n"/>
      <c r="E920" s="6" t="n"/>
      <c r="F920" s="6" t="n"/>
      <c r="G920" s="6" t="n"/>
      <c r="H920" s="10">
        <f>IF(F920="","",IFERROR(INDEX(Roster!$A$2:$A$600,MATCH(F920,Roster!$E$2:$E$600,0)),""))</f>
        <v/>
      </c>
      <c r="I920" s="10">
        <f>IF(AND(D920="",C920="",F920=""),"",IF(G920&lt;&gt;"","Void",IF(F920="","Needs child",IF(H920="","Child not found",IF(OR(B920="",NOT(ISNUMBER(C920))),"Needs month/pages","OK")))))</f>
        <v/>
      </c>
      <c r="J920" s="10">
        <f>IF(I920="","",IF(I920="OK",IF(COUNTIFS(H921:H$3001,H920,B921:B$3001,B920,G921:G$3001,"")=0,C920,0),0))</f>
        <v/>
      </c>
    </row>
    <row r="921">
      <c r="A921" s="6" t="n"/>
      <c r="B921" s="9" t="n"/>
      <c r="C921" s="6" t="n"/>
      <c r="D921" s="6" t="n"/>
      <c r="E921" s="6" t="n"/>
      <c r="F921" s="6" t="n"/>
      <c r="G921" s="6" t="n"/>
      <c r="H921" s="10">
        <f>IF(F921="","",IFERROR(INDEX(Roster!$A$2:$A$600,MATCH(F921,Roster!$E$2:$E$600,0)),""))</f>
        <v/>
      </c>
      <c r="I921" s="10">
        <f>IF(AND(D921="",C921="",F921=""),"",IF(G921&lt;&gt;"","Void",IF(F921="","Needs child",IF(H921="","Child not found",IF(OR(B921="",NOT(ISNUMBER(C921))),"Needs month/pages","OK")))))</f>
        <v/>
      </c>
      <c r="J921" s="10">
        <f>IF(I921="","",IF(I921="OK",IF(COUNTIFS(H922:H$3001,H921,B922:B$3001,B921,G922:G$3001,"")=0,C921,0),0))</f>
        <v/>
      </c>
    </row>
    <row r="922">
      <c r="A922" s="6" t="n"/>
      <c r="B922" s="9" t="n"/>
      <c r="C922" s="6" t="n"/>
      <c r="D922" s="6" t="n"/>
      <c r="E922" s="6" t="n"/>
      <c r="F922" s="6" t="n"/>
      <c r="G922" s="6" t="n"/>
      <c r="H922" s="10">
        <f>IF(F922="","",IFERROR(INDEX(Roster!$A$2:$A$600,MATCH(F922,Roster!$E$2:$E$600,0)),""))</f>
        <v/>
      </c>
      <c r="I922" s="10">
        <f>IF(AND(D922="",C922="",F922=""),"",IF(G922&lt;&gt;"","Void",IF(F922="","Needs child",IF(H922="","Child not found",IF(OR(B922="",NOT(ISNUMBER(C922))),"Needs month/pages","OK")))))</f>
        <v/>
      </c>
      <c r="J922" s="10">
        <f>IF(I922="","",IF(I922="OK",IF(COUNTIFS(H923:H$3001,H922,B923:B$3001,B922,G923:G$3001,"")=0,C922,0),0))</f>
        <v/>
      </c>
    </row>
    <row r="923">
      <c r="A923" s="6" t="n"/>
      <c r="B923" s="9" t="n"/>
      <c r="C923" s="6" t="n"/>
      <c r="D923" s="6" t="n"/>
      <c r="E923" s="6" t="n"/>
      <c r="F923" s="6" t="n"/>
      <c r="G923" s="6" t="n"/>
      <c r="H923" s="10">
        <f>IF(F923="","",IFERROR(INDEX(Roster!$A$2:$A$600,MATCH(F923,Roster!$E$2:$E$600,0)),""))</f>
        <v/>
      </c>
      <c r="I923" s="10">
        <f>IF(AND(D923="",C923="",F923=""),"",IF(G923&lt;&gt;"","Void",IF(F923="","Needs child",IF(H923="","Child not found",IF(OR(B923="",NOT(ISNUMBER(C923))),"Needs month/pages","OK")))))</f>
        <v/>
      </c>
      <c r="J923" s="10">
        <f>IF(I923="","",IF(I923="OK",IF(COUNTIFS(H924:H$3001,H923,B924:B$3001,B923,G924:G$3001,"")=0,C923,0),0))</f>
        <v/>
      </c>
    </row>
    <row r="924">
      <c r="A924" s="6" t="n"/>
      <c r="B924" s="9" t="n"/>
      <c r="C924" s="6" t="n"/>
      <c r="D924" s="6" t="n"/>
      <c r="E924" s="6" t="n"/>
      <c r="F924" s="6" t="n"/>
      <c r="G924" s="6" t="n"/>
      <c r="H924" s="10">
        <f>IF(F924="","",IFERROR(INDEX(Roster!$A$2:$A$600,MATCH(F924,Roster!$E$2:$E$600,0)),""))</f>
        <v/>
      </c>
      <c r="I924" s="10">
        <f>IF(AND(D924="",C924="",F924=""),"",IF(G924&lt;&gt;"","Void",IF(F924="","Needs child",IF(H924="","Child not found",IF(OR(B924="",NOT(ISNUMBER(C924))),"Needs month/pages","OK")))))</f>
        <v/>
      </c>
      <c r="J924" s="10">
        <f>IF(I924="","",IF(I924="OK",IF(COUNTIFS(H925:H$3001,H924,B925:B$3001,B924,G925:G$3001,"")=0,C924,0),0))</f>
        <v/>
      </c>
    </row>
    <row r="925">
      <c r="A925" s="6" t="n"/>
      <c r="B925" s="9" t="n"/>
      <c r="C925" s="6" t="n"/>
      <c r="D925" s="6" t="n"/>
      <c r="E925" s="6" t="n"/>
      <c r="F925" s="6" t="n"/>
      <c r="G925" s="6" t="n"/>
      <c r="H925" s="10">
        <f>IF(F925="","",IFERROR(INDEX(Roster!$A$2:$A$600,MATCH(F925,Roster!$E$2:$E$600,0)),""))</f>
        <v/>
      </c>
      <c r="I925" s="10">
        <f>IF(AND(D925="",C925="",F925=""),"",IF(G925&lt;&gt;"","Void",IF(F925="","Needs child",IF(H925="","Child not found",IF(OR(B925="",NOT(ISNUMBER(C925))),"Needs month/pages","OK")))))</f>
        <v/>
      </c>
      <c r="J925" s="10">
        <f>IF(I925="","",IF(I925="OK",IF(COUNTIFS(H926:H$3001,H925,B926:B$3001,B925,G926:G$3001,"")=0,C925,0),0))</f>
        <v/>
      </c>
    </row>
    <row r="926">
      <c r="A926" s="6" t="n"/>
      <c r="B926" s="9" t="n"/>
      <c r="C926" s="6" t="n"/>
      <c r="D926" s="6" t="n"/>
      <c r="E926" s="6" t="n"/>
      <c r="F926" s="6" t="n"/>
      <c r="G926" s="6" t="n"/>
      <c r="H926" s="10">
        <f>IF(F926="","",IFERROR(INDEX(Roster!$A$2:$A$600,MATCH(F926,Roster!$E$2:$E$600,0)),""))</f>
        <v/>
      </c>
      <c r="I926" s="10">
        <f>IF(AND(D926="",C926="",F926=""),"",IF(G926&lt;&gt;"","Void",IF(F926="","Needs child",IF(H926="","Child not found",IF(OR(B926="",NOT(ISNUMBER(C926))),"Needs month/pages","OK")))))</f>
        <v/>
      </c>
      <c r="J926" s="10">
        <f>IF(I926="","",IF(I926="OK",IF(COUNTIFS(H927:H$3001,H926,B927:B$3001,B926,G927:G$3001,"")=0,C926,0),0))</f>
        <v/>
      </c>
    </row>
    <row r="927">
      <c r="A927" s="6" t="n"/>
      <c r="B927" s="9" t="n"/>
      <c r="C927" s="6" t="n"/>
      <c r="D927" s="6" t="n"/>
      <c r="E927" s="6" t="n"/>
      <c r="F927" s="6" t="n"/>
      <c r="G927" s="6" t="n"/>
      <c r="H927" s="10">
        <f>IF(F927="","",IFERROR(INDEX(Roster!$A$2:$A$600,MATCH(F927,Roster!$E$2:$E$600,0)),""))</f>
        <v/>
      </c>
      <c r="I927" s="10">
        <f>IF(AND(D927="",C927="",F927=""),"",IF(G927&lt;&gt;"","Void",IF(F927="","Needs child",IF(H927="","Child not found",IF(OR(B927="",NOT(ISNUMBER(C927))),"Needs month/pages","OK")))))</f>
        <v/>
      </c>
      <c r="J927" s="10">
        <f>IF(I927="","",IF(I927="OK",IF(COUNTIFS(H928:H$3001,H927,B928:B$3001,B927,G928:G$3001,"")=0,C927,0),0))</f>
        <v/>
      </c>
    </row>
    <row r="928">
      <c r="A928" s="6" t="n"/>
      <c r="B928" s="9" t="n"/>
      <c r="C928" s="6" t="n"/>
      <c r="D928" s="6" t="n"/>
      <c r="E928" s="6" t="n"/>
      <c r="F928" s="6" t="n"/>
      <c r="G928" s="6" t="n"/>
      <c r="H928" s="10">
        <f>IF(F928="","",IFERROR(INDEX(Roster!$A$2:$A$600,MATCH(F928,Roster!$E$2:$E$600,0)),""))</f>
        <v/>
      </c>
      <c r="I928" s="10">
        <f>IF(AND(D928="",C928="",F928=""),"",IF(G928&lt;&gt;"","Void",IF(F928="","Needs child",IF(H928="","Child not found",IF(OR(B928="",NOT(ISNUMBER(C928))),"Needs month/pages","OK")))))</f>
        <v/>
      </c>
      <c r="J928" s="10">
        <f>IF(I928="","",IF(I928="OK",IF(COUNTIFS(H929:H$3001,H928,B929:B$3001,B928,G929:G$3001,"")=0,C928,0),0))</f>
        <v/>
      </c>
    </row>
    <row r="929">
      <c r="A929" s="6" t="n"/>
      <c r="B929" s="9" t="n"/>
      <c r="C929" s="6" t="n"/>
      <c r="D929" s="6" t="n"/>
      <c r="E929" s="6" t="n"/>
      <c r="F929" s="6" t="n"/>
      <c r="G929" s="6" t="n"/>
      <c r="H929" s="10">
        <f>IF(F929="","",IFERROR(INDEX(Roster!$A$2:$A$600,MATCH(F929,Roster!$E$2:$E$600,0)),""))</f>
        <v/>
      </c>
      <c r="I929" s="10">
        <f>IF(AND(D929="",C929="",F929=""),"",IF(G929&lt;&gt;"","Void",IF(F929="","Needs child",IF(H929="","Child not found",IF(OR(B929="",NOT(ISNUMBER(C929))),"Needs month/pages","OK")))))</f>
        <v/>
      </c>
      <c r="J929" s="10">
        <f>IF(I929="","",IF(I929="OK",IF(COUNTIFS(H930:H$3001,H929,B930:B$3001,B929,G930:G$3001,"")=0,C929,0),0))</f>
        <v/>
      </c>
    </row>
    <row r="930">
      <c r="A930" s="6" t="n"/>
      <c r="B930" s="9" t="n"/>
      <c r="C930" s="6" t="n"/>
      <c r="D930" s="6" t="n"/>
      <c r="E930" s="6" t="n"/>
      <c r="F930" s="6" t="n"/>
      <c r="G930" s="6" t="n"/>
      <c r="H930" s="10">
        <f>IF(F930="","",IFERROR(INDEX(Roster!$A$2:$A$600,MATCH(F930,Roster!$E$2:$E$600,0)),""))</f>
        <v/>
      </c>
      <c r="I930" s="10">
        <f>IF(AND(D930="",C930="",F930=""),"",IF(G930&lt;&gt;"","Void",IF(F930="","Needs child",IF(H930="","Child not found",IF(OR(B930="",NOT(ISNUMBER(C930))),"Needs month/pages","OK")))))</f>
        <v/>
      </c>
      <c r="J930" s="10">
        <f>IF(I930="","",IF(I930="OK",IF(COUNTIFS(H931:H$3001,H930,B931:B$3001,B930,G931:G$3001,"")=0,C930,0),0))</f>
        <v/>
      </c>
    </row>
    <row r="931">
      <c r="A931" s="6" t="n"/>
      <c r="B931" s="9" t="n"/>
      <c r="C931" s="6" t="n"/>
      <c r="D931" s="6" t="n"/>
      <c r="E931" s="6" t="n"/>
      <c r="F931" s="6" t="n"/>
      <c r="G931" s="6" t="n"/>
      <c r="H931" s="10">
        <f>IF(F931="","",IFERROR(INDEX(Roster!$A$2:$A$600,MATCH(F931,Roster!$E$2:$E$600,0)),""))</f>
        <v/>
      </c>
      <c r="I931" s="10">
        <f>IF(AND(D931="",C931="",F931=""),"",IF(G931&lt;&gt;"","Void",IF(F931="","Needs child",IF(H931="","Child not found",IF(OR(B931="",NOT(ISNUMBER(C931))),"Needs month/pages","OK")))))</f>
        <v/>
      </c>
      <c r="J931" s="10">
        <f>IF(I931="","",IF(I931="OK",IF(COUNTIFS(H932:H$3001,H931,B932:B$3001,B931,G932:G$3001,"")=0,C931,0),0))</f>
        <v/>
      </c>
    </row>
    <row r="932">
      <c r="A932" s="6" t="n"/>
      <c r="B932" s="9" t="n"/>
      <c r="C932" s="6" t="n"/>
      <c r="D932" s="6" t="n"/>
      <c r="E932" s="6" t="n"/>
      <c r="F932" s="6" t="n"/>
      <c r="G932" s="6" t="n"/>
      <c r="H932" s="10">
        <f>IF(F932="","",IFERROR(INDEX(Roster!$A$2:$A$600,MATCH(F932,Roster!$E$2:$E$600,0)),""))</f>
        <v/>
      </c>
      <c r="I932" s="10">
        <f>IF(AND(D932="",C932="",F932=""),"",IF(G932&lt;&gt;"","Void",IF(F932="","Needs child",IF(H932="","Child not found",IF(OR(B932="",NOT(ISNUMBER(C932))),"Needs month/pages","OK")))))</f>
        <v/>
      </c>
      <c r="J932" s="10">
        <f>IF(I932="","",IF(I932="OK",IF(COUNTIFS(H933:H$3001,H932,B933:B$3001,B932,G933:G$3001,"")=0,C932,0),0))</f>
        <v/>
      </c>
    </row>
    <row r="933">
      <c r="A933" s="6" t="n"/>
      <c r="B933" s="9" t="n"/>
      <c r="C933" s="6" t="n"/>
      <c r="D933" s="6" t="n"/>
      <c r="E933" s="6" t="n"/>
      <c r="F933" s="6" t="n"/>
      <c r="G933" s="6" t="n"/>
      <c r="H933" s="10">
        <f>IF(F933="","",IFERROR(INDEX(Roster!$A$2:$A$600,MATCH(F933,Roster!$E$2:$E$600,0)),""))</f>
        <v/>
      </c>
      <c r="I933" s="10">
        <f>IF(AND(D933="",C933="",F933=""),"",IF(G933&lt;&gt;"","Void",IF(F933="","Needs child",IF(H933="","Child not found",IF(OR(B933="",NOT(ISNUMBER(C933))),"Needs month/pages","OK")))))</f>
        <v/>
      </c>
      <c r="J933" s="10">
        <f>IF(I933="","",IF(I933="OK",IF(COUNTIFS(H934:H$3001,H933,B934:B$3001,B933,G934:G$3001,"")=0,C933,0),0))</f>
        <v/>
      </c>
    </row>
    <row r="934">
      <c r="A934" s="6" t="n"/>
      <c r="B934" s="9" t="n"/>
      <c r="C934" s="6" t="n"/>
      <c r="D934" s="6" t="n"/>
      <c r="E934" s="6" t="n"/>
      <c r="F934" s="6" t="n"/>
      <c r="G934" s="6" t="n"/>
      <c r="H934" s="10">
        <f>IF(F934="","",IFERROR(INDEX(Roster!$A$2:$A$600,MATCH(F934,Roster!$E$2:$E$600,0)),""))</f>
        <v/>
      </c>
      <c r="I934" s="10">
        <f>IF(AND(D934="",C934="",F934=""),"",IF(G934&lt;&gt;"","Void",IF(F934="","Needs child",IF(H934="","Child not found",IF(OR(B934="",NOT(ISNUMBER(C934))),"Needs month/pages","OK")))))</f>
        <v/>
      </c>
      <c r="J934" s="10">
        <f>IF(I934="","",IF(I934="OK",IF(COUNTIFS(H935:H$3001,H934,B935:B$3001,B934,G935:G$3001,"")=0,C934,0),0))</f>
        <v/>
      </c>
    </row>
    <row r="935">
      <c r="A935" s="6" t="n"/>
      <c r="B935" s="9" t="n"/>
      <c r="C935" s="6" t="n"/>
      <c r="D935" s="6" t="n"/>
      <c r="E935" s="6" t="n"/>
      <c r="F935" s="6" t="n"/>
      <c r="G935" s="6" t="n"/>
      <c r="H935" s="10">
        <f>IF(F935="","",IFERROR(INDEX(Roster!$A$2:$A$600,MATCH(F935,Roster!$E$2:$E$600,0)),""))</f>
        <v/>
      </c>
      <c r="I935" s="10">
        <f>IF(AND(D935="",C935="",F935=""),"",IF(G935&lt;&gt;"","Void",IF(F935="","Needs child",IF(H935="","Child not found",IF(OR(B935="",NOT(ISNUMBER(C935))),"Needs month/pages","OK")))))</f>
        <v/>
      </c>
      <c r="J935" s="10">
        <f>IF(I935="","",IF(I935="OK",IF(COUNTIFS(H936:H$3001,H935,B936:B$3001,B935,G936:G$3001,"")=0,C935,0),0))</f>
        <v/>
      </c>
    </row>
    <row r="936">
      <c r="A936" s="6" t="n"/>
      <c r="B936" s="9" t="n"/>
      <c r="C936" s="6" t="n"/>
      <c r="D936" s="6" t="n"/>
      <c r="E936" s="6" t="n"/>
      <c r="F936" s="6" t="n"/>
      <c r="G936" s="6" t="n"/>
      <c r="H936" s="10">
        <f>IF(F936="","",IFERROR(INDEX(Roster!$A$2:$A$600,MATCH(F936,Roster!$E$2:$E$600,0)),""))</f>
        <v/>
      </c>
      <c r="I936" s="10">
        <f>IF(AND(D936="",C936="",F936=""),"",IF(G936&lt;&gt;"","Void",IF(F936="","Needs child",IF(H936="","Child not found",IF(OR(B936="",NOT(ISNUMBER(C936))),"Needs month/pages","OK")))))</f>
        <v/>
      </c>
      <c r="J936" s="10">
        <f>IF(I936="","",IF(I936="OK",IF(COUNTIFS(H937:H$3001,H936,B937:B$3001,B936,G937:G$3001,"")=0,C936,0),0))</f>
        <v/>
      </c>
    </row>
    <row r="937">
      <c r="A937" s="6" t="n"/>
      <c r="B937" s="9" t="n"/>
      <c r="C937" s="6" t="n"/>
      <c r="D937" s="6" t="n"/>
      <c r="E937" s="6" t="n"/>
      <c r="F937" s="6" t="n"/>
      <c r="G937" s="6" t="n"/>
      <c r="H937" s="10">
        <f>IF(F937="","",IFERROR(INDEX(Roster!$A$2:$A$600,MATCH(F937,Roster!$E$2:$E$600,0)),""))</f>
        <v/>
      </c>
      <c r="I937" s="10">
        <f>IF(AND(D937="",C937="",F937=""),"",IF(G937&lt;&gt;"","Void",IF(F937="","Needs child",IF(H937="","Child not found",IF(OR(B937="",NOT(ISNUMBER(C937))),"Needs month/pages","OK")))))</f>
        <v/>
      </c>
      <c r="J937" s="10">
        <f>IF(I937="","",IF(I937="OK",IF(COUNTIFS(H938:H$3001,H937,B938:B$3001,B937,G938:G$3001,"")=0,C937,0),0))</f>
        <v/>
      </c>
    </row>
    <row r="938">
      <c r="A938" s="6" t="n"/>
      <c r="B938" s="9" t="n"/>
      <c r="C938" s="6" t="n"/>
      <c r="D938" s="6" t="n"/>
      <c r="E938" s="6" t="n"/>
      <c r="F938" s="6" t="n"/>
      <c r="G938" s="6" t="n"/>
      <c r="H938" s="10">
        <f>IF(F938="","",IFERROR(INDEX(Roster!$A$2:$A$600,MATCH(F938,Roster!$E$2:$E$600,0)),""))</f>
        <v/>
      </c>
      <c r="I938" s="10">
        <f>IF(AND(D938="",C938="",F938=""),"",IF(G938&lt;&gt;"","Void",IF(F938="","Needs child",IF(H938="","Child not found",IF(OR(B938="",NOT(ISNUMBER(C938))),"Needs month/pages","OK")))))</f>
        <v/>
      </c>
      <c r="J938" s="10">
        <f>IF(I938="","",IF(I938="OK",IF(COUNTIFS(H939:H$3001,H938,B939:B$3001,B938,G939:G$3001,"")=0,C938,0),0))</f>
        <v/>
      </c>
    </row>
    <row r="939">
      <c r="A939" s="6" t="n"/>
      <c r="B939" s="9" t="n"/>
      <c r="C939" s="6" t="n"/>
      <c r="D939" s="6" t="n"/>
      <c r="E939" s="6" t="n"/>
      <c r="F939" s="6" t="n"/>
      <c r="G939" s="6" t="n"/>
      <c r="H939" s="10">
        <f>IF(F939="","",IFERROR(INDEX(Roster!$A$2:$A$600,MATCH(F939,Roster!$E$2:$E$600,0)),""))</f>
        <v/>
      </c>
      <c r="I939" s="10">
        <f>IF(AND(D939="",C939="",F939=""),"",IF(G939&lt;&gt;"","Void",IF(F939="","Needs child",IF(H939="","Child not found",IF(OR(B939="",NOT(ISNUMBER(C939))),"Needs month/pages","OK")))))</f>
        <v/>
      </c>
      <c r="J939" s="10">
        <f>IF(I939="","",IF(I939="OK",IF(COUNTIFS(H940:H$3001,H939,B940:B$3001,B939,G940:G$3001,"")=0,C939,0),0))</f>
        <v/>
      </c>
    </row>
    <row r="940">
      <c r="A940" s="6" t="n"/>
      <c r="B940" s="9" t="n"/>
      <c r="C940" s="6" t="n"/>
      <c r="D940" s="6" t="n"/>
      <c r="E940" s="6" t="n"/>
      <c r="F940" s="6" t="n"/>
      <c r="G940" s="6" t="n"/>
      <c r="H940" s="10">
        <f>IF(F940="","",IFERROR(INDEX(Roster!$A$2:$A$600,MATCH(F940,Roster!$E$2:$E$600,0)),""))</f>
        <v/>
      </c>
      <c r="I940" s="10">
        <f>IF(AND(D940="",C940="",F940=""),"",IF(G940&lt;&gt;"","Void",IF(F940="","Needs child",IF(H940="","Child not found",IF(OR(B940="",NOT(ISNUMBER(C940))),"Needs month/pages","OK")))))</f>
        <v/>
      </c>
      <c r="J940" s="10">
        <f>IF(I940="","",IF(I940="OK",IF(COUNTIFS(H941:H$3001,H940,B941:B$3001,B940,G941:G$3001,"")=0,C940,0),0))</f>
        <v/>
      </c>
    </row>
    <row r="941">
      <c r="A941" s="6" t="n"/>
      <c r="B941" s="9" t="n"/>
      <c r="C941" s="6" t="n"/>
      <c r="D941" s="6" t="n"/>
      <c r="E941" s="6" t="n"/>
      <c r="F941" s="6" t="n"/>
      <c r="G941" s="6" t="n"/>
      <c r="H941" s="10">
        <f>IF(F941="","",IFERROR(INDEX(Roster!$A$2:$A$600,MATCH(F941,Roster!$E$2:$E$600,0)),""))</f>
        <v/>
      </c>
      <c r="I941" s="10">
        <f>IF(AND(D941="",C941="",F941=""),"",IF(G941&lt;&gt;"","Void",IF(F941="","Needs child",IF(H941="","Child not found",IF(OR(B941="",NOT(ISNUMBER(C941))),"Needs month/pages","OK")))))</f>
        <v/>
      </c>
      <c r="J941" s="10">
        <f>IF(I941="","",IF(I941="OK",IF(COUNTIFS(H942:H$3001,H941,B942:B$3001,B941,G942:G$3001,"")=0,C941,0),0))</f>
        <v/>
      </c>
    </row>
    <row r="942">
      <c r="A942" s="6" t="n"/>
      <c r="B942" s="9" t="n"/>
      <c r="C942" s="6" t="n"/>
      <c r="D942" s="6" t="n"/>
      <c r="E942" s="6" t="n"/>
      <c r="F942" s="6" t="n"/>
      <c r="G942" s="6" t="n"/>
      <c r="H942" s="10">
        <f>IF(F942="","",IFERROR(INDEX(Roster!$A$2:$A$600,MATCH(F942,Roster!$E$2:$E$600,0)),""))</f>
        <v/>
      </c>
      <c r="I942" s="10">
        <f>IF(AND(D942="",C942="",F942=""),"",IF(G942&lt;&gt;"","Void",IF(F942="","Needs child",IF(H942="","Child not found",IF(OR(B942="",NOT(ISNUMBER(C942))),"Needs month/pages","OK")))))</f>
        <v/>
      </c>
      <c r="J942" s="10">
        <f>IF(I942="","",IF(I942="OK",IF(COUNTIFS(H943:H$3001,H942,B943:B$3001,B942,G943:G$3001,"")=0,C942,0),0))</f>
        <v/>
      </c>
    </row>
    <row r="943">
      <c r="A943" s="6" t="n"/>
      <c r="B943" s="9" t="n"/>
      <c r="C943" s="6" t="n"/>
      <c r="D943" s="6" t="n"/>
      <c r="E943" s="6" t="n"/>
      <c r="F943" s="6" t="n"/>
      <c r="G943" s="6" t="n"/>
      <c r="H943" s="10">
        <f>IF(F943="","",IFERROR(INDEX(Roster!$A$2:$A$600,MATCH(F943,Roster!$E$2:$E$600,0)),""))</f>
        <v/>
      </c>
      <c r="I943" s="10">
        <f>IF(AND(D943="",C943="",F943=""),"",IF(G943&lt;&gt;"","Void",IF(F943="","Needs child",IF(H943="","Child not found",IF(OR(B943="",NOT(ISNUMBER(C943))),"Needs month/pages","OK")))))</f>
        <v/>
      </c>
      <c r="J943" s="10">
        <f>IF(I943="","",IF(I943="OK",IF(COUNTIFS(H944:H$3001,H943,B944:B$3001,B943,G944:G$3001,"")=0,C943,0),0))</f>
        <v/>
      </c>
    </row>
    <row r="944">
      <c r="A944" s="6" t="n"/>
      <c r="B944" s="9" t="n"/>
      <c r="C944" s="6" t="n"/>
      <c r="D944" s="6" t="n"/>
      <c r="E944" s="6" t="n"/>
      <c r="F944" s="6" t="n"/>
      <c r="G944" s="6" t="n"/>
      <c r="H944" s="10">
        <f>IF(F944="","",IFERROR(INDEX(Roster!$A$2:$A$600,MATCH(F944,Roster!$E$2:$E$600,0)),""))</f>
        <v/>
      </c>
      <c r="I944" s="10">
        <f>IF(AND(D944="",C944="",F944=""),"",IF(G944&lt;&gt;"","Void",IF(F944="","Needs child",IF(H944="","Child not found",IF(OR(B944="",NOT(ISNUMBER(C944))),"Needs month/pages","OK")))))</f>
        <v/>
      </c>
      <c r="J944" s="10">
        <f>IF(I944="","",IF(I944="OK",IF(COUNTIFS(H945:H$3001,H944,B945:B$3001,B944,G945:G$3001,"")=0,C944,0),0))</f>
        <v/>
      </c>
    </row>
    <row r="945">
      <c r="A945" s="6" t="n"/>
      <c r="B945" s="9" t="n"/>
      <c r="C945" s="6" t="n"/>
      <c r="D945" s="6" t="n"/>
      <c r="E945" s="6" t="n"/>
      <c r="F945" s="6" t="n"/>
      <c r="G945" s="6" t="n"/>
      <c r="H945" s="10">
        <f>IF(F945="","",IFERROR(INDEX(Roster!$A$2:$A$600,MATCH(F945,Roster!$E$2:$E$600,0)),""))</f>
        <v/>
      </c>
      <c r="I945" s="10">
        <f>IF(AND(D945="",C945="",F945=""),"",IF(G945&lt;&gt;"","Void",IF(F945="","Needs child",IF(H945="","Child not found",IF(OR(B945="",NOT(ISNUMBER(C945))),"Needs month/pages","OK")))))</f>
        <v/>
      </c>
      <c r="J945" s="10">
        <f>IF(I945="","",IF(I945="OK",IF(COUNTIFS(H946:H$3001,H945,B946:B$3001,B945,G946:G$3001,"")=0,C945,0),0))</f>
        <v/>
      </c>
    </row>
    <row r="946">
      <c r="A946" s="6" t="n"/>
      <c r="B946" s="9" t="n"/>
      <c r="C946" s="6" t="n"/>
      <c r="D946" s="6" t="n"/>
      <c r="E946" s="6" t="n"/>
      <c r="F946" s="6" t="n"/>
      <c r="G946" s="6" t="n"/>
      <c r="H946" s="10">
        <f>IF(F946="","",IFERROR(INDEX(Roster!$A$2:$A$600,MATCH(F946,Roster!$E$2:$E$600,0)),""))</f>
        <v/>
      </c>
      <c r="I946" s="10">
        <f>IF(AND(D946="",C946="",F946=""),"",IF(G946&lt;&gt;"","Void",IF(F946="","Needs child",IF(H946="","Child not found",IF(OR(B946="",NOT(ISNUMBER(C946))),"Needs month/pages","OK")))))</f>
        <v/>
      </c>
      <c r="J946" s="10">
        <f>IF(I946="","",IF(I946="OK",IF(COUNTIFS(H947:H$3001,H946,B947:B$3001,B946,G947:G$3001,"")=0,C946,0),0))</f>
        <v/>
      </c>
    </row>
    <row r="947">
      <c r="A947" s="6" t="n"/>
      <c r="B947" s="9" t="n"/>
      <c r="C947" s="6" t="n"/>
      <c r="D947" s="6" t="n"/>
      <c r="E947" s="6" t="n"/>
      <c r="F947" s="6" t="n"/>
      <c r="G947" s="6" t="n"/>
      <c r="H947" s="10">
        <f>IF(F947="","",IFERROR(INDEX(Roster!$A$2:$A$600,MATCH(F947,Roster!$E$2:$E$600,0)),""))</f>
        <v/>
      </c>
      <c r="I947" s="10">
        <f>IF(AND(D947="",C947="",F947=""),"",IF(G947&lt;&gt;"","Void",IF(F947="","Needs child",IF(H947="","Child not found",IF(OR(B947="",NOT(ISNUMBER(C947))),"Needs month/pages","OK")))))</f>
        <v/>
      </c>
      <c r="J947" s="10">
        <f>IF(I947="","",IF(I947="OK",IF(COUNTIFS(H948:H$3001,H947,B948:B$3001,B947,G948:G$3001,"")=0,C947,0),0))</f>
        <v/>
      </c>
    </row>
    <row r="948">
      <c r="A948" s="6" t="n"/>
      <c r="B948" s="9" t="n"/>
      <c r="C948" s="6" t="n"/>
      <c r="D948" s="6" t="n"/>
      <c r="E948" s="6" t="n"/>
      <c r="F948" s="6" t="n"/>
      <c r="G948" s="6" t="n"/>
      <c r="H948" s="10">
        <f>IF(F948="","",IFERROR(INDEX(Roster!$A$2:$A$600,MATCH(F948,Roster!$E$2:$E$600,0)),""))</f>
        <v/>
      </c>
      <c r="I948" s="10">
        <f>IF(AND(D948="",C948="",F948=""),"",IF(G948&lt;&gt;"","Void",IF(F948="","Needs child",IF(H948="","Child not found",IF(OR(B948="",NOT(ISNUMBER(C948))),"Needs month/pages","OK")))))</f>
        <v/>
      </c>
      <c r="J948" s="10">
        <f>IF(I948="","",IF(I948="OK",IF(COUNTIFS(H949:H$3001,H948,B949:B$3001,B948,G949:G$3001,"")=0,C948,0),0))</f>
        <v/>
      </c>
    </row>
    <row r="949">
      <c r="A949" s="6" t="n"/>
      <c r="B949" s="9" t="n"/>
      <c r="C949" s="6" t="n"/>
      <c r="D949" s="6" t="n"/>
      <c r="E949" s="6" t="n"/>
      <c r="F949" s="6" t="n"/>
      <c r="G949" s="6" t="n"/>
      <c r="H949" s="10">
        <f>IF(F949="","",IFERROR(INDEX(Roster!$A$2:$A$600,MATCH(F949,Roster!$E$2:$E$600,0)),""))</f>
        <v/>
      </c>
      <c r="I949" s="10">
        <f>IF(AND(D949="",C949="",F949=""),"",IF(G949&lt;&gt;"","Void",IF(F949="","Needs child",IF(H949="","Child not found",IF(OR(B949="",NOT(ISNUMBER(C949))),"Needs month/pages","OK")))))</f>
        <v/>
      </c>
      <c r="J949" s="10">
        <f>IF(I949="","",IF(I949="OK",IF(COUNTIFS(H950:H$3001,H949,B950:B$3001,B949,G950:G$3001,"")=0,C949,0),0))</f>
        <v/>
      </c>
    </row>
    <row r="950">
      <c r="A950" s="6" t="n"/>
      <c r="B950" s="9" t="n"/>
      <c r="C950" s="6" t="n"/>
      <c r="D950" s="6" t="n"/>
      <c r="E950" s="6" t="n"/>
      <c r="F950" s="6" t="n"/>
      <c r="G950" s="6" t="n"/>
      <c r="H950" s="10">
        <f>IF(F950="","",IFERROR(INDEX(Roster!$A$2:$A$600,MATCH(F950,Roster!$E$2:$E$600,0)),""))</f>
        <v/>
      </c>
      <c r="I950" s="10">
        <f>IF(AND(D950="",C950="",F950=""),"",IF(G950&lt;&gt;"","Void",IF(F950="","Needs child",IF(H950="","Child not found",IF(OR(B950="",NOT(ISNUMBER(C950))),"Needs month/pages","OK")))))</f>
        <v/>
      </c>
      <c r="J950" s="10">
        <f>IF(I950="","",IF(I950="OK",IF(COUNTIFS(H951:H$3001,H950,B951:B$3001,B950,G951:G$3001,"")=0,C950,0),0))</f>
        <v/>
      </c>
    </row>
    <row r="951">
      <c r="A951" s="6" t="n"/>
      <c r="B951" s="9" t="n"/>
      <c r="C951" s="6" t="n"/>
      <c r="D951" s="6" t="n"/>
      <c r="E951" s="6" t="n"/>
      <c r="F951" s="6" t="n"/>
      <c r="G951" s="6" t="n"/>
      <c r="H951" s="10">
        <f>IF(F951="","",IFERROR(INDEX(Roster!$A$2:$A$600,MATCH(F951,Roster!$E$2:$E$600,0)),""))</f>
        <v/>
      </c>
      <c r="I951" s="10">
        <f>IF(AND(D951="",C951="",F951=""),"",IF(G951&lt;&gt;"","Void",IF(F951="","Needs child",IF(H951="","Child not found",IF(OR(B951="",NOT(ISNUMBER(C951))),"Needs month/pages","OK")))))</f>
        <v/>
      </c>
      <c r="J951" s="10">
        <f>IF(I951="","",IF(I951="OK",IF(COUNTIFS(H952:H$3001,H951,B952:B$3001,B951,G952:G$3001,"")=0,C951,0),0))</f>
        <v/>
      </c>
    </row>
    <row r="952">
      <c r="A952" s="6" t="n"/>
      <c r="B952" s="9" t="n"/>
      <c r="C952" s="6" t="n"/>
      <c r="D952" s="6" t="n"/>
      <c r="E952" s="6" t="n"/>
      <c r="F952" s="6" t="n"/>
      <c r="G952" s="6" t="n"/>
      <c r="H952" s="10">
        <f>IF(F952="","",IFERROR(INDEX(Roster!$A$2:$A$600,MATCH(F952,Roster!$E$2:$E$600,0)),""))</f>
        <v/>
      </c>
      <c r="I952" s="10">
        <f>IF(AND(D952="",C952="",F952=""),"",IF(G952&lt;&gt;"","Void",IF(F952="","Needs child",IF(H952="","Child not found",IF(OR(B952="",NOT(ISNUMBER(C952))),"Needs month/pages","OK")))))</f>
        <v/>
      </c>
      <c r="J952" s="10">
        <f>IF(I952="","",IF(I952="OK",IF(COUNTIFS(H953:H$3001,H952,B953:B$3001,B952,G953:G$3001,"")=0,C952,0),0))</f>
        <v/>
      </c>
    </row>
    <row r="953">
      <c r="A953" s="6" t="n"/>
      <c r="B953" s="9" t="n"/>
      <c r="C953" s="6" t="n"/>
      <c r="D953" s="6" t="n"/>
      <c r="E953" s="6" t="n"/>
      <c r="F953" s="6" t="n"/>
      <c r="G953" s="6" t="n"/>
      <c r="H953" s="10">
        <f>IF(F953="","",IFERROR(INDEX(Roster!$A$2:$A$600,MATCH(F953,Roster!$E$2:$E$600,0)),""))</f>
        <v/>
      </c>
      <c r="I953" s="10">
        <f>IF(AND(D953="",C953="",F953=""),"",IF(G953&lt;&gt;"","Void",IF(F953="","Needs child",IF(H953="","Child not found",IF(OR(B953="",NOT(ISNUMBER(C953))),"Needs month/pages","OK")))))</f>
        <v/>
      </c>
      <c r="J953" s="10">
        <f>IF(I953="","",IF(I953="OK",IF(COUNTIFS(H954:H$3001,H953,B954:B$3001,B953,G954:G$3001,"")=0,C953,0),0))</f>
        <v/>
      </c>
    </row>
    <row r="954">
      <c r="A954" s="6" t="n"/>
      <c r="B954" s="9" t="n"/>
      <c r="C954" s="6" t="n"/>
      <c r="D954" s="6" t="n"/>
      <c r="E954" s="6" t="n"/>
      <c r="F954" s="6" t="n"/>
      <c r="G954" s="6" t="n"/>
      <c r="H954" s="10">
        <f>IF(F954="","",IFERROR(INDEX(Roster!$A$2:$A$600,MATCH(F954,Roster!$E$2:$E$600,0)),""))</f>
        <v/>
      </c>
      <c r="I954" s="10">
        <f>IF(AND(D954="",C954="",F954=""),"",IF(G954&lt;&gt;"","Void",IF(F954="","Needs child",IF(H954="","Child not found",IF(OR(B954="",NOT(ISNUMBER(C954))),"Needs month/pages","OK")))))</f>
        <v/>
      </c>
      <c r="J954" s="10">
        <f>IF(I954="","",IF(I954="OK",IF(COUNTIFS(H955:H$3001,H954,B955:B$3001,B954,G955:G$3001,"")=0,C954,0),0))</f>
        <v/>
      </c>
    </row>
    <row r="955">
      <c r="A955" s="6" t="n"/>
      <c r="B955" s="9" t="n"/>
      <c r="C955" s="6" t="n"/>
      <c r="D955" s="6" t="n"/>
      <c r="E955" s="6" t="n"/>
      <c r="F955" s="6" t="n"/>
      <c r="G955" s="6" t="n"/>
      <c r="H955" s="10">
        <f>IF(F955="","",IFERROR(INDEX(Roster!$A$2:$A$600,MATCH(F955,Roster!$E$2:$E$600,0)),""))</f>
        <v/>
      </c>
      <c r="I955" s="10">
        <f>IF(AND(D955="",C955="",F955=""),"",IF(G955&lt;&gt;"","Void",IF(F955="","Needs child",IF(H955="","Child not found",IF(OR(B955="",NOT(ISNUMBER(C955))),"Needs month/pages","OK")))))</f>
        <v/>
      </c>
      <c r="J955" s="10">
        <f>IF(I955="","",IF(I955="OK",IF(COUNTIFS(H956:H$3001,H955,B956:B$3001,B955,G956:G$3001,"")=0,C955,0),0))</f>
        <v/>
      </c>
    </row>
    <row r="956">
      <c r="A956" s="6" t="n"/>
      <c r="B956" s="9" t="n"/>
      <c r="C956" s="6" t="n"/>
      <c r="D956" s="6" t="n"/>
      <c r="E956" s="6" t="n"/>
      <c r="F956" s="6" t="n"/>
      <c r="G956" s="6" t="n"/>
      <c r="H956" s="10">
        <f>IF(F956="","",IFERROR(INDEX(Roster!$A$2:$A$600,MATCH(F956,Roster!$E$2:$E$600,0)),""))</f>
        <v/>
      </c>
      <c r="I956" s="10">
        <f>IF(AND(D956="",C956="",F956=""),"",IF(G956&lt;&gt;"","Void",IF(F956="","Needs child",IF(H956="","Child not found",IF(OR(B956="",NOT(ISNUMBER(C956))),"Needs month/pages","OK")))))</f>
        <v/>
      </c>
      <c r="J956" s="10">
        <f>IF(I956="","",IF(I956="OK",IF(COUNTIFS(H957:H$3001,H956,B957:B$3001,B956,G957:G$3001,"")=0,C956,0),0))</f>
        <v/>
      </c>
    </row>
    <row r="957">
      <c r="A957" s="6" t="n"/>
      <c r="B957" s="9" t="n"/>
      <c r="C957" s="6" t="n"/>
      <c r="D957" s="6" t="n"/>
      <c r="E957" s="6" t="n"/>
      <c r="F957" s="6" t="n"/>
      <c r="G957" s="6" t="n"/>
      <c r="H957" s="10">
        <f>IF(F957="","",IFERROR(INDEX(Roster!$A$2:$A$600,MATCH(F957,Roster!$E$2:$E$600,0)),""))</f>
        <v/>
      </c>
      <c r="I957" s="10">
        <f>IF(AND(D957="",C957="",F957=""),"",IF(G957&lt;&gt;"","Void",IF(F957="","Needs child",IF(H957="","Child not found",IF(OR(B957="",NOT(ISNUMBER(C957))),"Needs month/pages","OK")))))</f>
        <v/>
      </c>
      <c r="J957" s="10">
        <f>IF(I957="","",IF(I957="OK",IF(COUNTIFS(H958:H$3001,H957,B958:B$3001,B957,G958:G$3001,"")=0,C957,0),0))</f>
        <v/>
      </c>
    </row>
    <row r="958">
      <c r="A958" s="6" t="n"/>
      <c r="B958" s="9" t="n"/>
      <c r="C958" s="6" t="n"/>
      <c r="D958" s="6" t="n"/>
      <c r="E958" s="6" t="n"/>
      <c r="F958" s="6" t="n"/>
      <c r="G958" s="6" t="n"/>
      <c r="H958" s="10">
        <f>IF(F958="","",IFERROR(INDEX(Roster!$A$2:$A$600,MATCH(F958,Roster!$E$2:$E$600,0)),""))</f>
        <v/>
      </c>
      <c r="I958" s="10">
        <f>IF(AND(D958="",C958="",F958=""),"",IF(G958&lt;&gt;"","Void",IF(F958="","Needs child",IF(H958="","Child not found",IF(OR(B958="",NOT(ISNUMBER(C958))),"Needs month/pages","OK")))))</f>
        <v/>
      </c>
      <c r="J958" s="10">
        <f>IF(I958="","",IF(I958="OK",IF(COUNTIFS(H959:H$3001,H958,B959:B$3001,B958,G959:G$3001,"")=0,C958,0),0))</f>
        <v/>
      </c>
    </row>
    <row r="959">
      <c r="A959" s="6" t="n"/>
      <c r="B959" s="9" t="n"/>
      <c r="C959" s="6" t="n"/>
      <c r="D959" s="6" t="n"/>
      <c r="E959" s="6" t="n"/>
      <c r="F959" s="6" t="n"/>
      <c r="G959" s="6" t="n"/>
      <c r="H959" s="10">
        <f>IF(F959="","",IFERROR(INDEX(Roster!$A$2:$A$600,MATCH(F959,Roster!$E$2:$E$600,0)),""))</f>
        <v/>
      </c>
      <c r="I959" s="10">
        <f>IF(AND(D959="",C959="",F959=""),"",IF(G959&lt;&gt;"","Void",IF(F959="","Needs child",IF(H959="","Child not found",IF(OR(B959="",NOT(ISNUMBER(C959))),"Needs month/pages","OK")))))</f>
        <v/>
      </c>
      <c r="J959" s="10">
        <f>IF(I959="","",IF(I959="OK",IF(COUNTIFS(H960:H$3001,H959,B960:B$3001,B959,G960:G$3001,"")=0,C959,0),0))</f>
        <v/>
      </c>
    </row>
    <row r="960">
      <c r="A960" s="6" t="n"/>
      <c r="B960" s="9" t="n"/>
      <c r="C960" s="6" t="n"/>
      <c r="D960" s="6" t="n"/>
      <c r="E960" s="6" t="n"/>
      <c r="F960" s="6" t="n"/>
      <c r="G960" s="6" t="n"/>
      <c r="H960" s="10">
        <f>IF(F960="","",IFERROR(INDEX(Roster!$A$2:$A$600,MATCH(F960,Roster!$E$2:$E$600,0)),""))</f>
        <v/>
      </c>
      <c r="I960" s="10">
        <f>IF(AND(D960="",C960="",F960=""),"",IF(G960&lt;&gt;"","Void",IF(F960="","Needs child",IF(H960="","Child not found",IF(OR(B960="",NOT(ISNUMBER(C960))),"Needs month/pages","OK")))))</f>
        <v/>
      </c>
      <c r="J960" s="10">
        <f>IF(I960="","",IF(I960="OK",IF(COUNTIFS(H961:H$3001,H960,B961:B$3001,B960,G961:G$3001,"")=0,C960,0),0))</f>
        <v/>
      </c>
    </row>
    <row r="961">
      <c r="A961" s="6" t="n"/>
      <c r="B961" s="9" t="n"/>
      <c r="C961" s="6" t="n"/>
      <c r="D961" s="6" t="n"/>
      <c r="E961" s="6" t="n"/>
      <c r="F961" s="6" t="n"/>
      <c r="G961" s="6" t="n"/>
      <c r="H961" s="10">
        <f>IF(F961="","",IFERROR(INDEX(Roster!$A$2:$A$600,MATCH(F961,Roster!$E$2:$E$600,0)),""))</f>
        <v/>
      </c>
      <c r="I961" s="10">
        <f>IF(AND(D961="",C961="",F961=""),"",IF(G961&lt;&gt;"","Void",IF(F961="","Needs child",IF(H961="","Child not found",IF(OR(B961="",NOT(ISNUMBER(C961))),"Needs month/pages","OK")))))</f>
        <v/>
      </c>
      <c r="J961" s="10">
        <f>IF(I961="","",IF(I961="OK",IF(COUNTIFS(H962:H$3001,H961,B962:B$3001,B961,G962:G$3001,"")=0,C961,0),0))</f>
        <v/>
      </c>
    </row>
    <row r="962">
      <c r="A962" s="6" t="n"/>
      <c r="B962" s="9" t="n"/>
      <c r="C962" s="6" t="n"/>
      <c r="D962" s="6" t="n"/>
      <c r="E962" s="6" t="n"/>
      <c r="F962" s="6" t="n"/>
      <c r="G962" s="6" t="n"/>
      <c r="H962" s="10">
        <f>IF(F962="","",IFERROR(INDEX(Roster!$A$2:$A$600,MATCH(F962,Roster!$E$2:$E$600,0)),""))</f>
        <v/>
      </c>
      <c r="I962" s="10">
        <f>IF(AND(D962="",C962="",F962=""),"",IF(G962&lt;&gt;"","Void",IF(F962="","Needs child",IF(H962="","Child not found",IF(OR(B962="",NOT(ISNUMBER(C962))),"Needs month/pages","OK")))))</f>
        <v/>
      </c>
      <c r="J962" s="10">
        <f>IF(I962="","",IF(I962="OK",IF(COUNTIFS(H963:H$3001,H962,B963:B$3001,B962,G963:G$3001,"")=0,C962,0),0))</f>
        <v/>
      </c>
    </row>
    <row r="963">
      <c r="A963" s="6" t="n"/>
      <c r="B963" s="9" t="n"/>
      <c r="C963" s="6" t="n"/>
      <c r="D963" s="6" t="n"/>
      <c r="E963" s="6" t="n"/>
      <c r="F963" s="6" t="n"/>
      <c r="G963" s="6" t="n"/>
      <c r="H963" s="10">
        <f>IF(F963="","",IFERROR(INDEX(Roster!$A$2:$A$600,MATCH(F963,Roster!$E$2:$E$600,0)),""))</f>
        <v/>
      </c>
      <c r="I963" s="10">
        <f>IF(AND(D963="",C963="",F963=""),"",IF(G963&lt;&gt;"","Void",IF(F963="","Needs child",IF(H963="","Child not found",IF(OR(B963="",NOT(ISNUMBER(C963))),"Needs month/pages","OK")))))</f>
        <v/>
      </c>
      <c r="J963" s="10">
        <f>IF(I963="","",IF(I963="OK",IF(COUNTIFS(H964:H$3001,H963,B964:B$3001,B963,G964:G$3001,"")=0,C963,0),0))</f>
        <v/>
      </c>
    </row>
    <row r="964">
      <c r="A964" s="6" t="n"/>
      <c r="B964" s="9" t="n"/>
      <c r="C964" s="6" t="n"/>
      <c r="D964" s="6" t="n"/>
      <c r="E964" s="6" t="n"/>
      <c r="F964" s="6" t="n"/>
      <c r="G964" s="6" t="n"/>
      <c r="H964" s="10">
        <f>IF(F964="","",IFERROR(INDEX(Roster!$A$2:$A$600,MATCH(F964,Roster!$E$2:$E$600,0)),""))</f>
        <v/>
      </c>
      <c r="I964" s="10">
        <f>IF(AND(D964="",C964="",F964=""),"",IF(G964&lt;&gt;"","Void",IF(F964="","Needs child",IF(H964="","Child not found",IF(OR(B964="",NOT(ISNUMBER(C964))),"Needs month/pages","OK")))))</f>
        <v/>
      </c>
      <c r="J964" s="10">
        <f>IF(I964="","",IF(I964="OK",IF(COUNTIFS(H965:H$3001,H964,B965:B$3001,B964,G965:G$3001,"")=0,C964,0),0))</f>
        <v/>
      </c>
    </row>
    <row r="965">
      <c r="A965" s="6" t="n"/>
      <c r="B965" s="9" t="n"/>
      <c r="C965" s="6" t="n"/>
      <c r="D965" s="6" t="n"/>
      <c r="E965" s="6" t="n"/>
      <c r="F965" s="6" t="n"/>
      <c r="G965" s="6" t="n"/>
      <c r="H965" s="10">
        <f>IF(F965="","",IFERROR(INDEX(Roster!$A$2:$A$600,MATCH(F965,Roster!$E$2:$E$600,0)),""))</f>
        <v/>
      </c>
      <c r="I965" s="10">
        <f>IF(AND(D965="",C965="",F965=""),"",IF(G965&lt;&gt;"","Void",IF(F965="","Needs child",IF(H965="","Child not found",IF(OR(B965="",NOT(ISNUMBER(C965))),"Needs month/pages","OK")))))</f>
        <v/>
      </c>
      <c r="J965" s="10">
        <f>IF(I965="","",IF(I965="OK",IF(COUNTIFS(H966:H$3001,H965,B966:B$3001,B965,G966:G$3001,"")=0,C965,0),0))</f>
        <v/>
      </c>
    </row>
    <row r="966">
      <c r="A966" s="6" t="n"/>
      <c r="B966" s="9" t="n"/>
      <c r="C966" s="6" t="n"/>
      <c r="D966" s="6" t="n"/>
      <c r="E966" s="6" t="n"/>
      <c r="F966" s="6" t="n"/>
      <c r="G966" s="6" t="n"/>
      <c r="H966" s="10">
        <f>IF(F966="","",IFERROR(INDEX(Roster!$A$2:$A$600,MATCH(F966,Roster!$E$2:$E$600,0)),""))</f>
        <v/>
      </c>
      <c r="I966" s="10">
        <f>IF(AND(D966="",C966="",F966=""),"",IF(G966&lt;&gt;"","Void",IF(F966="","Needs child",IF(H966="","Child not found",IF(OR(B966="",NOT(ISNUMBER(C966))),"Needs month/pages","OK")))))</f>
        <v/>
      </c>
      <c r="J966" s="10">
        <f>IF(I966="","",IF(I966="OK",IF(COUNTIFS(H967:H$3001,H966,B967:B$3001,B966,G967:G$3001,"")=0,C966,0),0))</f>
        <v/>
      </c>
    </row>
    <row r="967">
      <c r="A967" s="6" t="n"/>
      <c r="B967" s="9" t="n"/>
      <c r="C967" s="6" t="n"/>
      <c r="D967" s="6" t="n"/>
      <c r="E967" s="6" t="n"/>
      <c r="F967" s="6" t="n"/>
      <c r="G967" s="6" t="n"/>
      <c r="H967" s="10">
        <f>IF(F967="","",IFERROR(INDEX(Roster!$A$2:$A$600,MATCH(F967,Roster!$E$2:$E$600,0)),""))</f>
        <v/>
      </c>
      <c r="I967" s="10">
        <f>IF(AND(D967="",C967="",F967=""),"",IF(G967&lt;&gt;"","Void",IF(F967="","Needs child",IF(H967="","Child not found",IF(OR(B967="",NOT(ISNUMBER(C967))),"Needs month/pages","OK")))))</f>
        <v/>
      </c>
      <c r="J967" s="10">
        <f>IF(I967="","",IF(I967="OK",IF(COUNTIFS(H968:H$3001,H967,B968:B$3001,B967,G968:G$3001,"")=0,C967,0),0))</f>
        <v/>
      </c>
    </row>
    <row r="968">
      <c r="A968" s="6" t="n"/>
      <c r="B968" s="9" t="n"/>
      <c r="C968" s="6" t="n"/>
      <c r="D968" s="6" t="n"/>
      <c r="E968" s="6" t="n"/>
      <c r="F968" s="6" t="n"/>
      <c r="G968" s="6" t="n"/>
      <c r="H968" s="10">
        <f>IF(F968="","",IFERROR(INDEX(Roster!$A$2:$A$600,MATCH(F968,Roster!$E$2:$E$600,0)),""))</f>
        <v/>
      </c>
      <c r="I968" s="10">
        <f>IF(AND(D968="",C968="",F968=""),"",IF(G968&lt;&gt;"","Void",IF(F968="","Needs child",IF(H968="","Child not found",IF(OR(B968="",NOT(ISNUMBER(C968))),"Needs month/pages","OK")))))</f>
        <v/>
      </c>
      <c r="J968" s="10">
        <f>IF(I968="","",IF(I968="OK",IF(COUNTIFS(H969:H$3001,H968,B969:B$3001,B968,G969:G$3001,"")=0,C968,0),0))</f>
        <v/>
      </c>
    </row>
    <row r="969">
      <c r="A969" s="6" t="n"/>
      <c r="B969" s="9" t="n"/>
      <c r="C969" s="6" t="n"/>
      <c r="D969" s="6" t="n"/>
      <c r="E969" s="6" t="n"/>
      <c r="F969" s="6" t="n"/>
      <c r="G969" s="6" t="n"/>
      <c r="H969" s="10">
        <f>IF(F969="","",IFERROR(INDEX(Roster!$A$2:$A$600,MATCH(F969,Roster!$E$2:$E$600,0)),""))</f>
        <v/>
      </c>
      <c r="I969" s="10">
        <f>IF(AND(D969="",C969="",F969=""),"",IF(G969&lt;&gt;"","Void",IF(F969="","Needs child",IF(H969="","Child not found",IF(OR(B969="",NOT(ISNUMBER(C969))),"Needs month/pages","OK")))))</f>
        <v/>
      </c>
      <c r="J969" s="10">
        <f>IF(I969="","",IF(I969="OK",IF(COUNTIFS(H970:H$3001,H969,B970:B$3001,B969,G970:G$3001,"")=0,C969,0),0))</f>
        <v/>
      </c>
    </row>
    <row r="970">
      <c r="A970" s="6" t="n"/>
      <c r="B970" s="9" t="n"/>
      <c r="C970" s="6" t="n"/>
      <c r="D970" s="6" t="n"/>
      <c r="E970" s="6" t="n"/>
      <c r="F970" s="6" t="n"/>
      <c r="G970" s="6" t="n"/>
      <c r="H970" s="10">
        <f>IF(F970="","",IFERROR(INDEX(Roster!$A$2:$A$600,MATCH(F970,Roster!$E$2:$E$600,0)),""))</f>
        <v/>
      </c>
      <c r="I970" s="10">
        <f>IF(AND(D970="",C970="",F970=""),"",IF(G970&lt;&gt;"","Void",IF(F970="","Needs child",IF(H970="","Child not found",IF(OR(B970="",NOT(ISNUMBER(C970))),"Needs month/pages","OK")))))</f>
        <v/>
      </c>
      <c r="J970" s="10">
        <f>IF(I970="","",IF(I970="OK",IF(COUNTIFS(H971:H$3001,H970,B971:B$3001,B970,G971:G$3001,"")=0,C970,0),0))</f>
        <v/>
      </c>
    </row>
    <row r="971">
      <c r="A971" s="6" t="n"/>
      <c r="B971" s="9" t="n"/>
      <c r="C971" s="6" t="n"/>
      <c r="D971" s="6" t="n"/>
      <c r="E971" s="6" t="n"/>
      <c r="F971" s="6" t="n"/>
      <c r="G971" s="6" t="n"/>
      <c r="H971" s="10">
        <f>IF(F971="","",IFERROR(INDEX(Roster!$A$2:$A$600,MATCH(F971,Roster!$E$2:$E$600,0)),""))</f>
        <v/>
      </c>
      <c r="I971" s="10">
        <f>IF(AND(D971="",C971="",F971=""),"",IF(G971&lt;&gt;"","Void",IF(F971="","Needs child",IF(H971="","Child not found",IF(OR(B971="",NOT(ISNUMBER(C971))),"Needs month/pages","OK")))))</f>
        <v/>
      </c>
      <c r="J971" s="10">
        <f>IF(I971="","",IF(I971="OK",IF(COUNTIFS(H972:H$3001,H971,B972:B$3001,B971,G972:G$3001,"")=0,C971,0),0))</f>
        <v/>
      </c>
    </row>
    <row r="972">
      <c r="A972" s="6" t="n"/>
      <c r="B972" s="9" t="n"/>
      <c r="C972" s="6" t="n"/>
      <c r="D972" s="6" t="n"/>
      <c r="E972" s="6" t="n"/>
      <c r="F972" s="6" t="n"/>
      <c r="G972" s="6" t="n"/>
      <c r="H972" s="10">
        <f>IF(F972="","",IFERROR(INDEX(Roster!$A$2:$A$600,MATCH(F972,Roster!$E$2:$E$600,0)),""))</f>
        <v/>
      </c>
      <c r="I972" s="10">
        <f>IF(AND(D972="",C972="",F972=""),"",IF(G972&lt;&gt;"","Void",IF(F972="","Needs child",IF(H972="","Child not found",IF(OR(B972="",NOT(ISNUMBER(C972))),"Needs month/pages","OK")))))</f>
        <v/>
      </c>
      <c r="J972" s="10">
        <f>IF(I972="","",IF(I972="OK",IF(COUNTIFS(H973:H$3001,H972,B973:B$3001,B972,G973:G$3001,"")=0,C972,0),0))</f>
        <v/>
      </c>
    </row>
    <row r="973">
      <c r="A973" s="6" t="n"/>
      <c r="B973" s="9" t="n"/>
      <c r="C973" s="6" t="n"/>
      <c r="D973" s="6" t="n"/>
      <c r="E973" s="6" t="n"/>
      <c r="F973" s="6" t="n"/>
      <c r="G973" s="6" t="n"/>
      <c r="H973" s="10">
        <f>IF(F973="","",IFERROR(INDEX(Roster!$A$2:$A$600,MATCH(F973,Roster!$E$2:$E$600,0)),""))</f>
        <v/>
      </c>
      <c r="I973" s="10">
        <f>IF(AND(D973="",C973="",F973=""),"",IF(G973&lt;&gt;"","Void",IF(F973="","Needs child",IF(H973="","Child not found",IF(OR(B973="",NOT(ISNUMBER(C973))),"Needs month/pages","OK")))))</f>
        <v/>
      </c>
      <c r="J973" s="10">
        <f>IF(I973="","",IF(I973="OK",IF(COUNTIFS(H974:H$3001,H973,B974:B$3001,B973,G974:G$3001,"")=0,C973,0),0))</f>
        <v/>
      </c>
    </row>
    <row r="974">
      <c r="A974" s="6" t="n"/>
      <c r="B974" s="9" t="n"/>
      <c r="C974" s="6" t="n"/>
      <c r="D974" s="6" t="n"/>
      <c r="E974" s="6" t="n"/>
      <c r="F974" s="6" t="n"/>
      <c r="G974" s="6" t="n"/>
      <c r="H974" s="10">
        <f>IF(F974="","",IFERROR(INDEX(Roster!$A$2:$A$600,MATCH(F974,Roster!$E$2:$E$600,0)),""))</f>
        <v/>
      </c>
      <c r="I974" s="10">
        <f>IF(AND(D974="",C974="",F974=""),"",IF(G974&lt;&gt;"","Void",IF(F974="","Needs child",IF(H974="","Child not found",IF(OR(B974="",NOT(ISNUMBER(C974))),"Needs month/pages","OK")))))</f>
        <v/>
      </c>
      <c r="J974" s="10">
        <f>IF(I974="","",IF(I974="OK",IF(COUNTIFS(H975:H$3001,H974,B975:B$3001,B974,G975:G$3001,"")=0,C974,0),0))</f>
        <v/>
      </c>
    </row>
    <row r="975">
      <c r="A975" s="6" t="n"/>
      <c r="B975" s="9" t="n"/>
      <c r="C975" s="6" t="n"/>
      <c r="D975" s="6" t="n"/>
      <c r="E975" s="6" t="n"/>
      <c r="F975" s="6" t="n"/>
      <c r="G975" s="6" t="n"/>
      <c r="H975" s="10">
        <f>IF(F975="","",IFERROR(INDEX(Roster!$A$2:$A$600,MATCH(F975,Roster!$E$2:$E$600,0)),""))</f>
        <v/>
      </c>
      <c r="I975" s="10">
        <f>IF(AND(D975="",C975="",F975=""),"",IF(G975&lt;&gt;"","Void",IF(F975="","Needs child",IF(H975="","Child not found",IF(OR(B975="",NOT(ISNUMBER(C975))),"Needs month/pages","OK")))))</f>
        <v/>
      </c>
      <c r="J975" s="10">
        <f>IF(I975="","",IF(I975="OK",IF(COUNTIFS(H976:H$3001,H975,B976:B$3001,B975,G976:G$3001,"")=0,C975,0),0))</f>
        <v/>
      </c>
    </row>
    <row r="976">
      <c r="A976" s="6" t="n"/>
      <c r="B976" s="9" t="n"/>
      <c r="C976" s="6" t="n"/>
      <c r="D976" s="6" t="n"/>
      <c r="E976" s="6" t="n"/>
      <c r="F976" s="6" t="n"/>
      <c r="G976" s="6" t="n"/>
      <c r="H976" s="10">
        <f>IF(F976="","",IFERROR(INDEX(Roster!$A$2:$A$600,MATCH(F976,Roster!$E$2:$E$600,0)),""))</f>
        <v/>
      </c>
      <c r="I976" s="10">
        <f>IF(AND(D976="",C976="",F976=""),"",IF(G976&lt;&gt;"","Void",IF(F976="","Needs child",IF(H976="","Child not found",IF(OR(B976="",NOT(ISNUMBER(C976))),"Needs month/pages","OK")))))</f>
        <v/>
      </c>
      <c r="J976" s="10">
        <f>IF(I976="","",IF(I976="OK",IF(COUNTIFS(H977:H$3001,H976,B977:B$3001,B976,G977:G$3001,"")=0,C976,0),0))</f>
        <v/>
      </c>
    </row>
    <row r="977">
      <c r="A977" s="6" t="n"/>
      <c r="B977" s="9" t="n"/>
      <c r="C977" s="6" t="n"/>
      <c r="D977" s="6" t="n"/>
      <c r="E977" s="6" t="n"/>
      <c r="F977" s="6" t="n"/>
      <c r="G977" s="6" t="n"/>
      <c r="H977" s="10">
        <f>IF(F977="","",IFERROR(INDEX(Roster!$A$2:$A$600,MATCH(F977,Roster!$E$2:$E$600,0)),""))</f>
        <v/>
      </c>
      <c r="I977" s="10">
        <f>IF(AND(D977="",C977="",F977=""),"",IF(G977&lt;&gt;"","Void",IF(F977="","Needs child",IF(H977="","Child not found",IF(OR(B977="",NOT(ISNUMBER(C977))),"Needs month/pages","OK")))))</f>
        <v/>
      </c>
      <c r="J977" s="10">
        <f>IF(I977="","",IF(I977="OK",IF(COUNTIFS(H978:H$3001,H977,B978:B$3001,B977,G978:G$3001,"")=0,C977,0),0))</f>
        <v/>
      </c>
    </row>
    <row r="978">
      <c r="A978" s="6" t="n"/>
      <c r="B978" s="9" t="n"/>
      <c r="C978" s="6" t="n"/>
      <c r="D978" s="6" t="n"/>
      <c r="E978" s="6" t="n"/>
      <c r="F978" s="6" t="n"/>
      <c r="G978" s="6" t="n"/>
      <c r="H978" s="10">
        <f>IF(F978="","",IFERROR(INDEX(Roster!$A$2:$A$600,MATCH(F978,Roster!$E$2:$E$600,0)),""))</f>
        <v/>
      </c>
      <c r="I978" s="10">
        <f>IF(AND(D978="",C978="",F978=""),"",IF(G978&lt;&gt;"","Void",IF(F978="","Needs child",IF(H978="","Child not found",IF(OR(B978="",NOT(ISNUMBER(C978))),"Needs month/pages","OK")))))</f>
        <v/>
      </c>
      <c r="J978" s="10">
        <f>IF(I978="","",IF(I978="OK",IF(COUNTIFS(H979:H$3001,H978,B979:B$3001,B978,G979:G$3001,"")=0,C978,0),0))</f>
        <v/>
      </c>
    </row>
    <row r="979">
      <c r="A979" s="6" t="n"/>
      <c r="B979" s="9" t="n"/>
      <c r="C979" s="6" t="n"/>
      <c r="D979" s="6" t="n"/>
      <c r="E979" s="6" t="n"/>
      <c r="F979" s="6" t="n"/>
      <c r="G979" s="6" t="n"/>
      <c r="H979" s="10">
        <f>IF(F979="","",IFERROR(INDEX(Roster!$A$2:$A$600,MATCH(F979,Roster!$E$2:$E$600,0)),""))</f>
        <v/>
      </c>
      <c r="I979" s="10">
        <f>IF(AND(D979="",C979="",F979=""),"",IF(G979&lt;&gt;"","Void",IF(F979="","Needs child",IF(H979="","Child not found",IF(OR(B979="",NOT(ISNUMBER(C979))),"Needs month/pages","OK")))))</f>
        <v/>
      </c>
      <c r="J979" s="10">
        <f>IF(I979="","",IF(I979="OK",IF(COUNTIFS(H980:H$3001,H979,B980:B$3001,B979,G980:G$3001,"")=0,C979,0),0))</f>
        <v/>
      </c>
    </row>
    <row r="980">
      <c r="A980" s="6" t="n"/>
      <c r="B980" s="9" t="n"/>
      <c r="C980" s="6" t="n"/>
      <c r="D980" s="6" t="n"/>
      <c r="E980" s="6" t="n"/>
      <c r="F980" s="6" t="n"/>
      <c r="G980" s="6" t="n"/>
      <c r="H980" s="10">
        <f>IF(F980="","",IFERROR(INDEX(Roster!$A$2:$A$600,MATCH(F980,Roster!$E$2:$E$600,0)),""))</f>
        <v/>
      </c>
      <c r="I980" s="10">
        <f>IF(AND(D980="",C980="",F980=""),"",IF(G980&lt;&gt;"","Void",IF(F980="","Needs child",IF(H980="","Child not found",IF(OR(B980="",NOT(ISNUMBER(C980))),"Needs month/pages","OK")))))</f>
        <v/>
      </c>
      <c r="J980" s="10">
        <f>IF(I980="","",IF(I980="OK",IF(COUNTIFS(H981:H$3001,H980,B981:B$3001,B980,G981:G$3001,"")=0,C980,0),0))</f>
        <v/>
      </c>
    </row>
    <row r="981">
      <c r="A981" s="6" t="n"/>
      <c r="B981" s="9" t="n"/>
      <c r="C981" s="6" t="n"/>
      <c r="D981" s="6" t="n"/>
      <c r="E981" s="6" t="n"/>
      <c r="F981" s="6" t="n"/>
      <c r="G981" s="6" t="n"/>
      <c r="H981" s="10">
        <f>IF(F981="","",IFERROR(INDEX(Roster!$A$2:$A$600,MATCH(F981,Roster!$E$2:$E$600,0)),""))</f>
        <v/>
      </c>
      <c r="I981" s="10">
        <f>IF(AND(D981="",C981="",F981=""),"",IF(G981&lt;&gt;"","Void",IF(F981="","Needs child",IF(H981="","Child not found",IF(OR(B981="",NOT(ISNUMBER(C981))),"Needs month/pages","OK")))))</f>
        <v/>
      </c>
      <c r="J981" s="10">
        <f>IF(I981="","",IF(I981="OK",IF(COUNTIFS(H982:H$3001,H981,B982:B$3001,B981,G982:G$3001,"")=0,C981,0),0))</f>
        <v/>
      </c>
    </row>
    <row r="982">
      <c r="A982" s="6" t="n"/>
      <c r="B982" s="9" t="n"/>
      <c r="C982" s="6" t="n"/>
      <c r="D982" s="6" t="n"/>
      <c r="E982" s="6" t="n"/>
      <c r="F982" s="6" t="n"/>
      <c r="G982" s="6" t="n"/>
      <c r="H982" s="10">
        <f>IF(F982="","",IFERROR(INDEX(Roster!$A$2:$A$600,MATCH(F982,Roster!$E$2:$E$600,0)),""))</f>
        <v/>
      </c>
      <c r="I982" s="10">
        <f>IF(AND(D982="",C982="",F982=""),"",IF(G982&lt;&gt;"","Void",IF(F982="","Needs child",IF(H982="","Child not found",IF(OR(B982="",NOT(ISNUMBER(C982))),"Needs month/pages","OK")))))</f>
        <v/>
      </c>
      <c r="J982" s="10">
        <f>IF(I982="","",IF(I982="OK",IF(COUNTIFS(H983:H$3001,H982,B983:B$3001,B982,G983:G$3001,"")=0,C982,0),0))</f>
        <v/>
      </c>
    </row>
    <row r="983">
      <c r="A983" s="6" t="n"/>
      <c r="B983" s="9" t="n"/>
      <c r="C983" s="6" t="n"/>
      <c r="D983" s="6" t="n"/>
      <c r="E983" s="6" t="n"/>
      <c r="F983" s="6" t="n"/>
      <c r="G983" s="6" t="n"/>
      <c r="H983" s="10">
        <f>IF(F983="","",IFERROR(INDEX(Roster!$A$2:$A$600,MATCH(F983,Roster!$E$2:$E$600,0)),""))</f>
        <v/>
      </c>
      <c r="I983" s="10">
        <f>IF(AND(D983="",C983="",F983=""),"",IF(G983&lt;&gt;"","Void",IF(F983="","Needs child",IF(H983="","Child not found",IF(OR(B983="",NOT(ISNUMBER(C983))),"Needs month/pages","OK")))))</f>
        <v/>
      </c>
      <c r="J983" s="10">
        <f>IF(I983="","",IF(I983="OK",IF(COUNTIFS(H984:H$3001,H983,B984:B$3001,B983,G984:G$3001,"")=0,C983,0),0))</f>
        <v/>
      </c>
    </row>
    <row r="984">
      <c r="A984" s="6" t="n"/>
      <c r="B984" s="9" t="n"/>
      <c r="C984" s="6" t="n"/>
      <c r="D984" s="6" t="n"/>
      <c r="E984" s="6" t="n"/>
      <c r="F984" s="6" t="n"/>
      <c r="G984" s="6" t="n"/>
      <c r="H984" s="10">
        <f>IF(F984="","",IFERROR(INDEX(Roster!$A$2:$A$600,MATCH(F984,Roster!$E$2:$E$600,0)),""))</f>
        <v/>
      </c>
      <c r="I984" s="10">
        <f>IF(AND(D984="",C984="",F984=""),"",IF(G984&lt;&gt;"","Void",IF(F984="","Needs child",IF(H984="","Child not found",IF(OR(B984="",NOT(ISNUMBER(C984))),"Needs month/pages","OK")))))</f>
        <v/>
      </c>
      <c r="J984" s="10">
        <f>IF(I984="","",IF(I984="OK",IF(COUNTIFS(H985:H$3001,H984,B985:B$3001,B984,G985:G$3001,"")=0,C984,0),0))</f>
        <v/>
      </c>
    </row>
    <row r="985">
      <c r="A985" s="6" t="n"/>
      <c r="B985" s="9" t="n"/>
      <c r="C985" s="6" t="n"/>
      <c r="D985" s="6" t="n"/>
      <c r="E985" s="6" t="n"/>
      <c r="F985" s="6" t="n"/>
      <c r="G985" s="6" t="n"/>
      <c r="H985" s="10">
        <f>IF(F985="","",IFERROR(INDEX(Roster!$A$2:$A$600,MATCH(F985,Roster!$E$2:$E$600,0)),""))</f>
        <v/>
      </c>
      <c r="I985" s="10">
        <f>IF(AND(D985="",C985="",F985=""),"",IF(G985&lt;&gt;"","Void",IF(F985="","Needs child",IF(H985="","Child not found",IF(OR(B985="",NOT(ISNUMBER(C985))),"Needs month/pages","OK")))))</f>
        <v/>
      </c>
      <c r="J985" s="10">
        <f>IF(I985="","",IF(I985="OK",IF(COUNTIFS(H986:H$3001,H985,B986:B$3001,B985,G986:G$3001,"")=0,C985,0),0))</f>
        <v/>
      </c>
    </row>
    <row r="986">
      <c r="A986" s="6" t="n"/>
      <c r="B986" s="9" t="n"/>
      <c r="C986" s="6" t="n"/>
      <c r="D986" s="6" t="n"/>
      <c r="E986" s="6" t="n"/>
      <c r="F986" s="6" t="n"/>
      <c r="G986" s="6" t="n"/>
      <c r="H986" s="10">
        <f>IF(F986="","",IFERROR(INDEX(Roster!$A$2:$A$600,MATCH(F986,Roster!$E$2:$E$600,0)),""))</f>
        <v/>
      </c>
      <c r="I986" s="10">
        <f>IF(AND(D986="",C986="",F986=""),"",IF(G986&lt;&gt;"","Void",IF(F986="","Needs child",IF(H986="","Child not found",IF(OR(B986="",NOT(ISNUMBER(C986))),"Needs month/pages","OK")))))</f>
        <v/>
      </c>
      <c r="J986" s="10">
        <f>IF(I986="","",IF(I986="OK",IF(COUNTIFS(H987:H$3001,H986,B987:B$3001,B986,G987:G$3001,"")=0,C986,0),0))</f>
        <v/>
      </c>
    </row>
    <row r="987">
      <c r="A987" s="6" t="n"/>
      <c r="B987" s="9" t="n"/>
      <c r="C987" s="6" t="n"/>
      <c r="D987" s="6" t="n"/>
      <c r="E987" s="6" t="n"/>
      <c r="F987" s="6" t="n"/>
      <c r="G987" s="6" t="n"/>
      <c r="H987" s="10">
        <f>IF(F987="","",IFERROR(INDEX(Roster!$A$2:$A$600,MATCH(F987,Roster!$E$2:$E$600,0)),""))</f>
        <v/>
      </c>
      <c r="I987" s="10">
        <f>IF(AND(D987="",C987="",F987=""),"",IF(G987&lt;&gt;"","Void",IF(F987="","Needs child",IF(H987="","Child not found",IF(OR(B987="",NOT(ISNUMBER(C987))),"Needs month/pages","OK")))))</f>
        <v/>
      </c>
      <c r="J987" s="10">
        <f>IF(I987="","",IF(I987="OK",IF(COUNTIFS(H988:H$3001,H987,B988:B$3001,B987,G988:G$3001,"")=0,C987,0),0))</f>
        <v/>
      </c>
    </row>
    <row r="988">
      <c r="A988" s="6" t="n"/>
      <c r="B988" s="9" t="n"/>
      <c r="C988" s="6" t="n"/>
      <c r="D988" s="6" t="n"/>
      <c r="E988" s="6" t="n"/>
      <c r="F988" s="6" t="n"/>
      <c r="G988" s="6" t="n"/>
      <c r="H988" s="10">
        <f>IF(F988="","",IFERROR(INDEX(Roster!$A$2:$A$600,MATCH(F988,Roster!$E$2:$E$600,0)),""))</f>
        <v/>
      </c>
      <c r="I988" s="10">
        <f>IF(AND(D988="",C988="",F988=""),"",IF(G988&lt;&gt;"","Void",IF(F988="","Needs child",IF(H988="","Child not found",IF(OR(B988="",NOT(ISNUMBER(C988))),"Needs month/pages","OK")))))</f>
        <v/>
      </c>
      <c r="J988" s="10">
        <f>IF(I988="","",IF(I988="OK",IF(COUNTIFS(H989:H$3001,H988,B989:B$3001,B988,G989:G$3001,"")=0,C988,0),0))</f>
        <v/>
      </c>
    </row>
    <row r="989">
      <c r="A989" s="6" t="n"/>
      <c r="B989" s="9" t="n"/>
      <c r="C989" s="6" t="n"/>
      <c r="D989" s="6" t="n"/>
      <c r="E989" s="6" t="n"/>
      <c r="F989" s="6" t="n"/>
      <c r="G989" s="6" t="n"/>
      <c r="H989" s="10">
        <f>IF(F989="","",IFERROR(INDEX(Roster!$A$2:$A$600,MATCH(F989,Roster!$E$2:$E$600,0)),""))</f>
        <v/>
      </c>
      <c r="I989" s="10">
        <f>IF(AND(D989="",C989="",F989=""),"",IF(G989&lt;&gt;"","Void",IF(F989="","Needs child",IF(H989="","Child not found",IF(OR(B989="",NOT(ISNUMBER(C989))),"Needs month/pages","OK")))))</f>
        <v/>
      </c>
      <c r="J989" s="10">
        <f>IF(I989="","",IF(I989="OK",IF(COUNTIFS(H990:H$3001,H989,B990:B$3001,B989,G990:G$3001,"")=0,C989,0),0))</f>
        <v/>
      </c>
    </row>
    <row r="990">
      <c r="A990" s="6" t="n"/>
      <c r="B990" s="9" t="n"/>
      <c r="C990" s="6" t="n"/>
      <c r="D990" s="6" t="n"/>
      <c r="E990" s="6" t="n"/>
      <c r="F990" s="6" t="n"/>
      <c r="G990" s="6" t="n"/>
      <c r="H990" s="10">
        <f>IF(F990="","",IFERROR(INDEX(Roster!$A$2:$A$600,MATCH(F990,Roster!$E$2:$E$600,0)),""))</f>
        <v/>
      </c>
      <c r="I990" s="10">
        <f>IF(AND(D990="",C990="",F990=""),"",IF(G990&lt;&gt;"","Void",IF(F990="","Needs child",IF(H990="","Child not found",IF(OR(B990="",NOT(ISNUMBER(C990))),"Needs month/pages","OK")))))</f>
        <v/>
      </c>
      <c r="J990" s="10">
        <f>IF(I990="","",IF(I990="OK",IF(COUNTIFS(H991:H$3001,H990,B991:B$3001,B990,G991:G$3001,"")=0,C990,0),0))</f>
        <v/>
      </c>
    </row>
    <row r="991">
      <c r="A991" s="6" t="n"/>
      <c r="B991" s="9" t="n"/>
      <c r="C991" s="6" t="n"/>
      <c r="D991" s="6" t="n"/>
      <c r="E991" s="6" t="n"/>
      <c r="F991" s="6" t="n"/>
      <c r="G991" s="6" t="n"/>
      <c r="H991" s="10">
        <f>IF(F991="","",IFERROR(INDEX(Roster!$A$2:$A$600,MATCH(F991,Roster!$E$2:$E$600,0)),""))</f>
        <v/>
      </c>
      <c r="I991" s="10">
        <f>IF(AND(D991="",C991="",F991=""),"",IF(G991&lt;&gt;"","Void",IF(F991="","Needs child",IF(H991="","Child not found",IF(OR(B991="",NOT(ISNUMBER(C991))),"Needs month/pages","OK")))))</f>
        <v/>
      </c>
      <c r="J991" s="10">
        <f>IF(I991="","",IF(I991="OK",IF(COUNTIFS(H992:H$3001,H991,B992:B$3001,B991,G992:G$3001,"")=0,C991,0),0))</f>
        <v/>
      </c>
    </row>
    <row r="992">
      <c r="A992" s="6" t="n"/>
      <c r="B992" s="9" t="n"/>
      <c r="C992" s="6" t="n"/>
      <c r="D992" s="6" t="n"/>
      <c r="E992" s="6" t="n"/>
      <c r="F992" s="6" t="n"/>
      <c r="G992" s="6" t="n"/>
      <c r="H992" s="10">
        <f>IF(F992="","",IFERROR(INDEX(Roster!$A$2:$A$600,MATCH(F992,Roster!$E$2:$E$600,0)),""))</f>
        <v/>
      </c>
      <c r="I992" s="10">
        <f>IF(AND(D992="",C992="",F992=""),"",IF(G992&lt;&gt;"","Void",IF(F992="","Needs child",IF(H992="","Child not found",IF(OR(B992="",NOT(ISNUMBER(C992))),"Needs month/pages","OK")))))</f>
        <v/>
      </c>
      <c r="J992" s="10">
        <f>IF(I992="","",IF(I992="OK",IF(COUNTIFS(H993:H$3001,H992,B993:B$3001,B992,G993:G$3001,"")=0,C992,0),0))</f>
        <v/>
      </c>
    </row>
    <row r="993">
      <c r="A993" s="6" t="n"/>
      <c r="B993" s="9" t="n"/>
      <c r="C993" s="6" t="n"/>
      <c r="D993" s="6" t="n"/>
      <c r="E993" s="6" t="n"/>
      <c r="F993" s="6" t="n"/>
      <c r="G993" s="6" t="n"/>
      <c r="H993" s="10">
        <f>IF(F993="","",IFERROR(INDEX(Roster!$A$2:$A$600,MATCH(F993,Roster!$E$2:$E$600,0)),""))</f>
        <v/>
      </c>
      <c r="I993" s="10">
        <f>IF(AND(D993="",C993="",F993=""),"",IF(G993&lt;&gt;"","Void",IF(F993="","Needs child",IF(H993="","Child not found",IF(OR(B993="",NOT(ISNUMBER(C993))),"Needs month/pages","OK")))))</f>
        <v/>
      </c>
      <c r="J993" s="10">
        <f>IF(I993="","",IF(I993="OK",IF(COUNTIFS(H994:H$3001,H993,B994:B$3001,B993,G994:G$3001,"")=0,C993,0),0))</f>
        <v/>
      </c>
    </row>
    <row r="994">
      <c r="A994" s="6" t="n"/>
      <c r="B994" s="9" t="n"/>
      <c r="C994" s="6" t="n"/>
      <c r="D994" s="6" t="n"/>
      <c r="E994" s="6" t="n"/>
      <c r="F994" s="6" t="n"/>
      <c r="G994" s="6" t="n"/>
      <c r="H994" s="10">
        <f>IF(F994="","",IFERROR(INDEX(Roster!$A$2:$A$600,MATCH(F994,Roster!$E$2:$E$600,0)),""))</f>
        <v/>
      </c>
      <c r="I994" s="10">
        <f>IF(AND(D994="",C994="",F994=""),"",IF(G994&lt;&gt;"","Void",IF(F994="","Needs child",IF(H994="","Child not found",IF(OR(B994="",NOT(ISNUMBER(C994))),"Needs month/pages","OK")))))</f>
        <v/>
      </c>
      <c r="J994" s="10">
        <f>IF(I994="","",IF(I994="OK",IF(COUNTIFS(H995:H$3001,H994,B995:B$3001,B994,G995:G$3001,"")=0,C994,0),0))</f>
        <v/>
      </c>
    </row>
    <row r="995">
      <c r="A995" s="6" t="n"/>
      <c r="B995" s="9" t="n"/>
      <c r="C995" s="6" t="n"/>
      <c r="D995" s="6" t="n"/>
      <c r="E995" s="6" t="n"/>
      <c r="F995" s="6" t="n"/>
      <c r="G995" s="6" t="n"/>
      <c r="H995" s="10">
        <f>IF(F995="","",IFERROR(INDEX(Roster!$A$2:$A$600,MATCH(F995,Roster!$E$2:$E$600,0)),""))</f>
        <v/>
      </c>
      <c r="I995" s="10">
        <f>IF(AND(D995="",C995="",F995=""),"",IF(G995&lt;&gt;"","Void",IF(F995="","Needs child",IF(H995="","Child not found",IF(OR(B995="",NOT(ISNUMBER(C995))),"Needs month/pages","OK")))))</f>
        <v/>
      </c>
      <c r="J995" s="10">
        <f>IF(I995="","",IF(I995="OK",IF(COUNTIFS(H996:H$3001,H995,B996:B$3001,B995,G996:G$3001,"")=0,C995,0),0))</f>
        <v/>
      </c>
    </row>
    <row r="996">
      <c r="A996" s="6" t="n"/>
      <c r="B996" s="9" t="n"/>
      <c r="C996" s="6" t="n"/>
      <c r="D996" s="6" t="n"/>
      <c r="E996" s="6" t="n"/>
      <c r="F996" s="6" t="n"/>
      <c r="G996" s="6" t="n"/>
      <c r="H996" s="10">
        <f>IF(F996="","",IFERROR(INDEX(Roster!$A$2:$A$600,MATCH(F996,Roster!$E$2:$E$600,0)),""))</f>
        <v/>
      </c>
      <c r="I996" s="10">
        <f>IF(AND(D996="",C996="",F996=""),"",IF(G996&lt;&gt;"","Void",IF(F996="","Needs child",IF(H996="","Child not found",IF(OR(B996="",NOT(ISNUMBER(C996))),"Needs month/pages","OK")))))</f>
        <v/>
      </c>
      <c r="J996" s="10">
        <f>IF(I996="","",IF(I996="OK",IF(COUNTIFS(H997:H$3001,H996,B997:B$3001,B996,G997:G$3001,"")=0,C996,0),0))</f>
        <v/>
      </c>
    </row>
    <row r="997">
      <c r="A997" s="6" t="n"/>
      <c r="B997" s="9" t="n"/>
      <c r="C997" s="6" t="n"/>
      <c r="D997" s="6" t="n"/>
      <c r="E997" s="6" t="n"/>
      <c r="F997" s="6" t="n"/>
      <c r="G997" s="6" t="n"/>
      <c r="H997" s="10">
        <f>IF(F997="","",IFERROR(INDEX(Roster!$A$2:$A$600,MATCH(F997,Roster!$E$2:$E$600,0)),""))</f>
        <v/>
      </c>
      <c r="I997" s="10">
        <f>IF(AND(D997="",C997="",F997=""),"",IF(G997&lt;&gt;"","Void",IF(F997="","Needs child",IF(H997="","Child not found",IF(OR(B997="",NOT(ISNUMBER(C997))),"Needs month/pages","OK")))))</f>
        <v/>
      </c>
      <c r="J997" s="10">
        <f>IF(I997="","",IF(I997="OK",IF(COUNTIFS(H998:H$3001,H997,B998:B$3001,B997,G998:G$3001,"")=0,C997,0),0))</f>
        <v/>
      </c>
    </row>
    <row r="998">
      <c r="A998" s="6" t="n"/>
      <c r="B998" s="9" t="n"/>
      <c r="C998" s="6" t="n"/>
      <c r="D998" s="6" t="n"/>
      <c r="E998" s="6" t="n"/>
      <c r="F998" s="6" t="n"/>
      <c r="G998" s="6" t="n"/>
      <c r="H998" s="10">
        <f>IF(F998="","",IFERROR(INDEX(Roster!$A$2:$A$600,MATCH(F998,Roster!$E$2:$E$600,0)),""))</f>
        <v/>
      </c>
      <c r="I998" s="10">
        <f>IF(AND(D998="",C998="",F998=""),"",IF(G998&lt;&gt;"","Void",IF(F998="","Needs child",IF(H998="","Child not found",IF(OR(B998="",NOT(ISNUMBER(C998))),"Needs month/pages","OK")))))</f>
        <v/>
      </c>
      <c r="J998" s="10">
        <f>IF(I998="","",IF(I998="OK",IF(COUNTIFS(H999:H$3001,H998,B999:B$3001,B998,G999:G$3001,"")=0,C998,0),0))</f>
        <v/>
      </c>
    </row>
    <row r="999">
      <c r="A999" s="6" t="n"/>
      <c r="B999" s="9" t="n"/>
      <c r="C999" s="6" t="n"/>
      <c r="D999" s="6" t="n"/>
      <c r="E999" s="6" t="n"/>
      <c r="F999" s="6" t="n"/>
      <c r="G999" s="6" t="n"/>
      <c r="H999" s="10">
        <f>IF(F999="","",IFERROR(INDEX(Roster!$A$2:$A$600,MATCH(F999,Roster!$E$2:$E$600,0)),""))</f>
        <v/>
      </c>
      <c r="I999" s="10">
        <f>IF(AND(D999="",C999="",F999=""),"",IF(G999&lt;&gt;"","Void",IF(F999="","Needs child",IF(H999="","Child not found",IF(OR(B999="",NOT(ISNUMBER(C999))),"Needs month/pages","OK")))))</f>
        <v/>
      </c>
      <c r="J999" s="10">
        <f>IF(I999="","",IF(I999="OK",IF(COUNTIFS(H1000:H$3001,H999,B1000:B$3001,B999,G1000:G$3001,"")=0,C999,0),0))</f>
        <v/>
      </c>
    </row>
    <row r="1000">
      <c r="A1000" s="6" t="n"/>
      <c r="B1000" s="9" t="n"/>
      <c r="C1000" s="6" t="n"/>
      <c r="D1000" s="6" t="n"/>
      <c r="E1000" s="6" t="n"/>
      <c r="F1000" s="6" t="n"/>
      <c r="G1000" s="6" t="n"/>
      <c r="H1000" s="10">
        <f>IF(F1000="","",IFERROR(INDEX(Roster!$A$2:$A$600,MATCH(F1000,Roster!$E$2:$E$600,0)),""))</f>
        <v/>
      </c>
      <c r="I1000" s="10">
        <f>IF(AND(D1000="",C1000="",F1000=""),"",IF(G1000&lt;&gt;"","Void",IF(F1000="","Needs child",IF(H1000="","Child not found",IF(OR(B1000="",NOT(ISNUMBER(C1000))),"Needs month/pages","OK")))))</f>
        <v/>
      </c>
      <c r="J1000" s="10">
        <f>IF(I1000="","",IF(I1000="OK",IF(COUNTIFS(H1001:H$3001,H1000,B1001:B$3001,B1000,G1001:G$3001,"")=0,C1000,0),0))</f>
        <v/>
      </c>
    </row>
    <row r="1001">
      <c r="A1001" s="6" t="n"/>
      <c r="B1001" s="9" t="n"/>
      <c r="C1001" s="6" t="n"/>
      <c r="D1001" s="6" t="n"/>
      <c r="E1001" s="6" t="n"/>
      <c r="F1001" s="6" t="n"/>
      <c r="G1001" s="6" t="n"/>
      <c r="H1001" s="10">
        <f>IF(F1001="","",IFERROR(INDEX(Roster!$A$2:$A$600,MATCH(F1001,Roster!$E$2:$E$600,0)),""))</f>
        <v/>
      </c>
      <c r="I1001" s="10">
        <f>IF(AND(D1001="",C1001="",F1001=""),"",IF(G1001&lt;&gt;"","Void",IF(F1001="","Needs child",IF(H1001="","Child not found",IF(OR(B1001="",NOT(ISNUMBER(C1001))),"Needs month/pages","OK")))))</f>
        <v/>
      </c>
      <c r="J1001" s="10">
        <f>IF(I1001="","",IF(I1001="OK",IF(COUNTIFS(H1002:H$3001,H1001,B1002:B$3001,B1001,G1002:G$3001,"")=0,C1001,0),0))</f>
        <v/>
      </c>
    </row>
    <row r="1002">
      <c r="A1002" s="6" t="n"/>
      <c r="B1002" s="9" t="n"/>
      <c r="C1002" s="6" t="n"/>
      <c r="D1002" s="6" t="n"/>
      <c r="E1002" s="6" t="n"/>
      <c r="F1002" s="6" t="n"/>
      <c r="G1002" s="6" t="n"/>
      <c r="H1002" s="10">
        <f>IF(F1002="","",IFERROR(INDEX(Roster!$A$2:$A$600,MATCH(F1002,Roster!$E$2:$E$600,0)),""))</f>
        <v/>
      </c>
      <c r="I1002" s="10">
        <f>IF(AND(D1002="",C1002="",F1002=""),"",IF(G1002&lt;&gt;"","Void",IF(F1002="","Needs child",IF(H1002="","Child not found",IF(OR(B1002="",NOT(ISNUMBER(C1002))),"Needs month/pages","OK")))))</f>
        <v/>
      </c>
      <c r="J1002" s="10">
        <f>IF(I1002="","",IF(I1002="OK",IF(COUNTIFS(H1003:H$3001,H1002,B1003:B$3001,B1002,G1003:G$3001,"")=0,C1002,0),0))</f>
        <v/>
      </c>
    </row>
    <row r="1003">
      <c r="A1003" s="6" t="n"/>
      <c r="B1003" s="9" t="n"/>
      <c r="C1003" s="6" t="n"/>
      <c r="D1003" s="6" t="n"/>
      <c r="E1003" s="6" t="n"/>
      <c r="F1003" s="6" t="n"/>
      <c r="G1003" s="6" t="n"/>
      <c r="H1003" s="10">
        <f>IF(F1003="","",IFERROR(INDEX(Roster!$A$2:$A$600,MATCH(F1003,Roster!$E$2:$E$600,0)),""))</f>
        <v/>
      </c>
      <c r="I1003" s="10">
        <f>IF(AND(D1003="",C1003="",F1003=""),"",IF(G1003&lt;&gt;"","Void",IF(F1003="","Needs child",IF(H1003="","Child not found",IF(OR(B1003="",NOT(ISNUMBER(C1003))),"Needs month/pages","OK")))))</f>
        <v/>
      </c>
      <c r="J1003" s="10">
        <f>IF(I1003="","",IF(I1003="OK",IF(COUNTIFS(H1004:H$3001,H1003,B1004:B$3001,B1003,G1004:G$3001,"")=0,C1003,0),0))</f>
        <v/>
      </c>
    </row>
    <row r="1004">
      <c r="A1004" s="6" t="n"/>
      <c r="B1004" s="9" t="n"/>
      <c r="C1004" s="6" t="n"/>
      <c r="D1004" s="6" t="n"/>
      <c r="E1004" s="6" t="n"/>
      <c r="F1004" s="6" t="n"/>
      <c r="G1004" s="6" t="n"/>
      <c r="H1004" s="10">
        <f>IF(F1004="","",IFERROR(INDEX(Roster!$A$2:$A$600,MATCH(F1004,Roster!$E$2:$E$600,0)),""))</f>
        <v/>
      </c>
      <c r="I1004" s="10">
        <f>IF(AND(D1004="",C1004="",F1004=""),"",IF(G1004&lt;&gt;"","Void",IF(F1004="","Needs child",IF(H1004="","Child not found",IF(OR(B1004="",NOT(ISNUMBER(C1004))),"Needs month/pages","OK")))))</f>
        <v/>
      </c>
      <c r="J1004" s="10">
        <f>IF(I1004="","",IF(I1004="OK",IF(COUNTIFS(H1005:H$3001,H1004,B1005:B$3001,B1004,G1005:G$3001,"")=0,C1004,0),0))</f>
        <v/>
      </c>
    </row>
    <row r="1005">
      <c r="A1005" s="6" t="n"/>
      <c r="B1005" s="9" t="n"/>
      <c r="C1005" s="6" t="n"/>
      <c r="D1005" s="6" t="n"/>
      <c r="E1005" s="6" t="n"/>
      <c r="F1005" s="6" t="n"/>
      <c r="G1005" s="6" t="n"/>
      <c r="H1005" s="10">
        <f>IF(F1005="","",IFERROR(INDEX(Roster!$A$2:$A$600,MATCH(F1005,Roster!$E$2:$E$600,0)),""))</f>
        <v/>
      </c>
      <c r="I1005" s="10">
        <f>IF(AND(D1005="",C1005="",F1005=""),"",IF(G1005&lt;&gt;"","Void",IF(F1005="","Needs child",IF(H1005="","Child not found",IF(OR(B1005="",NOT(ISNUMBER(C1005))),"Needs month/pages","OK")))))</f>
        <v/>
      </c>
      <c r="J1005" s="10">
        <f>IF(I1005="","",IF(I1005="OK",IF(COUNTIFS(H1006:H$3001,H1005,B1006:B$3001,B1005,G1006:G$3001,"")=0,C1005,0),0))</f>
        <v/>
      </c>
    </row>
    <row r="1006">
      <c r="A1006" s="6" t="n"/>
      <c r="B1006" s="9" t="n"/>
      <c r="C1006" s="6" t="n"/>
      <c r="D1006" s="6" t="n"/>
      <c r="E1006" s="6" t="n"/>
      <c r="F1006" s="6" t="n"/>
      <c r="G1006" s="6" t="n"/>
      <c r="H1006" s="10">
        <f>IF(F1006="","",IFERROR(INDEX(Roster!$A$2:$A$600,MATCH(F1006,Roster!$E$2:$E$600,0)),""))</f>
        <v/>
      </c>
      <c r="I1006" s="10">
        <f>IF(AND(D1006="",C1006="",F1006=""),"",IF(G1006&lt;&gt;"","Void",IF(F1006="","Needs child",IF(H1006="","Child not found",IF(OR(B1006="",NOT(ISNUMBER(C1006))),"Needs month/pages","OK")))))</f>
        <v/>
      </c>
      <c r="J1006" s="10">
        <f>IF(I1006="","",IF(I1006="OK",IF(COUNTIFS(H1007:H$3001,H1006,B1007:B$3001,B1006,G1007:G$3001,"")=0,C1006,0),0))</f>
        <v/>
      </c>
    </row>
    <row r="1007">
      <c r="A1007" s="6" t="n"/>
      <c r="B1007" s="9" t="n"/>
      <c r="C1007" s="6" t="n"/>
      <c r="D1007" s="6" t="n"/>
      <c r="E1007" s="6" t="n"/>
      <c r="F1007" s="6" t="n"/>
      <c r="G1007" s="6" t="n"/>
      <c r="H1007" s="10">
        <f>IF(F1007="","",IFERROR(INDEX(Roster!$A$2:$A$600,MATCH(F1007,Roster!$E$2:$E$600,0)),""))</f>
        <v/>
      </c>
      <c r="I1007" s="10">
        <f>IF(AND(D1007="",C1007="",F1007=""),"",IF(G1007&lt;&gt;"","Void",IF(F1007="","Needs child",IF(H1007="","Child not found",IF(OR(B1007="",NOT(ISNUMBER(C1007))),"Needs month/pages","OK")))))</f>
        <v/>
      </c>
      <c r="J1007" s="10">
        <f>IF(I1007="","",IF(I1007="OK",IF(COUNTIFS(H1008:H$3001,H1007,B1008:B$3001,B1007,G1008:G$3001,"")=0,C1007,0),0))</f>
        <v/>
      </c>
    </row>
    <row r="1008">
      <c r="A1008" s="6" t="n"/>
      <c r="B1008" s="9" t="n"/>
      <c r="C1008" s="6" t="n"/>
      <c r="D1008" s="6" t="n"/>
      <c r="E1008" s="6" t="n"/>
      <c r="F1008" s="6" t="n"/>
      <c r="G1008" s="6" t="n"/>
      <c r="H1008" s="10">
        <f>IF(F1008="","",IFERROR(INDEX(Roster!$A$2:$A$600,MATCH(F1008,Roster!$E$2:$E$600,0)),""))</f>
        <v/>
      </c>
      <c r="I1008" s="10">
        <f>IF(AND(D1008="",C1008="",F1008=""),"",IF(G1008&lt;&gt;"","Void",IF(F1008="","Needs child",IF(H1008="","Child not found",IF(OR(B1008="",NOT(ISNUMBER(C1008))),"Needs month/pages","OK")))))</f>
        <v/>
      </c>
      <c r="J1008" s="10">
        <f>IF(I1008="","",IF(I1008="OK",IF(COUNTIFS(H1009:H$3001,H1008,B1009:B$3001,B1008,G1009:G$3001,"")=0,C1008,0),0))</f>
        <v/>
      </c>
    </row>
    <row r="1009">
      <c r="A1009" s="6" t="n"/>
      <c r="B1009" s="9" t="n"/>
      <c r="C1009" s="6" t="n"/>
      <c r="D1009" s="6" t="n"/>
      <c r="E1009" s="6" t="n"/>
      <c r="F1009" s="6" t="n"/>
      <c r="G1009" s="6" t="n"/>
      <c r="H1009" s="10">
        <f>IF(F1009="","",IFERROR(INDEX(Roster!$A$2:$A$600,MATCH(F1009,Roster!$E$2:$E$600,0)),""))</f>
        <v/>
      </c>
      <c r="I1009" s="10">
        <f>IF(AND(D1009="",C1009="",F1009=""),"",IF(G1009&lt;&gt;"","Void",IF(F1009="","Needs child",IF(H1009="","Child not found",IF(OR(B1009="",NOT(ISNUMBER(C1009))),"Needs month/pages","OK")))))</f>
        <v/>
      </c>
      <c r="J1009" s="10">
        <f>IF(I1009="","",IF(I1009="OK",IF(COUNTIFS(H1010:H$3001,H1009,B1010:B$3001,B1009,G1010:G$3001,"")=0,C1009,0),0))</f>
        <v/>
      </c>
    </row>
    <row r="1010">
      <c r="A1010" s="6" t="n"/>
      <c r="B1010" s="9" t="n"/>
      <c r="C1010" s="6" t="n"/>
      <c r="D1010" s="6" t="n"/>
      <c r="E1010" s="6" t="n"/>
      <c r="F1010" s="6" t="n"/>
      <c r="G1010" s="6" t="n"/>
      <c r="H1010" s="10">
        <f>IF(F1010="","",IFERROR(INDEX(Roster!$A$2:$A$600,MATCH(F1010,Roster!$E$2:$E$600,0)),""))</f>
        <v/>
      </c>
      <c r="I1010" s="10">
        <f>IF(AND(D1010="",C1010="",F1010=""),"",IF(G1010&lt;&gt;"","Void",IF(F1010="","Needs child",IF(H1010="","Child not found",IF(OR(B1010="",NOT(ISNUMBER(C1010))),"Needs month/pages","OK")))))</f>
        <v/>
      </c>
      <c r="J1010" s="10">
        <f>IF(I1010="","",IF(I1010="OK",IF(COUNTIFS(H1011:H$3001,H1010,B1011:B$3001,B1010,G1011:G$3001,"")=0,C1010,0),0))</f>
        <v/>
      </c>
    </row>
    <row r="1011">
      <c r="A1011" s="6" t="n"/>
      <c r="B1011" s="9" t="n"/>
      <c r="C1011" s="6" t="n"/>
      <c r="D1011" s="6" t="n"/>
      <c r="E1011" s="6" t="n"/>
      <c r="F1011" s="6" t="n"/>
      <c r="G1011" s="6" t="n"/>
      <c r="H1011" s="10">
        <f>IF(F1011="","",IFERROR(INDEX(Roster!$A$2:$A$600,MATCH(F1011,Roster!$E$2:$E$600,0)),""))</f>
        <v/>
      </c>
      <c r="I1011" s="10">
        <f>IF(AND(D1011="",C1011="",F1011=""),"",IF(G1011&lt;&gt;"","Void",IF(F1011="","Needs child",IF(H1011="","Child not found",IF(OR(B1011="",NOT(ISNUMBER(C1011))),"Needs month/pages","OK")))))</f>
        <v/>
      </c>
      <c r="J1011" s="10">
        <f>IF(I1011="","",IF(I1011="OK",IF(COUNTIFS(H1012:H$3001,H1011,B1012:B$3001,B1011,G1012:G$3001,"")=0,C1011,0),0))</f>
        <v/>
      </c>
    </row>
    <row r="1012">
      <c r="A1012" s="6" t="n"/>
      <c r="B1012" s="9" t="n"/>
      <c r="C1012" s="6" t="n"/>
      <c r="D1012" s="6" t="n"/>
      <c r="E1012" s="6" t="n"/>
      <c r="F1012" s="6" t="n"/>
      <c r="G1012" s="6" t="n"/>
      <c r="H1012" s="10">
        <f>IF(F1012="","",IFERROR(INDEX(Roster!$A$2:$A$600,MATCH(F1012,Roster!$E$2:$E$600,0)),""))</f>
        <v/>
      </c>
      <c r="I1012" s="10">
        <f>IF(AND(D1012="",C1012="",F1012=""),"",IF(G1012&lt;&gt;"","Void",IF(F1012="","Needs child",IF(H1012="","Child not found",IF(OR(B1012="",NOT(ISNUMBER(C1012))),"Needs month/pages","OK")))))</f>
        <v/>
      </c>
      <c r="J1012" s="10">
        <f>IF(I1012="","",IF(I1012="OK",IF(COUNTIFS(H1013:H$3001,H1012,B1013:B$3001,B1012,G1013:G$3001,"")=0,C1012,0),0))</f>
        <v/>
      </c>
    </row>
    <row r="1013">
      <c r="A1013" s="6" t="n"/>
      <c r="B1013" s="9" t="n"/>
      <c r="C1013" s="6" t="n"/>
      <c r="D1013" s="6" t="n"/>
      <c r="E1013" s="6" t="n"/>
      <c r="F1013" s="6" t="n"/>
      <c r="G1013" s="6" t="n"/>
      <c r="H1013" s="10">
        <f>IF(F1013="","",IFERROR(INDEX(Roster!$A$2:$A$600,MATCH(F1013,Roster!$E$2:$E$600,0)),""))</f>
        <v/>
      </c>
      <c r="I1013" s="10">
        <f>IF(AND(D1013="",C1013="",F1013=""),"",IF(G1013&lt;&gt;"","Void",IF(F1013="","Needs child",IF(H1013="","Child not found",IF(OR(B1013="",NOT(ISNUMBER(C1013))),"Needs month/pages","OK")))))</f>
        <v/>
      </c>
      <c r="J1013" s="10">
        <f>IF(I1013="","",IF(I1013="OK",IF(COUNTIFS(H1014:H$3001,H1013,B1014:B$3001,B1013,G1014:G$3001,"")=0,C1013,0),0))</f>
        <v/>
      </c>
    </row>
    <row r="1014">
      <c r="A1014" s="6" t="n"/>
      <c r="B1014" s="9" t="n"/>
      <c r="C1014" s="6" t="n"/>
      <c r="D1014" s="6" t="n"/>
      <c r="E1014" s="6" t="n"/>
      <c r="F1014" s="6" t="n"/>
      <c r="G1014" s="6" t="n"/>
      <c r="H1014" s="10">
        <f>IF(F1014="","",IFERROR(INDEX(Roster!$A$2:$A$600,MATCH(F1014,Roster!$E$2:$E$600,0)),""))</f>
        <v/>
      </c>
      <c r="I1014" s="10">
        <f>IF(AND(D1014="",C1014="",F1014=""),"",IF(G1014&lt;&gt;"","Void",IF(F1014="","Needs child",IF(H1014="","Child not found",IF(OR(B1014="",NOT(ISNUMBER(C1014))),"Needs month/pages","OK")))))</f>
        <v/>
      </c>
      <c r="J1014" s="10">
        <f>IF(I1014="","",IF(I1014="OK",IF(COUNTIFS(H1015:H$3001,H1014,B1015:B$3001,B1014,G1015:G$3001,"")=0,C1014,0),0))</f>
        <v/>
      </c>
    </row>
    <row r="1015">
      <c r="A1015" s="6" t="n"/>
      <c r="B1015" s="9" t="n"/>
      <c r="C1015" s="6" t="n"/>
      <c r="D1015" s="6" t="n"/>
      <c r="E1015" s="6" t="n"/>
      <c r="F1015" s="6" t="n"/>
      <c r="G1015" s="6" t="n"/>
      <c r="H1015" s="10">
        <f>IF(F1015="","",IFERROR(INDEX(Roster!$A$2:$A$600,MATCH(F1015,Roster!$E$2:$E$600,0)),""))</f>
        <v/>
      </c>
      <c r="I1015" s="10">
        <f>IF(AND(D1015="",C1015="",F1015=""),"",IF(G1015&lt;&gt;"","Void",IF(F1015="","Needs child",IF(H1015="","Child not found",IF(OR(B1015="",NOT(ISNUMBER(C1015))),"Needs month/pages","OK")))))</f>
        <v/>
      </c>
      <c r="J1015" s="10">
        <f>IF(I1015="","",IF(I1015="OK",IF(COUNTIFS(H1016:H$3001,H1015,B1016:B$3001,B1015,G1016:G$3001,"")=0,C1015,0),0))</f>
        <v/>
      </c>
    </row>
    <row r="1016">
      <c r="A1016" s="6" t="n"/>
      <c r="B1016" s="9" t="n"/>
      <c r="C1016" s="6" t="n"/>
      <c r="D1016" s="6" t="n"/>
      <c r="E1016" s="6" t="n"/>
      <c r="F1016" s="6" t="n"/>
      <c r="G1016" s="6" t="n"/>
      <c r="H1016" s="10">
        <f>IF(F1016="","",IFERROR(INDEX(Roster!$A$2:$A$600,MATCH(F1016,Roster!$E$2:$E$600,0)),""))</f>
        <v/>
      </c>
      <c r="I1016" s="10">
        <f>IF(AND(D1016="",C1016="",F1016=""),"",IF(G1016&lt;&gt;"","Void",IF(F1016="","Needs child",IF(H1016="","Child not found",IF(OR(B1016="",NOT(ISNUMBER(C1016))),"Needs month/pages","OK")))))</f>
        <v/>
      </c>
      <c r="J1016" s="10">
        <f>IF(I1016="","",IF(I1016="OK",IF(COUNTIFS(H1017:H$3001,H1016,B1017:B$3001,B1016,G1017:G$3001,"")=0,C1016,0),0))</f>
        <v/>
      </c>
    </row>
    <row r="1017">
      <c r="A1017" s="6" t="n"/>
      <c r="B1017" s="9" t="n"/>
      <c r="C1017" s="6" t="n"/>
      <c r="D1017" s="6" t="n"/>
      <c r="E1017" s="6" t="n"/>
      <c r="F1017" s="6" t="n"/>
      <c r="G1017" s="6" t="n"/>
      <c r="H1017" s="10">
        <f>IF(F1017="","",IFERROR(INDEX(Roster!$A$2:$A$600,MATCH(F1017,Roster!$E$2:$E$600,0)),""))</f>
        <v/>
      </c>
      <c r="I1017" s="10">
        <f>IF(AND(D1017="",C1017="",F1017=""),"",IF(G1017&lt;&gt;"","Void",IF(F1017="","Needs child",IF(H1017="","Child not found",IF(OR(B1017="",NOT(ISNUMBER(C1017))),"Needs month/pages","OK")))))</f>
        <v/>
      </c>
      <c r="J1017" s="10">
        <f>IF(I1017="","",IF(I1017="OK",IF(COUNTIFS(H1018:H$3001,H1017,B1018:B$3001,B1017,G1018:G$3001,"")=0,C1017,0),0))</f>
        <v/>
      </c>
    </row>
    <row r="1018">
      <c r="A1018" s="6" t="n"/>
      <c r="B1018" s="9" t="n"/>
      <c r="C1018" s="6" t="n"/>
      <c r="D1018" s="6" t="n"/>
      <c r="E1018" s="6" t="n"/>
      <c r="F1018" s="6" t="n"/>
      <c r="G1018" s="6" t="n"/>
      <c r="H1018" s="10">
        <f>IF(F1018="","",IFERROR(INDEX(Roster!$A$2:$A$600,MATCH(F1018,Roster!$E$2:$E$600,0)),""))</f>
        <v/>
      </c>
      <c r="I1018" s="10">
        <f>IF(AND(D1018="",C1018="",F1018=""),"",IF(G1018&lt;&gt;"","Void",IF(F1018="","Needs child",IF(H1018="","Child not found",IF(OR(B1018="",NOT(ISNUMBER(C1018))),"Needs month/pages","OK")))))</f>
        <v/>
      </c>
      <c r="J1018" s="10">
        <f>IF(I1018="","",IF(I1018="OK",IF(COUNTIFS(H1019:H$3001,H1018,B1019:B$3001,B1018,G1019:G$3001,"")=0,C1018,0),0))</f>
        <v/>
      </c>
    </row>
    <row r="1019">
      <c r="A1019" s="6" t="n"/>
      <c r="B1019" s="9" t="n"/>
      <c r="C1019" s="6" t="n"/>
      <c r="D1019" s="6" t="n"/>
      <c r="E1019" s="6" t="n"/>
      <c r="F1019" s="6" t="n"/>
      <c r="G1019" s="6" t="n"/>
      <c r="H1019" s="10">
        <f>IF(F1019="","",IFERROR(INDEX(Roster!$A$2:$A$600,MATCH(F1019,Roster!$E$2:$E$600,0)),""))</f>
        <v/>
      </c>
      <c r="I1019" s="10">
        <f>IF(AND(D1019="",C1019="",F1019=""),"",IF(G1019&lt;&gt;"","Void",IF(F1019="","Needs child",IF(H1019="","Child not found",IF(OR(B1019="",NOT(ISNUMBER(C1019))),"Needs month/pages","OK")))))</f>
        <v/>
      </c>
      <c r="J1019" s="10">
        <f>IF(I1019="","",IF(I1019="OK",IF(COUNTIFS(H1020:H$3001,H1019,B1020:B$3001,B1019,G1020:G$3001,"")=0,C1019,0),0))</f>
        <v/>
      </c>
    </row>
    <row r="1020">
      <c r="A1020" s="6" t="n"/>
      <c r="B1020" s="9" t="n"/>
      <c r="C1020" s="6" t="n"/>
      <c r="D1020" s="6" t="n"/>
      <c r="E1020" s="6" t="n"/>
      <c r="F1020" s="6" t="n"/>
      <c r="G1020" s="6" t="n"/>
      <c r="H1020" s="10">
        <f>IF(F1020="","",IFERROR(INDEX(Roster!$A$2:$A$600,MATCH(F1020,Roster!$E$2:$E$600,0)),""))</f>
        <v/>
      </c>
      <c r="I1020" s="10">
        <f>IF(AND(D1020="",C1020="",F1020=""),"",IF(G1020&lt;&gt;"","Void",IF(F1020="","Needs child",IF(H1020="","Child not found",IF(OR(B1020="",NOT(ISNUMBER(C1020))),"Needs month/pages","OK")))))</f>
        <v/>
      </c>
      <c r="J1020" s="10">
        <f>IF(I1020="","",IF(I1020="OK",IF(COUNTIFS(H1021:H$3001,H1020,B1021:B$3001,B1020,G1021:G$3001,"")=0,C1020,0),0))</f>
        <v/>
      </c>
    </row>
    <row r="1021">
      <c r="A1021" s="6" t="n"/>
      <c r="B1021" s="9" t="n"/>
      <c r="C1021" s="6" t="n"/>
      <c r="D1021" s="6" t="n"/>
      <c r="E1021" s="6" t="n"/>
      <c r="F1021" s="6" t="n"/>
      <c r="G1021" s="6" t="n"/>
      <c r="H1021" s="10">
        <f>IF(F1021="","",IFERROR(INDEX(Roster!$A$2:$A$600,MATCH(F1021,Roster!$E$2:$E$600,0)),""))</f>
        <v/>
      </c>
      <c r="I1021" s="10">
        <f>IF(AND(D1021="",C1021="",F1021=""),"",IF(G1021&lt;&gt;"","Void",IF(F1021="","Needs child",IF(H1021="","Child not found",IF(OR(B1021="",NOT(ISNUMBER(C1021))),"Needs month/pages","OK")))))</f>
        <v/>
      </c>
      <c r="J1021" s="10">
        <f>IF(I1021="","",IF(I1021="OK",IF(COUNTIFS(H1022:H$3001,H1021,B1022:B$3001,B1021,G1022:G$3001,"")=0,C1021,0),0))</f>
        <v/>
      </c>
    </row>
    <row r="1022">
      <c r="A1022" s="6" t="n"/>
      <c r="B1022" s="9" t="n"/>
      <c r="C1022" s="6" t="n"/>
      <c r="D1022" s="6" t="n"/>
      <c r="E1022" s="6" t="n"/>
      <c r="F1022" s="6" t="n"/>
      <c r="G1022" s="6" t="n"/>
      <c r="H1022" s="10">
        <f>IF(F1022="","",IFERROR(INDEX(Roster!$A$2:$A$600,MATCH(F1022,Roster!$E$2:$E$600,0)),""))</f>
        <v/>
      </c>
      <c r="I1022" s="10">
        <f>IF(AND(D1022="",C1022="",F1022=""),"",IF(G1022&lt;&gt;"","Void",IF(F1022="","Needs child",IF(H1022="","Child not found",IF(OR(B1022="",NOT(ISNUMBER(C1022))),"Needs month/pages","OK")))))</f>
        <v/>
      </c>
      <c r="J1022" s="10">
        <f>IF(I1022="","",IF(I1022="OK",IF(COUNTIFS(H1023:H$3001,H1022,B1023:B$3001,B1022,G1023:G$3001,"")=0,C1022,0),0))</f>
        <v/>
      </c>
    </row>
    <row r="1023">
      <c r="A1023" s="6" t="n"/>
      <c r="B1023" s="9" t="n"/>
      <c r="C1023" s="6" t="n"/>
      <c r="D1023" s="6" t="n"/>
      <c r="E1023" s="6" t="n"/>
      <c r="F1023" s="6" t="n"/>
      <c r="G1023" s="6" t="n"/>
      <c r="H1023" s="10">
        <f>IF(F1023="","",IFERROR(INDEX(Roster!$A$2:$A$600,MATCH(F1023,Roster!$E$2:$E$600,0)),""))</f>
        <v/>
      </c>
      <c r="I1023" s="10">
        <f>IF(AND(D1023="",C1023="",F1023=""),"",IF(G1023&lt;&gt;"","Void",IF(F1023="","Needs child",IF(H1023="","Child not found",IF(OR(B1023="",NOT(ISNUMBER(C1023))),"Needs month/pages","OK")))))</f>
        <v/>
      </c>
      <c r="J1023" s="10">
        <f>IF(I1023="","",IF(I1023="OK",IF(COUNTIFS(H1024:H$3001,H1023,B1024:B$3001,B1023,G1024:G$3001,"")=0,C1023,0),0))</f>
        <v/>
      </c>
    </row>
    <row r="1024">
      <c r="A1024" s="6" t="n"/>
      <c r="B1024" s="9" t="n"/>
      <c r="C1024" s="6" t="n"/>
      <c r="D1024" s="6" t="n"/>
      <c r="E1024" s="6" t="n"/>
      <c r="F1024" s="6" t="n"/>
      <c r="G1024" s="6" t="n"/>
      <c r="H1024" s="10">
        <f>IF(F1024="","",IFERROR(INDEX(Roster!$A$2:$A$600,MATCH(F1024,Roster!$E$2:$E$600,0)),""))</f>
        <v/>
      </c>
      <c r="I1024" s="10">
        <f>IF(AND(D1024="",C1024="",F1024=""),"",IF(G1024&lt;&gt;"","Void",IF(F1024="","Needs child",IF(H1024="","Child not found",IF(OR(B1024="",NOT(ISNUMBER(C1024))),"Needs month/pages","OK")))))</f>
        <v/>
      </c>
      <c r="J1024" s="10">
        <f>IF(I1024="","",IF(I1024="OK",IF(COUNTIFS(H1025:H$3001,H1024,B1025:B$3001,B1024,G1025:G$3001,"")=0,C1024,0),0))</f>
        <v/>
      </c>
    </row>
    <row r="1025">
      <c r="A1025" s="6" t="n"/>
      <c r="B1025" s="9" t="n"/>
      <c r="C1025" s="6" t="n"/>
      <c r="D1025" s="6" t="n"/>
      <c r="E1025" s="6" t="n"/>
      <c r="F1025" s="6" t="n"/>
      <c r="G1025" s="6" t="n"/>
      <c r="H1025" s="10">
        <f>IF(F1025="","",IFERROR(INDEX(Roster!$A$2:$A$600,MATCH(F1025,Roster!$E$2:$E$600,0)),""))</f>
        <v/>
      </c>
      <c r="I1025" s="10">
        <f>IF(AND(D1025="",C1025="",F1025=""),"",IF(G1025&lt;&gt;"","Void",IF(F1025="","Needs child",IF(H1025="","Child not found",IF(OR(B1025="",NOT(ISNUMBER(C1025))),"Needs month/pages","OK")))))</f>
        <v/>
      </c>
      <c r="J1025" s="10">
        <f>IF(I1025="","",IF(I1025="OK",IF(COUNTIFS(H1026:H$3001,H1025,B1026:B$3001,B1025,G1026:G$3001,"")=0,C1025,0),0))</f>
        <v/>
      </c>
    </row>
    <row r="1026">
      <c r="A1026" s="6" t="n"/>
      <c r="B1026" s="9" t="n"/>
      <c r="C1026" s="6" t="n"/>
      <c r="D1026" s="6" t="n"/>
      <c r="E1026" s="6" t="n"/>
      <c r="F1026" s="6" t="n"/>
      <c r="G1026" s="6" t="n"/>
      <c r="H1026" s="10">
        <f>IF(F1026="","",IFERROR(INDEX(Roster!$A$2:$A$600,MATCH(F1026,Roster!$E$2:$E$600,0)),""))</f>
        <v/>
      </c>
      <c r="I1026" s="10">
        <f>IF(AND(D1026="",C1026="",F1026=""),"",IF(G1026&lt;&gt;"","Void",IF(F1026="","Needs child",IF(H1026="","Child not found",IF(OR(B1026="",NOT(ISNUMBER(C1026))),"Needs month/pages","OK")))))</f>
        <v/>
      </c>
      <c r="J1026" s="10">
        <f>IF(I1026="","",IF(I1026="OK",IF(COUNTIFS(H1027:H$3001,H1026,B1027:B$3001,B1026,G1027:G$3001,"")=0,C1026,0),0))</f>
        <v/>
      </c>
    </row>
    <row r="1027">
      <c r="A1027" s="6" t="n"/>
      <c r="B1027" s="9" t="n"/>
      <c r="C1027" s="6" t="n"/>
      <c r="D1027" s="6" t="n"/>
      <c r="E1027" s="6" t="n"/>
      <c r="F1027" s="6" t="n"/>
      <c r="G1027" s="6" t="n"/>
      <c r="H1027" s="10">
        <f>IF(F1027="","",IFERROR(INDEX(Roster!$A$2:$A$600,MATCH(F1027,Roster!$E$2:$E$600,0)),""))</f>
        <v/>
      </c>
      <c r="I1027" s="10">
        <f>IF(AND(D1027="",C1027="",F1027=""),"",IF(G1027&lt;&gt;"","Void",IF(F1027="","Needs child",IF(H1027="","Child not found",IF(OR(B1027="",NOT(ISNUMBER(C1027))),"Needs month/pages","OK")))))</f>
        <v/>
      </c>
      <c r="J1027" s="10">
        <f>IF(I1027="","",IF(I1027="OK",IF(COUNTIFS(H1028:H$3001,H1027,B1028:B$3001,B1027,G1028:G$3001,"")=0,C1027,0),0))</f>
        <v/>
      </c>
    </row>
    <row r="1028">
      <c r="A1028" s="6" t="n"/>
      <c r="B1028" s="9" t="n"/>
      <c r="C1028" s="6" t="n"/>
      <c r="D1028" s="6" t="n"/>
      <c r="E1028" s="6" t="n"/>
      <c r="F1028" s="6" t="n"/>
      <c r="G1028" s="6" t="n"/>
      <c r="H1028" s="10">
        <f>IF(F1028="","",IFERROR(INDEX(Roster!$A$2:$A$600,MATCH(F1028,Roster!$E$2:$E$600,0)),""))</f>
        <v/>
      </c>
      <c r="I1028" s="10">
        <f>IF(AND(D1028="",C1028="",F1028=""),"",IF(G1028&lt;&gt;"","Void",IF(F1028="","Needs child",IF(H1028="","Child not found",IF(OR(B1028="",NOT(ISNUMBER(C1028))),"Needs month/pages","OK")))))</f>
        <v/>
      </c>
      <c r="J1028" s="10">
        <f>IF(I1028="","",IF(I1028="OK",IF(COUNTIFS(H1029:H$3001,H1028,B1029:B$3001,B1028,G1029:G$3001,"")=0,C1028,0),0))</f>
        <v/>
      </c>
    </row>
    <row r="1029">
      <c r="A1029" s="6" t="n"/>
      <c r="B1029" s="9" t="n"/>
      <c r="C1029" s="6" t="n"/>
      <c r="D1029" s="6" t="n"/>
      <c r="E1029" s="6" t="n"/>
      <c r="F1029" s="6" t="n"/>
      <c r="G1029" s="6" t="n"/>
      <c r="H1029" s="10">
        <f>IF(F1029="","",IFERROR(INDEX(Roster!$A$2:$A$600,MATCH(F1029,Roster!$E$2:$E$600,0)),""))</f>
        <v/>
      </c>
      <c r="I1029" s="10">
        <f>IF(AND(D1029="",C1029="",F1029=""),"",IF(G1029&lt;&gt;"","Void",IF(F1029="","Needs child",IF(H1029="","Child not found",IF(OR(B1029="",NOT(ISNUMBER(C1029))),"Needs month/pages","OK")))))</f>
        <v/>
      </c>
      <c r="J1029" s="10">
        <f>IF(I1029="","",IF(I1029="OK",IF(COUNTIFS(H1030:H$3001,H1029,B1030:B$3001,B1029,G1030:G$3001,"")=0,C1029,0),0))</f>
        <v/>
      </c>
    </row>
    <row r="1030">
      <c r="A1030" s="6" t="n"/>
      <c r="B1030" s="9" t="n"/>
      <c r="C1030" s="6" t="n"/>
      <c r="D1030" s="6" t="n"/>
      <c r="E1030" s="6" t="n"/>
      <c r="F1030" s="6" t="n"/>
      <c r="G1030" s="6" t="n"/>
      <c r="H1030" s="10">
        <f>IF(F1030="","",IFERROR(INDEX(Roster!$A$2:$A$600,MATCH(F1030,Roster!$E$2:$E$600,0)),""))</f>
        <v/>
      </c>
      <c r="I1030" s="10">
        <f>IF(AND(D1030="",C1030="",F1030=""),"",IF(G1030&lt;&gt;"","Void",IF(F1030="","Needs child",IF(H1030="","Child not found",IF(OR(B1030="",NOT(ISNUMBER(C1030))),"Needs month/pages","OK")))))</f>
        <v/>
      </c>
      <c r="J1030" s="10">
        <f>IF(I1030="","",IF(I1030="OK",IF(COUNTIFS(H1031:H$3001,H1030,B1031:B$3001,B1030,G1031:G$3001,"")=0,C1030,0),0))</f>
        <v/>
      </c>
    </row>
    <row r="1031">
      <c r="A1031" s="6" t="n"/>
      <c r="B1031" s="9" t="n"/>
      <c r="C1031" s="6" t="n"/>
      <c r="D1031" s="6" t="n"/>
      <c r="E1031" s="6" t="n"/>
      <c r="F1031" s="6" t="n"/>
      <c r="G1031" s="6" t="n"/>
      <c r="H1031" s="10">
        <f>IF(F1031="","",IFERROR(INDEX(Roster!$A$2:$A$600,MATCH(F1031,Roster!$E$2:$E$600,0)),""))</f>
        <v/>
      </c>
      <c r="I1031" s="10">
        <f>IF(AND(D1031="",C1031="",F1031=""),"",IF(G1031&lt;&gt;"","Void",IF(F1031="","Needs child",IF(H1031="","Child not found",IF(OR(B1031="",NOT(ISNUMBER(C1031))),"Needs month/pages","OK")))))</f>
        <v/>
      </c>
      <c r="J1031" s="10">
        <f>IF(I1031="","",IF(I1031="OK",IF(COUNTIFS(H1032:H$3001,H1031,B1032:B$3001,B1031,G1032:G$3001,"")=0,C1031,0),0))</f>
        <v/>
      </c>
    </row>
    <row r="1032">
      <c r="A1032" s="6" t="n"/>
      <c r="B1032" s="9" t="n"/>
      <c r="C1032" s="6" t="n"/>
      <c r="D1032" s="6" t="n"/>
      <c r="E1032" s="6" t="n"/>
      <c r="F1032" s="6" t="n"/>
      <c r="G1032" s="6" t="n"/>
      <c r="H1032" s="10">
        <f>IF(F1032="","",IFERROR(INDEX(Roster!$A$2:$A$600,MATCH(F1032,Roster!$E$2:$E$600,0)),""))</f>
        <v/>
      </c>
      <c r="I1032" s="10">
        <f>IF(AND(D1032="",C1032="",F1032=""),"",IF(G1032&lt;&gt;"","Void",IF(F1032="","Needs child",IF(H1032="","Child not found",IF(OR(B1032="",NOT(ISNUMBER(C1032))),"Needs month/pages","OK")))))</f>
        <v/>
      </c>
      <c r="J1032" s="10">
        <f>IF(I1032="","",IF(I1032="OK",IF(COUNTIFS(H1033:H$3001,H1032,B1033:B$3001,B1032,G1033:G$3001,"")=0,C1032,0),0))</f>
        <v/>
      </c>
    </row>
    <row r="1033">
      <c r="A1033" s="6" t="n"/>
      <c r="B1033" s="9" t="n"/>
      <c r="C1033" s="6" t="n"/>
      <c r="D1033" s="6" t="n"/>
      <c r="E1033" s="6" t="n"/>
      <c r="F1033" s="6" t="n"/>
      <c r="G1033" s="6" t="n"/>
      <c r="H1033" s="10">
        <f>IF(F1033="","",IFERROR(INDEX(Roster!$A$2:$A$600,MATCH(F1033,Roster!$E$2:$E$600,0)),""))</f>
        <v/>
      </c>
      <c r="I1033" s="10">
        <f>IF(AND(D1033="",C1033="",F1033=""),"",IF(G1033&lt;&gt;"","Void",IF(F1033="","Needs child",IF(H1033="","Child not found",IF(OR(B1033="",NOT(ISNUMBER(C1033))),"Needs month/pages","OK")))))</f>
        <v/>
      </c>
      <c r="J1033" s="10">
        <f>IF(I1033="","",IF(I1033="OK",IF(COUNTIFS(H1034:H$3001,H1033,B1034:B$3001,B1033,G1034:G$3001,"")=0,C1033,0),0))</f>
        <v/>
      </c>
    </row>
    <row r="1034">
      <c r="A1034" s="6" t="n"/>
      <c r="B1034" s="9" t="n"/>
      <c r="C1034" s="6" t="n"/>
      <c r="D1034" s="6" t="n"/>
      <c r="E1034" s="6" t="n"/>
      <c r="F1034" s="6" t="n"/>
      <c r="G1034" s="6" t="n"/>
      <c r="H1034" s="10">
        <f>IF(F1034="","",IFERROR(INDEX(Roster!$A$2:$A$600,MATCH(F1034,Roster!$E$2:$E$600,0)),""))</f>
        <v/>
      </c>
      <c r="I1034" s="10">
        <f>IF(AND(D1034="",C1034="",F1034=""),"",IF(G1034&lt;&gt;"","Void",IF(F1034="","Needs child",IF(H1034="","Child not found",IF(OR(B1034="",NOT(ISNUMBER(C1034))),"Needs month/pages","OK")))))</f>
        <v/>
      </c>
      <c r="J1034" s="10">
        <f>IF(I1034="","",IF(I1034="OK",IF(COUNTIFS(H1035:H$3001,H1034,B1035:B$3001,B1034,G1035:G$3001,"")=0,C1034,0),0))</f>
        <v/>
      </c>
    </row>
    <row r="1035">
      <c r="A1035" s="6" t="n"/>
      <c r="B1035" s="9" t="n"/>
      <c r="C1035" s="6" t="n"/>
      <c r="D1035" s="6" t="n"/>
      <c r="E1035" s="6" t="n"/>
      <c r="F1035" s="6" t="n"/>
      <c r="G1035" s="6" t="n"/>
      <c r="H1035" s="10">
        <f>IF(F1035="","",IFERROR(INDEX(Roster!$A$2:$A$600,MATCH(F1035,Roster!$E$2:$E$600,0)),""))</f>
        <v/>
      </c>
      <c r="I1035" s="10">
        <f>IF(AND(D1035="",C1035="",F1035=""),"",IF(G1035&lt;&gt;"","Void",IF(F1035="","Needs child",IF(H1035="","Child not found",IF(OR(B1035="",NOT(ISNUMBER(C1035))),"Needs month/pages","OK")))))</f>
        <v/>
      </c>
      <c r="J1035" s="10">
        <f>IF(I1035="","",IF(I1035="OK",IF(COUNTIFS(H1036:H$3001,H1035,B1036:B$3001,B1035,G1036:G$3001,"")=0,C1035,0),0))</f>
        <v/>
      </c>
    </row>
    <row r="1036">
      <c r="A1036" s="6" t="n"/>
      <c r="B1036" s="9" t="n"/>
      <c r="C1036" s="6" t="n"/>
      <c r="D1036" s="6" t="n"/>
      <c r="E1036" s="6" t="n"/>
      <c r="F1036" s="6" t="n"/>
      <c r="G1036" s="6" t="n"/>
      <c r="H1036" s="10">
        <f>IF(F1036="","",IFERROR(INDEX(Roster!$A$2:$A$600,MATCH(F1036,Roster!$E$2:$E$600,0)),""))</f>
        <v/>
      </c>
      <c r="I1036" s="10">
        <f>IF(AND(D1036="",C1036="",F1036=""),"",IF(G1036&lt;&gt;"","Void",IF(F1036="","Needs child",IF(H1036="","Child not found",IF(OR(B1036="",NOT(ISNUMBER(C1036))),"Needs month/pages","OK")))))</f>
        <v/>
      </c>
      <c r="J1036" s="10">
        <f>IF(I1036="","",IF(I1036="OK",IF(COUNTIFS(H1037:H$3001,H1036,B1037:B$3001,B1036,G1037:G$3001,"")=0,C1036,0),0))</f>
        <v/>
      </c>
    </row>
    <row r="1037">
      <c r="A1037" s="6" t="n"/>
      <c r="B1037" s="9" t="n"/>
      <c r="C1037" s="6" t="n"/>
      <c r="D1037" s="6" t="n"/>
      <c r="E1037" s="6" t="n"/>
      <c r="F1037" s="6" t="n"/>
      <c r="G1037" s="6" t="n"/>
      <c r="H1037" s="10">
        <f>IF(F1037="","",IFERROR(INDEX(Roster!$A$2:$A$600,MATCH(F1037,Roster!$E$2:$E$600,0)),""))</f>
        <v/>
      </c>
      <c r="I1037" s="10">
        <f>IF(AND(D1037="",C1037="",F1037=""),"",IF(G1037&lt;&gt;"","Void",IF(F1037="","Needs child",IF(H1037="","Child not found",IF(OR(B1037="",NOT(ISNUMBER(C1037))),"Needs month/pages","OK")))))</f>
        <v/>
      </c>
      <c r="J1037" s="10">
        <f>IF(I1037="","",IF(I1037="OK",IF(COUNTIFS(H1038:H$3001,H1037,B1038:B$3001,B1037,G1038:G$3001,"")=0,C1037,0),0))</f>
        <v/>
      </c>
    </row>
    <row r="1038">
      <c r="A1038" s="6" t="n"/>
      <c r="B1038" s="9" t="n"/>
      <c r="C1038" s="6" t="n"/>
      <c r="D1038" s="6" t="n"/>
      <c r="E1038" s="6" t="n"/>
      <c r="F1038" s="6" t="n"/>
      <c r="G1038" s="6" t="n"/>
      <c r="H1038" s="10">
        <f>IF(F1038="","",IFERROR(INDEX(Roster!$A$2:$A$600,MATCH(F1038,Roster!$E$2:$E$600,0)),""))</f>
        <v/>
      </c>
      <c r="I1038" s="10">
        <f>IF(AND(D1038="",C1038="",F1038=""),"",IF(G1038&lt;&gt;"","Void",IF(F1038="","Needs child",IF(H1038="","Child not found",IF(OR(B1038="",NOT(ISNUMBER(C1038))),"Needs month/pages","OK")))))</f>
        <v/>
      </c>
      <c r="J1038" s="10">
        <f>IF(I1038="","",IF(I1038="OK",IF(COUNTIFS(H1039:H$3001,H1038,B1039:B$3001,B1038,G1039:G$3001,"")=0,C1038,0),0))</f>
        <v/>
      </c>
    </row>
    <row r="1039">
      <c r="A1039" s="6" t="n"/>
      <c r="B1039" s="9" t="n"/>
      <c r="C1039" s="6" t="n"/>
      <c r="D1039" s="6" t="n"/>
      <c r="E1039" s="6" t="n"/>
      <c r="F1039" s="6" t="n"/>
      <c r="G1039" s="6" t="n"/>
      <c r="H1039" s="10">
        <f>IF(F1039="","",IFERROR(INDEX(Roster!$A$2:$A$600,MATCH(F1039,Roster!$E$2:$E$600,0)),""))</f>
        <v/>
      </c>
      <c r="I1039" s="10">
        <f>IF(AND(D1039="",C1039="",F1039=""),"",IF(G1039&lt;&gt;"","Void",IF(F1039="","Needs child",IF(H1039="","Child not found",IF(OR(B1039="",NOT(ISNUMBER(C1039))),"Needs month/pages","OK")))))</f>
        <v/>
      </c>
      <c r="J1039" s="10">
        <f>IF(I1039="","",IF(I1039="OK",IF(COUNTIFS(H1040:H$3001,H1039,B1040:B$3001,B1039,G1040:G$3001,"")=0,C1039,0),0))</f>
        <v/>
      </c>
    </row>
    <row r="1040">
      <c r="A1040" s="6" t="n"/>
      <c r="B1040" s="9" t="n"/>
      <c r="C1040" s="6" t="n"/>
      <c r="D1040" s="6" t="n"/>
      <c r="E1040" s="6" t="n"/>
      <c r="F1040" s="6" t="n"/>
      <c r="G1040" s="6" t="n"/>
      <c r="H1040" s="10">
        <f>IF(F1040="","",IFERROR(INDEX(Roster!$A$2:$A$600,MATCH(F1040,Roster!$E$2:$E$600,0)),""))</f>
        <v/>
      </c>
      <c r="I1040" s="10">
        <f>IF(AND(D1040="",C1040="",F1040=""),"",IF(G1040&lt;&gt;"","Void",IF(F1040="","Needs child",IF(H1040="","Child not found",IF(OR(B1040="",NOT(ISNUMBER(C1040))),"Needs month/pages","OK")))))</f>
        <v/>
      </c>
      <c r="J1040" s="10">
        <f>IF(I1040="","",IF(I1040="OK",IF(COUNTIFS(H1041:H$3001,H1040,B1041:B$3001,B1040,G1041:G$3001,"")=0,C1040,0),0))</f>
        <v/>
      </c>
    </row>
    <row r="1041">
      <c r="A1041" s="6" t="n"/>
      <c r="B1041" s="9" t="n"/>
      <c r="C1041" s="6" t="n"/>
      <c r="D1041" s="6" t="n"/>
      <c r="E1041" s="6" t="n"/>
      <c r="F1041" s="6" t="n"/>
      <c r="G1041" s="6" t="n"/>
      <c r="H1041" s="10">
        <f>IF(F1041="","",IFERROR(INDEX(Roster!$A$2:$A$600,MATCH(F1041,Roster!$E$2:$E$600,0)),""))</f>
        <v/>
      </c>
      <c r="I1041" s="10">
        <f>IF(AND(D1041="",C1041="",F1041=""),"",IF(G1041&lt;&gt;"","Void",IF(F1041="","Needs child",IF(H1041="","Child not found",IF(OR(B1041="",NOT(ISNUMBER(C1041))),"Needs month/pages","OK")))))</f>
        <v/>
      </c>
      <c r="J1041" s="10">
        <f>IF(I1041="","",IF(I1041="OK",IF(COUNTIFS(H1042:H$3001,H1041,B1042:B$3001,B1041,G1042:G$3001,"")=0,C1041,0),0))</f>
        <v/>
      </c>
    </row>
    <row r="1042">
      <c r="A1042" s="6" t="n"/>
      <c r="B1042" s="9" t="n"/>
      <c r="C1042" s="6" t="n"/>
      <c r="D1042" s="6" t="n"/>
      <c r="E1042" s="6" t="n"/>
      <c r="F1042" s="6" t="n"/>
      <c r="G1042" s="6" t="n"/>
      <c r="H1042" s="10">
        <f>IF(F1042="","",IFERROR(INDEX(Roster!$A$2:$A$600,MATCH(F1042,Roster!$E$2:$E$600,0)),""))</f>
        <v/>
      </c>
      <c r="I1042" s="10">
        <f>IF(AND(D1042="",C1042="",F1042=""),"",IF(G1042&lt;&gt;"","Void",IF(F1042="","Needs child",IF(H1042="","Child not found",IF(OR(B1042="",NOT(ISNUMBER(C1042))),"Needs month/pages","OK")))))</f>
        <v/>
      </c>
      <c r="J1042" s="10">
        <f>IF(I1042="","",IF(I1042="OK",IF(COUNTIFS(H1043:H$3001,H1042,B1043:B$3001,B1042,G1043:G$3001,"")=0,C1042,0),0))</f>
        <v/>
      </c>
    </row>
    <row r="1043">
      <c r="A1043" s="6" t="n"/>
      <c r="B1043" s="9" t="n"/>
      <c r="C1043" s="6" t="n"/>
      <c r="D1043" s="6" t="n"/>
      <c r="E1043" s="6" t="n"/>
      <c r="F1043" s="6" t="n"/>
      <c r="G1043" s="6" t="n"/>
      <c r="H1043" s="10">
        <f>IF(F1043="","",IFERROR(INDEX(Roster!$A$2:$A$600,MATCH(F1043,Roster!$E$2:$E$600,0)),""))</f>
        <v/>
      </c>
      <c r="I1043" s="10">
        <f>IF(AND(D1043="",C1043="",F1043=""),"",IF(G1043&lt;&gt;"","Void",IF(F1043="","Needs child",IF(H1043="","Child not found",IF(OR(B1043="",NOT(ISNUMBER(C1043))),"Needs month/pages","OK")))))</f>
        <v/>
      </c>
      <c r="J1043" s="10">
        <f>IF(I1043="","",IF(I1043="OK",IF(COUNTIFS(H1044:H$3001,H1043,B1044:B$3001,B1043,G1044:G$3001,"")=0,C1043,0),0))</f>
        <v/>
      </c>
    </row>
    <row r="1044">
      <c r="A1044" s="6" t="n"/>
      <c r="B1044" s="9" t="n"/>
      <c r="C1044" s="6" t="n"/>
      <c r="D1044" s="6" t="n"/>
      <c r="E1044" s="6" t="n"/>
      <c r="F1044" s="6" t="n"/>
      <c r="G1044" s="6" t="n"/>
      <c r="H1044" s="10">
        <f>IF(F1044="","",IFERROR(INDEX(Roster!$A$2:$A$600,MATCH(F1044,Roster!$E$2:$E$600,0)),""))</f>
        <v/>
      </c>
      <c r="I1044" s="10">
        <f>IF(AND(D1044="",C1044="",F1044=""),"",IF(G1044&lt;&gt;"","Void",IF(F1044="","Needs child",IF(H1044="","Child not found",IF(OR(B1044="",NOT(ISNUMBER(C1044))),"Needs month/pages","OK")))))</f>
        <v/>
      </c>
      <c r="J1044" s="10">
        <f>IF(I1044="","",IF(I1044="OK",IF(COUNTIFS(H1045:H$3001,H1044,B1045:B$3001,B1044,G1045:G$3001,"")=0,C1044,0),0))</f>
        <v/>
      </c>
    </row>
    <row r="1045">
      <c r="A1045" s="6" t="n"/>
      <c r="B1045" s="9" t="n"/>
      <c r="C1045" s="6" t="n"/>
      <c r="D1045" s="6" t="n"/>
      <c r="E1045" s="6" t="n"/>
      <c r="F1045" s="6" t="n"/>
      <c r="G1045" s="6" t="n"/>
      <c r="H1045" s="10">
        <f>IF(F1045="","",IFERROR(INDEX(Roster!$A$2:$A$600,MATCH(F1045,Roster!$E$2:$E$600,0)),""))</f>
        <v/>
      </c>
      <c r="I1045" s="10">
        <f>IF(AND(D1045="",C1045="",F1045=""),"",IF(G1045&lt;&gt;"","Void",IF(F1045="","Needs child",IF(H1045="","Child not found",IF(OR(B1045="",NOT(ISNUMBER(C1045))),"Needs month/pages","OK")))))</f>
        <v/>
      </c>
      <c r="J1045" s="10">
        <f>IF(I1045="","",IF(I1045="OK",IF(COUNTIFS(H1046:H$3001,H1045,B1046:B$3001,B1045,G1046:G$3001,"")=0,C1045,0),0))</f>
        <v/>
      </c>
    </row>
    <row r="1046">
      <c r="A1046" s="6" t="n"/>
      <c r="B1046" s="9" t="n"/>
      <c r="C1046" s="6" t="n"/>
      <c r="D1046" s="6" t="n"/>
      <c r="E1046" s="6" t="n"/>
      <c r="F1046" s="6" t="n"/>
      <c r="G1046" s="6" t="n"/>
      <c r="H1046" s="10">
        <f>IF(F1046="","",IFERROR(INDEX(Roster!$A$2:$A$600,MATCH(F1046,Roster!$E$2:$E$600,0)),""))</f>
        <v/>
      </c>
      <c r="I1046" s="10">
        <f>IF(AND(D1046="",C1046="",F1046=""),"",IF(G1046&lt;&gt;"","Void",IF(F1046="","Needs child",IF(H1046="","Child not found",IF(OR(B1046="",NOT(ISNUMBER(C1046))),"Needs month/pages","OK")))))</f>
        <v/>
      </c>
      <c r="J1046" s="10">
        <f>IF(I1046="","",IF(I1046="OK",IF(COUNTIFS(H1047:H$3001,H1046,B1047:B$3001,B1046,G1047:G$3001,"")=0,C1046,0),0))</f>
        <v/>
      </c>
    </row>
    <row r="1047">
      <c r="A1047" s="6" t="n"/>
      <c r="B1047" s="9" t="n"/>
      <c r="C1047" s="6" t="n"/>
      <c r="D1047" s="6" t="n"/>
      <c r="E1047" s="6" t="n"/>
      <c r="F1047" s="6" t="n"/>
      <c r="G1047" s="6" t="n"/>
      <c r="H1047" s="10">
        <f>IF(F1047="","",IFERROR(INDEX(Roster!$A$2:$A$600,MATCH(F1047,Roster!$E$2:$E$600,0)),""))</f>
        <v/>
      </c>
      <c r="I1047" s="10">
        <f>IF(AND(D1047="",C1047="",F1047=""),"",IF(G1047&lt;&gt;"","Void",IF(F1047="","Needs child",IF(H1047="","Child not found",IF(OR(B1047="",NOT(ISNUMBER(C1047))),"Needs month/pages","OK")))))</f>
        <v/>
      </c>
      <c r="J1047" s="10">
        <f>IF(I1047="","",IF(I1047="OK",IF(COUNTIFS(H1048:H$3001,H1047,B1048:B$3001,B1047,G1048:G$3001,"")=0,C1047,0),0))</f>
        <v/>
      </c>
    </row>
    <row r="1048">
      <c r="A1048" s="6" t="n"/>
      <c r="B1048" s="9" t="n"/>
      <c r="C1048" s="6" t="n"/>
      <c r="D1048" s="6" t="n"/>
      <c r="E1048" s="6" t="n"/>
      <c r="F1048" s="6" t="n"/>
      <c r="G1048" s="6" t="n"/>
      <c r="H1048" s="10">
        <f>IF(F1048="","",IFERROR(INDEX(Roster!$A$2:$A$600,MATCH(F1048,Roster!$E$2:$E$600,0)),""))</f>
        <v/>
      </c>
      <c r="I1048" s="10">
        <f>IF(AND(D1048="",C1048="",F1048=""),"",IF(G1048&lt;&gt;"","Void",IF(F1048="","Needs child",IF(H1048="","Child not found",IF(OR(B1048="",NOT(ISNUMBER(C1048))),"Needs month/pages","OK")))))</f>
        <v/>
      </c>
      <c r="J1048" s="10">
        <f>IF(I1048="","",IF(I1048="OK",IF(COUNTIFS(H1049:H$3001,H1048,B1049:B$3001,B1048,G1049:G$3001,"")=0,C1048,0),0))</f>
        <v/>
      </c>
    </row>
    <row r="1049">
      <c r="A1049" s="6" t="n"/>
      <c r="B1049" s="9" t="n"/>
      <c r="C1049" s="6" t="n"/>
      <c r="D1049" s="6" t="n"/>
      <c r="E1049" s="6" t="n"/>
      <c r="F1049" s="6" t="n"/>
      <c r="G1049" s="6" t="n"/>
      <c r="H1049" s="10">
        <f>IF(F1049="","",IFERROR(INDEX(Roster!$A$2:$A$600,MATCH(F1049,Roster!$E$2:$E$600,0)),""))</f>
        <v/>
      </c>
      <c r="I1049" s="10">
        <f>IF(AND(D1049="",C1049="",F1049=""),"",IF(G1049&lt;&gt;"","Void",IF(F1049="","Needs child",IF(H1049="","Child not found",IF(OR(B1049="",NOT(ISNUMBER(C1049))),"Needs month/pages","OK")))))</f>
        <v/>
      </c>
      <c r="J1049" s="10">
        <f>IF(I1049="","",IF(I1049="OK",IF(COUNTIFS(H1050:H$3001,H1049,B1050:B$3001,B1049,G1050:G$3001,"")=0,C1049,0),0))</f>
        <v/>
      </c>
    </row>
    <row r="1050">
      <c r="A1050" s="6" t="n"/>
      <c r="B1050" s="9" t="n"/>
      <c r="C1050" s="6" t="n"/>
      <c r="D1050" s="6" t="n"/>
      <c r="E1050" s="6" t="n"/>
      <c r="F1050" s="6" t="n"/>
      <c r="G1050" s="6" t="n"/>
      <c r="H1050" s="10">
        <f>IF(F1050="","",IFERROR(INDEX(Roster!$A$2:$A$600,MATCH(F1050,Roster!$E$2:$E$600,0)),""))</f>
        <v/>
      </c>
      <c r="I1050" s="10">
        <f>IF(AND(D1050="",C1050="",F1050=""),"",IF(G1050&lt;&gt;"","Void",IF(F1050="","Needs child",IF(H1050="","Child not found",IF(OR(B1050="",NOT(ISNUMBER(C1050))),"Needs month/pages","OK")))))</f>
        <v/>
      </c>
      <c r="J1050" s="10">
        <f>IF(I1050="","",IF(I1050="OK",IF(COUNTIFS(H1051:H$3001,H1050,B1051:B$3001,B1050,G1051:G$3001,"")=0,C1050,0),0))</f>
        <v/>
      </c>
    </row>
    <row r="1051">
      <c r="A1051" s="6" t="n"/>
      <c r="B1051" s="9" t="n"/>
      <c r="C1051" s="6" t="n"/>
      <c r="D1051" s="6" t="n"/>
      <c r="E1051" s="6" t="n"/>
      <c r="F1051" s="6" t="n"/>
      <c r="G1051" s="6" t="n"/>
      <c r="H1051" s="10">
        <f>IF(F1051="","",IFERROR(INDEX(Roster!$A$2:$A$600,MATCH(F1051,Roster!$E$2:$E$600,0)),""))</f>
        <v/>
      </c>
      <c r="I1051" s="10">
        <f>IF(AND(D1051="",C1051="",F1051=""),"",IF(G1051&lt;&gt;"","Void",IF(F1051="","Needs child",IF(H1051="","Child not found",IF(OR(B1051="",NOT(ISNUMBER(C1051))),"Needs month/pages","OK")))))</f>
        <v/>
      </c>
      <c r="J1051" s="10">
        <f>IF(I1051="","",IF(I1051="OK",IF(COUNTIFS(H1052:H$3001,H1051,B1052:B$3001,B1051,G1052:G$3001,"")=0,C1051,0),0))</f>
        <v/>
      </c>
    </row>
    <row r="1052">
      <c r="A1052" s="6" t="n"/>
      <c r="B1052" s="9" t="n"/>
      <c r="C1052" s="6" t="n"/>
      <c r="D1052" s="6" t="n"/>
      <c r="E1052" s="6" t="n"/>
      <c r="F1052" s="6" t="n"/>
      <c r="G1052" s="6" t="n"/>
      <c r="H1052" s="10">
        <f>IF(F1052="","",IFERROR(INDEX(Roster!$A$2:$A$600,MATCH(F1052,Roster!$E$2:$E$600,0)),""))</f>
        <v/>
      </c>
      <c r="I1052" s="10">
        <f>IF(AND(D1052="",C1052="",F1052=""),"",IF(G1052&lt;&gt;"","Void",IF(F1052="","Needs child",IF(H1052="","Child not found",IF(OR(B1052="",NOT(ISNUMBER(C1052))),"Needs month/pages","OK")))))</f>
        <v/>
      </c>
      <c r="J1052" s="10">
        <f>IF(I1052="","",IF(I1052="OK",IF(COUNTIFS(H1053:H$3001,H1052,B1053:B$3001,B1052,G1053:G$3001,"")=0,C1052,0),0))</f>
        <v/>
      </c>
    </row>
    <row r="1053">
      <c r="A1053" s="6" t="n"/>
      <c r="B1053" s="9" t="n"/>
      <c r="C1053" s="6" t="n"/>
      <c r="D1053" s="6" t="n"/>
      <c r="E1053" s="6" t="n"/>
      <c r="F1053" s="6" t="n"/>
      <c r="G1053" s="6" t="n"/>
      <c r="H1053" s="10">
        <f>IF(F1053="","",IFERROR(INDEX(Roster!$A$2:$A$600,MATCH(F1053,Roster!$E$2:$E$600,0)),""))</f>
        <v/>
      </c>
      <c r="I1053" s="10">
        <f>IF(AND(D1053="",C1053="",F1053=""),"",IF(G1053&lt;&gt;"","Void",IF(F1053="","Needs child",IF(H1053="","Child not found",IF(OR(B1053="",NOT(ISNUMBER(C1053))),"Needs month/pages","OK")))))</f>
        <v/>
      </c>
      <c r="J1053" s="10">
        <f>IF(I1053="","",IF(I1053="OK",IF(COUNTIFS(H1054:H$3001,H1053,B1054:B$3001,B1053,G1054:G$3001,"")=0,C1053,0),0))</f>
        <v/>
      </c>
    </row>
    <row r="1054">
      <c r="A1054" s="6" t="n"/>
      <c r="B1054" s="9" t="n"/>
      <c r="C1054" s="6" t="n"/>
      <c r="D1054" s="6" t="n"/>
      <c r="E1054" s="6" t="n"/>
      <c r="F1054" s="6" t="n"/>
      <c r="G1054" s="6" t="n"/>
      <c r="H1054" s="10">
        <f>IF(F1054="","",IFERROR(INDEX(Roster!$A$2:$A$600,MATCH(F1054,Roster!$E$2:$E$600,0)),""))</f>
        <v/>
      </c>
      <c r="I1054" s="10">
        <f>IF(AND(D1054="",C1054="",F1054=""),"",IF(G1054&lt;&gt;"","Void",IF(F1054="","Needs child",IF(H1054="","Child not found",IF(OR(B1054="",NOT(ISNUMBER(C1054))),"Needs month/pages","OK")))))</f>
        <v/>
      </c>
      <c r="J1054" s="10">
        <f>IF(I1054="","",IF(I1054="OK",IF(COUNTIFS(H1055:H$3001,H1054,B1055:B$3001,B1054,G1055:G$3001,"")=0,C1054,0),0))</f>
        <v/>
      </c>
    </row>
    <row r="1055">
      <c r="A1055" s="6" t="n"/>
      <c r="B1055" s="9" t="n"/>
      <c r="C1055" s="6" t="n"/>
      <c r="D1055" s="6" t="n"/>
      <c r="E1055" s="6" t="n"/>
      <c r="F1055" s="6" t="n"/>
      <c r="G1055" s="6" t="n"/>
      <c r="H1055" s="10">
        <f>IF(F1055="","",IFERROR(INDEX(Roster!$A$2:$A$600,MATCH(F1055,Roster!$E$2:$E$600,0)),""))</f>
        <v/>
      </c>
      <c r="I1055" s="10">
        <f>IF(AND(D1055="",C1055="",F1055=""),"",IF(G1055&lt;&gt;"","Void",IF(F1055="","Needs child",IF(H1055="","Child not found",IF(OR(B1055="",NOT(ISNUMBER(C1055))),"Needs month/pages","OK")))))</f>
        <v/>
      </c>
      <c r="J1055" s="10">
        <f>IF(I1055="","",IF(I1055="OK",IF(COUNTIFS(H1056:H$3001,H1055,B1056:B$3001,B1055,G1056:G$3001,"")=0,C1055,0),0))</f>
        <v/>
      </c>
    </row>
    <row r="1056">
      <c r="A1056" s="6" t="n"/>
      <c r="B1056" s="9" t="n"/>
      <c r="C1056" s="6" t="n"/>
      <c r="D1056" s="6" t="n"/>
      <c r="E1056" s="6" t="n"/>
      <c r="F1056" s="6" t="n"/>
      <c r="G1056" s="6" t="n"/>
      <c r="H1056" s="10">
        <f>IF(F1056="","",IFERROR(INDEX(Roster!$A$2:$A$600,MATCH(F1056,Roster!$E$2:$E$600,0)),""))</f>
        <v/>
      </c>
      <c r="I1056" s="10">
        <f>IF(AND(D1056="",C1056="",F1056=""),"",IF(G1056&lt;&gt;"","Void",IF(F1056="","Needs child",IF(H1056="","Child not found",IF(OR(B1056="",NOT(ISNUMBER(C1056))),"Needs month/pages","OK")))))</f>
        <v/>
      </c>
      <c r="J1056" s="10">
        <f>IF(I1056="","",IF(I1056="OK",IF(COUNTIFS(H1057:H$3001,H1056,B1057:B$3001,B1056,G1057:G$3001,"")=0,C1056,0),0))</f>
        <v/>
      </c>
    </row>
    <row r="1057">
      <c r="A1057" s="6" t="n"/>
      <c r="B1057" s="9" t="n"/>
      <c r="C1057" s="6" t="n"/>
      <c r="D1057" s="6" t="n"/>
      <c r="E1057" s="6" t="n"/>
      <c r="F1057" s="6" t="n"/>
      <c r="G1057" s="6" t="n"/>
      <c r="H1057" s="10">
        <f>IF(F1057="","",IFERROR(INDEX(Roster!$A$2:$A$600,MATCH(F1057,Roster!$E$2:$E$600,0)),""))</f>
        <v/>
      </c>
      <c r="I1057" s="10">
        <f>IF(AND(D1057="",C1057="",F1057=""),"",IF(G1057&lt;&gt;"","Void",IF(F1057="","Needs child",IF(H1057="","Child not found",IF(OR(B1057="",NOT(ISNUMBER(C1057))),"Needs month/pages","OK")))))</f>
        <v/>
      </c>
      <c r="J1057" s="10">
        <f>IF(I1057="","",IF(I1057="OK",IF(COUNTIFS(H1058:H$3001,H1057,B1058:B$3001,B1057,G1058:G$3001,"")=0,C1057,0),0))</f>
        <v/>
      </c>
    </row>
    <row r="1058">
      <c r="A1058" s="6" t="n"/>
      <c r="B1058" s="9" t="n"/>
      <c r="C1058" s="6" t="n"/>
      <c r="D1058" s="6" t="n"/>
      <c r="E1058" s="6" t="n"/>
      <c r="F1058" s="6" t="n"/>
      <c r="G1058" s="6" t="n"/>
      <c r="H1058" s="10">
        <f>IF(F1058="","",IFERROR(INDEX(Roster!$A$2:$A$600,MATCH(F1058,Roster!$E$2:$E$600,0)),""))</f>
        <v/>
      </c>
      <c r="I1058" s="10">
        <f>IF(AND(D1058="",C1058="",F1058=""),"",IF(G1058&lt;&gt;"","Void",IF(F1058="","Needs child",IF(H1058="","Child not found",IF(OR(B1058="",NOT(ISNUMBER(C1058))),"Needs month/pages","OK")))))</f>
        <v/>
      </c>
      <c r="J1058" s="10">
        <f>IF(I1058="","",IF(I1058="OK",IF(COUNTIFS(H1059:H$3001,H1058,B1059:B$3001,B1058,G1059:G$3001,"")=0,C1058,0),0))</f>
        <v/>
      </c>
    </row>
    <row r="1059">
      <c r="A1059" s="6" t="n"/>
      <c r="B1059" s="9" t="n"/>
      <c r="C1059" s="6" t="n"/>
      <c r="D1059" s="6" t="n"/>
      <c r="E1059" s="6" t="n"/>
      <c r="F1059" s="6" t="n"/>
      <c r="G1059" s="6" t="n"/>
      <c r="H1059" s="10">
        <f>IF(F1059="","",IFERROR(INDEX(Roster!$A$2:$A$600,MATCH(F1059,Roster!$E$2:$E$600,0)),""))</f>
        <v/>
      </c>
      <c r="I1059" s="10">
        <f>IF(AND(D1059="",C1059="",F1059=""),"",IF(G1059&lt;&gt;"","Void",IF(F1059="","Needs child",IF(H1059="","Child not found",IF(OR(B1059="",NOT(ISNUMBER(C1059))),"Needs month/pages","OK")))))</f>
        <v/>
      </c>
      <c r="J1059" s="10">
        <f>IF(I1059="","",IF(I1059="OK",IF(COUNTIFS(H1060:H$3001,H1059,B1060:B$3001,B1059,G1060:G$3001,"")=0,C1059,0),0))</f>
        <v/>
      </c>
    </row>
    <row r="1060">
      <c r="A1060" s="6" t="n"/>
      <c r="B1060" s="9" t="n"/>
      <c r="C1060" s="6" t="n"/>
      <c r="D1060" s="6" t="n"/>
      <c r="E1060" s="6" t="n"/>
      <c r="F1060" s="6" t="n"/>
      <c r="G1060" s="6" t="n"/>
      <c r="H1060" s="10">
        <f>IF(F1060="","",IFERROR(INDEX(Roster!$A$2:$A$600,MATCH(F1060,Roster!$E$2:$E$600,0)),""))</f>
        <v/>
      </c>
      <c r="I1060" s="10">
        <f>IF(AND(D1060="",C1060="",F1060=""),"",IF(G1060&lt;&gt;"","Void",IF(F1060="","Needs child",IF(H1060="","Child not found",IF(OR(B1060="",NOT(ISNUMBER(C1060))),"Needs month/pages","OK")))))</f>
        <v/>
      </c>
      <c r="J1060" s="10">
        <f>IF(I1060="","",IF(I1060="OK",IF(COUNTIFS(H1061:H$3001,H1060,B1061:B$3001,B1060,G1061:G$3001,"")=0,C1060,0),0))</f>
        <v/>
      </c>
    </row>
    <row r="1061">
      <c r="A1061" s="6" t="n"/>
      <c r="B1061" s="9" t="n"/>
      <c r="C1061" s="6" t="n"/>
      <c r="D1061" s="6" t="n"/>
      <c r="E1061" s="6" t="n"/>
      <c r="F1061" s="6" t="n"/>
      <c r="G1061" s="6" t="n"/>
      <c r="H1061" s="10">
        <f>IF(F1061="","",IFERROR(INDEX(Roster!$A$2:$A$600,MATCH(F1061,Roster!$E$2:$E$600,0)),""))</f>
        <v/>
      </c>
      <c r="I1061" s="10">
        <f>IF(AND(D1061="",C1061="",F1061=""),"",IF(G1061&lt;&gt;"","Void",IF(F1061="","Needs child",IF(H1061="","Child not found",IF(OR(B1061="",NOT(ISNUMBER(C1061))),"Needs month/pages","OK")))))</f>
        <v/>
      </c>
      <c r="J1061" s="10">
        <f>IF(I1061="","",IF(I1061="OK",IF(COUNTIFS(H1062:H$3001,H1061,B1062:B$3001,B1061,G1062:G$3001,"")=0,C1061,0),0))</f>
        <v/>
      </c>
    </row>
    <row r="1062">
      <c r="A1062" s="6" t="n"/>
      <c r="B1062" s="9" t="n"/>
      <c r="C1062" s="6" t="n"/>
      <c r="D1062" s="6" t="n"/>
      <c r="E1062" s="6" t="n"/>
      <c r="F1062" s="6" t="n"/>
      <c r="G1062" s="6" t="n"/>
      <c r="H1062" s="10">
        <f>IF(F1062="","",IFERROR(INDEX(Roster!$A$2:$A$600,MATCH(F1062,Roster!$E$2:$E$600,0)),""))</f>
        <v/>
      </c>
      <c r="I1062" s="10">
        <f>IF(AND(D1062="",C1062="",F1062=""),"",IF(G1062&lt;&gt;"","Void",IF(F1062="","Needs child",IF(H1062="","Child not found",IF(OR(B1062="",NOT(ISNUMBER(C1062))),"Needs month/pages","OK")))))</f>
        <v/>
      </c>
      <c r="J1062" s="10">
        <f>IF(I1062="","",IF(I1062="OK",IF(COUNTIFS(H1063:H$3001,H1062,B1063:B$3001,B1062,G1063:G$3001,"")=0,C1062,0),0))</f>
        <v/>
      </c>
    </row>
    <row r="1063">
      <c r="A1063" s="6" t="n"/>
      <c r="B1063" s="9" t="n"/>
      <c r="C1063" s="6" t="n"/>
      <c r="D1063" s="6" t="n"/>
      <c r="E1063" s="6" t="n"/>
      <c r="F1063" s="6" t="n"/>
      <c r="G1063" s="6" t="n"/>
      <c r="H1063" s="10">
        <f>IF(F1063="","",IFERROR(INDEX(Roster!$A$2:$A$600,MATCH(F1063,Roster!$E$2:$E$600,0)),""))</f>
        <v/>
      </c>
      <c r="I1063" s="10">
        <f>IF(AND(D1063="",C1063="",F1063=""),"",IF(G1063&lt;&gt;"","Void",IF(F1063="","Needs child",IF(H1063="","Child not found",IF(OR(B1063="",NOT(ISNUMBER(C1063))),"Needs month/pages","OK")))))</f>
        <v/>
      </c>
      <c r="J1063" s="10">
        <f>IF(I1063="","",IF(I1063="OK",IF(COUNTIFS(H1064:H$3001,H1063,B1064:B$3001,B1063,G1064:G$3001,"")=0,C1063,0),0))</f>
        <v/>
      </c>
    </row>
    <row r="1064">
      <c r="A1064" s="6" t="n"/>
      <c r="B1064" s="9" t="n"/>
      <c r="C1064" s="6" t="n"/>
      <c r="D1064" s="6" t="n"/>
      <c r="E1064" s="6" t="n"/>
      <c r="F1064" s="6" t="n"/>
      <c r="G1064" s="6" t="n"/>
      <c r="H1064" s="10">
        <f>IF(F1064="","",IFERROR(INDEX(Roster!$A$2:$A$600,MATCH(F1064,Roster!$E$2:$E$600,0)),""))</f>
        <v/>
      </c>
      <c r="I1064" s="10">
        <f>IF(AND(D1064="",C1064="",F1064=""),"",IF(G1064&lt;&gt;"","Void",IF(F1064="","Needs child",IF(H1064="","Child not found",IF(OR(B1064="",NOT(ISNUMBER(C1064))),"Needs month/pages","OK")))))</f>
        <v/>
      </c>
      <c r="J1064" s="10">
        <f>IF(I1064="","",IF(I1064="OK",IF(COUNTIFS(H1065:H$3001,H1064,B1065:B$3001,B1064,G1065:G$3001,"")=0,C1064,0),0))</f>
        <v/>
      </c>
    </row>
    <row r="1065">
      <c r="A1065" s="6" t="n"/>
      <c r="B1065" s="9" t="n"/>
      <c r="C1065" s="6" t="n"/>
      <c r="D1065" s="6" t="n"/>
      <c r="E1065" s="6" t="n"/>
      <c r="F1065" s="6" t="n"/>
      <c r="G1065" s="6" t="n"/>
      <c r="H1065" s="10">
        <f>IF(F1065="","",IFERROR(INDEX(Roster!$A$2:$A$600,MATCH(F1065,Roster!$E$2:$E$600,0)),""))</f>
        <v/>
      </c>
      <c r="I1065" s="10">
        <f>IF(AND(D1065="",C1065="",F1065=""),"",IF(G1065&lt;&gt;"","Void",IF(F1065="","Needs child",IF(H1065="","Child not found",IF(OR(B1065="",NOT(ISNUMBER(C1065))),"Needs month/pages","OK")))))</f>
        <v/>
      </c>
      <c r="J1065" s="10">
        <f>IF(I1065="","",IF(I1065="OK",IF(COUNTIFS(H1066:H$3001,H1065,B1066:B$3001,B1065,G1066:G$3001,"")=0,C1065,0),0))</f>
        <v/>
      </c>
    </row>
    <row r="1066">
      <c r="A1066" s="6" t="n"/>
      <c r="B1066" s="9" t="n"/>
      <c r="C1066" s="6" t="n"/>
      <c r="D1066" s="6" t="n"/>
      <c r="E1066" s="6" t="n"/>
      <c r="F1066" s="6" t="n"/>
      <c r="G1066" s="6" t="n"/>
      <c r="H1066" s="10">
        <f>IF(F1066="","",IFERROR(INDEX(Roster!$A$2:$A$600,MATCH(F1066,Roster!$E$2:$E$600,0)),""))</f>
        <v/>
      </c>
      <c r="I1066" s="10">
        <f>IF(AND(D1066="",C1066="",F1066=""),"",IF(G1066&lt;&gt;"","Void",IF(F1066="","Needs child",IF(H1066="","Child not found",IF(OR(B1066="",NOT(ISNUMBER(C1066))),"Needs month/pages","OK")))))</f>
        <v/>
      </c>
      <c r="J1066" s="10">
        <f>IF(I1066="","",IF(I1066="OK",IF(COUNTIFS(H1067:H$3001,H1066,B1067:B$3001,B1066,G1067:G$3001,"")=0,C1066,0),0))</f>
        <v/>
      </c>
    </row>
    <row r="1067">
      <c r="A1067" s="6" t="n"/>
      <c r="B1067" s="9" t="n"/>
      <c r="C1067" s="6" t="n"/>
      <c r="D1067" s="6" t="n"/>
      <c r="E1067" s="6" t="n"/>
      <c r="F1067" s="6" t="n"/>
      <c r="G1067" s="6" t="n"/>
      <c r="H1067" s="10">
        <f>IF(F1067="","",IFERROR(INDEX(Roster!$A$2:$A$600,MATCH(F1067,Roster!$E$2:$E$600,0)),""))</f>
        <v/>
      </c>
      <c r="I1067" s="10">
        <f>IF(AND(D1067="",C1067="",F1067=""),"",IF(G1067&lt;&gt;"","Void",IF(F1067="","Needs child",IF(H1067="","Child not found",IF(OR(B1067="",NOT(ISNUMBER(C1067))),"Needs month/pages","OK")))))</f>
        <v/>
      </c>
      <c r="J1067" s="10">
        <f>IF(I1067="","",IF(I1067="OK",IF(COUNTIFS(H1068:H$3001,H1067,B1068:B$3001,B1067,G1068:G$3001,"")=0,C1067,0),0))</f>
        <v/>
      </c>
    </row>
    <row r="1068">
      <c r="A1068" s="6" t="n"/>
      <c r="B1068" s="9" t="n"/>
      <c r="C1068" s="6" t="n"/>
      <c r="D1068" s="6" t="n"/>
      <c r="E1068" s="6" t="n"/>
      <c r="F1068" s="6" t="n"/>
      <c r="G1068" s="6" t="n"/>
      <c r="H1068" s="10">
        <f>IF(F1068="","",IFERROR(INDEX(Roster!$A$2:$A$600,MATCH(F1068,Roster!$E$2:$E$600,0)),""))</f>
        <v/>
      </c>
      <c r="I1068" s="10">
        <f>IF(AND(D1068="",C1068="",F1068=""),"",IF(G1068&lt;&gt;"","Void",IF(F1068="","Needs child",IF(H1068="","Child not found",IF(OR(B1068="",NOT(ISNUMBER(C1068))),"Needs month/pages","OK")))))</f>
        <v/>
      </c>
      <c r="J1068" s="10">
        <f>IF(I1068="","",IF(I1068="OK",IF(COUNTIFS(H1069:H$3001,H1068,B1069:B$3001,B1068,G1069:G$3001,"")=0,C1068,0),0))</f>
        <v/>
      </c>
    </row>
    <row r="1069">
      <c r="A1069" s="6" t="n"/>
      <c r="B1069" s="9" t="n"/>
      <c r="C1069" s="6" t="n"/>
      <c r="D1069" s="6" t="n"/>
      <c r="E1069" s="6" t="n"/>
      <c r="F1069" s="6" t="n"/>
      <c r="G1069" s="6" t="n"/>
      <c r="H1069" s="10">
        <f>IF(F1069="","",IFERROR(INDEX(Roster!$A$2:$A$600,MATCH(F1069,Roster!$E$2:$E$600,0)),""))</f>
        <v/>
      </c>
      <c r="I1069" s="10">
        <f>IF(AND(D1069="",C1069="",F1069=""),"",IF(G1069&lt;&gt;"","Void",IF(F1069="","Needs child",IF(H1069="","Child not found",IF(OR(B1069="",NOT(ISNUMBER(C1069))),"Needs month/pages","OK")))))</f>
        <v/>
      </c>
      <c r="J1069" s="10">
        <f>IF(I1069="","",IF(I1069="OK",IF(COUNTIFS(H1070:H$3001,H1069,B1070:B$3001,B1069,G1070:G$3001,"")=0,C1069,0),0))</f>
        <v/>
      </c>
    </row>
    <row r="1070">
      <c r="A1070" s="6" t="n"/>
      <c r="B1070" s="9" t="n"/>
      <c r="C1070" s="6" t="n"/>
      <c r="D1070" s="6" t="n"/>
      <c r="E1070" s="6" t="n"/>
      <c r="F1070" s="6" t="n"/>
      <c r="G1070" s="6" t="n"/>
      <c r="H1070" s="10">
        <f>IF(F1070="","",IFERROR(INDEX(Roster!$A$2:$A$600,MATCH(F1070,Roster!$E$2:$E$600,0)),""))</f>
        <v/>
      </c>
      <c r="I1070" s="10">
        <f>IF(AND(D1070="",C1070="",F1070=""),"",IF(G1070&lt;&gt;"","Void",IF(F1070="","Needs child",IF(H1070="","Child not found",IF(OR(B1070="",NOT(ISNUMBER(C1070))),"Needs month/pages","OK")))))</f>
        <v/>
      </c>
      <c r="J1070" s="10">
        <f>IF(I1070="","",IF(I1070="OK",IF(COUNTIFS(H1071:H$3001,H1070,B1071:B$3001,B1070,G1071:G$3001,"")=0,C1070,0),0))</f>
        <v/>
      </c>
    </row>
    <row r="1071">
      <c r="A1071" s="6" t="n"/>
      <c r="B1071" s="9" t="n"/>
      <c r="C1071" s="6" t="n"/>
      <c r="D1071" s="6" t="n"/>
      <c r="E1071" s="6" t="n"/>
      <c r="F1071" s="6" t="n"/>
      <c r="G1071" s="6" t="n"/>
      <c r="H1071" s="10">
        <f>IF(F1071="","",IFERROR(INDEX(Roster!$A$2:$A$600,MATCH(F1071,Roster!$E$2:$E$600,0)),""))</f>
        <v/>
      </c>
      <c r="I1071" s="10">
        <f>IF(AND(D1071="",C1071="",F1071=""),"",IF(G1071&lt;&gt;"","Void",IF(F1071="","Needs child",IF(H1071="","Child not found",IF(OR(B1071="",NOT(ISNUMBER(C1071))),"Needs month/pages","OK")))))</f>
        <v/>
      </c>
      <c r="J1071" s="10">
        <f>IF(I1071="","",IF(I1071="OK",IF(COUNTIFS(H1072:H$3001,H1071,B1072:B$3001,B1071,G1072:G$3001,"")=0,C1071,0),0))</f>
        <v/>
      </c>
    </row>
    <row r="1072">
      <c r="A1072" s="6" t="n"/>
      <c r="B1072" s="9" t="n"/>
      <c r="C1072" s="6" t="n"/>
      <c r="D1072" s="6" t="n"/>
      <c r="E1072" s="6" t="n"/>
      <c r="F1072" s="6" t="n"/>
      <c r="G1072" s="6" t="n"/>
      <c r="H1072" s="10">
        <f>IF(F1072="","",IFERROR(INDEX(Roster!$A$2:$A$600,MATCH(F1072,Roster!$E$2:$E$600,0)),""))</f>
        <v/>
      </c>
      <c r="I1072" s="10">
        <f>IF(AND(D1072="",C1072="",F1072=""),"",IF(G1072&lt;&gt;"","Void",IF(F1072="","Needs child",IF(H1072="","Child not found",IF(OR(B1072="",NOT(ISNUMBER(C1072))),"Needs month/pages","OK")))))</f>
        <v/>
      </c>
      <c r="J1072" s="10">
        <f>IF(I1072="","",IF(I1072="OK",IF(COUNTIFS(H1073:H$3001,H1072,B1073:B$3001,B1072,G1073:G$3001,"")=0,C1072,0),0))</f>
        <v/>
      </c>
    </row>
    <row r="1073">
      <c r="A1073" s="6" t="n"/>
      <c r="B1073" s="9" t="n"/>
      <c r="C1073" s="6" t="n"/>
      <c r="D1073" s="6" t="n"/>
      <c r="E1073" s="6" t="n"/>
      <c r="F1073" s="6" t="n"/>
      <c r="G1073" s="6" t="n"/>
      <c r="H1073" s="10">
        <f>IF(F1073="","",IFERROR(INDEX(Roster!$A$2:$A$600,MATCH(F1073,Roster!$E$2:$E$600,0)),""))</f>
        <v/>
      </c>
      <c r="I1073" s="10">
        <f>IF(AND(D1073="",C1073="",F1073=""),"",IF(G1073&lt;&gt;"","Void",IF(F1073="","Needs child",IF(H1073="","Child not found",IF(OR(B1073="",NOT(ISNUMBER(C1073))),"Needs month/pages","OK")))))</f>
        <v/>
      </c>
      <c r="J1073" s="10">
        <f>IF(I1073="","",IF(I1073="OK",IF(COUNTIFS(H1074:H$3001,H1073,B1074:B$3001,B1073,G1074:G$3001,"")=0,C1073,0),0))</f>
        <v/>
      </c>
    </row>
    <row r="1074">
      <c r="A1074" s="6" t="n"/>
      <c r="B1074" s="9" t="n"/>
      <c r="C1074" s="6" t="n"/>
      <c r="D1074" s="6" t="n"/>
      <c r="E1074" s="6" t="n"/>
      <c r="F1074" s="6" t="n"/>
      <c r="G1074" s="6" t="n"/>
      <c r="H1074" s="10">
        <f>IF(F1074="","",IFERROR(INDEX(Roster!$A$2:$A$600,MATCH(F1074,Roster!$E$2:$E$600,0)),""))</f>
        <v/>
      </c>
      <c r="I1074" s="10">
        <f>IF(AND(D1074="",C1074="",F1074=""),"",IF(G1074&lt;&gt;"","Void",IF(F1074="","Needs child",IF(H1074="","Child not found",IF(OR(B1074="",NOT(ISNUMBER(C1074))),"Needs month/pages","OK")))))</f>
        <v/>
      </c>
      <c r="J1074" s="10">
        <f>IF(I1074="","",IF(I1074="OK",IF(COUNTIFS(H1075:H$3001,H1074,B1075:B$3001,B1074,G1075:G$3001,"")=0,C1074,0),0))</f>
        <v/>
      </c>
    </row>
    <row r="1075">
      <c r="A1075" s="6" t="n"/>
      <c r="B1075" s="9" t="n"/>
      <c r="C1075" s="6" t="n"/>
      <c r="D1075" s="6" t="n"/>
      <c r="E1075" s="6" t="n"/>
      <c r="F1075" s="6" t="n"/>
      <c r="G1075" s="6" t="n"/>
      <c r="H1075" s="10">
        <f>IF(F1075="","",IFERROR(INDEX(Roster!$A$2:$A$600,MATCH(F1075,Roster!$E$2:$E$600,0)),""))</f>
        <v/>
      </c>
      <c r="I1075" s="10">
        <f>IF(AND(D1075="",C1075="",F1075=""),"",IF(G1075&lt;&gt;"","Void",IF(F1075="","Needs child",IF(H1075="","Child not found",IF(OR(B1075="",NOT(ISNUMBER(C1075))),"Needs month/pages","OK")))))</f>
        <v/>
      </c>
      <c r="J1075" s="10">
        <f>IF(I1075="","",IF(I1075="OK",IF(COUNTIFS(H1076:H$3001,H1075,B1076:B$3001,B1075,G1076:G$3001,"")=0,C1075,0),0))</f>
        <v/>
      </c>
    </row>
    <row r="1076">
      <c r="A1076" s="6" t="n"/>
      <c r="B1076" s="9" t="n"/>
      <c r="C1076" s="6" t="n"/>
      <c r="D1076" s="6" t="n"/>
      <c r="E1076" s="6" t="n"/>
      <c r="F1076" s="6" t="n"/>
      <c r="G1076" s="6" t="n"/>
      <c r="H1076" s="10">
        <f>IF(F1076="","",IFERROR(INDEX(Roster!$A$2:$A$600,MATCH(F1076,Roster!$E$2:$E$600,0)),""))</f>
        <v/>
      </c>
      <c r="I1076" s="10">
        <f>IF(AND(D1076="",C1076="",F1076=""),"",IF(G1076&lt;&gt;"","Void",IF(F1076="","Needs child",IF(H1076="","Child not found",IF(OR(B1076="",NOT(ISNUMBER(C1076))),"Needs month/pages","OK")))))</f>
        <v/>
      </c>
      <c r="J1076" s="10">
        <f>IF(I1076="","",IF(I1076="OK",IF(COUNTIFS(H1077:H$3001,H1076,B1077:B$3001,B1076,G1077:G$3001,"")=0,C1076,0),0))</f>
        <v/>
      </c>
    </row>
    <row r="1077">
      <c r="A1077" s="6" t="n"/>
      <c r="B1077" s="9" t="n"/>
      <c r="C1077" s="6" t="n"/>
      <c r="D1077" s="6" t="n"/>
      <c r="E1077" s="6" t="n"/>
      <c r="F1077" s="6" t="n"/>
      <c r="G1077" s="6" t="n"/>
      <c r="H1077" s="10">
        <f>IF(F1077="","",IFERROR(INDEX(Roster!$A$2:$A$600,MATCH(F1077,Roster!$E$2:$E$600,0)),""))</f>
        <v/>
      </c>
      <c r="I1077" s="10">
        <f>IF(AND(D1077="",C1077="",F1077=""),"",IF(G1077&lt;&gt;"","Void",IF(F1077="","Needs child",IF(H1077="","Child not found",IF(OR(B1077="",NOT(ISNUMBER(C1077))),"Needs month/pages","OK")))))</f>
        <v/>
      </c>
      <c r="J1077" s="10">
        <f>IF(I1077="","",IF(I1077="OK",IF(COUNTIFS(H1078:H$3001,H1077,B1078:B$3001,B1077,G1078:G$3001,"")=0,C1077,0),0))</f>
        <v/>
      </c>
    </row>
    <row r="1078">
      <c r="A1078" s="6" t="n"/>
      <c r="B1078" s="9" t="n"/>
      <c r="C1078" s="6" t="n"/>
      <c r="D1078" s="6" t="n"/>
      <c r="E1078" s="6" t="n"/>
      <c r="F1078" s="6" t="n"/>
      <c r="G1078" s="6" t="n"/>
      <c r="H1078" s="10">
        <f>IF(F1078="","",IFERROR(INDEX(Roster!$A$2:$A$600,MATCH(F1078,Roster!$E$2:$E$600,0)),""))</f>
        <v/>
      </c>
      <c r="I1078" s="10">
        <f>IF(AND(D1078="",C1078="",F1078=""),"",IF(G1078&lt;&gt;"","Void",IF(F1078="","Needs child",IF(H1078="","Child not found",IF(OR(B1078="",NOT(ISNUMBER(C1078))),"Needs month/pages","OK")))))</f>
        <v/>
      </c>
      <c r="J1078" s="10">
        <f>IF(I1078="","",IF(I1078="OK",IF(COUNTIFS(H1079:H$3001,H1078,B1079:B$3001,B1078,G1079:G$3001,"")=0,C1078,0),0))</f>
        <v/>
      </c>
    </row>
    <row r="1079">
      <c r="A1079" s="6" t="n"/>
      <c r="B1079" s="9" t="n"/>
      <c r="C1079" s="6" t="n"/>
      <c r="D1079" s="6" t="n"/>
      <c r="E1079" s="6" t="n"/>
      <c r="F1079" s="6" t="n"/>
      <c r="G1079" s="6" t="n"/>
      <c r="H1079" s="10">
        <f>IF(F1079="","",IFERROR(INDEX(Roster!$A$2:$A$600,MATCH(F1079,Roster!$E$2:$E$600,0)),""))</f>
        <v/>
      </c>
      <c r="I1079" s="10">
        <f>IF(AND(D1079="",C1079="",F1079=""),"",IF(G1079&lt;&gt;"","Void",IF(F1079="","Needs child",IF(H1079="","Child not found",IF(OR(B1079="",NOT(ISNUMBER(C1079))),"Needs month/pages","OK")))))</f>
        <v/>
      </c>
      <c r="J1079" s="10">
        <f>IF(I1079="","",IF(I1079="OK",IF(COUNTIFS(H1080:H$3001,H1079,B1080:B$3001,B1079,G1080:G$3001,"")=0,C1079,0),0))</f>
        <v/>
      </c>
    </row>
    <row r="1080">
      <c r="A1080" s="6" t="n"/>
      <c r="B1080" s="9" t="n"/>
      <c r="C1080" s="6" t="n"/>
      <c r="D1080" s="6" t="n"/>
      <c r="E1080" s="6" t="n"/>
      <c r="F1080" s="6" t="n"/>
      <c r="G1080" s="6" t="n"/>
      <c r="H1080" s="10">
        <f>IF(F1080="","",IFERROR(INDEX(Roster!$A$2:$A$600,MATCH(F1080,Roster!$E$2:$E$600,0)),""))</f>
        <v/>
      </c>
      <c r="I1080" s="10">
        <f>IF(AND(D1080="",C1080="",F1080=""),"",IF(G1080&lt;&gt;"","Void",IF(F1080="","Needs child",IF(H1080="","Child not found",IF(OR(B1080="",NOT(ISNUMBER(C1080))),"Needs month/pages","OK")))))</f>
        <v/>
      </c>
      <c r="J1080" s="10">
        <f>IF(I1080="","",IF(I1080="OK",IF(COUNTIFS(H1081:H$3001,H1080,B1081:B$3001,B1080,G1081:G$3001,"")=0,C1080,0),0))</f>
        <v/>
      </c>
    </row>
    <row r="1081">
      <c r="A1081" s="6" t="n"/>
      <c r="B1081" s="9" t="n"/>
      <c r="C1081" s="6" t="n"/>
      <c r="D1081" s="6" t="n"/>
      <c r="E1081" s="6" t="n"/>
      <c r="F1081" s="6" t="n"/>
      <c r="G1081" s="6" t="n"/>
      <c r="H1081" s="10">
        <f>IF(F1081="","",IFERROR(INDEX(Roster!$A$2:$A$600,MATCH(F1081,Roster!$E$2:$E$600,0)),""))</f>
        <v/>
      </c>
      <c r="I1081" s="10">
        <f>IF(AND(D1081="",C1081="",F1081=""),"",IF(G1081&lt;&gt;"","Void",IF(F1081="","Needs child",IF(H1081="","Child not found",IF(OR(B1081="",NOT(ISNUMBER(C1081))),"Needs month/pages","OK")))))</f>
        <v/>
      </c>
      <c r="J1081" s="10">
        <f>IF(I1081="","",IF(I1081="OK",IF(COUNTIFS(H1082:H$3001,H1081,B1082:B$3001,B1081,G1082:G$3001,"")=0,C1081,0),0))</f>
        <v/>
      </c>
    </row>
    <row r="1082">
      <c r="A1082" s="6" t="n"/>
      <c r="B1082" s="9" t="n"/>
      <c r="C1082" s="6" t="n"/>
      <c r="D1082" s="6" t="n"/>
      <c r="E1082" s="6" t="n"/>
      <c r="F1082" s="6" t="n"/>
      <c r="G1082" s="6" t="n"/>
      <c r="H1082" s="10">
        <f>IF(F1082="","",IFERROR(INDEX(Roster!$A$2:$A$600,MATCH(F1082,Roster!$E$2:$E$600,0)),""))</f>
        <v/>
      </c>
      <c r="I1082" s="10">
        <f>IF(AND(D1082="",C1082="",F1082=""),"",IF(G1082&lt;&gt;"","Void",IF(F1082="","Needs child",IF(H1082="","Child not found",IF(OR(B1082="",NOT(ISNUMBER(C1082))),"Needs month/pages","OK")))))</f>
        <v/>
      </c>
      <c r="J1082" s="10">
        <f>IF(I1082="","",IF(I1082="OK",IF(COUNTIFS(H1083:H$3001,H1082,B1083:B$3001,B1082,G1083:G$3001,"")=0,C1082,0),0))</f>
        <v/>
      </c>
    </row>
    <row r="1083">
      <c r="A1083" s="6" t="n"/>
      <c r="B1083" s="9" t="n"/>
      <c r="C1083" s="6" t="n"/>
      <c r="D1083" s="6" t="n"/>
      <c r="E1083" s="6" t="n"/>
      <c r="F1083" s="6" t="n"/>
      <c r="G1083" s="6" t="n"/>
      <c r="H1083" s="10">
        <f>IF(F1083="","",IFERROR(INDEX(Roster!$A$2:$A$600,MATCH(F1083,Roster!$E$2:$E$600,0)),""))</f>
        <v/>
      </c>
      <c r="I1083" s="10">
        <f>IF(AND(D1083="",C1083="",F1083=""),"",IF(G1083&lt;&gt;"","Void",IF(F1083="","Needs child",IF(H1083="","Child not found",IF(OR(B1083="",NOT(ISNUMBER(C1083))),"Needs month/pages","OK")))))</f>
        <v/>
      </c>
      <c r="J1083" s="10">
        <f>IF(I1083="","",IF(I1083="OK",IF(COUNTIFS(H1084:H$3001,H1083,B1084:B$3001,B1083,G1084:G$3001,"")=0,C1083,0),0))</f>
        <v/>
      </c>
    </row>
    <row r="1084">
      <c r="A1084" s="6" t="n"/>
      <c r="B1084" s="9" t="n"/>
      <c r="C1084" s="6" t="n"/>
      <c r="D1084" s="6" t="n"/>
      <c r="E1084" s="6" t="n"/>
      <c r="F1084" s="6" t="n"/>
      <c r="G1084" s="6" t="n"/>
      <c r="H1084" s="10">
        <f>IF(F1084="","",IFERROR(INDEX(Roster!$A$2:$A$600,MATCH(F1084,Roster!$E$2:$E$600,0)),""))</f>
        <v/>
      </c>
      <c r="I1084" s="10">
        <f>IF(AND(D1084="",C1084="",F1084=""),"",IF(G1084&lt;&gt;"","Void",IF(F1084="","Needs child",IF(H1084="","Child not found",IF(OR(B1084="",NOT(ISNUMBER(C1084))),"Needs month/pages","OK")))))</f>
        <v/>
      </c>
      <c r="J1084" s="10">
        <f>IF(I1084="","",IF(I1084="OK",IF(COUNTIFS(H1085:H$3001,H1084,B1085:B$3001,B1084,G1085:G$3001,"")=0,C1084,0),0))</f>
        <v/>
      </c>
    </row>
    <row r="1085">
      <c r="A1085" s="6" t="n"/>
      <c r="B1085" s="9" t="n"/>
      <c r="C1085" s="6" t="n"/>
      <c r="D1085" s="6" t="n"/>
      <c r="E1085" s="6" t="n"/>
      <c r="F1085" s="6" t="n"/>
      <c r="G1085" s="6" t="n"/>
      <c r="H1085" s="10">
        <f>IF(F1085="","",IFERROR(INDEX(Roster!$A$2:$A$600,MATCH(F1085,Roster!$E$2:$E$600,0)),""))</f>
        <v/>
      </c>
      <c r="I1085" s="10">
        <f>IF(AND(D1085="",C1085="",F1085=""),"",IF(G1085&lt;&gt;"","Void",IF(F1085="","Needs child",IF(H1085="","Child not found",IF(OR(B1085="",NOT(ISNUMBER(C1085))),"Needs month/pages","OK")))))</f>
        <v/>
      </c>
      <c r="J1085" s="10">
        <f>IF(I1085="","",IF(I1085="OK",IF(COUNTIFS(H1086:H$3001,H1085,B1086:B$3001,B1085,G1086:G$3001,"")=0,C1085,0),0))</f>
        <v/>
      </c>
    </row>
    <row r="1086">
      <c r="A1086" s="6" t="n"/>
      <c r="B1086" s="9" t="n"/>
      <c r="C1086" s="6" t="n"/>
      <c r="D1086" s="6" t="n"/>
      <c r="E1086" s="6" t="n"/>
      <c r="F1086" s="6" t="n"/>
      <c r="G1086" s="6" t="n"/>
      <c r="H1086" s="10">
        <f>IF(F1086="","",IFERROR(INDEX(Roster!$A$2:$A$600,MATCH(F1086,Roster!$E$2:$E$600,0)),""))</f>
        <v/>
      </c>
      <c r="I1086" s="10">
        <f>IF(AND(D1086="",C1086="",F1086=""),"",IF(G1086&lt;&gt;"","Void",IF(F1086="","Needs child",IF(H1086="","Child not found",IF(OR(B1086="",NOT(ISNUMBER(C1086))),"Needs month/pages","OK")))))</f>
        <v/>
      </c>
      <c r="J1086" s="10">
        <f>IF(I1086="","",IF(I1086="OK",IF(COUNTIFS(H1087:H$3001,H1086,B1087:B$3001,B1086,G1087:G$3001,"")=0,C1086,0),0))</f>
        <v/>
      </c>
    </row>
    <row r="1087">
      <c r="A1087" s="6" t="n"/>
      <c r="B1087" s="9" t="n"/>
      <c r="C1087" s="6" t="n"/>
      <c r="D1087" s="6" t="n"/>
      <c r="E1087" s="6" t="n"/>
      <c r="F1087" s="6" t="n"/>
      <c r="G1087" s="6" t="n"/>
      <c r="H1087" s="10">
        <f>IF(F1087="","",IFERROR(INDEX(Roster!$A$2:$A$600,MATCH(F1087,Roster!$E$2:$E$600,0)),""))</f>
        <v/>
      </c>
      <c r="I1087" s="10">
        <f>IF(AND(D1087="",C1087="",F1087=""),"",IF(G1087&lt;&gt;"","Void",IF(F1087="","Needs child",IF(H1087="","Child not found",IF(OR(B1087="",NOT(ISNUMBER(C1087))),"Needs month/pages","OK")))))</f>
        <v/>
      </c>
      <c r="J1087" s="10">
        <f>IF(I1087="","",IF(I1087="OK",IF(COUNTIFS(H1088:H$3001,H1087,B1088:B$3001,B1087,G1088:G$3001,"")=0,C1087,0),0))</f>
        <v/>
      </c>
    </row>
    <row r="1088">
      <c r="A1088" s="6" t="n"/>
      <c r="B1088" s="9" t="n"/>
      <c r="C1088" s="6" t="n"/>
      <c r="D1088" s="6" t="n"/>
      <c r="E1088" s="6" t="n"/>
      <c r="F1088" s="6" t="n"/>
      <c r="G1088" s="6" t="n"/>
      <c r="H1088" s="10">
        <f>IF(F1088="","",IFERROR(INDEX(Roster!$A$2:$A$600,MATCH(F1088,Roster!$E$2:$E$600,0)),""))</f>
        <v/>
      </c>
      <c r="I1088" s="10">
        <f>IF(AND(D1088="",C1088="",F1088=""),"",IF(G1088&lt;&gt;"","Void",IF(F1088="","Needs child",IF(H1088="","Child not found",IF(OR(B1088="",NOT(ISNUMBER(C1088))),"Needs month/pages","OK")))))</f>
        <v/>
      </c>
      <c r="J1088" s="10">
        <f>IF(I1088="","",IF(I1088="OK",IF(COUNTIFS(H1089:H$3001,H1088,B1089:B$3001,B1088,G1089:G$3001,"")=0,C1088,0),0))</f>
        <v/>
      </c>
    </row>
    <row r="1089">
      <c r="A1089" s="6" t="n"/>
      <c r="B1089" s="9" t="n"/>
      <c r="C1089" s="6" t="n"/>
      <c r="D1089" s="6" t="n"/>
      <c r="E1089" s="6" t="n"/>
      <c r="F1089" s="6" t="n"/>
      <c r="G1089" s="6" t="n"/>
      <c r="H1089" s="10">
        <f>IF(F1089="","",IFERROR(INDEX(Roster!$A$2:$A$600,MATCH(F1089,Roster!$E$2:$E$600,0)),""))</f>
        <v/>
      </c>
      <c r="I1089" s="10">
        <f>IF(AND(D1089="",C1089="",F1089=""),"",IF(G1089&lt;&gt;"","Void",IF(F1089="","Needs child",IF(H1089="","Child not found",IF(OR(B1089="",NOT(ISNUMBER(C1089))),"Needs month/pages","OK")))))</f>
        <v/>
      </c>
      <c r="J1089" s="10">
        <f>IF(I1089="","",IF(I1089="OK",IF(COUNTIFS(H1090:H$3001,H1089,B1090:B$3001,B1089,G1090:G$3001,"")=0,C1089,0),0))</f>
        <v/>
      </c>
    </row>
    <row r="1090">
      <c r="A1090" s="6" t="n"/>
      <c r="B1090" s="9" t="n"/>
      <c r="C1090" s="6" t="n"/>
      <c r="D1090" s="6" t="n"/>
      <c r="E1090" s="6" t="n"/>
      <c r="F1090" s="6" t="n"/>
      <c r="G1090" s="6" t="n"/>
      <c r="H1090" s="10">
        <f>IF(F1090="","",IFERROR(INDEX(Roster!$A$2:$A$600,MATCH(F1090,Roster!$E$2:$E$600,0)),""))</f>
        <v/>
      </c>
      <c r="I1090" s="10">
        <f>IF(AND(D1090="",C1090="",F1090=""),"",IF(G1090&lt;&gt;"","Void",IF(F1090="","Needs child",IF(H1090="","Child not found",IF(OR(B1090="",NOT(ISNUMBER(C1090))),"Needs month/pages","OK")))))</f>
        <v/>
      </c>
      <c r="J1090" s="10">
        <f>IF(I1090="","",IF(I1090="OK",IF(COUNTIFS(H1091:H$3001,H1090,B1091:B$3001,B1090,G1091:G$3001,"")=0,C1090,0),0))</f>
        <v/>
      </c>
    </row>
    <row r="1091">
      <c r="A1091" s="6" t="n"/>
      <c r="B1091" s="9" t="n"/>
      <c r="C1091" s="6" t="n"/>
      <c r="D1091" s="6" t="n"/>
      <c r="E1091" s="6" t="n"/>
      <c r="F1091" s="6" t="n"/>
      <c r="G1091" s="6" t="n"/>
      <c r="H1091" s="10">
        <f>IF(F1091="","",IFERROR(INDEX(Roster!$A$2:$A$600,MATCH(F1091,Roster!$E$2:$E$600,0)),""))</f>
        <v/>
      </c>
      <c r="I1091" s="10">
        <f>IF(AND(D1091="",C1091="",F1091=""),"",IF(G1091&lt;&gt;"","Void",IF(F1091="","Needs child",IF(H1091="","Child not found",IF(OR(B1091="",NOT(ISNUMBER(C1091))),"Needs month/pages","OK")))))</f>
        <v/>
      </c>
      <c r="J1091" s="10">
        <f>IF(I1091="","",IF(I1091="OK",IF(COUNTIFS(H1092:H$3001,H1091,B1092:B$3001,B1091,G1092:G$3001,"")=0,C1091,0),0))</f>
        <v/>
      </c>
    </row>
    <row r="1092">
      <c r="A1092" s="6" t="n"/>
      <c r="B1092" s="9" t="n"/>
      <c r="C1092" s="6" t="n"/>
      <c r="D1092" s="6" t="n"/>
      <c r="E1092" s="6" t="n"/>
      <c r="F1092" s="6" t="n"/>
      <c r="G1092" s="6" t="n"/>
      <c r="H1092" s="10">
        <f>IF(F1092="","",IFERROR(INDEX(Roster!$A$2:$A$600,MATCH(F1092,Roster!$E$2:$E$600,0)),""))</f>
        <v/>
      </c>
      <c r="I1092" s="10">
        <f>IF(AND(D1092="",C1092="",F1092=""),"",IF(G1092&lt;&gt;"","Void",IF(F1092="","Needs child",IF(H1092="","Child not found",IF(OR(B1092="",NOT(ISNUMBER(C1092))),"Needs month/pages","OK")))))</f>
        <v/>
      </c>
      <c r="J1092" s="10">
        <f>IF(I1092="","",IF(I1092="OK",IF(COUNTIFS(H1093:H$3001,H1092,B1093:B$3001,B1092,G1093:G$3001,"")=0,C1092,0),0))</f>
        <v/>
      </c>
    </row>
    <row r="1093">
      <c r="A1093" s="6" t="n"/>
      <c r="B1093" s="9" t="n"/>
      <c r="C1093" s="6" t="n"/>
      <c r="D1093" s="6" t="n"/>
      <c r="E1093" s="6" t="n"/>
      <c r="F1093" s="6" t="n"/>
      <c r="G1093" s="6" t="n"/>
      <c r="H1093" s="10">
        <f>IF(F1093="","",IFERROR(INDEX(Roster!$A$2:$A$600,MATCH(F1093,Roster!$E$2:$E$600,0)),""))</f>
        <v/>
      </c>
      <c r="I1093" s="10">
        <f>IF(AND(D1093="",C1093="",F1093=""),"",IF(G1093&lt;&gt;"","Void",IF(F1093="","Needs child",IF(H1093="","Child not found",IF(OR(B1093="",NOT(ISNUMBER(C1093))),"Needs month/pages","OK")))))</f>
        <v/>
      </c>
      <c r="J1093" s="10">
        <f>IF(I1093="","",IF(I1093="OK",IF(COUNTIFS(H1094:H$3001,H1093,B1094:B$3001,B1093,G1094:G$3001,"")=0,C1093,0),0))</f>
        <v/>
      </c>
    </row>
    <row r="1094">
      <c r="A1094" s="6" t="n"/>
      <c r="B1094" s="9" t="n"/>
      <c r="C1094" s="6" t="n"/>
      <c r="D1094" s="6" t="n"/>
      <c r="E1094" s="6" t="n"/>
      <c r="F1094" s="6" t="n"/>
      <c r="G1094" s="6" t="n"/>
      <c r="H1094" s="10">
        <f>IF(F1094="","",IFERROR(INDEX(Roster!$A$2:$A$600,MATCH(F1094,Roster!$E$2:$E$600,0)),""))</f>
        <v/>
      </c>
      <c r="I1094" s="10">
        <f>IF(AND(D1094="",C1094="",F1094=""),"",IF(G1094&lt;&gt;"","Void",IF(F1094="","Needs child",IF(H1094="","Child not found",IF(OR(B1094="",NOT(ISNUMBER(C1094))),"Needs month/pages","OK")))))</f>
        <v/>
      </c>
      <c r="J1094" s="10">
        <f>IF(I1094="","",IF(I1094="OK",IF(COUNTIFS(H1095:H$3001,H1094,B1095:B$3001,B1094,G1095:G$3001,"")=0,C1094,0),0))</f>
        <v/>
      </c>
    </row>
    <row r="1095">
      <c r="A1095" s="6" t="n"/>
      <c r="B1095" s="9" t="n"/>
      <c r="C1095" s="6" t="n"/>
      <c r="D1095" s="6" t="n"/>
      <c r="E1095" s="6" t="n"/>
      <c r="F1095" s="6" t="n"/>
      <c r="G1095" s="6" t="n"/>
      <c r="H1095" s="10">
        <f>IF(F1095="","",IFERROR(INDEX(Roster!$A$2:$A$600,MATCH(F1095,Roster!$E$2:$E$600,0)),""))</f>
        <v/>
      </c>
      <c r="I1095" s="10">
        <f>IF(AND(D1095="",C1095="",F1095=""),"",IF(G1095&lt;&gt;"","Void",IF(F1095="","Needs child",IF(H1095="","Child not found",IF(OR(B1095="",NOT(ISNUMBER(C1095))),"Needs month/pages","OK")))))</f>
        <v/>
      </c>
      <c r="J1095" s="10">
        <f>IF(I1095="","",IF(I1095="OK",IF(COUNTIFS(H1096:H$3001,H1095,B1096:B$3001,B1095,G1096:G$3001,"")=0,C1095,0),0))</f>
        <v/>
      </c>
    </row>
    <row r="1096">
      <c r="A1096" s="6" t="n"/>
      <c r="B1096" s="9" t="n"/>
      <c r="C1096" s="6" t="n"/>
      <c r="D1096" s="6" t="n"/>
      <c r="E1096" s="6" t="n"/>
      <c r="F1096" s="6" t="n"/>
      <c r="G1096" s="6" t="n"/>
      <c r="H1096" s="10">
        <f>IF(F1096="","",IFERROR(INDEX(Roster!$A$2:$A$600,MATCH(F1096,Roster!$E$2:$E$600,0)),""))</f>
        <v/>
      </c>
      <c r="I1096" s="10">
        <f>IF(AND(D1096="",C1096="",F1096=""),"",IF(G1096&lt;&gt;"","Void",IF(F1096="","Needs child",IF(H1096="","Child not found",IF(OR(B1096="",NOT(ISNUMBER(C1096))),"Needs month/pages","OK")))))</f>
        <v/>
      </c>
      <c r="J1096" s="10">
        <f>IF(I1096="","",IF(I1096="OK",IF(COUNTIFS(H1097:H$3001,H1096,B1097:B$3001,B1096,G1097:G$3001,"")=0,C1096,0),0))</f>
        <v/>
      </c>
    </row>
    <row r="1097">
      <c r="A1097" s="6" t="n"/>
      <c r="B1097" s="9" t="n"/>
      <c r="C1097" s="6" t="n"/>
      <c r="D1097" s="6" t="n"/>
      <c r="E1097" s="6" t="n"/>
      <c r="F1097" s="6" t="n"/>
      <c r="G1097" s="6" t="n"/>
      <c r="H1097" s="10">
        <f>IF(F1097="","",IFERROR(INDEX(Roster!$A$2:$A$600,MATCH(F1097,Roster!$E$2:$E$600,0)),""))</f>
        <v/>
      </c>
      <c r="I1097" s="10">
        <f>IF(AND(D1097="",C1097="",F1097=""),"",IF(G1097&lt;&gt;"","Void",IF(F1097="","Needs child",IF(H1097="","Child not found",IF(OR(B1097="",NOT(ISNUMBER(C1097))),"Needs month/pages","OK")))))</f>
        <v/>
      </c>
      <c r="J1097" s="10">
        <f>IF(I1097="","",IF(I1097="OK",IF(COUNTIFS(H1098:H$3001,H1097,B1098:B$3001,B1097,G1098:G$3001,"")=0,C1097,0),0))</f>
        <v/>
      </c>
    </row>
    <row r="1098">
      <c r="A1098" s="6" t="n"/>
      <c r="B1098" s="9" t="n"/>
      <c r="C1098" s="6" t="n"/>
      <c r="D1098" s="6" t="n"/>
      <c r="E1098" s="6" t="n"/>
      <c r="F1098" s="6" t="n"/>
      <c r="G1098" s="6" t="n"/>
      <c r="H1098" s="10">
        <f>IF(F1098="","",IFERROR(INDEX(Roster!$A$2:$A$600,MATCH(F1098,Roster!$E$2:$E$600,0)),""))</f>
        <v/>
      </c>
      <c r="I1098" s="10">
        <f>IF(AND(D1098="",C1098="",F1098=""),"",IF(G1098&lt;&gt;"","Void",IF(F1098="","Needs child",IF(H1098="","Child not found",IF(OR(B1098="",NOT(ISNUMBER(C1098))),"Needs month/pages","OK")))))</f>
        <v/>
      </c>
      <c r="J1098" s="10">
        <f>IF(I1098="","",IF(I1098="OK",IF(COUNTIFS(H1099:H$3001,H1098,B1099:B$3001,B1098,G1099:G$3001,"")=0,C1098,0),0))</f>
        <v/>
      </c>
    </row>
    <row r="1099">
      <c r="A1099" s="6" t="n"/>
      <c r="B1099" s="9" t="n"/>
      <c r="C1099" s="6" t="n"/>
      <c r="D1099" s="6" t="n"/>
      <c r="E1099" s="6" t="n"/>
      <c r="F1099" s="6" t="n"/>
      <c r="G1099" s="6" t="n"/>
      <c r="H1099" s="10">
        <f>IF(F1099="","",IFERROR(INDEX(Roster!$A$2:$A$600,MATCH(F1099,Roster!$E$2:$E$600,0)),""))</f>
        <v/>
      </c>
      <c r="I1099" s="10">
        <f>IF(AND(D1099="",C1099="",F1099=""),"",IF(G1099&lt;&gt;"","Void",IF(F1099="","Needs child",IF(H1099="","Child not found",IF(OR(B1099="",NOT(ISNUMBER(C1099))),"Needs month/pages","OK")))))</f>
        <v/>
      </c>
      <c r="J1099" s="10">
        <f>IF(I1099="","",IF(I1099="OK",IF(COUNTIFS(H1100:H$3001,H1099,B1100:B$3001,B1099,G1100:G$3001,"")=0,C1099,0),0))</f>
        <v/>
      </c>
    </row>
    <row r="1100">
      <c r="A1100" s="6" t="n"/>
      <c r="B1100" s="9" t="n"/>
      <c r="C1100" s="6" t="n"/>
      <c r="D1100" s="6" t="n"/>
      <c r="E1100" s="6" t="n"/>
      <c r="F1100" s="6" t="n"/>
      <c r="G1100" s="6" t="n"/>
      <c r="H1100" s="10">
        <f>IF(F1100="","",IFERROR(INDEX(Roster!$A$2:$A$600,MATCH(F1100,Roster!$E$2:$E$600,0)),""))</f>
        <v/>
      </c>
      <c r="I1100" s="10">
        <f>IF(AND(D1100="",C1100="",F1100=""),"",IF(G1100&lt;&gt;"","Void",IF(F1100="","Needs child",IF(H1100="","Child not found",IF(OR(B1100="",NOT(ISNUMBER(C1100))),"Needs month/pages","OK")))))</f>
        <v/>
      </c>
      <c r="J1100" s="10">
        <f>IF(I1100="","",IF(I1100="OK",IF(COUNTIFS(H1101:H$3001,H1100,B1101:B$3001,B1100,G1101:G$3001,"")=0,C1100,0),0))</f>
        <v/>
      </c>
    </row>
    <row r="1101">
      <c r="A1101" s="6" t="n"/>
      <c r="B1101" s="9" t="n"/>
      <c r="C1101" s="6" t="n"/>
      <c r="D1101" s="6" t="n"/>
      <c r="E1101" s="6" t="n"/>
      <c r="F1101" s="6" t="n"/>
      <c r="G1101" s="6" t="n"/>
      <c r="H1101" s="10">
        <f>IF(F1101="","",IFERROR(INDEX(Roster!$A$2:$A$600,MATCH(F1101,Roster!$E$2:$E$600,0)),""))</f>
        <v/>
      </c>
      <c r="I1101" s="10">
        <f>IF(AND(D1101="",C1101="",F1101=""),"",IF(G1101&lt;&gt;"","Void",IF(F1101="","Needs child",IF(H1101="","Child not found",IF(OR(B1101="",NOT(ISNUMBER(C1101))),"Needs month/pages","OK")))))</f>
        <v/>
      </c>
      <c r="J1101" s="10">
        <f>IF(I1101="","",IF(I1101="OK",IF(COUNTIFS(H1102:H$3001,H1101,B1102:B$3001,B1101,G1102:G$3001,"")=0,C1101,0),0))</f>
        <v/>
      </c>
    </row>
    <row r="1102">
      <c r="A1102" s="6" t="n"/>
      <c r="B1102" s="9" t="n"/>
      <c r="C1102" s="6" t="n"/>
      <c r="D1102" s="6" t="n"/>
      <c r="E1102" s="6" t="n"/>
      <c r="F1102" s="6" t="n"/>
      <c r="G1102" s="6" t="n"/>
      <c r="H1102" s="10">
        <f>IF(F1102="","",IFERROR(INDEX(Roster!$A$2:$A$600,MATCH(F1102,Roster!$E$2:$E$600,0)),""))</f>
        <v/>
      </c>
      <c r="I1102" s="10">
        <f>IF(AND(D1102="",C1102="",F1102=""),"",IF(G1102&lt;&gt;"","Void",IF(F1102="","Needs child",IF(H1102="","Child not found",IF(OR(B1102="",NOT(ISNUMBER(C1102))),"Needs month/pages","OK")))))</f>
        <v/>
      </c>
      <c r="J1102" s="10">
        <f>IF(I1102="","",IF(I1102="OK",IF(COUNTIFS(H1103:H$3001,H1102,B1103:B$3001,B1102,G1103:G$3001,"")=0,C1102,0),0))</f>
        <v/>
      </c>
    </row>
    <row r="1103">
      <c r="A1103" s="6" t="n"/>
      <c r="B1103" s="9" t="n"/>
      <c r="C1103" s="6" t="n"/>
      <c r="D1103" s="6" t="n"/>
      <c r="E1103" s="6" t="n"/>
      <c r="F1103" s="6" t="n"/>
      <c r="G1103" s="6" t="n"/>
      <c r="H1103" s="10">
        <f>IF(F1103="","",IFERROR(INDEX(Roster!$A$2:$A$600,MATCH(F1103,Roster!$E$2:$E$600,0)),""))</f>
        <v/>
      </c>
      <c r="I1103" s="10">
        <f>IF(AND(D1103="",C1103="",F1103=""),"",IF(G1103&lt;&gt;"","Void",IF(F1103="","Needs child",IF(H1103="","Child not found",IF(OR(B1103="",NOT(ISNUMBER(C1103))),"Needs month/pages","OK")))))</f>
        <v/>
      </c>
      <c r="J1103" s="10">
        <f>IF(I1103="","",IF(I1103="OK",IF(COUNTIFS(H1104:H$3001,H1103,B1104:B$3001,B1103,G1104:G$3001,"")=0,C1103,0),0))</f>
        <v/>
      </c>
    </row>
    <row r="1104">
      <c r="A1104" s="6" t="n"/>
      <c r="B1104" s="9" t="n"/>
      <c r="C1104" s="6" t="n"/>
      <c r="D1104" s="6" t="n"/>
      <c r="E1104" s="6" t="n"/>
      <c r="F1104" s="6" t="n"/>
      <c r="G1104" s="6" t="n"/>
      <c r="H1104" s="10">
        <f>IF(F1104="","",IFERROR(INDEX(Roster!$A$2:$A$600,MATCH(F1104,Roster!$E$2:$E$600,0)),""))</f>
        <v/>
      </c>
      <c r="I1104" s="10">
        <f>IF(AND(D1104="",C1104="",F1104=""),"",IF(G1104&lt;&gt;"","Void",IF(F1104="","Needs child",IF(H1104="","Child not found",IF(OR(B1104="",NOT(ISNUMBER(C1104))),"Needs month/pages","OK")))))</f>
        <v/>
      </c>
      <c r="J1104" s="10">
        <f>IF(I1104="","",IF(I1104="OK",IF(COUNTIFS(H1105:H$3001,H1104,B1105:B$3001,B1104,G1105:G$3001,"")=0,C1104,0),0))</f>
        <v/>
      </c>
    </row>
    <row r="1105">
      <c r="A1105" s="6" t="n"/>
      <c r="B1105" s="9" t="n"/>
      <c r="C1105" s="6" t="n"/>
      <c r="D1105" s="6" t="n"/>
      <c r="E1105" s="6" t="n"/>
      <c r="F1105" s="6" t="n"/>
      <c r="G1105" s="6" t="n"/>
      <c r="H1105" s="10">
        <f>IF(F1105="","",IFERROR(INDEX(Roster!$A$2:$A$600,MATCH(F1105,Roster!$E$2:$E$600,0)),""))</f>
        <v/>
      </c>
      <c r="I1105" s="10">
        <f>IF(AND(D1105="",C1105="",F1105=""),"",IF(G1105&lt;&gt;"","Void",IF(F1105="","Needs child",IF(H1105="","Child not found",IF(OR(B1105="",NOT(ISNUMBER(C1105))),"Needs month/pages","OK")))))</f>
        <v/>
      </c>
      <c r="J1105" s="10">
        <f>IF(I1105="","",IF(I1105="OK",IF(COUNTIFS(H1106:H$3001,H1105,B1106:B$3001,B1105,G1106:G$3001,"")=0,C1105,0),0))</f>
        <v/>
      </c>
    </row>
    <row r="1106">
      <c r="A1106" s="6" t="n"/>
      <c r="B1106" s="9" t="n"/>
      <c r="C1106" s="6" t="n"/>
      <c r="D1106" s="6" t="n"/>
      <c r="E1106" s="6" t="n"/>
      <c r="F1106" s="6" t="n"/>
      <c r="G1106" s="6" t="n"/>
      <c r="H1106" s="10">
        <f>IF(F1106="","",IFERROR(INDEX(Roster!$A$2:$A$600,MATCH(F1106,Roster!$E$2:$E$600,0)),""))</f>
        <v/>
      </c>
      <c r="I1106" s="10">
        <f>IF(AND(D1106="",C1106="",F1106=""),"",IF(G1106&lt;&gt;"","Void",IF(F1106="","Needs child",IF(H1106="","Child not found",IF(OR(B1106="",NOT(ISNUMBER(C1106))),"Needs month/pages","OK")))))</f>
        <v/>
      </c>
      <c r="J1106" s="10">
        <f>IF(I1106="","",IF(I1106="OK",IF(COUNTIFS(H1107:H$3001,H1106,B1107:B$3001,B1106,G1107:G$3001,"")=0,C1106,0),0))</f>
        <v/>
      </c>
    </row>
    <row r="1107">
      <c r="A1107" s="6" t="n"/>
      <c r="B1107" s="9" t="n"/>
      <c r="C1107" s="6" t="n"/>
      <c r="D1107" s="6" t="n"/>
      <c r="E1107" s="6" t="n"/>
      <c r="F1107" s="6" t="n"/>
      <c r="G1107" s="6" t="n"/>
      <c r="H1107" s="10">
        <f>IF(F1107="","",IFERROR(INDEX(Roster!$A$2:$A$600,MATCH(F1107,Roster!$E$2:$E$600,0)),""))</f>
        <v/>
      </c>
      <c r="I1107" s="10">
        <f>IF(AND(D1107="",C1107="",F1107=""),"",IF(G1107&lt;&gt;"","Void",IF(F1107="","Needs child",IF(H1107="","Child not found",IF(OR(B1107="",NOT(ISNUMBER(C1107))),"Needs month/pages","OK")))))</f>
        <v/>
      </c>
      <c r="J1107" s="10">
        <f>IF(I1107="","",IF(I1107="OK",IF(COUNTIFS(H1108:H$3001,H1107,B1108:B$3001,B1107,G1108:G$3001,"")=0,C1107,0),0))</f>
        <v/>
      </c>
    </row>
    <row r="1108">
      <c r="A1108" s="6" t="n"/>
      <c r="B1108" s="9" t="n"/>
      <c r="C1108" s="6" t="n"/>
      <c r="D1108" s="6" t="n"/>
      <c r="E1108" s="6" t="n"/>
      <c r="F1108" s="6" t="n"/>
      <c r="G1108" s="6" t="n"/>
      <c r="H1108" s="10">
        <f>IF(F1108="","",IFERROR(INDEX(Roster!$A$2:$A$600,MATCH(F1108,Roster!$E$2:$E$600,0)),""))</f>
        <v/>
      </c>
      <c r="I1108" s="10">
        <f>IF(AND(D1108="",C1108="",F1108=""),"",IF(G1108&lt;&gt;"","Void",IF(F1108="","Needs child",IF(H1108="","Child not found",IF(OR(B1108="",NOT(ISNUMBER(C1108))),"Needs month/pages","OK")))))</f>
        <v/>
      </c>
      <c r="J1108" s="10">
        <f>IF(I1108="","",IF(I1108="OK",IF(COUNTIFS(H1109:H$3001,H1108,B1109:B$3001,B1108,G1109:G$3001,"")=0,C1108,0),0))</f>
        <v/>
      </c>
    </row>
    <row r="1109">
      <c r="A1109" s="6" t="n"/>
      <c r="B1109" s="9" t="n"/>
      <c r="C1109" s="6" t="n"/>
      <c r="D1109" s="6" t="n"/>
      <c r="E1109" s="6" t="n"/>
      <c r="F1109" s="6" t="n"/>
      <c r="G1109" s="6" t="n"/>
      <c r="H1109" s="10">
        <f>IF(F1109="","",IFERROR(INDEX(Roster!$A$2:$A$600,MATCH(F1109,Roster!$E$2:$E$600,0)),""))</f>
        <v/>
      </c>
      <c r="I1109" s="10">
        <f>IF(AND(D1109="",C1109="",F1109=""),"",IF(G1109&lt;&gt;"","Void",IF(F1109="","Needs child",IF(H1109="","Child not found",IF(OR(B1109="",NOT(ISNUMBER(C1109))),"Needs month/pages","OK")))))</f>
        <v/>
      </c>
      <c r="J1109" s="10">
        <f>IF(I1109="","",IF(I1109="OK",IF(COUNTIFS(H1110:H$3001,H1109,B1110:B$3001,B1109,G1110:G$3001,"")=0,C1109,0),0))</f>
        <v/>
      </c>
    </row>
    <row r="1110">
      <c r="A1110" s="6" t="n"/>
      <c r="B1110" s="9" t="n"/>
      <c r="C1110" s="6" t="n"/>
      <c r="D1110" s="6" t="n"/>
      <c r="E1110" s="6" t="n"/>
      <c r="F1110" s="6" t="n"/>
      <c r="G1110" s="6" t="n"/>
      <c r="H1110" s="10">
        <f>IF(F1110="","",IFERROR(INDEX(Roster!$A$2:$A$600,MATCH(F1110,Roster!$E$2:$E$600,0)),""))</f>
        <v/>
      </c>
      <c r="I1110" s="10">
        <f>IF(AND(D1110="",C1110="",F1110=""),"",IF(G1110&lt;&gt;"","Void",IF(F1110="","Needs child",IF(H1110="","Child not found",IF(OR(B1110="",NOT(ISNUMBER(C1110))),"Needs month/pages","OK")))))</f>
        <v/>
      </c>
      <c r="J1110" s="10">
        <f>IF(I1110="","",IF(I1110="OK",IF(COUNTIFS(H1111:H$3001,H1110,B1111:B$3001,B1110,G1111:G$3001,"")=0,C1110,0),0))</f>
        <v/>
      </c>
    </row>
    <row r="1111">
      <c r="A1111" s="6" t="n"/>
      <c r="B1111" s="9" t="n"/>
      <c r="C1111" s="6" t="n"/>
      <c r="D1111" s="6" t="n"/>
      <c r="E1111" s="6" t="n"/>
      <c r="F1111" s="6" t="n"/>
      <c r="G1111" s="6" t="n"/>
      <c r="H1111" s="10">
        <f>IF(F1111="","",IFERROR(INDEX(Roster!$A$2:$A$600,MATCH(F1111,Roster!$E$2:$E$600,0)),""))</f>
        <v/>
      </c>
      <c r="I1111" s="10">
        <f>IF(AND(D1111="",C1111="",F1111=""),"",IF(G1111&lt;&gt;"","Void",IF(F1111="","Needs child",IF(H1111="","Child not found",IF(OR(B1111="",NOT(ISNUMBER(C1111))),"Needs month/pages","OK")))))</f>
        <v/>
      </c>
      <c r="J1111" s="10">
        <f>IF(I1111="","",IF(I1111="OK",IF(COUNTIFS(H1112:H$3001,H1111,B1112:B$3001,B1111,G1112:G$3001,"")=0,C1111,0),0))</f>
        <v/>
      </c>
    </row>
    <row r="1112">
      <c r="A1112" s="6" t="n"/>
      <c r="B1112" s="9" t="n"/>
      <c r="C1112" s="6" t="n"/>
      <c r="D1112" s="6" t="n"/>
      <c r="E1112" s="6" t="n"/>
      <c r="F1112" s="6" t="n"/>
      <c r="G1112" s="6" t="n"/>
      <c r="H1112" s="10">
        <f>IF(F1112="","",IFERROR(INDEX(Roster!$A$2:$A$600,MATCH(F1112,Roster!$E$2:$E$600,0)),""))</f>
        <v/>
      </c>
      <c r="I1112" s="10">
        <f>IF(AND(D1112="",C1112="",F1112=""),"",IF(G1112&lt;&gt;"","Void",IF(F1112="","Needs child",IF(H1112="","Child not found",IF(OR(B1112="",NOT(ISNUMBER(C1112))),"Needs month/pages","OK")))))</f>
        <v/>
      </c>
      <c r="J1112" s="10">
        <f>IF(I1112="","",IF(I1112="OK",IF(COUNTIFS(H1113:H$3001,H1112,B1113:B$3001,B1112,G1113:G$3001,"")=0,C1112,0),0))</f>
        <v/>
      </c>
    </row>
    <row r="1113">
      <c r="A1113" s="6" t="n"/>
      <c r="B1113" s="9" t="n"/>
      <c r="C1113" s="6" t="n"/>
      <c r="D1113" s="6" t="n"/>
      <c r="E1113" s="6" t="n"/>
      <c r="F1113" s="6" t="n"/>
      <c r="G1113" s="6" t="n"/>
      <c r="H1113" s="10">
        <f>IF(F1113="","",IFERROR(INDEX(Roster!$A$2:$A$600,MATCH(F1113,Roster!$E$2:$E$600,0)),""))</f>
        <v/>
      </c>
      <c r="I1113" s="10">
        <f>IF(AND(D1113="",C1113="",F1113=""),"",IF(G1113&lt;&gt;"","Void",IF(F1113="","Needs child",IF(H1113="","Child not found",IF(OR(B1113="",NOT(ISNUMBER(C1113))),"Needs month/pages","OK")))))</f>
        <v/>
      </c>
      <c r="J1113" s="10">
        <f>IF(I1113="","",IF(I1113="OK",IF(COUNTIFS(H1114:H$3001,H1113,B1114:B$3001,B1113,G1114:G$3001,"")=0,C1113,0),0))</f>
        <v/>
      </c>
    </row>
    <row r="1114">
      <c r="A1114" s="6" t="n"/>
      <c r="B1114" s="9" t="n"/>
      <c r="C1114" s="6" t="n"/>
      <c r="D1114" s="6" t="n"/>
      <c r="E1114" s="6" t="n"/>
      <c r="F1114" s="6" t="n"/>
      <c r="G1114" s="6" t="n"/>
      <c r="H1114" s="10">
        <f>IF(F1114="","",IFERROR(INDEX(Roster!$A$2:$A$600,MATCH(F1114,Roster!$E$2:$E$600,0)),""))</f>
        <v/>
      </c>
      <c r="I1114" s="10">
        <f>IF(AND(D1114="",C1114="",F1114=""),"",IF(G1114&lt;&gt;"","Void",IF(F1114="","Needs child",IF(H1114="","Child not found",IF(OR(B1114="",NOT(ISNUMBER(C1114))),"Needs month/pages","OK")))))</f>
        <v/>
      </c>
      <c r="J1114" s="10">
        <f>IF(I1114="","",IF(I1114="OK",IF(COUNTIFS(H1115:H$3001,H1114,B1115:B$3001,B1114,G1115:G$3001,"")=0,C1114,0),0))</f>
        <v/>
      </c>
    </row>
    <row r="1115">
      <c r="A1115" s="6" t="n"/>
      <c r="B1115" s="9" t="n"/>
      <c r="C1115" s="6" t="n"/>
      <c r="D1115" s="6" t="n"/>
      <c r="E1115" s="6" t="n"/>
      <c r="F1115" s="6" t="n"/>
      <c r="G1115" s="6" t="n"/>
      <c r="H1115" s="10">
        <f>IF(F1115="","",IFERROR(INDEX(Roster!$A$2:$A$600,MATCH(F1115,Roster!$E$2:$E$600,0)),""))</f>
        <v/>
      </c>
      <c r="I1115" s="10">
        <f>IF(AND(D1115="",C1115="",F1115=""),"",IF(G1115&lt;&gt;"","Void",IF(F1115="","Needs child",IF(H1115="","Child not found",IF(OR(B1115="",NOT(ISNUMBER(C1115))),"Needs month/pages","OK")))))</f>
        <v/>
      </c>
      <c r="J1115" s="10">
        <f>IF(I1115="","",IF(I1115="OK",IF(COUNTIFS(H1116:H$3001,H1115,B1116:B$3001,B1115,G1116:G$3001,"")=0,C1115,0),0))</f>
        <v/>
      </c>
    </row>
    <row r="1116">
      <c r="A1116" s="6" t="n"/>
      <c r="B1116" s="9" t="n"/>
      <c r="C1116" s="6" t="n"/>
      <c r="D1116" s="6" t="n"/>
      <c r="E1116" s="6" t="n"/>
      <c r="F1116" s="6" t="n"/>
      <c r="G1116" s="6" t="n"/>
      <c r="H1116" s="10">
        <f>IF(F1116="","",IFERROR(INDEX(Roster!$A$2:$A$600,MATCH(F1116,Roster!$E$2:$E$600,0)),""))</f>
        <v/>
      </c>
      <c r="I1116" s="10">
        <f>IF(AND(D1116="",C1116="",F1116=""),"",IF(G1116&lt;&gt;"","Void",IF(F1116="","Needs child",IF(H1116="","Child not found",IF(OR(B1116="",NOT(ISNUMBER(C1116))),"Needs month/pages","OK")))))</f>
        <v/>
      </c>
      <c r="J1116" s="10">
        <f>IF(I1116="","",IF(I1116="OK",IF(COUNTIFS(H1117:H$3001,H1116,B1117:B$3001,B1116,G1117:G$3001,"")=0,C1116,0),0))</f>
        <v/>
      </c>
    </row>
    <row r="1117">
      <c r="A1117" s="6" t="n"/>
      <c r="B1117" s="9" t="n"/>
      <c r="C1117" s="6" t="n"/>
      <c r="D1117" s="6" t="n"/>
      <c r="E1117" s="6" t="n"/>
      <c r="F1117" s="6" t="n"/>
      <c r="G1117" s="6" t="n"/>
      <c r="H1117" s="10">
        <f>IF(F1117="","",IFERROR(INDEX(Roster!$A$2:$A$600,MATCH(F1117,Roster!$E$2:$E$600,0)),""))</f>
        <v/>
      </c>
      <c r="I1117" s="10">
        <f>IF(AND(D1117="",C1117="",F1117=""),"",IF(G1117&lt;&gt;"","Void",IF(F1117="","Needs child",IF(H1117="","Child not found",IF(OR(B1117="",NOT(ISNUMBER(C1117))),"Needs month/pages","OK")))))</f>
        <v/>
      </c>
      <c r="J1117" s="10">
        <f>IF(I1117="","",IF(I1117="OK",IF(COUNTIFS(H1118:H$3001,H1117,B1118:B$3001,B1117,G1118:G$3001,"")=0,C1117,0),0))</f>
        <v/>
      </c>
    </row>
    <row r="1118">
      <c r="A1118" s="6" t="n"/>
      <c r="B1118" s="9" t="n"/>
      <c r="C1118" s="6" t="n"/>
      <c r="D1118" s="6" t="n"/>
      <c r="E1118" s="6" t="n"/>
      <c r="F1118" s="6" t="n"/>
      <c r="G1118" s="6" t="n"/>
      <c r="H1118" s="10">
        <f>IF(F1118="","",IFERROR(INDEX(Roster!$A$2:$A$600,MATCH(F1118,Roster!$E$2:$E$600,0)),""))</f>
        <v/>
      </c>
      <c r="I1118" s="10">
        <f>IF(AND(D1118="",C1118="",F1118=""),"",IF(G1118&lt;&gt;"","Void",IF(F1118="","Needs child",IF(H1118="","Child not found",IF(OR(B1118="",NOT(ISNUMBER(C1118))),"Needs month/pages","OK")))))</f>
        <v/>
      </c>
      <c r="J1118" s="10">
        <f>IF(I1118="","",IF(I1118="OK",IF(COUNTIFS(H1119:H$3001,H1118,B1119:B$3001,B1118,G1119:G$3001,"")=0,C1118,0),0))</f>
        <v/>
      </c>
    </row>
    <row r="1119">
      <c r="A1119" s="6" t="n"/>
      <c r="B1119" s="9" t="n"/>
      <c r="C1119" s="6" t="n"/>
      <c r="D1119" s="6" t="n"/>
      <c r="E1119" s="6" t="n"/>
      <c r="F1119" s="6" t="n"/>
      <c r="G1119" s="6" t="n"/>
      <c r="H1119" s="10">
        <f>IF(F1119="","",IFERROR(INDEX(Roster!$A$2:$A$600,MATCH(F1119,Roster!$E$2:$E$600,0)),""))</f>
        <v/>
      </c>
      <c r="I1119" s="10">
        <f>IF(AND(D1119="",C1119="",F1119=""),"",IF(G1119&lt;&gt;"","Void",IF(F1119="","Needs child",IF(H1119="","Child not found",IF(OR(B1119="",NOT(ISNUMBER(C1119))),"Needs month/pages","OK")))))</f>
        <v/>
      </c>
      <c r="J1119" s="10">
        <f>IF(I1119="","",IF(I1119="OK",IF(COUNTIFS(H1120:H$3001,H1119,B1120:B$3001,B1119,G1120:G$3001,"")=0,C1119,0),0))</f>
        <v/>
      </c>
    </row>
    <row r="1120">
      <c r="A1120" s="6" t="n"/>
      <c r="B1120" s="9" t="n"/>
      <c r="C1120" s="6" t="n"/>
      <c r="D1120" s="6" t="n"/>
      <c r="E1120" s="6" t="n"/>
      <c r="F1120" s="6" t="n"/>
      <c r="G1120" s="6" t="n"/>
      <c r="H1120" s="10">
        <f>IF(F1120="","",IFERROR(INDEX(Roster!$A$2:$A$600,MATCH(F1120,Roster!$E$2:$E$600,0)),""))</f>
        <v/>
      </c>
      <c r="I1120" s="10">
        <f>IF(AND(D1120="",C1120="",F1120=""),"",IF(G1120&lt;&gt;"","Void",IF(F1120="","Needs child",IF(H1120="","Child not found",IF(OR(B1120="",NOT(ISNUMBER(C1120))),"Needs month/pages","OK")))))</f>
        <v/>
      </c>
      <c r="J1120" s="10">
        <f>IF(I1120="","",IF(I1120="OK",IF(COUNTIFS(H1121:H$3001,H1120,B1121:B$3001,B1120,G1121:G$3001,"")=0,C1120,0),0))</f>
        <v/>
      </c>
    </row>
    <row r="1121">
      <c r="A1121" s="6" t="n"/>
      <c r="B1121" s="9" t="n"/>
      <c r="C1121" s="6" t="n"/>
      <c r="D1121" s="6" t="n"/>
      <c r="E1121" s="6" t="n"/>
      <c r="F1121" s="6" t="n"/>
      <c r="G1121" s="6" t="n"/>
      <c r="H1121" s="10">
        <f>IF(F1121="","",IFERROR(INDEX(Roster!$A$2:$A$600,MATCH(F1121,Roster!$E$2:$E$600,0)),""))</f>
        <v/>
      </c>
      <c r="I1121" s="10">
        <f>IF(AND(D1121="",C1121="",F1121=""),"",IF(G1121&lt;&gt;"","Void",IF(F1121="","Needs child",IF(H1121="","Child not found",IF(OR(B1121="",NOT(ISNUMBER(C1121))),"Needs month/pages","OK")))))</f>
        <v/>
      </c>
      <c r="J1121" s="10">
        <f>IF(I1121="","",IF(I1121="OK",IF(COUNTIFS(H1122:H$3001,H1121,B1122:B$3001,B1121,G1122:G$3001,"")=0,C1121,0),0))</f>
        <v/>
      </c>
    </row>
    <row r="1122">
      <c r="A1122" s="6" t="n"/>
      <c r="B1122" s="9" t="n"/>
      <c r="C1122" s="6" t="n"/>
      <c r="D1122" s="6" t="n"/>
      <c r="E1122" s="6" t="n"/>
      <c r="F1122" s="6" t="n"/>
      <c r="G1122" s="6" t="n"/>
      <c r="H1122" s="10">
        <f>IF(F1122="","",IFERROR(INDEX(Roster!$A$2:$A$600,MATCH(F1122,Roster!$E$2:$E$600,0)),""))</f>
        <v/>
      </c>
      <c r="I1122" s="10">
        <f>IF(AND(D1122="",C1122="",F1122=""),"",IF(G1122&lt;&gt;"","Void",IF(F1122="","Needs child",IF(H1122="","Child not found",IF(OR(B1122="",NOT(ISNUMBER(C1122))),"Needs month/pages","OK")))))</f>
        <v/>
      </c>
      <c r="J1122" s="10">
        <f>IF(I1122="","",IF(I1122="OK",IF(COUNTIFS(H1123:H$3001,H1122,B1123:B$3001,B1122,G1123:G$3001,"")=0,C1122,0),0))</f>
        <v/>
      </c>
    </row>
    <row r="1123">
      <c r="A1123" s="6" t="n"/>
      <c r="B1123" s="9" t="n"/>
      <c r="C1123" s="6" t="n"/>
      <c r="D1123" s="6" t="n"/>
      <c r="E1123" s="6" t="n"/>
      <c r="F1123" s="6" t="n"/>
      <c r="G1123" s="6" t="n"/>
      <c r="H1123" s="10">
        <f>IF(F1123="","",IFERROR(INDEX(Roster!$A$2:$A$600,MATCH(F1123,Roster!$E$2:$E$600,0)),""))</f>
        <v/>
      </c>
      <c r="I1123" s="10">
        <f>IF(AND(D1123="",C1123="",F1123=""),"",IF(G1123&lt;&gt;"","Void",IF(F1123="","Needs child",IF(H1123="","Child not found",IF(OR(B1123="",NOT(ISNUMBER(C1123))),"Needs month/pages","OK")))))</f>
        <v/>
      </c>
      <c r="J1123" s="10">
        <f>IF(I1123="","",IF(I1123="OK",IF(COUNTIFS(H1124:H$3001,H1123,B1124:B$3001,B1123,G1124:G$3001,"")=0,C1123,0),0))</f>
        <v/>
      </c>
    </row>
    <row r="1124">
      <c r="A1124" s="6" t="n"/>
      <c r="B1124" s="9" t="n"/>
      <c r="C1124" s="6" t="n"/>
      <c r="D1124" s="6" t="n"/>
      <c r="E1124" s="6" t="n"/>
      <c r="F1124" s="6" t="n"/>
      <c r="G1124" s="6" t="n"/>
      <c r="H1124" s="10">
        <f>IF(F1124="","",IFERROR(INDEX(Roster!$A$2:$A$600,MATCH(F1124,Roster!$E$2:$E$600,0)),""))</f>
        <v/>
      </c>
      <c r="I1124" s="10">
        <f>IF(AND(D1124="",C1124="",F1124=""),"",IF(G1124&lt;&gt;"","Void",IF(F1124="","Needs child",IF(H1124="","Child not found",IF(OR(B1124="",NOT(ISNUMBER(C1124))),"Needs month/pages","OK")))))</f>
        <v/>
      </c>
      <c r="J1124" s="10">
        <f>IF(I1124="","",IF(I1124="OK",IF(COUNTIFS(H1125:H$3001,H1124,B1125:B$3001,B1124,G1125:G$3001,"")=0,C1124,0),0))</f>
        <v/>
      </c>
    </row>
    <row r="1125">
      <c r="A1125" s="6" t="n"/>
      <c r="B1125" s="9" t="n"/>
      <c r="C1125" s="6" t="n"/>
      <c r="D1125" s="6" t="n"/>
      <c r="E1125" s="6" t="n"/>
      <c r="F1125" s="6" t="n"/>
      <c r="G1125" s="6" t="n"/>
      <c r="H1125" s="10">
        <f>IF(F1125="","",IFERROR(INDEX(Roster!$A$2:$A$600,MATCH(F1125,Roster!$E$2:$E$600,0)),""))</f>
        <v/>
      </c>
      <c r="I1125" s="10">
        <f>IF(AND(D1125="",C1125="",F1125=""),"",IF(G1125&lt;&gt;"","Void",IF(F1125="","Needs child",IF(H1125="","Child not found",IF(OR(B1125="",NOT(ISNUMBER(C1125))),"Needs month/pages","OK")))))</f>
        <v/>
      </c>
      <c r="J1125" s="10">
        <f>IF(I1125="","",IF(I1125="OK",IF(COUNTIFS(H1126:H$3001,H1125,B1126:B$3001,B1125,G1126:G$3001,"")=0,C1125,0),0))</f>
        <v/>
      </c>
    </row>
    <row r="1126">
      <c r="A1126" s="6" t="n"/>
      <c r="B1126" s="9" t="n"/>
      <c r="C1126" s="6" t="n"/>
      <c r="D1126" s="6" t="n"/>
      <c r="E1126" s="6" t="n"/>
      <c r="F1126" s="6" t="n"/>
      <c r="G1126" s="6" t="n"/>
      <c r="H1126" s="10">
        <f>IF(F1126="","",IFERROR(INDEX(Roster!$A$2:$A$600,MATCH(F1126,Roster!$E$2:$E$600,0)),""))</f>
        <v/>
      </c>
      <c r="I1126" s="10">
        <f>IF(AND(D1126="",C1126="",F1126=""),"",IF(G1126&lt;&gt;"","Void",IF(F1126="","Needs child",IF(H1126="","Child not found",IF(OR(B1126="",NOT(ISNUMBER(C1126))),"Needs month/pages","OK")))))</f>
        <v/>
      </c>
      <c r="J1126" s="10">
        <f>IF(I1126="","",IF(I1126="OK",IF(COUNTIFS(H1127:H$3001,H1126,B1127:B$3001,B1126,G1127:G$3001,"")=0,C1126,0),0))</f>
        <v/>
      </c>
    </row>
    <row r="1127">
      <c r="A1127" s="6" t="n"/>
      <c r="B1127" s="9" t="n"/>
      <c r="C1127" s="6" t="n"/>
      <c r="D1127" s="6" t="n"/>
      <c r="E1127" s="6" t="n"/>
      <c r="F1127" s="6" t="n"/>
      <c r="G1127" s="6" t="n"/>
      <c r="H1127" s="10">
        <f>IF(F1127="","",IFERROR(INDEX(Roster!$A$2:$A$600,MATCH(F1127,Roster!$E$2:$E$600,0)),""))</f>
        <v/>
      </c>
      <c r="I1127" s="10">
        <f>IF(AND(D1127="",C1127="",F1127=""),"",IF(G1127&lt;&gt;"","Void",IF(F1127="","Needs child",IF(H1127="","Child not found",IF(OR(B1127="",NOT(ISNUMBER(C1127))),"Needs month/pages","OK")))))</f>
        <v/>
      </c>
      <c r="J1127" s="10">
        <f>IF(I1127="","",IF(I1127="OK",IF(COUNTIFS(H1128:H$3001,H1127,B1128:B$3001,B1127,G1128:G$3001,"")=0,C1127,0),0))</f>
        <v/>
      </c>
    </row>
    <row r="1128">
      <c r="A1128" s="6" t="n"/>
      <c r="B1128" s="9" t="n"/>
      <c r="C1128" s="6" t="n"/>
      <c r="D1128" s="6" t="n"/>
      <c r="E1128" s="6" t="n"/>
      <c r="F1128" s="6" t="n"/>
      <c r="G1128" s="6" t="n"/>
      <c r="H1128" s="10">
        <f>IF(F1128="","",IFERROR(INDEX(Roster!$A$2:$A$600,MATCH(F1128,Roster!$E$2:$E$600,0)),""))</f>
        <v/>
      </c>
      <c r="I1128" s="10">
        <f>IF(AND(D1128="",C1128="",F1128=""),"",IF(G1128&lt;&gt;"","Void",IF(F1128="","Needs child",IF(H1128="","Child not found",IF(OR(B1128="",NOT(ISNUMBER(C1128))),"Needs month/pages","OK")))))</f>
        <v/>
      </c>
      <c r="J1128" s="10">
        <f>IF(I1128="","",IF(I1128="OK",IF(COUNTIFS(H1129:H$3001,H1128,B1129:B$3001,B1128,G1129:G$3001,"")=0,C1128,0),0))</f>
        <v/>
      </c>
    </row>
    <row r="1129">
      <c r="A1129" s="6" t="n"/>
      <c r="B1129" s="9" t="n"/>
      <c r="C1129" s="6" t="n"/>
      <c r="D1129" s="6" t="n"/>
      <c r="E1129" s="6" t="n"/>
      <c r="F1129" s="6" t="n"/>
      <c r="G1129" s="6" t="n"/>
      <c r="H1129" s="10">
        <f>IF(F1129="","",IFERROR(INDEX(Roster!$A$2:$A$600,MATCH(F1129,Roster!$E$2:$E$600,0)),""))</f>
        <v/>
      </c>
      <c r="I1129" s="10">
        <f>IF(AND(D1129="",C1129="",F1129=""),"",IF(G1129&lt;&gt;"","Void",IF(F1129="","Needs child",IF(H1129="","Child not found",IF(OR(B1129="",NOT(ISNUMBER(C1129))),"Needs month/pages","OK")))))</f>
        <v/>
      </c>
      <c r="J1129" s="10">
        <f>IF(I1129="","",IF(I1129="OK",IF(COUNTIFS(H1130:H$3001,H1129,B1130:B$3001,B1129,G1130:G$3001,"")=0,C1129,0),0))</f>
        <v/>
      </c>
    </row>
    <row r="1130">
      <c r="A1130" s="6" t="n"/>
      <c r="B1130" s="9" t="n"/>
      <c r="C1130" s="6" t="n"/>
      <c r="D1130" s="6" t="n"/>
      <c r="E1130" s="6" t="n"/>
      <c r="F1130" s="6" t="n"/>
      <c r="G1130" s="6" t="n"/>
      <c r="H1130" s="10">
        <f>IF(F1130="","",IFERROR(INDEX(Roster!$A$2:$A$600,MATCH(F1130,Roster!$E$2:$E$600,0)),""))</f>
        <v/>
      </c>
      <c r="I1130" s="10">
        <f>IF(AND(D1130="",C1130="",F1130=""),"",IF(G1130&lt;&gt;"","Void",IF(F1130="","Needs child",IF(H1130="","Child not found",IF(OR(B1130="",NOT(ISNUMBER(C1130))),"Needs month/pages","OK")))))</f>
        <v/>
      </c>
      <c r="J1130" s="10">
        <f>IF(I1130="","",IF(I1130="OK",IF(COUNTIFS(H1131:H$3001,H1130,B1131:B$3001,B1130,G1131:G$3001,"")=0,C1130,0),0))</f>
        <v/>
      </c>
    </row>
    <row r="1131">
      <c r="A1131" s="6" t="n"/>
      <c r="B1131" s="9" t="n"/>
      <c r="C1131" s="6" t="n"/>
      <c r="D1131" s="6" t="n"/>
      <c r="E1131" s="6" t="n"/>
      <c r="F1131" s="6" t="n"/>
      <c r="G1131" s="6" t="n"/>
      <c r="H1131" s="10">
        <f>IF(F1131="","",IFERROR(INDEX(Roster!$A$2:$A$600,MATCH(F1131,Roster!$E$2:$E$600,0)),""))</f>
        <v/>
      </c>
      <c r="I1131" s="10">
        <f>IF(AND(D1131="",C1131="",F1131=""),"",IF(G1131&lt;&gt;"","Void",IF(F1131="","Needs child",IF(H1131="","Child not found",IF(OR(B1131="",NOT(ISNUMBER(C1131))),"Needs month/pages","OK")))))</f>
        <v/>
      </c>
      <c r="J1131" s="10">
        <f>IF(I1131="","",IF(I1131="OK",IF(COUNTIFS(H1132:H$3001,H1131,B1132:B$3001,B1131,G1132:G$3001,"")=0,C1131,0),0))</f>
        <v/>
      </c>
    </row>
    <row r="1132">
      <c r="A1132" s="6" t="n"/>
      <c r="B1132" s="9" t="n"/>
      <c r="C1132" s="6" t="n"/>
      <c r="D1132" s="6" t="n"/>
      <c r="E1132" s="6" t="n"/>
      <c r="F1132" s="6" t="n"/>
      <c r="G1132" s="6" t="n"/>
      <c r="H1132" s="10">
        <f>IF(F1132="","",IFERROR(INDEX(Roster!$A$2:$A$600,MATCH(F1132,Roster!$E$2:$E$600,0)),""))</f>
        <v/>
      </c>
      <c r="I1132" s="10">
        <f>IF(AND(D1132="",C1132="",F1132=""),"",IF(G1132&lt;&gt;"","Void",IF(F1132="","Needs child",IF(H1132="","Child not found",IF(OR(B1132="",NOT(ISNUMBER(C1132))),"Needs month/pages","OK")))))</f>
        <v/>
      </c>
      <c r="J1132" s="10">
        <f>IF(I1132="","",IF(I1132="OK",IF(COUNTIFS(H1133:H$3001,H1132,B1133:B$3001,B1132,G1133:G$3001,"")=0,C1132,0),0))</f>
        <v/>
      </c>
    </row>
    <row r="1133">
      <c r="A1133" s="6" t="n"/>
      <c r="B1133" s="9" t="n"/>
      <c r="C1133" s="6" t="n"/>
      <c r="D1133" s="6" t="n"/>
      <c r="E1133" s="6" t="n"/>
      <c r="F1133" s="6" t="n"/>
      <c r="G1133" s="6" t="n"/>
      <c r="H1133" s="10">
        <f>IF(F1133="","",IFERROR(INDEX(Roster!$A$2:$A$600,MATCH(F1133,Roster!$E$2:$E$600,0)),""))</f>
        <v/>
      </c>
      <c r="I1133" s="10">
        <f>IF(AND(D1133="",C1133="",F1133=""),"",IF(G1133&lt;&gt;"","Void",IF(F1133="","Needs child",IF(H1133="","Child not found",IF(OR(B1133="",NOT(ISNUMBER(C1133))),"Needs month/pages","OK")))))</f>
        <v/>
      </c>
      <c r="J1133" s="10">
        <f>IF(I1133="","",IF(I1133="OK",IF(COUNTIFS(H1134:H$3001,H1133,B1134:B$3001,B1133,G1134:G$3001,"")=0,C1133,0),0))</f>
        <v/>
      </c>
    </row>
    <row r="1134">
      <c r="A1134" s="6" t="n"/>
      <c r="B1134" s="9" t="n"/>
      <c r="C1134" s="6" t="n"/>
      <c r="D1134" s="6" t="n"/>
      <c r="E1134" s="6" t="n"/>
      <c r="F1134" s="6" t="n"/>
      <c r="G1134" s="6" t="n"/>
      <c r="H1134" s="10">
        <f>IF(F1134="","",IFERROR(INDEX(Roster!$A$2:$A$600,MATCH(F1134,Roster!$E$2:$E$600,0)),""))</f>
        <v/>
      </c>
      <c r="I1134" s="10">
        <f>IF(AND(D1134="",C1134="",F1134=""),"",IF(G1134&lt;&gt;"","Void",IF(F1134="","Needs child",IF(H1134="","Child not found",IF(OR(B1134="",NOT(ISNUMBER(C1134))),"Needs month/pages","OK")))))</f>
        <v/>
      </c>
      <c r="J1134" s="10">
        <f>IF(I1134="","",IF(I1134="OK",IF(COUNTIFS(H1135:H$3001,H1134,B1135:B$3001,B1134,G1135:G$3001,"")=0,C1134,0),0))</f>
        <v/>
      </c>
    </row>
    <row r="1135">
      <c r="A1135" s="6" t="n"/>
      <c r="B1135" s="9" t="n"/>
      <c r="C1135" s="6" t="n"/>
      <c r="D1135" s="6" t="n"/>
      <c r="E1135" s="6" t="n"/>
      <c r="F1135" s="6" t="n"/>
      <c r="G1135" s="6" t="n"/>
      <c r="H1135" s="10">
        <f>IF(F1135="","",IFERROR(INDEX(Roster!$A$2:$A$600,MATCH(F1135,Roster!$E$2:$E$600,0)),""))</f>
        <v/>
      </c>
      <c r="I1135" s="10">
        <f>IF(AND(D1135="",C1135="",F1135=""),"",IF(G1135&lt;&gt;"","Void",IF(F1135="","Needs child",IF(H1135="","Child not found",IF(OR(B1135="",NOT(ISNUMBER(C1135))),"Needs month/pages","OK")))))</f>
        <v/>
      </c>
      <c r="J1135" s="10">
        <f>IF(I1135="","",IF(I1135="OK",IF(COUNTIFS(H1136:H$3001,H1135,B1136:B$3001,B1135,G1136:G$3001,"")=0,C1135,0),0))</f>
        <v/>
      </c>
    </row>
    <row r="1136">
      <c r="A1136" s="6" t="n"/>
      <c r="B1136" s="9" t="n"/>
      <c r="C1136" s="6" t="n"/>
      <c r="D1136" s="6" t="n"/>
      <c r="E1136" s="6" t="n"/>
      <c r="F1136" s="6" t="n"/>
      <c r="G1136" s="6" t="n"/>
      <c r="H1136" s="10">
        <f>IF(F1136="","",IFERROR(INDEX(Roster!$A$2:$A$600,MATCH(F1136,Roster!$E$2:$E$600,0)),""))</f>
        <v/>
      </c>
      <c r="I1136" s="10">
        <f>IF(AND(D1136="",C1136="",F1136=""),"",IF(G1136&lt;&gt;"","Void",IF(F1136="","Needs child",IF(H1136="","Child not found",IF(OR(B1136="",NOT(ISNUMBER(C1136))),"Needs month/pages","OK")))))</f>
        <v/>
      </c>
      <c r="J1136" s="10">
        <f>IF(I1136="","",IF(I1136="OK",IF(COUNTIFS(H1137:H$3001,H1136,B1137:B$3001,B1136,G1137:G$3001,"")=0,C1136,0),0))</f>
        <v/>
      </c>
    </row>
    <row r="1137">
      <c r="A1137" s="6" t="n"/>
      <c r="B1137" s="9" t="n"/>
      <c r="C1137" s="6" t="n"/>
      <c r="D1137" s="6" t="n"/>
      <c r="E1137" s="6" t="n"/>
      <c r="F1137" s="6" t="n"/>
      <c r="G1137" s="6" t="n"/>
      <c r="H1137" s="10">
        <f>IF(F1137="","",IFERROR(INDEX(Roster!$A$2:$A$600,MATCH(F1137,Roster!$E$2:$E$600,0)),""))</f>
        <v/>
      </c>
      <c r="I1137" s="10">
        <f>IF(AND(D1137="",C1137="",F1137=""),"",IF(G1137&lt;&gt;"","Void",IF(F1137="","Needs child",IF(H1137="","Child not found",IF(OR(B1137="",NOT(ISNUMBER(C1137))),"Needs month/pages","OK")))))</f>
        <v/>
      </c>
      <c r="J1137" s="10">
        <f>IF(I1137="","",IF(I1137="OK",IF(COUNTIFS(H1138:H$3001,H1137,B1138:B$3001,B1137,G1138:G$3001,"")=0,C1137,0),0))</f>
        <v/>
      </c>
    </row>
    <row r="1138">
      <c r="A1138" s="6" t="n"/>
      <c r="B1138" s="9" t="n"/>
      <c r="C1138" s="6" t="n"/>
      <c r="D1138" s="6" t="n"/>
      <c r="E1138" s="6" t="n"/>
      <c r="F1138" s="6" t="n"/>
      <c r="G1138" s="6" t="n"/>
      <c r="H1138" s="10">
        <f>IF(F1138="","",IFERROR(INDEX(Roster!$A$2:$A$600,MATCH(F1138,Roster!$E$2:$E$600,0)),""))</f>
        <v/>
      </c>
      <c r="I1138" s="10">
        <f>IF(AND(D1138="",C1138="",F1138=""),"",IF(G1138&lt;&gt;"","Void",IF(F1138="","Needs child",IF(H1138="","Child not found",IF(OR(B1138="",NOT(ISNUMBER(C1138))),"Needs month/pages","OK")))))</f>
        <v/>
      </c>
      <c r="J1138" s="10">
        <f>IF(I1138="","",IF(I1138="OK",IF(COUNTIFS(H1139:H$3001,H1138,B1139:B$3001,B1138,G1139:G$3001,"")=0,C1138,0),0))</f>
        <v/>
      </c>
    </row>
    <row r="1139">
      <c r="A1139" s="6" t="n"/>
      <c r="B1139" s="9" t="n"/>
      <c r="C1139" s="6" t="n"/>
      <c r="D1139" s="6" t="n"/>
      <c r="E1139" s="6" t="n"/>
      <c r="F1139" s="6" t="n"/>
      <c r="G1139" s="6" t="n"/>
      <c r="H1139" s="10">
        <f>IF(F1139="","",IFERROR(INDEX(Roster!$A$2:$A$600,MATCH(F1139,Roster!$E$2:$E$600,0)),""))</f>
        <v/>
      </c>
      <c r="I1139" s="10">
        <f>IF(AND(D1139="",C1139="",F1139=""),"",IF(G1139&lt;&gt;"","Void",IF(F1139="","Needs child",IF(H1139="","Child not found",IF(OR(B1139="",NOT(ISNUMBER(C1139))),"Needs month/pages","OK")))))</f>
        <v/>
      </c>
      <c r="J1139" s="10">
        <f>IF(I1139="","",IF(I1139="OK",IF(COUNTIFS(H1140:H$3001,H1139,B1140:B$3001,B1139,G1140:G$3001,"")=0,C1139,0),0))</f>
        <v/>
      </c>
    </row>
    <row r="1140">
      <c r="A1140" s="6" t="n"/>
      <c r="B1140" s="9" t="n"/>
      <c r="C1140" s="6" t="n"/>
      <c r="D1140" s="6" t="n"/>
      <c r="E1140" s="6" t="n"/>
      <c r="F1140" s="6" t="n"/>
      <c r="G1140" s="6" t="n"/>
      <c r="H1140" s="10">
        <f>IF(F1140="","",IFERROR(INDEX(Roster!$A$2:$A$600,MATCH(F1140,Roster!$E$2:$E$600,0)),""))</f>
        <v/>
      </c>
      <c r="I1140" s="10">
        <f>IF(AND(D1140="",C1140="",F1140=""),"",IF(G1140&lt;&gt;"","Void",IF(F1140="","Needs child",IF(H1140="","Child not found",IF(OR(B1140="",NOT(ISNUMBER(C1140))),"Needs month/pages","OK")))))</f>
        <v/>
      </c>
      <c r="J1140" s="10">
        <f>IF(I1140="","",IF(I1140="OK",IF(COUNTIFS(H1141:H$3001,H1140,B1141:B$3001,B1140,G1141:G$3001,"")=0,C1140,0),0))</f>
        <v/>
      </c>
    </row>
    <row r="1141">
      <c r="A1141" s="6" t="n"/>
      <c r="B1141" s="9" t="n"/>
      <c r="C1141" s="6" t="n"/>
      <c r="D1141" s="6" t="n"/>
      <c r="E1141" s="6" t="n"/>
      <c r="F1141" s="6" t="n"/>
      <c r="G1141" s="6" t="n"/>
      <c r="H1141" s="10">
        <f>IF(F1141="","",IFERROR(INDEX(Roster!$A$2:$A$600,MATCH(F1141,Roster!$E$2:$E$600,0)),""))</f>
        <v/>
      </c>
      <c r="I1141" s="10">
        <f>IF(AND(D1141="",C1141="",F1141=""),"",IF(G1141&lt;&gt;"","Void",IF(F1141="","Needs child",IF(H1141="","Child not found",IF(OR(B1141="",NOT(ISNUMBER(C1141))),"Needs month/pages","OK")))))</f>
        <v/>
      </c>
      <c r="J1141" s="10">
        <f>IF(I1141="","",IF(I1141="OK",IF(COUNTIFS(H1142:H$3001,H1141,B1142:B$3001,B1141,G1142:G$3001,"")=0,C1141,0),0))</f>
        <v/>
      </c>
    </row>
    <row r="1142">
      <c r="A1142" s="6" t="n"/>
      <c r="B1142" s="9" t="n"/>
      <c r="C1142" s="6" t="n"/>
      <c r="D1142" s="6" t="n"/>
      <c r="E1142" s="6" t="n"/>
      <c r="F1142" s="6" t="n"/>
      <c r="G1142" s="6" t="n"/>
      <c r="H1142" s="10">
        <f>IF(F1142="","",IFERROR(INDEX(Roster!$A$2:$A$600,MATCH(F1142,Roster!$E$2:$E$600,0)),""))</f>
        <v/>
      </c>
      <c r="I1142" s="10">
        <f>IF(AND(D1142="",C1142="",F1142=""),"",IF(G1142&lt;&gt;"","Void",IF(F1142="","Needs child",IF(H1142="","Child not found",IF(OR(B1142="",NOT(ISNUMBER(C1142))),"Needs month/pages","OK")))))</f>
        <v/>
      </c>
      <c r="J1142" s="10">
        <f>IF(I1142="","",IF(I1142="OK",IF(COUNTIFS(H1143:H$3001,H1142,B1143:B$3001,B1142,G1143:G$3001,"")=0,C1142,0),0))</f>
        <v/>
      </c>
    </row>
    <row r="1143">
      <c r="A1143" s="6" t="n"/>
      <c r="B1143" s="9" t="n"/>
      <c r="C1143" s="6" t="n"/>
      <c r="D1143" s="6" t="n"/>
      <c r="E1143" s="6" t="n"/>
      <c r="F1143" s="6" t="n"/>
      <c r="G1143" s="6" t="n"/>
      <c r="H1143" s="10">
        <f>IF(F1143="","",IFERROR(INDEX(Roster!$A$2:$A$600,MATCH(F1143,Roster!$E$2:$E$600,0)),""))</f>
        <v/>
      </c>
      <c r="I1143" s="10">
        <f>IF(AND(D1143="",C1143="",F1143=""),"",IF(G1143&lt;&gt;"","Void",IF(F1143="","Needs child",IF(H1143="","Child not found",IF(OR(B1143="",NOT(ISNUMBER(C1143))),"Needs month/pages","OK")))))</f>
        <v/>
      </c>
      <c r="J1143" s="10">
        <f>IF(I1143="","",IF(I1143="OK",IF(COUNTIFS(H1144:H$3001,H1143,B1144:B$3001,B1143,G1144:G$3001,"")=0,C1143,0),0))</f>
        <v/>
      </c>
    </row>
    <row r="1144">
      <c r="A1144" s="6" t="n"/>
      <c r="B1144" s="9" t="n"/>
      <c r="C1144" s="6" t="n"/>
      <c r="D1144" s="6" t="n"/>
      <c r="E1144" s="6" t="n"/>
      <c r="F1144" s="6" t="n"/>
      <c r="G1144" s="6" t="n"/>
      <c r="H1144" s="10">
        <f>IF(F1144="","",IFERROR(INDEX(Roster!$A$2:$A$600,MATCH(F1144,Roster!$E$2:$E$600,0)),""))</f>
        <v/>
      </c>
      <c r="I1144" s="10">
        <f>IF(AND(D1144="",C1144="",F1144=""),"",IF(G1144&lt;&gt;"","Void",IF(F1144="","Needs child",IF(H1144="","Child not found",IF(OR(B1144="",NOT(ISNUMBER(C1144))),"Needs month/pages","OK")))))</f>
        <v/>
      </c>
      <c r="J1144" s="10">
        <f>IF(I1144="","",IF(I1144="OK",IF(COUNTIFS(H1145:H$3001,H1144,B1145:B$3001,B1144,G1145:G$3001,"")=0,C1144,0),0))</f>
        <v/>
      </c>
    </row>
    <row r="1145">
      <c r="A1145" s="6" t="n"/>
      <c r="B1145" s="9" t="n"/>
      <c r="C1145" s="6" t="n"/>
      <c r="D1145" s="6" t="n"/>
      <c r="E1145" s="6" t="n"/>
      <c r="F1145" s="6" t="n"/>
      <c r="G1145" s="6" t="n"/>
      <c r="H1145" s="10">
        <f>IF(F1145="","",IFERROR(INDEX(Roster!$A$2:$A$600,MATCH(F1145,Roster!$E$2:$E$600,0)),""))</f>
        <v/>
      </c>
      <c r="I1145" s="10">
        <f>IF(AND(D1145="",C1145="",F1145=""),"",IF(G1145&lt;&gt;"","Void",IF(F1145="","Needs child",IF(H1145="","Child not found",IF(OR(B1145="",NOT(ISNUMBER(C1145))),"Needs month/pages","OK")))))</f>
        <v/>
      </c>
      <c r="J1145" s="10">
        <f>IF(I1145="","",IF(I1145="OK",IF(COUNTIFS(H1146:H$3001,H1145,B1146:B$3001,B1145,G1146:G$3001,"")=0,C1145,0),0))</f>
        <v/>
      </c>
    </row>
    <row r="1146">
      <c r="A1146" s="6" t="n"/>
      <c r="B1146" s="9" t="n"/>
      <c r="C1146" s="6" t="n"/>
      <c r="D1146" s="6" t="n"/>
      <c r="E1146" s="6" t="n"/>
      <c r="F1146" s="6" t="n"/>
      <c r="G1146" s="6" t="n"/>
      <c r="H1146" s="10">
        <f>IF(F1146="","",IFERROR(INDEX(Roster!$A$2:$A$600,MATCH(F1146,Roster!$E$2:$E$600,0)),""))</f>
        <v/>
      </c>
      <c r="I1146" s="10">
        <f>IF(AND(D1146="",C1146="",F1146=""),"",IF(G1146&lt;&gt;"","Void",IF(F1146="","Needs child",IF(H1146="","Child not found",IF(OR(B1146="",NOT(ISNUMBER(C1146))),"Needs month/pages","OK")))))</f>
        <v/>
      </c>
      <c r="J1146" s="10">
        <f>IF(I1146="","",IF(I1146="OK",IF(COUNTIFS(H1147:H$3001,H1146,B1147:B$3001,B1146,G1147:G$3001,"")=0,C1146,0),0))</f>
        <v/>
      </c>
    </row>
    <row r="1147">
      <c r="A1147" s="6" t="n"/>
      <c r="B1147" s="9" t="n"/>
      <c r="C1147" s="6" t="n"/>
      <c r="D1147" s="6" t="n"/>
      <c r="E1147" s="6" t="n"/>
      <c r="F1147" s="6" t="n"/>
      <c r="G1147" s="6" t="n"/>
      <c r="H1147" s="10">
        <f>IF(F1147="","",IFERROR(INDEX(Roster!$A$2:$A$600,MATCH(F1147,Roster!$E$2:$E$600,0)),""))</f>
        <v/>
      </c>
      <c r="I1147" s="10">
        <f>IF(AND(D1147="",C1147="",F1147=""),"",IF(G1147&lt;&gt;"","Void",IF(F1147="","Needs child",IF(H1147="","Child not found",IF(OR(B1147="",NOT(ISNUMBER(C1147))),"Needs month/pages","OK")))))</f>
        <v/>
      </c>
      <c r="J1147" s="10">
        <f>IF(I1147="","",IF(I1147="OK",IF(COUNTIFS(H1148:H$3001,H1147,B1148:B$3001,B1147,G1148:G$3001,"")=0,C1147,0),0))</f>
        <v/>
      </c>
    </row>
    <row r="1148">
      <c r="A1148" s="6" t="n"/>
      <c r="B1148" s="9" t="n"/>
      <c r="C1148" s="6" t="n"/>
      <c r="D1148" s="6" t="n"/>
      <c r="E1148" s="6" t="n"/>
      <c r="F1148" s="6" t="n"/>
      <c r="G1148" s="6" t="n"/>
      <c r="H1148" s="10">
        <f>IF(F1148="","",IFERROR(INDEX(Roster!$A$2:$A$600,MATCH(F1148,Roster!$E$2:$E$600,0)),""))</f>
        <v/>
      </c>
      <c r="I1148" s="10">
        <f>IF(AND(D1148="",C1148="",F1148=""),"",IF(G1148&lt;&gt;"","Void",IF(F1148="","Needs child",IF(H1148="","Child not found",IF(OR(B1148="",NOT(ISNUMBER(C1148))),"Needs month/pages","OK")))))</f>
        <v/>
      </c>
      <c r="J1148" s="10">
        <f>IF(I1148="","",IF(I1148="OK",IF(COUNTIFS(H1149:H$3001,H1148,B1149:B$3001,B1148,G1149:G$3001,"")=0,C1148,0),0))</f>
        <v/>
      </c>
    </row>
    <row r="1149">
      <c r="A1149" s="6" t="n"/>
      <c r="B1149" s="9" t="n"/>
      <c r="C1149" s="6" t="n"/>
      <c r="D1149" s="6" t="n"/>
      <c r="E1149" s="6" t="n"/>
      <c r="F1149" s="6" t="n"/>
      <c r="G1149" s="6" t="n"/>
      <c r="H1149" s="10">
        <f>IF(F1149="","",IFERROR(INDEX(Roster!$A$2:$A$600,MATCH(F1149,Roster!$E$2:$E$600,0)),""))</f>
        <v/>
      </c>
      <c r="I1149" s="10">
        <f>IF(AND(D1149="",C1149="",F1149=""),"",IF(G1149&lt;&gt;"","Void",IF(F1149="","Needs child",IF(H1149="","Child not found",IF(OR(B1149="",NOT(ISNUMBER(C1149))),"Needs month/pages","OK")))))</f>
        <v/>
      </c>
      <c r="J1149" s="10">
        <f>IF(I1149="","",IF(I1149="OK",IF(COUNTIFS(H1150:H$3001,H1149,B1150:B$3001,B1149,G1150:G$3001,"")=0,C1149,0),0))</f>
        <v/>
      </c>
    </row>
    <row r="1150">
      <c r="A1150" s="6" t="n"/>
      <c r="B1150" s="9" t="n"/>
      <c r="C1150" s="6" t="n"/>
      <c r="D1150" s="6" t="n"/>
      <c r="E1150" s="6" t="n"/>
      <c r="F1150" s="6" t="n"/>
      <c r="G1150" s="6" t="n"/>
      <c r="H1150" s="10">
        <f>IF(F1150="","",IFERROR(INDEX(Roster!$A$2:$A$600,MATCH(F1150,Roster!$E$2:$E$600,0)),""))</f>
        <v/>
      </c>
      <c r="I1150" s="10">
        <f>IF(AND(D1150="",C1150="",F1150=""),"",IF(G1150&lt;&gt;"","Void",IF(F1150="","Needs child",IF(H1150="","Child not found",IF(OR(B1150="",NOT(ISNUMBER(C1150))),"Needs month/pages","OK")))))</f>
        <v/>
      </c>
      <c r="J1150" s="10">
        <f>IF(I1150="","",IF(I1150="OK",IF(COUNTIFS(H1151:H$3001,H1150,B1151:B$3001,B1150,G1151:G$3001,"")=0,C1150,0),0))</f>
        <v/>
      </c>
    </row>
    <row r="1151">
      <c r="A1151" s="6" t="n"/>
      <c r="B1151" s="9" t="n"/>
      <c r="C1151" s="6" t="n"/>
      <c r="D1151" s="6" t="n"/>
      <c r="E1151" s="6" t="n"/>
      <c r="F1151" s="6" t="n"/>
      <c r="G1151" s="6" t="n"/>
      <c r="H1151" s="10">
        <f>IF(F1151="","",IFERROR(INDEX(Roster!$A$2:$A$600,MATCH(F1151,Roster!$E$2:$E$600,0)),""))</f>
        <v/>
      </c>
      <c r="I1151" s="10">
        <f>IF(AND(D1151="",C1151="",F1151=""),"",IF(G1151&lt;&gt;"","Void",IF(F1151="","Needs child",IF(H1151="","Child not found",IF(OR(B1151="",NOT(ISNUMBER(C1151))),"Needs month/pages","OK")))))</f>
        <v/>
      </c>
      <c r="J1151" s="10">
        <f>IF(I1151="","",IF(I1151="OK",IF(COUNTIFS(H1152:H$3001,H1151,B1152:B$3001,B1151,G1152:G$3001,"")=0,C1151,0),0))</f>
        <v/>
      </c>
    </row>
    <row r="1152">
      <c r="A1152" s="6" t="n"/>
      <c r="B1152" s="9" t="n"/>
      <c r="C1152" s="6" t="n"/>
      <c r="D1152" s="6" t="n"/>
      <c r="E1152" s="6" t="n"/>
      <c r="F1152" s="6" t="n"/>
      <c r="G1152" s="6" t="n"/>
      <c r="H1152" s="10">
        <f>IF(F1152="","",IFERROR(INDEX(Roster!$A$2:$A$600,MATCH(F1152,Roster!$E$2:$E$600,0)),""))</f>
        <v/>
      </c>
      <c r="I1152" s="10">
        <f>IF(AND(D1152="",C1152="",F1152=""),"",IF(G1152&lt;&gt;"","Void",IF(F1152="","Needs child",IF(H1152="","Child not found",IF(OR(B1152="",NOT(ISNUMBER(C1152))),"Needs month/pages","OK")))))</f>
        <v/>
      </c>
      <c r="J1152" s="10">
        <f>IF(I1152="","",IF(I1152="OK",IF(COUNTIFS(H1153:H$3001,H1152,B1153:B$3001,B1152,G1153:G$3001,"")=0,C1152,0),0))</f>
        <v/>
      </c>
    </row>
    <row r="1153">
      <c r="A1153" s="6" t="n"/>
      <c r="B1153" s="9" t="n"/>
      <c r="C1153" s="6" t="n"/>
      <c r="D1153" s="6" t="n"/>
      <c r="E1153" s="6" t="n"/>
      <c r="F1153" s="6" t="n"/>
      <c r="G1153" s="6" t="n"/>
      <c r="H1153" s="10">
        <f>IF(F1153="","",IFERROR(INDEX(Roster!$A$2:$A$600,MATCH(F1153,Roster!$E$2:$E$600,0)),""))</f>
        <v/>
      </c>
      <c r="I1153" s="10">
        <f>IF(AND(D1153="",C1153="",F1153=""),"",IF(G1153&lt;&gt;"","Void",IF(F1153="","Needs child",IF(H1153="","Child not found",IF(OR(B1153="",NOT(ISNUMBER(C1153))),"Needs month/pages","OK")))))</f>
        <v/>
      </c>
      <c r="J1153" s="10">
        <f>IF(I1153="","",IF(I1153="OK",IF(COUNTIFS(H1154:H$3001,H1153,B1154:B$3001,B1153,G1154:G$3001,"")=0,C1153,0),0))</f>
        <v/>
      </c>
    </row>
    <row r="1154">
      <c r="A1154" s="6" t="n"/>
      <c r="B1154" s="9" t="n"/>
      <c r="C1154" s="6" t="n"/>
      <c r="D1154" s="6" t="n"/>
      <c r="E1154" s="6" t="n"/>
      <c r="F1154" s="6" t="n"/>
      <c r="G1154" s="6" t="n"/>
      <c r="H1154" s="10">
        <f>IF(F1154="","",IFERROR(INDEX(Roster!$A$2:$A$600,MATCH(F1154,Roster!$E$2:$E$600,0)),""))</f>
        <v/>
      </c>
      <c r="I1154" s="10">
        <f>IF(AND(D1154="",C1154="",F1154=""),"",IF(G1154&lt;&gt;"","Void",IF(F1154="","Needs child",IF(H1154="","Child not found",IF(OR(B1154="",NOT(ISNUMBER(C1154))),"Needs month/pages","OK")))))</f>
        <v/>
      </c>
      <c r="J1154" s="10">
        <f>IF(I1154="","",IF(I1154="OK",IF(COUNTIFS(H1155:H$3001,H1154,B1155:B$3001,B1154,G1155:G$3001,"")=0,C1154,0),0))</f>
        <v/>
      </c>
    </row>
    <row r="1155">
      <c r="A1155" s="6" t="n"/>
      <c r="B1155" s="9" t="n"/>
      <c r="C1155" s="6" t="n"/>
      <c r="D1155" s="6" t="n"/>
      <c r="E1155" s="6" t="n"/>
      <c r="F1155" s="6" t="n"/>
      <c r="G1155" s="6" t="n"/>
      <c r="H1155" s="10">
        <f>IF(F1155="","",IFERROR(INDEX(Roster!$A$2:$A$600,MATCH(F1155,Roster!$E$2:$E$600,0)),""))</f>
        <v/>
      </c>
      <c r="I1155" s="10">
        <f>IF(AND(D1155="",C1155="",F1155=""),"",IF(G1155&lt;&gt;"","Void",IF(F1155="","Needs child",IF(H1155="","Child not found",IF(OR(B1155="",NOT(ISNUMBER(C1155))),"Needs month/pages","OK")))))</f>
        <v/>
      </c>
      <c r="J1155" s="10">
        <f>IF(I1155="","",IF(I1155="OK",IF(COUNTIFS(H1156:H$3001,H1155,B1156:B$3001,B1155,G1156:G$3001,"")=0,C1155,0),0))</f>
        <v/>
      </c>
    </row>
    <row r="1156">
      <c r="A1156" s="6" t="n"/>
      <c r="B1156" s="9" t="n"/>
      <c r="C1156" s="6" t="n"/>
      <c r="D1156" s="6" t="n"/>
      <c r="E1156" s="6" t="n"/>
      <c r="F1156" s="6" t="n"/>
      <c r="G1156" s="6" t="n"/>
      <c r="H1156" s="10">
        <f>IF(F1156="","",IFERROR(INDEX(Roster!$A$2:$A$600,MATCH(F1156,Roster!$E$2:$E$600,0)),""))</f>
        <v/>
      </c>
      <c r="I1156" s="10">
        <f>IF(AND(D1156="",C1156="",F1156=""),"",IF(G1156&lt;&gt;"","Void",IF(F1156="","Needs child",IF(H1156="","Child not found",IF(OR(B1156="",NOT(ISNUMBER(C1156))),"Needs month/pages","OK")))))</f>
        <v/>
      </c>
      <c r="J1156" s="10">
        <f>IF(I1156="","",IF(I1156="OK",IF(COUNTIFS(H1157:H$3001,H1156,B1157:B$3001,B1156,G1157:G$3001,"")=0,C1156,0),0))</f>
        <v/>
      </c>
    </row>
    <row r="1157">
      <c r="A1157" s="6" t="n"/>
      <c r="B1157" s="9" t="n"/>
      <c r="C1157" s="6" t="n"/>
      <c r="D1157" s="6" t="n"/>
      <c r="E1157" s="6" t="n"/>
      <c r="F1157" s="6" t="n"/>
      <c r="G1157" s="6" t="n"/>
      <c r="H1157" s="10">
        <f>IF(F1157="","",IFERROR(INDEX(Roster!$A$2:$A$600,MATCH(F1157,Roster!$E$2:$E$600,0)),""))</f>
        <v/>
      </c>
      <c r="I1157" s="10">
        <f>IF(AND(D1157="",C1157="",F1157=""),"",IF(G1157&lt;&gt;"","Void",IF(F1157="","Needs child",IF(H1157="","Child not found",IF(OR(B1157="",NOT(ISNUMBER(C1157))),"Needs month/pages","OK")))))</f>
        <v/>
      </c>
      <c r="J1157" s="10">
        <f>IF(I1157="","",IF(I1157="OK",IF(COUNTIFS(H1158:H$3001,H1157,B1158:B$3001,B1157,G1158:G$3001,"")=0,C1157,0),0))</f>
        <v/>
      </c>
    </row>
    <row r="1158">
      <c r="A1158" s="6" t="n"/>
      <c r="B1158" s="9" t="n"/>
      <c r="C1158" s="6" t="n"/>
      <c r="D1158" s="6" t="n"/>
      <c r="E1158" s="6" t="n"/>
      <c r="F1158" s="6" t="n"/>
      <c r="G1158" s="6" t="n"/>
      <c r="H1158" s="10">
        <f>IF(F1158="","",IFERROR(INDEX(Roster!$A$2:$A$600,MATCH(F1158,Roster!$E$2:$E$600,0)),""))</f>
        <v/>
      </c>
      <c r="I1158" s="10">
        <f>IF(AND(D1158="",C1158="",F1158=""),"",IF(G1158&lt;&gt;"","Void",IF(F1158="","Needs child",IF(H1158="","Child not found",IF(OR(B1158="",NOT(ISNUMBER(C1158))),"Needs month/pages","OK")))))</f>
        <v/>
      </c>
      <c r="J1158" s="10">
        <f>IF(I1158="","",IF(I1158="OK",IF(COUNTIFS(H1159:H$3001,H1158,B1159:B$3001,B1158,G1159:G$3001,"")=0,C1158,0),0))</f>
        <v/>
      </c>
    </row>
    <row r="1159">
      <c r="A1159" s="6" t="n"/>
      <c r="B1159" s="9" t="n"/>
      <c r="C1159" s="6" t="n"/>
      <c r="D1159" s="6" t="n"/>
      <c r="E1159" s="6" t="n"/>
      <c r="F1159" s="6" t="n"/>
      <c r="G1159" s="6" t="n"/>
      <c r="H1159" s="10">
        <f>IF(F1159="","",IFERROR(INDEX(Roster!$A$2:$A$600,MATCH(F1159,Roster!$E$2:$E$600,0)),""))</f>
        <v/>
      </c>
      <c r="I1159" s="10">
        <f>IF(AND(D1159="",C1159="",F1159=""),"",IF(G1159&lt;&gt;"","Void",IF(F1159="","Needs child",IF(H1159="","Child not found",IF(OR(B1159="",NOT(ISNUMBER(C1159))),"Needs month/pages","OK")))))</f>
        <v/>
      </c>
      <c r="J1159" s="10">
        <f>IF(I1159="","",IF(I1159="OK",IF(COUNTIFS(H1160:H$3001,H1159,B1160:B$3001,B1159,G1160:G$3001,"")=0,C1159,0),0))</f>
        <v/>
      </c>
    </row>
    <row r="1160">
      <c r="A1160" s="6" t="n"/>
      <c r="B1160" s="9" t="n"/>
      <c r="C1160" s="6" t="n"/>
      <c r="D1160" s="6" t="n"/>
      <c r="E1160" s="6" t="n"/>
      <c r="F1160" s="6" t="n"/>
      <c r="G1160" s="6" t="n"/>
      <c r="H1160" s="10">
        <f>IF(F1160="","",IFERROR(INDEX(Roster!$A$2:$A$600,MATCH(F1160,Roster!$E$2:$E$600,0)),""))</f>
        <v/>
      </c>
      <c r="I1160" s="10">
        <f>IF(AND(D1160="",C1160="",F1160=""),"",IF(G1160&lt;&gt;"","Void",IF(F1160="","Needs child",IF(H1160="","Child not found",IF(OR(B1160="",NOT(ISNUMBER(C1160))),"Needs month/pages","OK")))))</f>
        <v/>
      </c>
      <c r="J1160" s="10">
        <f>IF(I1160="","",IF(I1160="OK",IF(COUNTIFS(H1161:H$3001,H1160,B1161:B$3001,B1160,G1161:G$3001,"")=0,C1160,0),0))</f>
        <v/>
      </c>
    </row>
    <row r="1161">
      <c r="A1161" s="6" t="n"/>
      <c r="B1161" s="9" t="n"/>
      <c r="C1161" s="6" t="n"/>
      <c r="D1161" s="6" t="n"/>
      <c r="E1161" s="6" t="n"/>
      <c r="F1161" s="6" t="n"/>
      <c r="G1161" s="6" t="n"/>
      <c r="H1161" s="10">
        <f>IF(F1161="","",IFERROR(INDEX(Roster!$A$2:$A$600,MATCH(F1161,Roster!$E$2:$E$600,0)),""))</f>
        <v/>
      </c>
      <c r="I1161" s="10">
        <f>IF(AND(D1161="",C1161="",F1161=""),"",IF(G1161&lt;&gt;"","Void",IF(F1161="","Needs child",IF(H1161="","Child not found",IF(OR(B1161="",NOT(ISNUMBER(C1161))),"Needs month/pages","OK")))))</f>
        <v/>
      </c>
      <c r="J1161" s="10">
        <f>IF(I1161="","",IF(I1161="OK",IF(COUNTIFS(H1162:H$3001,H1161,B1162:B$3001,B1161,G1162:G$3001,"")=0,C1161,0),0))</f>
        <v/>
      </c>
    </row>
    <row r="1162">
      <c r="A1162" s="6" t="n"/>
      <c r="B1162" s="9" t="n"/>
      <c r="C1162" s="6" t="n"/>
      <c r="D1162" s="6" t="n"/>
      <c r="E1162" s="6" t="n"/>
      <c r="F1162" s="6" t="n"/>
      <c r="G1162" s="6" t="n"/>
      <c r="H1162" s="10">
        <f>IF(F1162="","",IFERROR(INDEX(Roster!$A$2:$A$600,MATCH(F1162,Roster!$E$2:$E$600,0)),""))</f>
        <v/>
      </c>
      <c r="I1162" s="10">
        <f>IF(AND(D1162="",C1162="",F1162=""),"",IF(G1162&lt;&gt;"","Void",IF(F1162="","Needs child",IF(H1162="","Child not found",IF(OR(B1162="",NOT(ISNUMBER(C1162))),"Needs month/pages","OK")))))</f>
        <v/>
      </c>
      <c r="J1162" s="10">
        <f>IF(I1162="","",IF(I1162="OK",IF(COUNTIFS(H1163:H$3001,H1162,B1163:B$3001,B1162,G1163:G$3001,"")=0,C1162,0),0))</f>
        <v/>
      </c>
    </row>
    <row r="1163">
      <c r="A1163" s="6" t="n"/>
      <c r="B1163" s="9" t="n"/>
      <c r="C1163" s="6" t="n"/>
      <c r="D1163" s="6" t="n"/>
      <c r="E1163" s="6" t="n"/>
      <c r="F1163" s="6" t="n"/>
      <c r="G1163" s="6" t="n"/>
      <c r="H1163" s="10">
        <f>IF(F1163="","",IFERROR(INDEX(Roster!$A$2:$A$600,MATCH(F1163,Roster!$E$2:$E$600,0)),""))</f>
        <v/>
      </c>
      <c r="I1163" s="10">
        <f>IF(AND(D1163="",C1163="",F1163=""),"",IF(G1163&lt;&gt;"","Void",IF(F1163="","Needs child",IF(H1163="","Child not found",IF(OR(B1163="",NOT(ISNUMBER(C1163))),"Needs month/pages","OK")))))</f>
        <v/>
      </c>
      <c r="J1163" s="10">
        <f>IF(I1163="","",IF(I1163="OK",IF(COUNTIFS(H1164:H$3001,H1163,B1164:B$3001,B1163,G1164:G$3001,"")=0,C1163,0),0))</f>
        <v/>
      </c>
    </row>
    <row r="1164">
      <c r="A1164" s="6" t="n"/>
      <c r="B1164" s="9" t="n"/>
      <c r="C1164" s="6" t="n"/>
      <c r="D1164" s="6" t="n"/>
      <c r="E1164" s="6" t="n"/>
      <c r="F1164" s="6" t="n"/>
      <c r="G1164" s="6" t="n"/>
      <c r="H1164" s="10">
        <f>IF(F1164="","",IFERROR(INDEX(Roster!$A$2:$A$600,MATCH(F1164,Roster!$E$2:$E$600,0)),""))</f>
        <v/>
      </c>
      <c r="I1164" s="10">
        <f>IF(AND(D1164="",C1164="",F1164=""),"",IF(G1164&lt;&gt;"","Void",IF(F1164="","Needs child",IF(H1164="","Child not found",IF(OR(B1164="",NOT(ISNUMBER(C1164))),"Needs month/pages","OK")))))</f>
        <v/>
      </c>
      <c r="J1164" s="10">
        <f>IF(I1164="","",IF(I1164="OK",IF(COUNTIFS(H1165:H$3001,H1164,B1165:B$3001,B1164,G1165:G$3001,"")=0,C1164,0),0))</f>
        <v/>
      </c>
    </row>
    <row r="1165">
      <c r="A1165" s="6" t="n"/>
      <c r="B1165" s="9" t="n"/>
      <c r="C1165" s="6" t="n"/>
      <c r="D1165" s="6" t="n"/>
      <c r="E1165" s="6" t="n"/>
      <c r="F1165" s="6" t="n"/>
      <c r="G1165" s="6" t="n"/>
      <c r="H1165" s="10">
        <f>IF(F1165="","",IFERROR(INDEX(Roster!$A$2:$A$600,MATCH(F1165,Roster!$E$2:$E$600,0)),""))</f>
        <v/>
      </c>
      <c r="I1165" s="10">
        <f>IF(AND(D1165="",C1165="",F1165=""),"",IF(G1165&lt;&gt;"","Void",IF(F1165="","Needs child",IF(H1165="","Child not found",IF(OR(B1165="",NOT(ISNUMBER(C1165))),"Needs month/pages","OK")))))</f>
        <v/>
      </c>
      <c r="J1165" s="10">
        <f>IF(I1165="","",IF(I1165="OK",IF(COUNTIFS(H1166:H$3001,H1165,B1166:B$3001,B1165,G1166:G$3001,"")=0,C1165,0),0))</f>
        <v/>
      </c>
    </row>
    <row r="1166">
      <c r="A1166" s="6" t="n"/>
      <c r="B1166" s="9" t="n"/>
      <c r="C1166" s="6" t="n"/>
      <c r="D1166" s="6" t="n"/>
      <c r="E1166" s="6" t="n"/>
      <c r="F1166" s="6" t="n"/>
      <c r="G1166" s="6" t="n"/>
      <c r="H1166" s="10">
        <f>IF(F1166="","",IFERROR(INDEX(Roster!$A$2:$A$600,MATCH(F1166,Roster!$E$2:$E$600,0)),""))</f>
        <v/>
      </c>
      <c r="I1166" s="10">
        <f>IF(AND(D1166="",C1166="",F1166=""),"",IF(G1166&lt;&gt;"","Void",IF(F1166="","Needs child",IF(H1166="","Child not found",IF(OR(B1166="",NOT(ISNUMBER(C1166))),"Needs month/pages","OK")))))</f>
        <v/>
      </c>
      <c r="J1166" s="10">
        <f>IF(I1166="","",IF(I1166="OK",IF(COUNTIFS(H1167:H$3001,H1166,B1167:B$3001,B1166,G1167:G$3001,"")=0,C1166,0),0))</f>
        <v/>
      </c>
    </row>
    <row r="1167">
      <c r="A1167" s="6" t="n"/>
      <c r="B1167" s="9" t="n"/>
      <c r="C1167" s="6" t="n"/>
      <c r="D1167" s="6" t="n"/>
      <c r="E1167" s="6" t="n"/>
      <c r="F1167" s="6" t="n"/>
      <c r="G1167" s="6" t="n"/>
      <c r="H1167" s="10">
        <f>IF(F1167="","",IFERROR(INDEX(Roster!$A$2:$A$600,MATCH(F1167,Roster!$E$2:$E$600,0)),""))</f>
        <v/>
      </c>
      <c r="I1167" s="10">
        <f>IF(AND(D1167="",C1167="",F1167=""),"",IF(G1167&lt;&gt;"","Void",IF(F1167="","Needs child",IF(H1167="","Child not found",IF(OR(B1167="",NOT(ISNUMBER(C1167))),"Needs month/pages","OK")))))</f>
        <v/>
      </c>
      <c r="J1167" s="10">
        <f>IF(I1167="","",IF(I1167="OK",IF(COUNTIFS(H1168:H$3001,H1167,B1168:B$3001,B1167,G1168:G$3001,"")=0,C1167,0),0))</f>
        <v/>
      </c>
    </row>
    <row r="1168">
      <c r="A1168" s="6" t="n"/>
      <c r="B1168" s="9" t="n"/>
      <c r="C1168" s="6" t="n"/>
      <c r="D1168" s="6" t="n"/>
      <c r="E1168" s="6" t="n"/>
      <c r="F1168" s="6" t="n"/>
      <c r="G1168" s="6" t="n"/>
      <c r="H1168" s="10">
        <f>IF(F1168="","",IFERROR(INDEX(Roster!$A$2:$A$600,MATCH(F1168,Roster!$E$2:$E$600,0)),""))</f>
        <v/>
      </c>
      <c r="I1168" s="10">
        <f>IF(AND(D1168="",C1168="",F1168=""),"",IF(G1168&lt;&gt;"","Void",IF(F1168="","Needs child",IF(H1168="","Child not found",IF(OR(B1168="",NOT(ISNUMBER(C1168))),"Needs month/pages","OK")))))</f>
        <v/>
      </c>
      <c r="J1168" s="10">
        <f>IF(I1168="","",IF(I1168="OK",IF(COUNTIFS(H1169:H$3001,H1168,B1169:B$3001,B1168,G1169:G$3001,"")=0,C1168,0),0))</f>
        <v/>
      </c>
    </row>
    <row r="1169">
      <c r="A1169" s="6" t="n"/>
      <c r="B1169" s="9" t="n"/>
      <c r="C1169" s="6" t="n"/>
      <c r="D1169" s="6" t="n"/>
      <c r="E1169" s="6" t="n"/>
      <c r="F1169" s="6" t="n"/>
      <c r="G1169" s="6" t="n"/>
      <c r="H1169" s="10">
        <f>IF(F1169="","",IFERROR(INDEX(Roster!$A$2:$A$600,MATCH(F1169,Roster!$E$2:$E$600,0)),""))</f>
        <v/>
      </c>
      <c r="I1169" s="10">
        <f>IF(AND(D1169="",C1169="",F1169=""),"",IF(G1169&lt;&gt;"","Void",IF(F1169="","Needs child",IF(H1169="","Child not found",IF(OR(B1169="",NOT(ISNUMBER(C1169))),"Needs month/pages","OK")))))</f>
        <v/>
      </c>
      <c r="J1169" s="10">
        <f>IF(I1169="","",IF(I1169="OK",IF(COUNTIFS(H1170:H$3001,H1169,B1170:B$3001,B1169,G1170:G$3001,"")=0,C1169,0),0))</f>
        <v/>
      </c>
    </row>
    <row r="1170">
      <c r="A1170" s="6" t="n"/>
      <c r="B1170" s="9" t="n"/>
      <c r="C1170" s="6" t="n"/>
      <c r="D1170" s="6" t="n"/>
      <c r="E1170" s="6" t="n"/>
      <c r="F1170" s="6" t="n"/>
      <c r="G1170" s="6" t="n"/>
      <c r="H1170" s="10">
        <f>IF(F1170="","",IFERROR(INDEX(Roster!$A$2:$A$600,MATCH(F1170,Roster!$E$2:$E$600,0)),""))</f>
        <v/>
      </c>
      <c r="I1170" s="10">
        <f>IF(AND(D1170="",C1170="",F1170=""),"",IF(G1170&lt;&gt;"","Void",IF(F1170="","Needs child",IF(H1170="","Child not found",IF(OR(B1170="",NOT(ISNUMBER(C1170))),"Needs month/pages","OK")))))</f>
        <v/>
      </c>
      <c r="J1170" s="10">
        <f>IF(I1170="","",IF(I1170="OK",IF(COUNTIFS(H1171:H$3001,H1170,B1171:B$3001,B1170,G1171:G$3001,"")=0,C1170,0),0))</f>
        <v/>
      </c>
    </row>
    <row r="1171">
      <c r="A1171" s="6" t="n"/>
      <c r="B1171" s="9" t="n"/>
      <c r="C1171" s="6" t="n"/>
      <c r="D1171" s="6" t="n"/>
      <c r="E1171" s="6" t="n"/>
      <c r="F1171" s="6" t="n"/>
      <c r="G1171" s="6" t="n"/>
      <c r="H1171" s="10">
        <f>IF(F1171="","",IFERROR(INDEX(Roster!$A$2:$A$600,MATCH(F1171,Roster!$E$2:$E$600,0)),""))</f>
        <v/>
      </c>
      <c r="I1171" s="10">
        <f>IF(AND(D1171="",C1171="",F1171=""),"",IF(G1171&lt;&gt;"","Void",IF(F1171="","Needs child",IF(H1171="","Child not found",IF(OR(B1171="",NOT(ISNUMBER(C1171))),"Needs month/pages","OK")))))</f>
        <v/>
      </c>
      <c r="J1171" s="10">
        <f>IF(I1171="","",IF(I1171="OK",IF(COUNTIFS(H1172:H$3001,H1171,B1172:B$3001,B1171,G1172:G$3001,"")=0,C1171,0),0))</f>
        <v/>
      </c>
    </row>
    <row r="1172">
      <c r="A1172" s="6" t="n"/>
      <c r="B1172" s="9" t="n"/>
      <c r="C1172" s="6" t="n"/>
      <c r="D1172" s="6" t="n"/>
      <c r="E1172" s="6" t="n"/>
      <c r="F1172" s="6" t="n"/>
      <c r="G1172" s="6" t="n"/>
      <c r="H1172" s="10">
        <f>IF(F1172="","",IFERROR(INDEX(Roster!$A$2:$A$600,MATCH(F1172,Roster!$E$2:$E$600,0)),""))</f>
        <v/>
      </c>
      <c r="I1172" s="10">
        <f>IF(AND(D1172="",C1172="",F1172=""),"",IF(G1172&lt;&gt;"","Void",IF(F1172="","Needs child",IF(H1172="","Child not found",IF(OR(B1172="",NOT(ISNUMBER(C1172))),"Needs month/pages","OK")))))</f>
        <v/>
      </c>
      <c r="J1172" s="10">
        <f>IF(I1172="","",IF(I1172="OK",IF(COUNTIFS(H1173:H$3001,H1172,B1173:B$3001,B1172,G1173:G$3001,"")=0,C1172,0),0))</f>
        <v/>
      </c>
    </row>
    <row r="1173">
      <c r="A1173" s="6" t="n"/>
      <c r="B1173" s="9" t="n"/>
      <c r="C1173" s="6" t="n"/>
      <c r="D1173" s="6" t="n"/>
      <c r="E1173" s="6" t="n"/>
      <c r="F1173" s="6" t="n"/>
      <c r="G1173" s="6" t="n"/>
      <c r="H1173" s="10">
        <f>IF(F1173="","",IFERROR(INDEX(Roster!$A$2:$A$600,MATCH(F1173,Roster!$E$2:$E$600,0)),""))</f>
        <v/>
      </c>
      <c r="I1173" s="10">
        <f>IF(AND(D1173="",C1173="",F1173=""),"",IF(G1173&lt;&gt;"","Void",IF(F1173="","Needs child",IF(H1173="","Child not found",IF(OR(B1173="",NOT(ISNUMBER(C1173))),"Needs month/pages","OK")))))</f>
        <v/>
      </c>
      <c r="J1173" s="10">
        <f>IF(I1173="","",IF(I1173="OK",IF(COUNTIFS(H1174:H$3001,H1173,B1174:B$3001,B1173,G1174:G$3001,"")=0,C1173,0),0))</f>
        <v/>
      </c>
    </row>
    <row r="1174">
      <c r="A1174" s="6" t="n"/>
      <c r="B1174" s="9" t="n"/>
      <c r="C1174" s="6" t="n"/>
      <c r="D1174" s="6" t="n"/>
      <c r="E1174" s="6" t="n"/>
      <c r="F1174" s="6" t="n"/>
      <c r="G1174" s="6" t="n"/>
      <c r="H1174" s="10">
        <f>IF(F1174="","",IFERROR(INDEX(Roster!$A$2:$A$600,MATCH(F1174,Roster!$E$2:$E$600,0)),""))</f>
        <v/>
      </c>
      <c r="I1174" s="10">
        <f>IF(AND(D1174="",C1174="",F1174=""),"",IF(G1174&lt;&gt;"","Void",IF(F1174="","Needs child",IF(H1174="","Child not found",IF(OR(B1174="",NOT(ISNUMBER(C1174))),"Needs month/pages","OK")))))</f>
        <v/>
      </c>
      <c r="J1174" s="10">
        <f>IF(I1174="","",IF(I1174="OK",IF(COUNTIFS(H1175:H$3001,H1174,B1175:B$3001,B1174,G1175:G$3001,"")=0,C1174,0),0))</f>
        <v/>
      </c>
    </row>
    <row r="1175">
      <c r="A1175" s="6" t="n"/>
      <c r="B1175" s="9" t="n"/>
      <c r="C1175" s="6" t="n"/>
      <c r="D1175" s="6" t="n"/>
      <c r="E1175" s="6" t="n"/>
      <c r="F1175" s="6" t="n"/>
      <c r="G1175" s="6" t="n"/>
      <c r="H1175" s="10">
        <f>IF(F1175="","",IFERROR(INDEX(Roster!$A$2:$A$600,MATCH(F1175,Roster!$E$2:$E$600,0)),""))</f>
        <v/>
      </c>
      <c r="I1175" s="10">
        <f>IF(AND(D1175="",C1175="",F1175=""),"",IF(G1175&lt;&gt;"","Void",IF(F1175="","Needs child",IF(H1175="","Child not found",IF(OR(B1175="",NOT(ISNUMBER(C1175))),"Needs month/pages","OK")))))</f>
        <v/>
      </c>
      <c r="J1175" s="10">
        <f>IF(I1175="","",IF(I1175="OK",IF(COUNTIFS(H1176:H$3001,H1175,B1176:B$3001,B1175,G1176:G$3001,"")=0,C1175,0),0))</f>
        <v/>
      </c>
    </row>
    <row r="1176">
      <c r="A1176" s="6" t="n"/>
      <c r="B1176" s="9" t="n"/>
      <c r="C1176" s="6" t="n"/>
      <c r="D1176" s="6" t="n"/>
      <c r="E1176" s="6" t="n"/>
      <c r="F1176" s="6" t="n"/>
      <c r="G1176" s="6" t="n"/>
      <c r="H1176" s="10">
        <f>IF(F1176="","",IFERROR(INDEX(Roster!$A$2:$A$600,MATCH(F1176,Roster!$E$2:$E$600,0)),""))</f>
        <v/>
      </c>
      <c r="I1176" s="10">
        <f>IF(AND(D1176="",C1176="",F1176=""),"",IF(G1176&lt;&gt;"","Void",IF(F1176="","Needs child",IF(H1176="","Child not found",IF(OR(B1176="",NOT(ISNUMBER(C1176))),"Needs month/pages","OK")))))</f>
        <v/>
      </c>
      <c r="J1176" s="10">
        <f>IF(I1176="","",IF(I1176="OK",IF(COUNTIFS(H1177:H$3001,H1176,B1177:B$3001,B1176,G1177:G$3001,"")=0,C1176,0),0))</f>
        <v/>
      </c>
    </row>
    <row r="1177">
      <c r="A1177" s="6" t="n"/>
      <c r="B1177" s="9" t="n"/>
      <c r="C1177" s="6" t="n"/>
      <c r="D1177" s="6" t="n"/>
      <c r="E1177" s="6" t="n"/>
      <c r="F1177" s="6" t="n"/>
      <c r="G1177" s="6" t="n"/>
      <c r="H1177" s="10">
        <f>IF(F1177="","",IFERROR(INDEX(Roster!$A$2:$A$600,MATCH(F1177,Roster!$E$2:$E$600,0)),""))</f>
        <v/>
      </c>
      <c r="I1177" s="10">
        <f>IF(AND(D1177="",C1177="",F1177=""),"",IF(G1177&lt;&gt;"","Void",IF(F1177="","Needs child",IF(H1177="","Child not found",IF(OR(B1177="",NOT(ISNUMBER(C1177))),"Needs month/pages","OK")))))</f>
        <v/>
      </c>
      <c r="J1177" s="10">
        <f>IF(I1177="","",IF(I1177="OK",IF(COUNTIFS(H1178:H$3001,H1177,B1178:B$3001,B1177,G1178:G$3001,"")=0,C1177,0),0))</f>
        <v/>
      </c>
    </row>
    <row r="1178">
      <c r="A1178" s="6" t="n"/>
      <c r="B1178" s="9" t="n"/>
      <c r="C1178" s="6" t="n"/>
      <c r="D1178" s="6" t="n"/>
      <c r="E1178" s="6" t="n"/>
      <c r="F1178" s="6" t="n"/>
      <c r="G1178" s="6" t="n"/>
      <c r="H1178" s="10">
        <f>IF(F1178="","",IFERROR(INDEX(Roster!$A$2:$A$600,MATCH(F1178,Roster!$E$2:$E$600,0)),""))</f>
        <v/>
      </c>
      <c r="I1178" s="10">
        <f>IF(AND(D1178="",C1178="",F1178=""),"",IF(G1178&lt;&gt;"","Void",IF(F1178="","Needs child",IF(H1178="","Child not found",IF(OR(B1178="",NOT(ISNUMBER(C1178))),"Needs month/pages","OK")))))</f>
        <v/>
      </c>
      <c r="J1178" s="10">
        <f>IF(I1178="","",IF(I1178="OK",IF(COUNTIFS(H1179:H$3001,H1178,B1179:B$3001,B1178,G1179:G$3001,"")=0,C1178,0),0))</f>
        <v/>
      </c>
    </row>
    <row r="1179">
      <c r="A1179" s="6" t="n"/>
      <c r="B1179" s="9" t="n"/>
      <c r="C1179" s="6" t="n"/>
      <c r="D1179" s="6" t="n"/>
      <c r="E1179" s="6" t="n"/>
      <c r="F1179" s="6" t="n"/>
      <c r="G1179" s="6" t="n"/>
      <c r="H1179" s="10">
        <f>IF(F1179="","",IFERROR(INDEX(Roster!$A$2:$A$600,MATCH(F1179,Roster!$E$2:$E$600,0)),""))</f>
        <v/>
      </c>
      <c r="I1179" s="10">
        <f>IF(AND(D1179="",C1179="",F1179=""),"",IF(G1179&lt;&gt;"","Void",IF(F1179="","Needs child",IF(H1179="","Child not found",IF(OR(B1179="",NOT(ISNUMBER(C1179))),"Needs month/pages","OK")))))</f>
        <v/>
      </c>
      <c r="J1179" s="10">
        <f>IF(I1179="","",IF(I1179="OK",IF(COUNTIFS(H1180:H$3001,H1179,B1180:B$3001,B1179,G1180:G$3001,"")=0,C1179,0),0))</f>
        <v/>
      </c>
    </row>
    <row r="1180">
      <c r="A1180" s="6" t="n"/>
      <c r="B1180" s="9" t="n"/>
      <c r="C1180" s="6" t="n"/>
      <c r="D1180" s="6" t="n"/>
      <c r="E1180" s="6" t="n"/>
      <c r="F1180" s="6" t="n"/>
      <c r="G1180" s="6" t="n"/>
      <c r="H1180" s="10">
        <f>IF(F1180="","",IFERROR(INDEX(Roster!$A$2:$A$600,MATCH(F1180,Roster!$E$2:$E$600,0)),""))</f>
        <v/>
      </c>
      <c r="I1180" s="10">
        <f>IF(AND(D1180="",C1180="",F1180=""),"",IF(G1180&lt;&gt;"","Void",IF(F1180="","Needs child",IF(H1180="","Child not found",IF(OR(B1180="",NOT(ISNUMBER(C1180))),"Needs month/pages","OK")))))</f>
        <v/>
      </c>
      <c r="J1180" s="10">
        <f>IF(I1180="","",IF(I1180="OK",IF(COUNTIFS(H1181:H$3001,H1180,B1181:B$3001,B1180,G1181:G$3001,"")=0,C1180,0),0))</f>
        <v/>
      </c>
    </row>
    <row r="1181">
      <c r="A1181" s="6" t="n"/>
      <c r="B1181" s="9" t="n"/>
      <c r="C1181" s="6" t="n"/>
      <c r="D1181" s="6" t="n"/>
      <c r="E1181" s="6" t="n"/>
      <c r="F1181" s="6" t="n"/>
      <c r="G1181" s="6" t="n"/>
      <c r="H1181" s="10">
        <f>IF(F1181="","",IFERROR(INDEX(Roster!$A$2:$A$600,MATCH(F1181,Roster!$E$2:$E$600,0)),""))</f>
        <v/>
      </c>
      <c r="I1181" s="10">
        <f>IF(AND(D1181="",C1181="",F1181=""),"",IF(G1181&lt;&gt;"","Void",IF(F1181="","Needs child",IF(H1181="","Child not found",IF(OR(B1181="",NOT(ISNUMBER(C1181))),"Needs month/pages","OK")))))</f>
        <v/>
      </c>
      <c r="J1181" s="10">
        <f>IF(I1181="","",IF(I1181="OK",IF(COUNTIFS(H1182:H$3001,H1181,B1182:B$3001,B1181,G1182:G$3001,"")=0,C1181,0),0))</f>
        <v/>
      </c>
    </row>
    <row r="1182">
      <c r="A1182" s="6" t="n"/>
      <c r="B1182" s="9" t="n"/>
      <c r="C1182" s="6" t="n"/>
      <c r="D1182" s="6" t="n"/>
      <c r="E1182" s="6" t="n"/>
      <c r="F1182" s="6" t="n"/>
      <c r="G1182" s="6" t="n"/>
      <c r="H1182" s="10">
        <f>IF(F1182="","",IFERROR(INDEX(Roster!$A$2:$A$600,MATCH(F1182,Roster!$E$2:$E$600,0)),""))</f>
        <v/>
      </c>
      <c r="I1182" s="10">
        <f>IF(AND(D1182="",C1182="",F1182=""),"",IF(G1182&lt;&gt;"","Void",IF(F1182="","Needs child",IF(H1182="","Child not found",IF(OR(B1182="",NOT(ISNUMBER(C1182))),"Needs month/pages","OK")))))</f>
        <v/>
      </c>
      <c r="J1182" s="10">
        <f>IF(I1182="","",IF(I1182="OK",IF(COUNTIFS(H1183:H$3001,H1182,B1183:B$3001,B1182,G1183:G$3001,"")=0,C1182,0),0))</f>
        <v/>
      </c>
    </row>
    <row r="1183">
      <c r="A1183" s="6" t="n"/>
      <c r="B1183" s="9" t="n"/>
      <c r="C1183" s="6" t="n"/>
      <c r="D1183" s="6" t="n"/>
      <c r="E1183" s="6" t="n"/>
      <c r="F1183" s="6" t="n"/>
      <c r="G1183" s="6" t="n"/>
      <c r="H1183" s="10">
        <f>IF(F1183="","",IFERROR(INDEX(Roster!$A$2:$A$600,MATCH(F1183,Roster!$E$2:$E$600,0)),""))</f>
        <v/>
      </c>
      <c r="I1183" s="10">
        <f>IF(AND(D1183="",C1183="",F1183=""),"",IF(G1183&lt;&gt;"","Void",IF(F1183="","Needs child",IF(H1183="","Child not found",IF(OR(B1183="",NOT(ISNUMBER(C1183))),"Needs month/pages","OK")))))</f>
        <v/>
      </c>
      <c r="J1183" s="10">
        <f>IF(I1183="","",IF(I1183="OK",IF(COUNTIFS(H1184:H$3001,H1183,B1184:B$3001,B1183,G1184:G$3001,"")=0,C1183,0),0))</f>
        <v/>
      </c>
    </row>
    <row r="1184">
      <c r="A1184" s="6" t="n"/>
      <c r="B1184" s="9" t="n"/>
      <c r="C1184" s="6" t="n"/>
      <c r="D1184" s="6" t="n"/>
      <c r="E1184" s="6" t="n"/>
      <c r="F1184" s="6" t="n"/>
      <c r="G1184" s="6" t="n"/>
      <c r="H1184" s="10">
        <f>IF(F1184="","",IFERROR(INDEX(Roster!$A$2:$A$600,MATCH(F1184,Roster!$E$2:$E$600,0)),""))</f>
        <v/>
      </c>
      <c r="I1184" s="10">
        <f>IF(AND(D1184="",C1184="",F1184=""),"",IF(G1184&lt;&gt;"","Void",IF(F1184="","Needs child",IF(H1184="","Child not found",IF(OR(B1184="",NOT(ISNUMBER(C1184))),"Needs month/pages","OK")))))</f>
        <v/>
      </c>
      <c r="J1184" s="10">
        <f>IF(I1184="","",IF(I1184="OK",IF(COUNTIFS(H1185:H$3001,H1184,B1185:B$3001,B1184,G1185:G$3001,"")=0,C1184,0),0))</f>
        <v/>
      </c>
    </row>
    <row r="1185">
      <c r="A1185" s="6" t="n"/>
      <c r="B1185" s="9" t="n"/>
      <c r="C1185" s="6" t="n"/>
      <c r="D1185" s="6" t="n"/>
      <c r="E1185" s="6" t="n"/>
      <c r="F1185" s="6" t="n"/>
      <c r="G1185" s="6" t="n"/>
      <c r="H1185" s="10">
        <f>IF(F1185="","",IFERROR(INDEX(Roster!$A$2:$A$600,MATCH(F1185,Roster!$E$2:$E$600,0)),""))</f>
        <v/>
      </c>
      <c r="I1185" s="10">
        <f>IF(AND(D1185="",C1185="",F1185=""),"",IF(G1185&lt;&gt;"","Void",IF(F1185="","Needs child",IF(H1185="","Child not found",IF(OR(B1185="",NOT(ISNUMBER(C1185))),"Needs month/pages","OK")))))</f>
        <v/>
      </c>
      <c r="J1185" s="10">
        <f>IF(I1185="","",IF(I1185="OK",IF(COUNTIFS(H1186:H$3001,H1185,B1186:B$3001,B1185,G1186:G$3001,"")=0,C1185,0),0))</f>
        <v/>
      </c>
    </row>
    <row r="1186">
      <c r="A1186" s="6" t="n"/>
      <c r="B1186" s="9" t="n"/>
      <c r="C1186" s="6" t="n"/>
      <c r="D1186" s="6" t="n"/>
      <c r="E1186" s="6" t="n"/>
      <c r="F1186" s="6" t="n"/>
      <c r="G1186" s="6" t="n"/>
      <c r="H1186" s="10">
        <f>IF(F1186="","",IFERROR(INDEX(Roster!$A$2:$A$600,MATCH(F1186,Roster!$E$2:$E$600,0)),""))</f>
        <v/>
      </c>
      <c r="I1186" s="10">
        <f>IF(AND(D1186="",C1186="",F1186=""),"",IF(G1186&lt;&gt;"","Void",IF(F1186="","Needs child",IF(H1186="","Child not found",IF(OR(B1186="",NOT(ISNUMBER(C1186))),"Needs month/pages","OK")))))</f>
        <v/>
      </c>
      <c r="J1186" s="10">
        <f>IF(I1186="","",IF(I1186="OK",IF(COUNTIFS(H1187:H$3001,H1186,B1187:B$3001,B1186,G1187:G$3001,"")=0,C1186,0),0))</f>
        <v/>
      </c>
    </row>
    <row r="1187">
      <c r="A1187" s="6" t="n"/>
      <c r="B1187" s="9" t="n"/>
      <c r="C1187" s="6" t="n"/>
      <c r="D1187" s="6" t="n"/>
      <c r="E1187" s="6" t="n"/>
      <c r="F1187" s="6" t="n"/>
      <c r="G1187" s="6" t="n"/>
      <c r="H1187" s="10">
        <f>IF(F1187="","",IFERROR(INDEX(Roster!$A$2:$A$600,MATCH(F1187,Roster!$E$2:$E$600,0)),""))</f>
        <v/>
      </c>
      <c r="I1187" s="10">
        <f>IF(AND(D1187="",C1187="",F1187=""),"",IF(G1187&lt;&gt;"","Void",IF(F1187="","Needs child",IF(H1187="","Child not found",IF(OR(B1187="",NOT(ISNUMBER(C1187))),"Needs month/pages","OK")))))</f>
        <v/>
      </c>
      <c r="J1187" s="10">
        <f>IF(I1187="","",IF(I1187="OK",IF(COUNTIFS(H1188:H$3001,H1187,B1188:B$3001,B1187,G1188:G$3001,"")=0,C1187,0),0))</f>
        <v/>
      </c>
    </row>
    <row r="1188">
      <c r="A1188" s="6" t="n"/>
      <c r="B1188" s="9" t="n"/>
      <c r="C1188" s="6" t="n"/>
      <c r="D1188" s="6" t="n"/>
      <c r="E1188" s="6" t="n"/>
      <c r="F1188" s="6" t="n"/>
      <c r="G1188" s="6" t="n"/>
      <c r="H1188" s="10">
        <f>IF(F1188="","",IFERROR(INDEX(Roster!$A$2:$A$600,MATCH(F1188,Roster!$E$2:$E$600,0)),""))</f>
        <v/>
      </c>
      <c r="I1188" s="10">
        <f>IF(AND(D1188="",C1188="",F1188=""),"",IF(G1188&lt;&gt;"","Void",IF(F1188="","Needs child",IF(H1188="","Child not found",IF(OR(B1188="",NOT(ISNUMBER(C1188))),"Needs month/pages","OK")))))</f>
        <v/>
      </c>
      <c r="J1188" s="10">
        <f>IF(I1188="","",IF(I1188="OK",IF(COUNTIFS(H1189:H$3001,H1188,B1189:B$3001,B1188,G1189:G$3001,"")=0,C1188,0),0))</f>
        <v/>
      </c>
    </row>
    <row r="1189">
      <c r="A1189" s="6" t="n"/>
      <c r="B1189" s="9" t="n"/>
      <c r="C1189" s="6" t="n"/>
      <c r="D1189" s="6" t="n"/>
      <c r="E1189" s="6" t="n"/>
      <c r="F1189" s="6" t="n"/>
      <c r="G1189" s="6" t="n"/>
      <c r="H1189" s="10">
        <f>IF(F1189="","",IFERROR(INDEX(Roster!$A$2:$A$600,MATCH(F1189,Roster!$E$2:$E$600,0)),""))</f>
        <v/>
      </c>
      <c r="I1189" s="10">
        <f>IF(AND(D1189="",C1189="",F1189=""),"",IF(G1189&lt;&gt;"","Void",IF(F1189="","Needs child",IF(H1189="","Child not found",IF(OR(B1189="",NOT(ISNUMBER(C1189))),"Needs month/pages","OK")))))</f>
        <v/>
      </c>
      <c r="J1189" s="10">
        <f>IF(I1189="","",IF(I1189="OK",IF(COUNTIFS(H1190:H$3001,H1189,B1190:B$3001,B1189,G1190:G$3001,"")=0,C1189,0),0))</f>
        <v/>
      </c>
    </row>
    <row r="1190">
      <c r="A1190" s="6" t="n"/>
      <c r="B1190" s="9" t="n"/>
      <c r="C1190" s="6" t="n"/>
      <c r="D1190" s="6" t="n"/>
      <c r="E1190" s="6" t="n"/>
      <c r="F1190" s="6" t="n"/>
      <c r="G1190" s="6" t="n"/>
      <c r="H1190" s="10">
        <f>IF(F1190="","",IFERROR(INDEX(Roster!$A$2:$A$600,MATCH(F1190,Roster!$E$2:$E$600,0)),""))</f>
        <v/>
      </c>
      <c r="I1190" s="10">
        <f>IF(AND(D1190="",C1190="",F1190=""),"",IF(G1190&lt;&gt;"","Void",IF(F1190="","Needs child",IF(H1190="","Child not found",IF(OR(B1190="",NOT(ISNUMBER(C1190))),"Needs month/pages","OK")))))</f>
        <v/>
      </c>
      <c r="J1190" s="10">
        <f>IF(I1190="","",IF(I1190="OK",IF(COUNTIFS(H1191:H$3001,H1190,B1191:B$3001,B1190,G1191:G$3001,"")=0,C1190,0),0))</f>
        <v/>
      </c>
    </row>
    <row r="1191">
      <c r="A1191" s="6" t="n"/>
      <c r="B1191" s="9" t="n"/>
      <c r="C1191" s="6" t="n"/>
      <c r="D1191" s="6" t="n"/>
      <c r="E1191" s="6" t="n"/>
      <c r="F1191" s="6" t="n"/>
      <c r="G1191" s="6" t="n"/>
      <c r="H1191" s="10">
        <f>IF(F1191="","",IFERROR(INDEX(Roster!$A$2:$A$600,MATCH(F1191,Roster!$E$2:$E$600,0)),""))</f>
        <v/>
      </c>
      <c r="I1191" s="10">
        <f>IF(AND(D1191="",C1191="",F1191=""),"",IF(G1191&lt;&gt;"","Void",IF(F1191="","Needs child",IF(H1191="","Child not found",IF(OR(B1191="",NOT(ISNUMBER(C1191))),"Needs month/pages","OK")))))</f>
        <v/>
      </c>
      <c r="J1191" s="10">
        <f>IF(I1191="","",IF(I1191="OK",IF(COUNTIFS(H1192:H$3001,H1191,B1192:B$3001,B1191,G1192:G$3001,"")=0,C1191,0),0))</f>
        <v/>
      </c>
    </row>
    <row r="1192">
      <c r="A1192" s="6" t="n"/>
      <c r="B1192" s="9" t="n"/>
      <c r="C1192" s="6" t="n"/>
      <c r="D1192" s="6" t="n"/>
      <c r="E1192" s="6" t="n"/>
      <c r="F1192" s="6" t="n"/>
      <c r="G1192" s="6" t="n"/>
      <c r="H1192" s="10">
        <f>IF(F1192="","",IFERROR(INDEX(Roster!$A$2:$A$600,MATCH(F1192,Roster!$E$2:$E$600,0)),""))</f>
        <v/>
      </c>
      <c r="I1192" s="10">
        <f>IF(AND(D1192="",C1192="",F1192=""),"",IF(G1192&lt;&gt;"","Void",IF(F1192="","Needs child",IF(H1192="","Child not found",IF(OR(B1192="",NOT(ISNUMBER(C1192))),"Needs month/pages","OK")))))</f>
        <v/>
      </c>
      <c r="J1192" s="10">
        <f>IF(I1192="","",IF(I1192="OK",IF(COUNTIFS(H1193:H$3001,H1192,B1193:B$3001,B1192,G1193:G$3001,"")=0,C1192,0),0))</f>
        <v/>
      </c>
    </row>
    <row r="1193">
      <c r="A1193" s="6" t="n"/>
      <c r="B1193" s="9" t="n"/>
      <c r="C1193" s="6" t="n"/>
      <c r="D1193" s="6" t="n"/>
      <c r="E1193" s="6" t="n"/>
      <c r="F1193" s="6" t="n"/>
      <c r="G1193" s="6" t="n"/>
      <c r="H1193" s="10">
        <f>IF(F1193="","",IFERROR(INDEX(Roster!$A$2:$A$600,MATCH(F1193,Roster!$E$2:$E$600,0)),""))</f>
        <v/>
      </c>
      <c r="I1193" s="10">
        <f>IF(AND(D1193="",C1193="",F1193=""),"",IF(G1193&lt;&gt;"","Void",IF(F1193="","Needs child",IF(H1193="","Child not found",IF(OR(B1193="",NOT(ISNUMBER(C1193))),"Needs month/pages","OK")))))</f>
        <v/>
      </c>
      <c r="J1193" s="10">
        <f>IF(I1193="","",IF(I1193="OK",IF(COUNTIFS(H1194:H$3001,H1193,B1194:B$3001,B1193,G1194:G$3001,"")=0,C1193,0),0))</f>
        <v/>
      </c>
    </row>
    <row r="1194">
      <c r="A1194" s="6" t="n"/>
      <c r="B1194" s="9" t="n"/>
      <c r="C1194" s="6" t="n"/>
      <c r="D1194" s="6" t="n"/>
      <c r="E1194" s="6" t="n"/>
      <c r="F1194" s="6" t="n"/>
      <c r="G1194" s="6" t="n"/>
      <c r="H1194" s="10">
        <f>IF(F1194="","",IFERROR(INDEX(Roster!$A$2:$A$600,MATCH(F1194,Roster!$E$2:$E$600,0)),""))</f>
        <v/>
      </c>
      <c r="I1194" s="10">
        <f>IF(AND(D1194="",C1194="",F1194=""),"",IF(G1194&lt;&gt;"","Void",IF(F1194="","Needs child",IF(H1194="","Child not found",IF(OR(B1194="",NOT(ISNUMBER(C1194))),"Needs month/pages","OK")))))</f>
        <v/>
      </c>
      <c r="J1194" s="10">
        <f>IF(I1194="","",IF(I1194="OK",IF(COUNTIFS(H1195:H$3001,H1194,B1195:B$3001,B1194,G1195:G$3001,"")=0,C1194,0),0))</f>
        <v/>
      </c>
    </row>
    <row r="1195">
      <c r="A1195" s="6" t="n"/>
      <c r="B1195" s="9" t="n"/>
      <c r="C1195" s="6" t="n"/>
      <c r="D1195" s="6" t="n"/>
      <c r="E1195" s="6" t="n"/>
      <c r="F1195" s="6" t="n"/>
      <c r="G1195" s="6" t="n"/>
      <c r="H1195" s="10">
        <f>IF(F1195="","",IFERROR(INDEX(Roster!$A$2:$A$600,MATCH(F1195,Roster!$E$2:$E$600,0)),""))</f>
        <v/>
      </c>
      <c r="I1195" s="10">
        <f>IF(AND(D1195="",C1195="",F1195=""),"",IF(G1195&lt;&gt;"","Void",IF(F1195="","Needs child",IF(H1195="","Child not found",IF(OR(B1195="",NOT(ISNUMBER(C1195))),"Needs month/pages","OK")))))</f>
        <v/>
      </c>
      <c r="J1195" s="10">
        <f>IF(I1195="","",IF(I1195="OK",IF(COUNTIFS(H1196:H$3001,H1195,B1196:B$3001,B1195,G1196:G$3001,"")=0,C1195,0),0))</f>
        <v/>
      </c>
    </row>
    <row r="1196">
      <c r="A1196" s="6" t="n"/>
      <c r="B1196" s="9" t="n"/>
      <c r="C1196" s="6" t="n"/>
      <c r="D1196" s="6" t="n"/>
      <c r="E1196" s="6" t="n"/>
      <c r="F1196" s="6" t="n"/>
      <c r="G1196" s="6" t="n"/>
      <c r="H1196" s="10">
        <f>IF(F1196="","",IFERROR(INDEX(Roster!$A$2:$A$600,MATCH(F1196,Roster!$E$2:$E$600,0)),""))</f>
        <v/>
      </c>
      <c r="I1196" s="10">
        <f>IF(AND(D1196="",C1196="",F1196=""),"",IF(G1196&lt;&gt;"","Void",IF(F1196="","Needs child",IF(H1196="","Child not found",IF(OR(B1196="",NOT(ISNUMBER(C1196))),"Needs month/pages","OK")))))</f>
        <v/>
      </c>
      <c r="J1196" s="10">
        <f>IF(I1196="","",IF(I1196="OK",IF(COUNTIFS(H1197:H$3001,H1196,B1197:B$3001,B1196,G1197:G$3001,"")=0,C1196,0),0))</f>
        <v/>
      </c>
    </row>
    <row r="1197">
      <c r="A1197" s="6" t="n"/>
      <c r="B1197" s="9" t="n"/>
      <c r="C1197" s="6" t="n"/>
      <c r="D1197" s="6" t="n"/>
      <c r="E1197" s="6" t="n"/>
      <c r="F1197" s="6" t="n"/>
      <c r="G1197" s="6" t="n"/>
      <c r="H1197" s="10">
        <f>IF(F1197="","",IFERROR(INDEX(Roster!$A$2:$A$600,MATCH(F1197,Roster!$E$2:$E$600,0)),""))</f>
        <v/>
      </c>
      <c r="I1197" s="10">
        <f>IF(AND(D1197="",C1197="",F1197=""),"",IF(G1197&lt;&gt;"","Void",IF(F1197="","Needs child",IF(H1197="","Child not found",IF(OR(B1197="",NOT(ISNUMBER(C1197))),"Needs month/pages","OK")))))</f>
        <v/>
      </c>
      <c r="J1197" s="10">
        <f>IF(I1197="","",IF(I1197="OK",IF(COUNTIFS(H1198:H$3001,H1197,B1198:B$3001,B1197,G1198:G$3001,"")=0,C1197,0),0))</f>
        <v/>
      </c>
    </row>
    <row r="1198">
      <c r="A1198" s="6" t="n"/>
      <c r="B1198" s="9" t="n"/>
      <c r="C1198" s="6" t="n"/>
      <c r="D1198" s="6" t="n"/>
      <c r="E1198" s="6" t="n"/>
      <c r="F1198" s="6" t="n"/>
      <c r="G1198" s="6" t="n"/>
      <c r="H1198" s="10">
        <f>IF(F1198="","",IFERROR(INDEX(Roster!$A$2:$A$600,MATCH(F1198,Roster!$E$2:$E$600,0)),""))</f>
        <v/>
      </c>
      <c r="I1198" s="10">
        <f>IF(AND(D1198="",C1198="",F1198=""),"",IF(G1198&lt;&gt;"","Void",IF(F1198="","Needs child",IF(H1198="","Child not found",IF(OR(B1198="",NOT(ISNUMBER(C1198))),"Needs month/pages","OK")))))</f>
        <v/>
      </c>
      <c r="J1198" s="10">
        <f>IF(I1198="","",IF(I1198="OK",IF(COUNTIFS(H1199:H$3001,H1198,B1199:B$3001,B1198,G1199:G$3001,"")=0,C1198,0),0))</f>
        <v/>
      </c>
    </row>
    <row r="1199">
      <c r="A1199" s="6" t="n"/>
      <c r="B1199" s="9" t="n"/>
      <c r="C1199" s="6" t="n"/>
      <c r="D1199" s="6" t="n"/>
      <c r="E1199" s="6" t="n"/>
      <c r="F1199" s="6" t="n"/>
      <c r="G1199" s="6" t="n"/>
      <c r="H1199" s="10">
        <f>IF(F1199="","",IFERROR(INDEX(Roster!$A$2:$A$600,MATCH(F1199,Roster!$E$2:$E$600,0)),""))</f>
        <v/>
      </c>
      <c r="I1199" s="10">
        <f>IF(AND(D1199="",C1199="",F1199=""),"",IF(G1199&lt;&gt;"","Void",IF(F1199="","Needs child",IF(H1199="","Child not found",IF(OR(B1199="",NOT(ISNUMBER(C1199))),"Needs month/pages","OK")))))</f>
        <v/>
      </c>
      <c r="J1199" s="10">
        <f>IF(I1199="","",IF(I1199="OK",IF(COUNTIFS(H1200:H$3001,H1199,B1200:B$3001,B1199,G1200:G$3001,"")=0,C1199,0),0))</f>
        <v/>
      </c>
    </row>
    <row r="1200">
      <c r="A1200" s="6" t="n"/>
      <c r="B1200" s="9" t="n"/>
      <c r="C1200" s="6" t="n"/>
      <c r="D1200" s="6" t="n"/>
      <c r="E1200" s="6" t="n"/>
      <c r="F1200" s="6" t="n"/>
      <c r="G1200" s="6" t="n"/>
      <c r="H1200" s="10">
        <f>IF(F1200="","",IFERROR(INDEX(Roster!$A$2:$A$600,MATCH(F1200,Roster!$E$2:$E$600,0)),""))</f>
        <v/>
      </c>
      <c r="I1200" s="10">
        <f>IF(AND(D1200="",C1200="",F1200=""),"",IF(G1200&lt;&gt;"","Void",IF(F1200="","Needs child",IF(H1200="","Child not found",IF(OR(B1200="",NOT(ISNUMBER(C1200))),"Needs month/pages","OK")))))</f>
        <v/>
      </c>
      <c r="J1200" s="10">
        <f>IF(I1200="","",IF(I1200="OK",IF(COUNTIFS(H1201:H$3001,H1200,B1201:B$3001,B1200,G1201:G$3001,"")=0,C1200,0),0))</f>
        <v/>
      </c>
    </row>
    <row r="1201">
      <c r="A1201" s="6" t="n"/>
      <c r="B1201" s="9" t="n"/>
      <c r="C1201" s="6" t="n"/>
      <c r="D1201" s="6" t="n"/>
      <c r="E1201" s="6" t="n"/>
      <c r="F1201" s="6" t="n"/>
      <c r="G1201" s="6" t="n"/>
      <c r="H1201" s="10">
        <f>IF(F1201="","",IFERROR(INDEX(Roster!$A$2:$A$600,MATCH(F1201,Roster!$E$2:$E$600,0)),""))</f>
        <v/>
      </c>
      <c r="I1201" s="10">
        <f>IF(AND(D1201="",C1201="",F1201=""),"",IF(G1201&lt;&gt;"","Void",IF(F1201="","Needs child",IF(H1201="","Child not found",IF(OR(B1201="",NOT(ISNUMBER(C1201))),"Needs month/pages","OK")))))</f>
        <v/>
      </c>
      <c r="J1201" s="10">
        <f>IF(I1201="","",IF(I1201="OK",IF(COUNTIFS(H1202:H$3001,H1201,B1202:B$3001,B1201,G1202:G$3001,"")=0,C1201,0),0))</f>
        <v/>
      </c>
    </row>
    <row r="1202">
      <c r="A1202" s="6" t="n"/>
      <c r="B1202" s="9" t="n"/>
      <c r="C1202" s="6" t="n"/>
      <c r="D1202" s="6" t="n"/>
      <c r="E1202" s="6" t="n"/>
      <c r="F1202" s="6" t="n"/>
      <c r="G1202" s="6" t="n"/>
      <c r="H1202" s="10">
        <f>IF(F1202="","",IFERROR(INDEX(Roster!$A$2:$A$600,MATCH(F1202,Roster!$E$2:$E$600,0)),""))</f>
        <v/>
      </c>
      <c r="I1202" s="10">
        <f>IF(AND(D1202="",C1202="",F1202=""),"",IF(G1202&lt;&gt;"","Void",IF(F1202="","Needs child",IF(H1202="","Child not found",IF(OR(B1202="",NOT(ISNUMBER(C1202))),"Needs month/pages","OK")))))</f>
        <v/>
      </c>
      <c r="J1202" s="10">
        <f>IF(I1202="","",IF(I1202="OK",IF(COUNTIFS(H1203:H$3001,H1202,B1203:B$3001,B1202,G1203:G$3001,"")=0,C1202,0),0))</f>
        <v/>
      </c>
    </row>
    <row r="1203">
      <c r="A1203" s="6" t="n"/>
      <c r="B1203" s="9" t="n"/>
      <c r="C1203" s="6" t="n"/>
      <c r="D1203" s="6" t="n"/>
      <c r="E1203" s="6" t="n"/>
      <c r="F1203" s="6" t="n"/>
      <c r="G1203" s="6" t="n"/>
      <c r="H1203" s="10">
        <f>IF(F1203="","",IFERROR(INDEX(Roster!$A$2:$A$600,MATCH(F1203,Roster!$E$2:$E$600,0)),""))</f>
        <v/>
      </c>
      <c r="I1203" s="10">
        <f>IF(AND(D1203="",C1203="",F1203=""),"",IF(G1203&lt;&gt;"","Void",IF(F1203="","Needs child",IF(H1203="","Child not found",IF(OR(B1203="",NOT(ISNUMBER(C1203))),"Needs month/pages","OK")))))</f>
        <v/>
      </c>
      <c r="J1203" s="10">
        <f>IF(I1203="","",IF(I1203="OK",IF(COUNTIFS(H1204:H$3001,H1203,B1204:B$3001,B1203,G1204:G$3001,"")=0,C1203,0),0))</f>
        <v/>
      </c>
    </row>
    <row r="1204">
      <c r="A1204" s="6" t="n"/>
      <c r="B1204" s="9" t="n"/>
      <c r="C1204" s="6" t="n"/>
      <c r="D1204" s="6" t="n"/>
      <c r="E1204" s="6" t="n"/>
      <c r="F1204" s="6" t="n"/>
      <c r="G1204" s="6" t="n"/>
      <c r="H1204" s="10">
        <f>IF(F1204="","",IFERROR(INDEX(Roster!$A$2:$A$600,MATCH(F1204,Roster!$E$2:$E$600,0)),""))</f>
        <v/>
      </c>
      <c r="I1204" s="10">
        <f>IF(AND(D1204="",C1204="",F1204=""),"",IF(G1204&lt;&gt;"","Void",IF(F1204="","Needs child",IF(H1204="","Child not found",IF(OR(B1204="",NOT(ISNUMBER(C1204))),"Needs month/pages","OK")))))</f>
        <v/>
      </c>
      <c r="J1204" s="10">
        <f>IF(I1204="","",IF(I1204="OK",IF(COUNTIFS(H1205:H$3001,H1204,B1205:B$3001,B1204,G1205:G$3001,"")=0,C1204,0),0))</f>
        <v/>
      </c>
    </row>
    <row r="1205">
      <c r="A1205" s="6" t="n"/>
      <c r="B1205" s="9" t="n"/>
      <c r="C1205" s="6" t="n"/>
      <c r="D1205" s="6" t="n"/>
      <c r="E1205" s="6" t="n"/>
      <c r="F1205" s="6" t="n"/>
      <c r="G1205" s="6" t="n"/>
      <c r="H1205" s="10">
        <f>IF(F1205="","",IFERROR(INDEX(Roster!$A$2:$A$600,MATCH(F1205,Roster!$E$2:$E$600,0)),""))</f>
        <v/>
      </c>
      <c r="I1205" s="10">
        <f>IF(AND(D1205="",C1205="",F1205=""),"",IF(G1205&lt;&gt;"","Void",IF(F1205="","Needs child",IF(H1205="","Child not found",IF(OR(B1205="",NOT(ISNUMBER(C1205))),"Needs month/pages","OK")))))</f>
        <v/>
      </c>
      <c r="J1205" s="10">
        <f>IF(I1205="","",IF(I1205="OK",IF(COUNTIFS(H1206:H$3001,H1205,B1206:B$3001,B1205,G1206:G$3001,"")=0,C1205,0),0))</f>
        <v/>
      </c>
    </row>
    <row r="1206">
      <c r="A1206" s="6" t="n"/>
      <c r="B1206" s="9" t="n"/>
      <c r="C1206" s="6" t="n"/>
      <c r="D1206" s="6" t="n"/>
      <c r="E1206" s="6" t="n"/>
      <c r="F1206" s="6" t="n"/>
      <c r="G1206" s="6" t="n"/>
      <c r="H1206" s="10">
        <f>IF(F1206="","",IFERROR(INDEX(Roster!$A$2:$A$600,MATCH(F1206,Roster!$E$2:$E$600,0)),""))</f>
        <v/>
      </c>
      <c r="I1206" s="10">
        <f>IF(AND(D1206="",C1206="",F1206=""),"",IF(G1206&lt;&gt;"","Void",IF(F1206="","Needs child",IF(H1206="","Child not found",IF(OR(B1206="",NOT(ISNUMBER(C1206))),"Needs month/pages","OK")))))</f>
        <v/>
      </c>
      <c r="J1206" s="10">
        <f>IF(I1206="","",IF(I1206="OK",IF(COUNTIFS(H1207:H$3001,H1206,B1207:B$3001,B1206,G1207:G$3001,"")=0,C1206,0),0))</f>
        <v/>
      </c>
    </row>
    <row r="1207">
      <c r="A1207" s="6" t="n"/>
      <c r="B1207" s="9" t="n"/>
      <c r="C1207" s="6" t="n"/>
      <c r="D1207" s="6" t="n"/>
      <c r="E1207" s="6" t="n"/>
      <c r="F1207" s="6" t="n"/>
      <c r="G1207" s="6" t="n"/>
      <c r="H1207" s="10">
        <f>IF(F1207="","",IFERROR(INDEX(Roster!$A$2:$A$600,MATCH(F1207,Roster!$E$2:$E$600,0)),""))</f>
        <v/>
      </c>
      <c r="I1207" s="10">
        <f>IF(AND(D1207="",C1207="",F1207=""),"",IF(G1207&lt;&gt;"","Void",IF(F1207="","Needs child",IF(H1207="","Child not found",IF(OR(B1207="",NOT(ISNUMBER(C1207))),"Needs month/pages","OK")))))</f>
        <v/>
      </c>
      <c r="J1207" s="10">
        <f>IF(I1207="","",IF(I1207="OK",IF(COUNTIFS(H1208:H$3001,H1207,B1208:B$3001,B1207,G1208:G$3001,"")=0,C1207,0),0))</f>
        <v/>
      </c>
    </row>
    <row r="1208">
      <c r="A1208" s="6" t="n"/>
      <c r="B1208" s="9" t="n"/>
      <c r="C1208" s="6" t="n"/>
      <c r="D1208" s="6" t="n"/>
      <c r="E1208" s="6" t="n"/>
      <c r="F1208" s="6" t="n"/>
      <c r="G1208" s="6" t="n"/>
      <c r="H1208" s="10">
        <f>IF(F1208="","",IFERROR(INDEX(Roster!$A$2:$A$600,MATCH(F1208,Roster!$E$2:$E$600,0)),""))</f>
        <v/>
      </c>
      <c r="I1208" s="10">
        <f>IF(AND(D1208="",C1208="",F1208=""),"",IF(G1208&lt;&gt;"","Void",IF(F1208="","Needs child",IF(H1208="","Child not found",IF(OR(B1208="",NOT(ISNUMBER(C1208))),"Needs month/pages","OK")))))</f>
        <v/>
      </c>
      <c r="J1208" s="10">
        <f>IF(I1208="","",IF(I1208="OK",IF(COUNTIFS(H1209:H$3001,H1208,B1209:B$3001,B1208,G1209:G$3001,"")=0,C1208,0),0))</f>
        <v/>
      </c>
    </row>
    <row r="1209">
      <c r="A1209" s="6" t="n"/>
      <c r="B1209" s="9" t="n"/>
      <c r="C1209" s="6" t="n"/>
      <c r="D1209" s="6" t="n"/>
      <c r="E1209" s="6" t="n"/>
      <c r="F1209" s="6" t="n"/>
      <c r="G1209" s="6" t="n"/>
      <c r="H1209" s="10">
        <f>IF(F1209="","",IFERROR(INDEX(Roster!$A$2:$A$600,MATCH(F1209,Roster!$E$2:$E$600,0)),""))</f>
        <v/>
      </c>
      <c r="I1209" s="10">
        <f>IF(AND(D1209="",C1209="",F1209=""),"",IF(G1209&lt;&gt;"","Void",IF(F1209="","Needs child",IF(H1209="","Child not found",IF(OR(B1209="",NOT(ISNUMBER(C1209))),"Needs month/pages","OK")))))</f>
        <v/>
      </c>
      <c r="J1209" s="10">
        <f>IF(I1209="","",IF(I1209="OK",IF(COUNTIFS(H1210:H$3001,H1209,B1210:B$3001,B1209,G1210:G$3001,"")=0,C1209,0),0))</f>
        <v/>
      </c>
    </row>
    <row r="1210">
      <c r="A1210" s="6" t="n"/>
      <c r="B1210" s="9" t="n"/>
      <c r="C1210" s="6" t="n"/>
      <c r="D1210" s="6" t="n"/>
      <c r="E1210" s="6" t="n"/>
      <c r="F1210" s="6" t="n"/>
      <c r="G1210" s="6" t="n"/>
      <c r="H1210" s="10">
        <f>IF(F1210="","",IFERROR(INDEX(Roster!$A$2:$A$600,MATCH(F1210,Roster!$E$2:$E$600,0)),""))</f>
        <v/>
      </c>
      <c r="I1210" s="10">
        <f>IF(AND(D1210="",C1210="",F1210=""),"",IF(G1210&lt;&gt;"","Void",IF(F1210="","Needs child",IF(H1210="","Child not found",IF(OR(B1210="",NOT(ISNUMBER(C1210))),"Needs month/pages","OK")))))</f>
        <v/>
      </c>
      <c r="J1210" s="10">
        <f>IF(I1210="","",IF(I1210="OK",IF(COUNTIFS(H1211:H$3001,H1210,B1211:B$3001,B1210,G1211:G$3001,"")=0,C1210,0),0))</f>
        <v/>
      </c>
    </row>
    <row r="1211">
      <c r="A1211" s="6" t="n"/>
      <c r="B1211" s="9" t="n"/>
      <c r="C1211" s="6" t="n"/>
      <c r="D1211" s="6" t="n"/>
      <c r="E1211" s="6" t="n"/>
      <c r="F1211" s="6" t="n"/>
      <c r="G1211" s="6" t="n"/>
      <c r="H1211" s="10">
        <f>IF(F1211="","",IFERROR(INDEX(Roster!$A$2:$A$600,MATCH(F1211,Roster!$E$2:$E$600,0)),""))</f>
        <v/>
      </c>
      <c r="I1211" s="10">
        <f>IF(AND(D1211="",C1211="",F1211=""),"",IF(G1211&lt;&gt;"","Void",IF(F1211="","Needs child",IF(H1211="","Child not found",IF(OR(B1211="",NOT(ISNUMBER(C1211))),"Needs month/pages","OK")))))</f>
        <v/>
      </c>
      <c r="J1211" s="10">
        <f>IF(I1211="","",IF(I1211="OK",IF(COUNTIFS(H1212:H$3001,H1211,B1212:B$3001,B1211,G1212:G$3001,"")=0,C1211,0),0))</f>
        <v/>
      </c>
    </row>
    <row r="1212">
      <c r="A1212" s="6" t="n"/>
      <c r="B1212" s="9" t="n"/>
      <c r="C1212" s="6" t="n"/>
      <c r="D1212" s="6" t="n"/>
      <c r="E1212" s="6" t="n"/>
      <c r="F1212" s="6" t="n"/>
      <c r="G1212" s="6" t="n"/>
      <c r="H1212" s="10">
        <f>IF(F1212="","",IFERROR(INDEX(Roster!$A$2:$A$600,MATCH(F1212,Roster!$E$2:$E$600,0)),""))</f>
        <v/>
      </c>
      <c r="I1212" s="10">
        <f>IF(AND(D1212="",C1212="",F1212=""),"",IF(G1212&lt;&gt;"","Void",IF(F1212="","Needs child",IF(H1212="","Child not found",IF(OR(B1212="",NOT(ISNUMBER(C1212))),"Needs month/pages","OK")))))</f>
        <v/>
      </c>
      <c r="J1212" s="10">
        <f>IF(I1212="","",IF(I1212="OK",IF(COUNTIFS(H1213:H$3001,H1212,B1213:B$3001,B1212,G1213:G$3001,"")=0,C1212,0),0))</f>
        <v/>
      </c>
    </row>
    <row r="1213">
      <c r="A1213" s="6" t="n"/>
      <c r="B1213" s="9" t="n"/>
      <c r="C1213" s="6" t="n"/>
      <c r="D1213" s="6" t="n"/>
      <c r="E1213" s="6" t="n"/>
      <c r="F1213" s="6" t="n"/>
      <c r="G1213" s="6" t="n"/>
      <c r="H1213" s="10">
        <f>IF(F1213="","",IFERROR(INDEX(Roster!$A$2:$A$600,MATCH(F1213,Roster!$E$2:$E$600,0)),""))</f>
        <v/>
      </c>
      <c r="I1213" s="10">
        <f>IF(AND(D1213="",C1213="",F1213=""),"",IF(G1213&lt;&gt;"","Void",IF(F1213="","Needs child",IF(H1213="","Child not found",IF(OR(B1213="",NOT(ISNUMBER(C1213))),"Needs month/pages","OK")))))</f>
        <v/>
      </c>
      <c r="J1213" s="10">
        <f>IF(I1213="","",IF(I1213="OK",IF(COUNTIFS(H1214:H$3001,H1213,B1214:B$3001,B1213,G1214:G$3001,"")=0,C1213,0),0))</f>
        <v/>
      </c>
    </row>
    <row r="1214">
      <c r="A1214" s="6" t="n"/>
      <c r="B1214" s="9" t="n"/>
      <c r="C1214" s="6" t="n"/>
      <c r="D1214" s="6" t="n"/>
      <c r="E1214" s="6" t="n"/>
      <c r="F1214" s="6" t="n"/>
      <c r="G1214" s="6" t="n"/>
      <c r="H1214" s="10">
        <f>IF(F1214="","",IFERROR(INDEX(Roster!$A$2:$A$600,MATCH(F1214,Roster!$E$2:$E$600,0)),""))</f>
        <v/>
      </c>
      <c r="I1214" s="10">
        <f>IF(AND(D1214="",C1214="",F1214=""),"",IF(G1214&lt;&gt;"","Void",IF(F1214="","Needs child",IF(H1214="","Child not found",IF(OR(B1214="",NOT(ISNUMBER(C1214))),"Needs month/pages","OK")))))</f>
        <v/>
      </c>
      <c r="J1214" s="10">
        <f>IF(I1214="","",IF(I1214="OK",IF(COUNTIFS(H1215:H$3001,H1214,B1215:B$3001,B1214,G1215:G$3001,"")=0,C1214,0),0))</f>
        <v/>
      </c>
    </row>
    <row r="1215">
      <c r="A1215" s="6" t="n"/>
      <c r="B1215" s="9" t="n"/>
      <c r="C1215" s="6" t="n"/>
      <c r="D1215" s="6" t="n"/>
      <c r="E1215" s="6" t="n"/>
      <c r="F1215" s="6" t="n"/>
      <c r="G1215" s="6" t="n"/>
      <c r="H1215" s="10">
        <f>IF(F1215="","",IFERROR(INDEX(Roster!$A$2:$A$600,MATCH(F1215,Roster!$E$2:$E$600,0)),""))</f>
        <v/>
      </c>
      <c r="I1215" s="10">
        <f>IF(AND(D1215="",C1215="",F1215=""),"",IF(G1215&lt;&gt;"","Void",IF(F1215="","Needs child",IF(H1215="","Child not found",IF(OR(B1215="",NOT(ISNUMBER(C1215))),"Needs month/pages","OK")))))</f>
        <v/>
      </c>
      <c r="J1215" s="10">
        <f>IF(I1215="","",IF(I1215="OK",IF(COUNTIFS(H1216:H$3001,H1215,B1216:B$3001,B1215,G1216:G$3001,"")=0,C1215,0),0))</f>
        <v/>
      </c>
    </row>
    <row r="1216">
      <c r="A1216" s="6" t="n"/>
      <c r="B1216" s="9" t="n"/>
      <c r="C1216" s="6" t="n"/>
      <c r="D1216" s="6" t="n"/>
      <c r="E1216" s="6" t="n"/>
      <c r="F1216" s="6" t="n"/>
      <c r="G1216" s="6" t="n"/>
      <c r="H1216" s="10">
        <f>IF(F1216="","",IFERROR(INDEX(Roster!$A$2:$A$600,MATCH(F1216,Roster!$E$2:$E$600,0)),""))</f>
        <v/>
      </c>
      <c r="I1216" s="10">
        <f>IF(AND(D1216="",C1216="",F1216=""),"",IF(G1216&lt;&gt;"","Void",IF(F1216="","Needs child",IF(H1216="","Child not found",IF(OR(B1216="",NOT(ISNUMBER(C1216))),"Needs month/pages","OK")))))</f>
        <v/>
      </c>
      <c r="J1216" s="10">
        <f>IF(I1216="","",IF(I1216="OK",IF(COUNTIFS(H1217:H$3001,H1216,B1217:B$3001,B1216,G1217:G$3001,"")=0,C1216,0),0))</f>
        <v/>
      </c>
    </row>
    <row r="1217">
      <c r="A1217" s="6" t="n"/>
      <c r="B1217" s="9" t="n"/>
      <c r="C1217" s="6" t="n"/>
      <c r="D1217" s="6" t="n"/>
      <c r="E1217" s="6" t="n"/>
      <c r="F1217" s="6" t="n"/>
      <c r="G1217" s="6" t="n"/>
      <c r="H1217" s="10">
        <f>IF(F1217="","",IFERROR(INDEX(Roster!$A$2:$A$600,MATCH(F1217,Roster!$E$2:$E$600,0)),""))</f>
        <v/>
      </c>
      <c r="I1217" s="10">
        <f>IF(AND(D1217="",C1217="",F1217=""),"",IF(G1217&lt;&gt;"","Void",IF(F1217="","Needs child",IF(H1217="","Child not found",IF(OR(B1217="",NOT(ISNUMBER(C1217))),"Needs month/pages","OK")))))</f>
        <v/>
      </c>
      <c r="J1217" s="10">
        <f>IF(I1217="","",IF(I1217="OK",IF(COUNTIFS(H1218:H$3001,H1217,B1218:B$3001,B1217,G1218:G$3001,"")=0,C1217,0),0))</f>
        <v/>
      </c>
    </row>
    <row r="1218">
      <c r="A1218" s="6" t="n"/>
      <c r="B1218" s="9" t="n"/>
      <c r="C1218" s="6" t="n"/>
      <c r="D1218" s="6" t="n"/>
      <c r="E1218" s="6" t="n"/>
      <c r="F1218" s="6" t="n"/>
      <c r="G1218" s="6" t="n"/>
      <c r="H1218" s="10">
        <f>IF(F1218="","",IFERROR(INDEX(Roster!$A$2:$A$600,MATCH(F1218,Roster!$E$2:$E$600,0)),""))</f>
        <v/>
      </c>
      <c r="I1218" s="10">
        <f>IF(AND(D1218="",C1218="",F1218=""),"",IF(G1218&lt;&gt;"","Void",IF(F1218="","Needs child",IF(H1218="","Child not found",IF(OR(B1218="",NOT(ISNUMBER(C1218))),"Needs month/pages","OK")))))</f>
        <v/>
      </c>
      <c r="J1218" s="10">
        <f>IF(I1218="","",IF(I1218="OK",IF(COUNTIFS(H1219:H$3001,H1218,B1219:B$3001,B1218,G1219:G$3001,"")=0,C1218,0),0))</f>
        <v/>
      </c>
    </row>
    <row r="1219">
      <c r="A1219" s="6" t="n"/>
      <c r="B1219" s="9" t="n"/>
      <c r="C1219" s="6" t="n"/>
      <c r="D1219" s="6" t="n"/>
      <c r="E1219" s="6" t="n"/>
      <c r="F1219" s="6" t="n"/>
      <c r="G1219" s="6" t="n"/>
      <c r="H1219" s="10">
        <f>IF(F1219="","",IFERROR(INDEX(Roster!$A$2:$A$600,MATCH(F1219,Roster!$E$2:$E$600,0)),""))</f>
        <v/>
      </c>
      <c r="I1219" s="10">
        <f>IF(AND(D1219="",C1219="",F1219=""),"",IF(G1219&lt;&gt;"","Void",IF(F1219="","Needs child",IF(H1219="","Child not found",IF(OR(B1219="",NOT(ISNUMBER(C1219))),"Needs month/pages","OK")))))</f>
        <v/>
      </c>
      <c r="J1219" s="10">
        <f>IF(I1219="","",IF(I1219="OK",IF(COUNTIFS(H1220:H$3001,H1219,B1220:B$3001,B1219,G1220:G$3001,"")=0,C1219,0),0))</f>
        <v/>
      </c>
    </row>
    <row r="1220">
      <c r="A1220" s="6" t="n"/>
      <c r="B1220" s="9" t="n"/>
      <c r="C1220" s="6" t="n"/>
      <c r="D1220" s="6" t="n"/>
      <c r="E1220" s="6" t="n"/>
      <c r="F1220" s="6" t="n"/>
      <c r="G1220" s="6" t="n"/>
      <c r="H1220" s="10">
        <f>IF(F1220="","",IFERROR(INDEX(Roster!$A$2:$A$600,MATCH(F1220,Roster!$E$2:$E$600,0)),""))</f>
        <v/>
      </c>
      <c r="I1220" s="10">
        <f>IF(AND(D1220="",C1220="",F1220=""),"",IF(G1220&lt;&gt;"","Void",IF(F1220="","Needs child",IF(H1220="","Child not found",IF(OR(B1220="",NOT(ISNUMBER(C1220))),"Needs month/pages","OK")))))</f>
        <v/>
      </c>
      <c r="J1220" s="10">
        <f>IF(I1220="","",IF(I1220="OK",IF(COUNTIFS(H1221:H$3001,H1220,B1221:B$3001,B1220,G1221:G$3001,"")=0,C1220,0),0))</f>
        <v/>
      </c>
    </row>
    <row r="1221">
      <c r="A1221" s="6" t="n"/>
      <c r="B1221" s="9" t="n"/>
      <c r="C1221" s="6" t="n"/>
      <c r="D1221" s="6" t="n"/>
      <c r="E1221" s="6" t="n"/>
      <c r="F1221" s="6" t="n"/>
      <c r="G1221" s="6" t="n"/>
      <c r="H1221" s="10">
        <f>IF(F1221="","",IFERROR(INDEX(Roster!$A$2:$A$600,MATCH(F1221,Roster!$E$2:$E$600,0)),""))</f>
        <v/>
      </c>
      <c r="I1221" s="10">
        <f>IF(AND(D1221="",C1221="",F1221=""),"",IF(G1221&lt;&gt;"","Void",IF(F1221="","Needs child",IF(H1221="","Child not found",IF(OR(B1221="",NOT(ISNUMBER(C1221))),"Needs month/pages","OK")))))</f>
        <v/>
      </c>
      <c r="J1221" s="10">
        <f>IF(I1221="","",IF(I1221="OK",IF(COUNTIFS(H1222:H$3001,H1221,B1222:B$3001,B1221,G1222:G$3001,"")=0,C1221,0),0))</f>
        <v/>
      </c>
    </row>
    <row r="1222">
      <c r="A1222" s="6" t="n"/>
      <c r="B1222" s="9" t="n"/>
      <c r="C1222" s="6" t="n"/>
      <c r="D1222" s="6" t="n"/>
      <c r="E1222" s="6" t="n"/>
      <c r="F1222" s="6" t="n"/>
      <c r="G1222" s="6" t="n"/>
      <c r="H1222" s="10">
        <f>IF(F1222="","",IFERROR(INDEX(Roster!$A$2:$A$600,MATCH(F1222,Roster!$E$2:$E$600,0)),""))</f>
        <v/>
      </c>
      <c r="I1222" s="10">
        <f>IF(AND(D1222="",C1222="",F1222=""),"",IF(G1222&lt;&gt;"","Void",IF(F1222="","Needs child",IF(H1222="","Child not found",IF(OR(B1222="",NOT(ISNUMBER(C1222))),"Needs month/pages","OK")))))</f>
        <v/>
      </c>
      <c r="J1222" s="10">
        <f>IF(I1222="","",IF(I1222="OK",IF(COUNTIFS(H1223:H$3001,H1222,B1223:B$3001,B1222,G1223:G$3001,"")=0,C1222,0),0))</f>
        <v/>
      </c>
    </row>
    <row r="1223">
      <c r="A1223" s="6" t="n"/>
      <c r="B1223" s="9" t="n"/>
      <c r="C1223" s="6" t="n"/>
      <c r="D1223" s="6" t="n"/>
      <c r="E1223" s="6" t="n"/>
      <c r="F1223" s="6" t="n"/>
      <c r="G1223" s="6" t="n"/>
      <c r="H1223" s="10">
        <f>IF(F1223="","",IFERROR(INDEX(Roster!$A$2:$A$600,MATCH(F1223,Roster!$E$2:$E$600,0)),""))</f>
        <v/>
      </c>
      <c r="I1223" s="10">
        <f>IF(AND(D1223="",C1223="",F1223=""),"",IF(G1223&lt;&gt;"","Void",IF(F1223="","Needs child",IF(H1223="","Child not found",IF(OR(B1223="",NOT(ISNUMBER(C1223))),"Needs month/pages","OK")))))</f>
        <v/>
      </c>
      <c r="J1223" s="10">
        <f>IF(I1223="","",IF(I1223="OK",IF(COUNTIFS(H1224:H$3001,H1223,B1224:B$3001,B1223,G1224:G$3001,"")=0,C1223,0),0))</f>
        <v/>
      </c>
    </row>
    <row r="1224">
      <c r="A1224" s="6" t="n"/>
      <c r="B1224" s="9" t="n"/>
      <c r="C1224" s="6" t="n"/>
      <c r="D1224" s="6" t="n"/>
      <c r="E1224" s="6" t="n"/>
      <c r="F1224" s="6" t="n"/>
      <c r="G1224" s="6" t="n"/>
      <c r="H1224" s="10">
        <f>IF(F1224="","",IFERROR(INDEX(Roster!$A$2:$A$600,MATCH(F1224,Roster!$E$2:$E$600,0)),""))</f>
        <v/>
      </c>
      <c r="I1224" s="10">
        <f>IF(AND(D1224="",C1224="",F1224=""),"",IF(G1224&lt;&gt;"","Void",IF(F1224="","Needs child",IF(H1224="","Child not found",IF(OR(B1224="",NOT(ISNUMBER(C1224))),"Needs month/pages","OK")))))</f>
        <v/>
      </c>
      <c r="J1224" s="10">
        <f>IF(I1224="","",IF(I1224="OK",IF(COUNTIFS(H1225:H$3001,H1224,B1225:B$3001,B1224,G1225:G$3001,"")=0,C1224,0),0))</f>
        <v/>
      </c>
    </row>
    <row r="1225">
      <c r="A1225" s="6" t="n"/>
      <c r="B1225" s="9" t="n"/>
      <c r="C1225" s="6" t="n"/>
      <c r="D1225" s="6" t="n"/>
      <c r="E1225" s="6" t="n"/>
      <c r="F1225" s="6" t="n"/>
      <c r="G1225" s="6" t="n"/>
      <c r="H1225" s="10">
        <f>IF(F1225="","",IFERROR(INDEX(Roster!$A$2:$A$600,MATCH(F1225,Roster!$E$2:$E$600,0)),""))</f>
        <v/>
      </c>
      <c r="I1225" s="10">
        <f>IF(AND(D1225="",C1225="",F1225=""),"",IF(G1225&lt;&gt;"","Void",IF(F1225="","Needs child",IF(H1225="","Child not found",IF(OR(B1225="",NOT(ISNUMBER(C1225))),"Needs month/pages","OK")))))</f>
        <v/>
      </c>
      <c r="J1225" s="10">
        <f>IF(I1225="","",IF(I1225="OK",IF(COUNTIFS(H1226:H$3001,H1225,B1226:B$3001,B1225,G1226:G$3001,"")=0,C1225,0),0))</f>
        <v/>
      </c>
    </row>
    <row r="1226">
      <c r="A1226" s="6" t="n"/>
      <c r="B1226" s="9" t="n"/>
      <c r="C1226" s="6" t="n"/>
      <c r="D1226" s="6" t="n"/>
      <c r="E1226" s="6" t="n"/>
      <c r="F1226" s="6" t="n"/>
      <c r="G1226" s="6" t="n"/>
      <c r="H1226" s="10">
        <f>IF(F1226="","",IFERROR(INDEX(Roster!$A$2:$A$600,MATCH(F1226,Roster!$E$2:$E$600,0)),""))</f>
        <v/>
      </c>
      <c r="I1226" s="10">
        <f>IF(AND(D1226="",C1226="",F1226=""),"",IF(G1226&lt;&gt;"","Void",IF(F1226="","Needs child",IF(H1226="","Child not found",IF(OR(B1226="",NOT(ISNUMBER(C1226))),"Needs month/pages","OK")))))</f>
        <v/>
      </c>
      <c r="J1226" s="10">
        <f>IF(I1226="","",IF(I1226="OK",IF(COUNTIFS(H1227:H$3001,H1226,B1227:B$3001,B1226,G1227:G$3001,"")=0,C1226,0),0))</f>
        <v/>
      </c>
    </row>
    <row r="1227">
      <c r="A1227" s="6" t="n"/>
      <c r="B1227" s="9" t="n"/>
      <c r="C1227" s="6" t="n"/>
      <c r="D1227" s="6" t="n"/>
      <c r="E1227" s="6" t="n"/>
      <c r="F1227" s="6" t="n"/>
      <c r="G1227" s="6" t="n"/>
      <c r="H1227" s="10">
        <f>IF(F1227="","",IFERROR(INDEX(Roster!$A$2:$A$600,MATCH(F1227,Roster!$E$2:$E$600,0)),""))</f>
        <v/>
      </c>
      <c r="I1227" s="10">
        <f>IF(AND(D1227="",C1227="",F1227=""),"",IF(G1227&lt;&gt;"","Void",IF(F1227="","Needs child",IF(H1227="","Child not found",IF(OR(B1227="",NOT(ISNUMBER(C1227))),"Needs month/pages","OK")))))</f>
        <v/>
      </c>
      <c r="J1227" s="10">
        <f>IF(I1227="","",IF(I1227="OK",IF(COUNTIFS(H1228:H$3001,H1227,B1228:B$3001,B1227,G1228:G$3001,"")=0,C1227,0),0))</f>
        <v/>
      </c>
    </row>
    <row r="1228">
      <c r="A1228" s="6" t="n"/>
      <c r="B1228" s="9" t="n"/>
      <c r="C1228" s="6" t="n"/>
      <c r="D1228" s="6" t="n"/>
      <c r="E1228" s="6" t="n"/>
      <c r="F1228" s="6" t="n"/>
      <c r="G1228" s="6" t="n"/>
      <c r="H1228" s="10">
        <f>IF(F1228="","",IFERROR(INDEX(Roster!$A$2:$A$600,MATCH(F1228,Roster!$E$2:$E$600,0)),""))</f>
        <v/>
      </c>
      <c r="I1228" s="10">
        <f>IF(AND(D1228="",C1228="",F1228=""),"",IF(G1228&lt;&gt;"","Void",IF(F1228="","Needs child",IF(H1228="","Child not found",IF(OR(B1228="",NOT(ISNUMBER(C1228))),"Needs month/pages","OK")))))</f>
        <v/>
      </c>
      <c r="J1228" s="10">
        <f>IF(I1228="","",IF(I1228="OK",IF(COUNTIFS(H1229:H$3001,H1228,B1229:B$3001,B1228,G1229:G$3001,"")=0,C1228,0),0))</f>
        <v/>
      </c>
    </row>
    <row r="1229">
      <c r="A1229" s="6" t="n"/>
      <c r="B1229" s="9" t="n"/>
      <c r="C1229" s="6" t="n"/>
      <c r="D1229" s="6" t="n"/>
      <c r="E1229" s="6" t="n"/>
      <c r="F1229" s="6" t="n"/>
      <c r="G1229" s="6" t="n"/>
      <c r="H1229" s="10">
        <f>IF(F1229="","",IFERROR(INDEX(Roster!$A$2:$A$600,MATCH(F1229,Roster!$E$2:$E$600,0)),""))</f>
        <v/>
      </c>
      <c r="I1229" s="10">
        <f>IF(AND(D1229="",C1229="",F1229=""),"",IF(G1229&lt;&gt;"","Void",IF(F1229="","Needs child",IF(H1229="","Child not found",IF(OR(B1229="",NOT(ISNUMBER(C1229))),"Needs month/pages","OK")))))</f>
        <v/>
      </c>
      <c r="J1229" s="10">
        <f>IF(I1229="","",IF(I1229="OK",IF(COUNTIFS(H1230:H$3001,H1229,B1230:B$3001,B1229,G1230:G$3001,"")=0,C1229,0),0))</f>
        <v/>
      </c>
    </row>
    <row r="1230">
      <c r="A1230" s="6" t="n"/>
      <c r="B1230" s="9" t="n"/>
      <c r="C1230" s="6" t="n"/>
      <c r="D1230" s="6" t="n"/>
      <c r="E1230" s="6" t="n"/>
      <c r="F1230" s="6" t="n"/>
      <c r="G1230" s="6" t="n"/>
      <c r="H1230" s="10">
        <f>IF(F1230="","",IFERROR(INDEX(Roster!$A$2:$A$600,MATCH(F1230,Roster!$E$2:$E$600,0)),""))</f>
        <v/>
      </c>
      <c r="I1230" s="10">
        <f>IF(AND(D1230="",C1230="",F1230=""),"",IF(G1230&lt;&gt;"","Void",IF(F1230="","Needs child",IF(H1230="","Child not found",IF(OR(B1230="",NOT(ISNUMBER(C1230))),"Needs month/pages","OK")))))</f>
        <v/>
      </c>
      <c r="J1230" s="10">
        <f>IF(I1230="","",IF(I1230="OK",IF(COUNTIFS(H1231:H$3001,H1230,B1231:B$3001,B1230,G1231:G$3001,"")=0,C1230,0),0))</f>
        <v/>
      </c>
    </row>
    <row r="1231">
      <c r="A1231" s="6" t="n"/>
      <c r="B1231" s="9" t="n"/>
      <c r="C1231" s="6" t="n"/>
      <c r="D1231" s="6" t="n"/>
      <c r="E1231" s="6" t="n"/>
      <c r="F1231" s="6" t="n"/>
      <c r="G1231" s="6" t="n"/>
      <c r="H1231" s="10">
        <f>IF(F1231="","",IFERROR(INDEX(Roster!$A$2:$A$600,MATCH(F1231,Roster!$E$2:$E$600,0)),""))</f>
        <v/>
      </c>
      <c r="I1231" s="10">
        <f>IF(AND(D1231="",C1231="",F1231=""),"",IF(G1231&lt;&gt;"","Void",IF(F1231="","Needs child",IF(H1231="","Child not found",IF(OR(B1231="",NOT(ISNUMBER(C1231))),"Needs month/pages","OK")))))</f>
        <v/>
      </c>
      <c r="J1231" s="10">
        <f>IF(I1231="","",IF(I1231="OK",IF(COUNTIFS(H1232:H$3001,H1231,B1232:B$3001,B1231,G1232:G$3001,"")=0,C1231,0),0))</f>
        <v/>
      </c>
    </row>
    <row r="1232">
      <c r="A1232" s="6" t="n"/>
      <c r="B1232" s="9" t="n"/>
      <c r="C1232" s="6" t="n"/>
      <c r="D1232" s="6" t="n"/>
      <c r="E1232" s="6" t="n"/>
      <c r="F1232" s="6" t="n"/>
      <c r="G1232" s="6" t="n"/>
      <c r="H1232" s="10">
        <f>IF(F1232="","",IFERROR(INDEX(Roster!$A$2:$A$600,MATCH(F1232,Roster!$E$2:$E$600,0)),""))</f>
        <v/>
      </c>
      <c r="I1232" s="10">
        <f>IF(AND(D1232="",C1232="",F1232=""),"",IF(G1232&lt;&gt;"","Void",IF(F1232="","Needs child",IF(H1232="","Child not found",IF(OR(B1232="",NOT(ISNUMBER(C1232))),"Needs month/pages","OK")))))</f>
        <v/>
      </c>
      <c r="J1232" s="10">
        <f>IF(I1232="","",IF(I1232="OK",IF(COUNTIFS(H1233:H$3001,H1232,B1233:B$3001,B1232,G1233:G$3001,"")=0,C1232,0),0))</f>
        <v/>
      </c>
    </row>
    <row r="1233">
      <c r="A1233" s="6" t="n"/>
      <c r="B1233" s="9" t="n"/>
      <c r="C1233" s="6" t="n"/>
      <c r="D1233" s="6" t="n"/>
      <c r="E1233" s="6" t="n"/>
      <c r="F1233" s="6" t="n"/>
      <c r="G1233" s="6" t="n"/>
      <c r="H1233" s="10">
        <f>IF(F1233="","",IFERROR(INDEX(Roster!$A$2:$A$600,MATCH(F1233,Roster!$E$2:$E$600,0)),""))</f>
        <v/>
      </c>
      <c r="I1233" s="10">
        <f>IF(AND(D1233="",C1233="",F1233=""),"",IF(G1233&lt;&gt;"","Void",IF(F1233="","Needs child",IF(H1233="","Child not found",IF(OR(B1233="",NOT(ISNUMBER(C1233))),"Needs month/pages","OK")))))</f>
        <v/>
      </c>
      <c r="J1233" s="10">
        <f>IF(I1233="","",IF(I1233="OK",IF(COUNTIFS(H1234:H$3001,H1233,B1234:B$3001,B1233,G1234:G$3001,"")=0,C1233,0),0))</f>
        <v/>
      </c>
    </row>
    <row r="1234">
      <c r="A1234" s="6" t="n"/>
      <c r="B1234" s="9" t="n"/>
      <c r="C1234" s="6" t="n"/>
      <c r="D1234" s="6" t="n"/>
      <c r="E1234" s="6" t="n"/>
      <c r="F1234" s="6" t="n"/>
      <c r="G1234" s="6" t="n"/>
      <c r="H1234" s="10">
        <f>IF(F1234="","",IFERROR(INDEX(Roster!$A$2:$A$600,MATCH(F1234,Roster!$E$2:$E$600,0)),""))</f>
        <v/>
      </c>
      <c r="I1234" s="10">
        <f>IF(AND(D1234="",C1234="",F1234=""),"",IF(G1234&lt;&gt;"","Void",IF(F1234="","Needs child",IF(H1234="","Child not found",IF(OR(B1234="",NOT(ISNUMBER(C1234))),"Needs month/pages","OK")))))</f>
        <v/>
      </c>
      <c r="J1234" s="10">
        <f>IF(I1234="","",IF(I1234="OK",IF(COUNTIFS(H1235:H$3001,H1234,B1235:B$3001,B1234,G1235:G$3001,"")=0,C1234,0),0))</f>
        <v/>
      </c>
    </row>
    <row r="1235">
      <c r="A1235" s="6" t="n"/>
      <c r="B1235" s="9" t="n"/>
      <c r="C1235" s="6" t="n"/>
      <c r="D1235" s="6" t="n"/>
      <c r="E1235" s="6" t="n"/>
      <c r="F1235" s="6" t="n"/>
      <c r="G1235" s="6" t="n"/>
      <c r="H1235" s="10">
        <f>IF(F1235="","",IFERROR(INDEX(Roster!$A$2:$A$600,MATCH(F1235,Roster!$E$2:$E$600,0)),""))</f>
        <v/>
      </c>
      <c r="I1235" s="10">
        <f>IF(AND(D1235="",C1235="",F1235=""),"",IF(G1235&lt;&gt;"","Void",IF(F1235="","Needs child",IF(H1235="","Child not found",IF(OR(B1235="",NOT(ISNUMBER(C1235))),"Needs month/pages","OK")))))</f>
        <v/>
      </c>
      <c r="J1235" s="10">
        <f>IF(I1235="","",IF(I1235="OK",IF(COUNTIFS(H1236:H$3001,H1235,B1236:B$3001,B1235,G1236:G$3001,"")=0,C1235,0),0))</f>
        <v/>
      </c>
    </row>
    <row r="1236">
      <c r="A1236" s="6" t="n"/>
      <c r="B1236" s="9" t="n"/>
      <c r="C1236" s="6" t="n"/>
      <c r="D1236" s="6" t="n"/>
      <c r="E1236" s="6" t="n"/>
      <c r="F1236" s="6" t="n"/>
      <c r="G1236" s="6" t="n"/>
      <c r="H1236" s="10">
        <f>IF(F1236="","",IFERROR(INDEX(Roster!$A$2:$A$600,MATCH(F1236,Roster!$E$2:$E$600,0)),""))</f>
        <v/>
      </c>
      <c r="I1236" s="10">
        <f>IF(AND(D1236="",C1236="",F1236=""),"",IF(G1236&lt;&gt;"","Void",IF(F1236="","Needs child",IF(H1236="","Child not found",IF(OR(B1236="",NOT(ISNUMBER(C1236))),"Needs month/pages","OK")))))</f>
        <v/>
      </c>
      <c r="J1236" s="10">
        <f>IF(I1236="","",IF(I1236="OK",IF(COUNTIFS(H1237:H$3001,H1236,B1237:B$3001,B1236,G1237:G$3001,"")=0,C1236,0),0))</f>
        <v/>
      </c>
    </row>
    <row r="1237">
      <c r="A1237" s="6" t="n"/>
      <c r="B1237" s="9" t="n"/>
      <c r="C1237" s="6" t="n"/>
      <c r="D1237" s="6" t="n"/>
      <c r="E1237" s="6" t="n"/>
      <c r="F1237" s="6" t="n"/>
      <c r="G1237" s="6" t="n"/>
      <c r="H1237" s="10">
        <f>IF(F1237="","",IFERROR(INDEX(Roster!$A$2:$A$600,MATCH(F1237,Roster!$E$2:$E$600,0)),""))</f>
        <v/>
      </c>
      <c r="I1237" s="10">
        <f>IF(AND(D1237="",C1237="",F1237=""),"",IF(G1237&lt;&gt;"","Void",IF(F1237="","Needs child",IF(H1237="","Child not found",IF(OR(B1237="",NOT(ISNUMBER(C1237))),"Needs month/pages","OK")))))</f>
        <v/>
      </c>
      <c r="J1237" s="10">
        <f>IF(I1237="","",IF(I1237="OK",IF(COUNTIFS(H1238:H$3001,H1237,B1238:B$3001,B1237,G1238:G$3001,"")=0,C1237,0),0))</f>
        <v/>
      </c>
    </row>
    <row r="1238">
      <c r="A1238" s="6" t="n"/>
      <c r="B1238" s="9" t="n"/>
      <c r="C1238" s="6" t="n"/>
      <c r="D1238" s="6" t="n"/>
      <c r="E1238" s="6" t="n"/>
      <c r="F1238" s="6" t="n"/>
      <c r="G1238" s="6" t="n"/>
      <c r="H1238" s="10">
        <f>IF(F1238="","",IFERROR(INDEX(Roster!$A$2:$A$600,MATCH(F1238,Roster!$E$2:$E$600,0)),""))</f>
        <v/>
      </c>
      <c r="I1238" s="10">
        <f>IF(AND(D1238="",C1238="",F1238=""),"",IF(G1238&lt;&gt;"","Void",IF(F1238="","Needs child",IF(H1238="","Child not found",IF(OR(B1238="",NOT(ISNUMBER(C1238))),"Needs month/pages","OK")))))</f>
        <v/>
      </c>
      <c r="J1238" s="10">
        <f>IF(I1238="","",IF(I1238="OK",IF(COUNTIFS(H1239:H$3001,H1238,B1239:B$3001,B1238,G1239:G$3001,"")=0,C1238,0),0))</f>
        <v/>
      </c>
    </row>
    <row r="1239">
      <c r="A1239" s="6" t="n"/>
      <c r="B1239" s="9" t="n"/>
      <c r="C1239" s="6" t="n"/>
      <c r="D1239" s="6" t="n"/>
      <c r="E1239" s="6" t="n"/>
      <c r="F1239" s="6" t="n"/>
      <c r="G1239" s="6" t="n"/>
      <c r="H1239" s="10">
        <f>IF(F1239="","",IFERROR(INDEX(Roster!$A$2:$A$600,MATCH(F1239,Roster!$E$2:$E$600,0)),""))</f>
        <v/>
      </c>
      <c r="I1239" s="10">
        <f>IF(AND(D1239="",C1239="",F1239=""),"",IF(G1239&lt;&gt;"","Void",IF(F1239="","Needs child",IF(H1239="","Child not found",IF(OR(B1239="",NOT(ISNUMBER(C1239))),"Needs month/pages","OK")))))</f>
        <v/>
      </c>
      <c r="J1239" s="10">
        <f>IF(I1239="","",IF(I1239="OK",IF(COUNTIFS(H1240:H$3001,H1239,B1240:B$3001,B1239,G1240:G$3001,"")=0,C1239,0),0))</f>
        <v/>
      </c>
    </row>
    <row r="1240">
      <c r="A1240" s="6" t="n"/>
      <c r="B1240" s="9" t="n"/>
      <c r="C1240" s="6" t="n"/>
      <c r="D1240" s="6" t="n"/>
      <c r="E1240" s="6" t="n"/>
      <c r="F1240" s="6" t="n"/>
      <c r="G1240" s="6" t="n"/>
      <c r="H1240" s="10">
        <f>IF(F1240="","",IFERROR(INDEX(Roster!$A$2:$A$600,MATCH(F1240,Roster!$E$2:$E$600,0)),""))</f>
        <v/>
      </c>
      <c r="I1240" s="10">
        <f>IF(AND(D1240="",C1240="",F1240=""),"",IF(G1240&lt;&gt;"","Void",IF(F1240="","Needs child",IF(H1240="","Child not found",IF(OR(B1240="",NOT(ISNUMBER(C1240))),"Needs month/pages","OK")))))</f>
        <v/>
      </c>
      <c r="J1240" s="10">
        <f>IF(I1240="","",IF(I1240="OK",IF(COUNTIFS(H1241:H$3001,H1240,B1241:B$3001,B1240,G1241:G$3001,"")=0,C1240,0),0))</f>
        <v/>
      </c>
    </row>
    <row r="1241">
      <c r="A1241" s="6" t="n"/>
      <c r="B1241" s="9" t="n"/>
      <c r="C1241" s="6" t="n"/>
      <c r="D1241" s="6" t="n"/>
      <c r="E1241" s="6" t="n"/>
      <c r="F1241" s="6" t="n"/>
      <c r="G1241" s="6" t="n"/>
      <c r="H1241" s="10">
        <f>IF(F1241="","",IFERROR(INDEX(Roster!$A$2:$A$600,MATCH(F1241,Roster!$E$2:$E$600,0)),""))</f>
        <v/>
      </c>
      <c r="I1241" s="10">
        <f>IF(AND(D1241="",C1241="",F1241=""),"",IF(G1241&lt;&gt;"","Void",IF(F1241="","Needs child",IF(H1241="","Child not found",IF(OR(B1241="",NOT(ISNUMBER(C1241))),"Needs month/pages","OK")))))</f>
        <v/>
      </c>
      <c r="J1241" s="10">
        <f>IF(I1241="","",IF(I1241="OK",IF(COUNTIFS(H1242:H$3001,H1241,B1242:B$3001,B1241,G1242:G$3001,"")=0,C1241,0),0))</f>
        <v/>
      </c>
    </row>
    <row r="1242">
      <c r="A1242" s="6" t="n"/>
      <c r="B1242" s="9" t="n"/>
      <c r="C1242" s="6" t="n"/>
      <c r="D1242" s="6" t="n"/>
      <c r="E1242" s="6" t="n"/>
      <c r="F1242" s="6" t="n"/>
      <c r="G1242" s="6" t="n"/>
      <c r="H1242" s="10">
        <f>IF(F1242="","",IFERROR(INDEX(Roster!$A$2:$A$600,MATCH(F1242,Roster!$E$2:$E$600,0)),""))</f>
        <v/>
      </c>
      <c r="I1242" s="10">
        <f>IF(AND(D1242="",C1242="",F1242=""),"",IF(G1242&lt;&gt;"","Void",IF(F1242="","Needs child",IF(H1242="","Child not found",IF(OR(B1242="",NOT(ISNUMBER(C1242))),"Needs month/pages","OK")))))</f>
        <v/>
      </c>
      <c r="J1242" s="10">
        <f>IF(I1242="","",IF(I1242="OK",IF(COUNTIFS(H1243:H$3001,H1242,B1243:B$3001,B1242,G1243:G$3001,"")=0,C1242,0),0))</f>
        <v/>
      </c>
    </row>
    <row r="1243">
      <c r="A1243" s="6" t="n"/>
      <c r="B1243" s="9" t="n"/>
      <c r="C1243" s="6" t="n"/>
      <c r="D1243" s="6" t="n"/>
      <c r="E1243" s="6" t="n"/>
      <c r="F1243" s="6" t="n"/>
      <c r="G1243" s="6" t="n"/>
      <c r="H1243" s="10">
        <f>IF(F1243="","",IFERROR(INDEX(Roster!$A$2:$A$600,MATCH(F1243,Roster!$E$2:$E$600,0)),""))</f>
        <v/>
      </c>
      <c r="I1243" s="10">
        <f>IF(AND(D1243="",C1243="",F1243=""),"",IF(G1243&lt;&gt;"","Void",IF(F1243="","Needs child",IF(H1243="","Child not found",IF(OR(B1243="",NOT(ISNUMBER(C1243))),"Needs month/pages","OK")))))</f>
        <v/>
      </c>
      <c r="J1243" s="10">
        <f>IF(I1243="","",IF(I1243="OK",IF(COUNTIFS(H1244:H$3001,H1243,B1244:B$3001,B1243,G1244:G$3001,"")=0,C1243,0),0))</f>
        <v/>
      </c>
    </row>
    <row r="1244">
      <c r="A1244" s="6" t="n"/>
      <c r="B1244" s="9" t="n"/>
      <c r="C1244" s="6" t="n"/>
      <c r="D1244" s="6" t="n"/>
      <c r="E1244" s="6" t="n"/>
      <c r="F1244" s="6" t="n"/>
      <c r="G1244" s="6" t="n"/>
      <c r="H1244" s="10">
        <f>IF(F1244="","",IFERROR(INDEX(Roster!$A$2:$A$600,MATCH(F1244,Roster!$E$2:$E$600,0)),""))</f>
        <v/>
      </c>
      <c r="I1244" s="10">
        <f>IF(AND(D1244="",C1244="",F1244=""),"",IF(G1244&lt;&gt;"","Void",IF(F1244="","Needs child",IF(H1244="","Child not found",IF(OR(B1244="",NOT(ISNUMBER(C1244))),"Needs month/pages","OK")))))</f>
        <v/>
      </c>
      <c r="J1244" s="10">
        <f>IF(I1244="","",IF(I1244="OK",IF(COUNTIFS(H1245:H$3001,H1244,B1245:B$3001,B1244,G1245:G$3001,"")=0,C1244,0),0))</f>
        <v/>
      </c>
    </row>
    <row r="1245">
      <c r="A1245" s="6" t="n"/>
      <c r="B1245" s="9" t="n"/>
      <c r="C1245" s="6" t="n"/>
      <c r="D1245" s="6" t="n"/>
      <c r="E1245" s="6" t="n"/>
      <c r="F1245" s="6" t="n"/>
      <c r="G1245" s="6" t="n"/>
      <c r="H1245" s="10">
        <f>IF(F1245="","",IFERROR(INDEX(Roster!$A$2:$A$600,MATCH(F1245,Roster!$E$2:$E$600,0)),""))</f>
        <v/>
      </c>
      <c r="I1245" s="10">
        <f>IF(AND(D1245="",C1245="",F1245=""),"",IF(G1245&lt;&gt;"","Void",IF(F1245="","Needs child",IF(H1245="","Child not found",IF(OR(B1245="",NOT(ISNUMBER(C1245))),"Needs month/pages","OK")))))</f>
        <v/>
      </c>
      <c r="J1245" s="10">
        <f>IF(I1245="","",IF(I1245="OK",IF(COUNTIFS(H1246:H$3001,H1245,B1246:B$3001,B1245,G1246:G$3001,"")=0,C1245,0),0))</f>
        <v/>
      </c>
    </row>
    <row r="1246">
      <c r="A1246" s="6" t="n"/>
      <c r="B1246" s="9" t="n"/>
      <c r="C1246" s="6" t="n"/>
      <c r="D1246" s="6" t="n"/>
      <c r="E1246" s="6" t="n"/>
      <c r="F1246" s="6" t="n"/>
      <c r="G1246" s="6" t="n"/>
      <c r="H1246" s="10">
        <f>IF(F1246="","",IFERROR(INDEX(Roster!$A$2:$A$600,MATCH(F1246,Roster!$E$2:$E$600,0)),""))</f>
        <v/>
      </c>
      <c r="I1246" s="10">
        <f>IF(AND(D1246="",C1246="",F1246=""),"",IF(G1246&lt;&gt;"","Void",IF(F1246="","Needs child",IF(H1246="","Child not found",IF(OR(B1246="",NOT(ISNUMBER(C1246))),"Needs month/pages","OK")))))</f>
        <v/>
      </c>
      <c r="J1246" s="10">
        <f>IF(I1246="","",IF(I1246="OK",IF(COUNTIFS(H1247:H$3001,H1246,B1247:B$3001,B1246,G1247:G$3001,"")=0,C1246,0),0))</f>
        <v/>
      </c>
    </row>
    <row r="1247">
      <c r="A1247" s="6" t="n"/>
      <c r="B1247" s="9" t="n"/>
      <c r="C1247" s="6" t="n"/>
      <c r="D1247" s="6" t="n"/>
      <c r="E1247" s="6" t="n"/>
      <c r="F1247" s="6" t="n"/>
      <c r="G1247" s="6" t="n"/>
      <c r="H1247" s="10">
        <f>IF(F1247="","",IFERROR(INDEX(Roster!$A$2:$A$600,MATCH(F1247,Roster!$E$2:$E$600,0)),""))</f>
        <v/>
      </c>
      <c r="I1247" s="10">
        <f>IF(AND(D1247="",C1247="",F1247=""),"",IF(G1247&lt;&gt;"","Void",IF(F1247="","Needs child",IF(H1247="","Child not found",IF(OR(B1247="",NOT(ISNUMBER(C1247))),"Needs month/pages","OK")))))</f>
        <v/>
      </c>
      <c r="J1247" s="10">
        <f>IF(I1247="","",IF(I1247="OK",IF(COUNTIFS(H1248:H$3001,H1247,B1248:B$3001,B1247,G1248:G$3001,"")=0,C1247,0),0))</f>
        <v/>
      </c>
    </row>
    <row r="1248">
      <c r="A1248" s="6" t="n"/>
      <c r="B1248" s="9" t="n"/>
      <c r="C1248" s="6" t="n"/>
      <c r="D1248" s="6" t="n"/>
      <c r="E1248" s="6" t="n"/>
      <c r="F1248" s="6" t="n"/>
      <c r="G1248" s="6" t="n"/>
      <c r="H1248" s="10">
        <f>IF(F1248="","",IFERROR(INDEX(Roster!$A$2:$A$600,MATCH(F1248,Roster!$E$2:$E$600,0)),""))</f>
        <v/>
      </c>
      <c r="I1248" s="10">
        <f>IF(AND(D1248="",C1248="",F1248=""),"",IF(G1248&lt;&gt;"","Void",IF(F1248="","Needs child",IF(H1248="","Child not found",IF(OR(B1248="",NOT(ISNUMBER(C1248))),"Needs month/pages","OK")))))</f>
        <v/>
      </c>
      <c r="J1248" s="10">
        <f>IF(I1248="","",IF(I1248="OK",IF(COUNTIFS(H1249:H$3001,H1248,B1249:B$3001,B1248,G1249:G$3001,"")=0,C1248,0),0))</f>
        <v/>
      </c>
    </row>
    <row r="1249">
      <c r="A1249" s="6" t="n"/>
      <c r="B1249" s="9" t="n"/>
      <c r="C1249" s="6" t="n"/>
      <c r="D1249" s="6" t="n"/>
      <c r="E1249" s="6" t="n"/>
      <c r="F1249" s="6" t="n"/>
      <c r="G1249" s="6" t="n"/>
      <c r="H1249" s="10">
        <f>IF(F1249="","",IFERROR(INDEX(Roster!$A$2:$A$600,MATCH(F1249,Roster!$E$2:$E$600,0)),""))</f>
        <v/>
      </c>
      <c r="I1249" s="10">
        <f>IF(AND(D1249="",C1249="",F1249=""),"",IF(G1249&lt;&gt;"","Void",IF(F1249="","Needs child",IF(H1249="","Child not found",IF(OR(B1249="",NOT(ISNUMBER(C1249))),"Needs month/pages","OK")))))</f>
        <v/>
      </c>
      <c r="J1249" s="10">
        <f>IF(I1249="","",IF(I1249="OK",IF(COUNTIFS(H1250:H$3001,H1249,B1250:B$3001,B1249,G1250:G$3001,"")=0,C1249,0),0))</f>
        <v/>
      </c>
    </row>
    <row r="1250">
      <c r="A1250" s="6" t="n"/>
      <c r="B1250" s="9" t="n"/>
      <c r="C1250" s="6" t="n"/>
      <c r="D1250" s="6" t="n"/>
      <c r="E1250" s="6" t="n"/>
      <c r="F1250" s="6" t="n"/>
      <c r="G1250" s="6" t="n"/>
      <c r="H1250" s="10">
        <f>IF(F1250="","",IFERROR(INDEX(Roster!$A$2:$A$600,MATCH(F1250,Roster!$E$2:$E$600,0)),""))</f>
        <v/>
      </c>
      <c r="I1250" s="10">
        <f>IF(AND(D1250="",C1250="",F1250=""),"",IF(G1250&lt;&gt;"","Void",IF(F1250="","Needs child",IF(H1250="","Child not found",IF(OR(B1250="",NOT(ISNUMBER(C1250))),"Needs month/pages","OK")))))</f>
        <v/>
      </c>
      <c r="J1250" s="10">
        <f>IF(I1250="","",IF(I1250="OK",IF(COUNTIFS(H1251:H$3001,H1250,B1251:B$3001,B1250,G1251:G$3001,"")=0,C1250,0),0))</f>
        <v/>
      </c>
    </row>
    <row r="1251">
      <c r="A1251" s="6" t="n"/>
      <c r="B1251" s="9" t="n"/>
      <c r="C1251" s="6" t="n"/>
      <c r="D1251" s="6" t="n"/>
      <c r="E1251" s="6" t="n"/>
      <c r="F1251" s="6" t="n"/>
      <c r="G1251" s="6" t="n"/>
      <c r="H1251" s="10">
        <f>IF(F1251="","",IFERROR(INDEX(Roster!$A$2:$A$600,MATCH(F1251,Roster!$E$2:$E$600,0)),""))</f>
        <v/>
      </c>
      <c r="I1251" s="10">
        <f>IF(AND(D1251="",C1251="",F1251=""),"",IF(G1251&lt;&gt;"","Void",IF(F1251="","Needs child",IF(H1251="","Child not found",IF(OR(B1251="",NOT(ISNUMBER(C1251))),"Needs month/pages","OK")))))</f>
        <v/>
      </c>
      <c r="J1251" s="10">
        <f>IF(I1251="","",IF(I1251="OK",IF(COUNTIFS(H1252:H$3001,H1251,B1252:B$3001,B1251,G1252:G$3001,"")=0,C1251,0),0))</f>
        <v/>
      </c>
    </row>
    <row r="1252">
      <c r="A1252" s="6" t="n"/>
      <c r="B1252" s="9" t="n"/>
      <c r="C1252" s="6" t="n"/>
      <c r="D1252" s="6" t="n"/>
      <c r="E1252" s="6" t="n"/>
      <c r="F1252" s="6" t="n"/>
      <c r="G1252" s="6" t="n"/>
      <c r="H1252" s="10">
        <f>IF(F1252="","",IFERROR(INDEX(Roster!$A$2:$A$600,MATCH(F1252,Roster!$E$2:$E$600,0)),""))</f>
        <v/>
      </c>
      <c r="I1252" s="10">
        <f>IF(AND(D1252="",C1252="",F1252=""),"",IF(G1252&lt;&gt;"","Void",IF(F1252="","Needs child",IF(H1252="","Child not found",IF(OR(B1252="",NOT(ISNUMBER(C1252))),"Needs month/pages","OK")))))</f>
        <v/>
      </c>
      <c r="J1252" s="10">
        <f>IF(I1252="","",IF(I1252="OK",IF(COUNTIFS(H1253:H$3001,H1252,B1253:B$3001,B1252,G1253:G$3001,"")=0,C1252,0),0))</f>
        <v/>
      </c>
    </row>
    <row r="1253">
      <c r="A1253" s="6" t="n"/>
      <c r="B1253" s="9" t="n"/>
      <c r="C1253" s="6" t="n"/>
      <c r="D1253" s="6" t="n"/>
      <c r="E1253" s="6" t="n"/>
      <c r="F1253" s="6" t="n"/>
      <c r="G1253" s="6" t="n"/>
      <c r="H1253" s="10">
        <f>IF(F1253="","",IFERROR(INDEX(Roster!$A$2:$A$600,MATCH(F1253,Roster!$E$2:$E$600,0)),""))</f>
        <v/>
      </c>
      <c r="I1253" s="10">
        <f>IF(AND(D1253="",C1253="",F1253=""),"",IF(G1253&lt;&gt;"","Void",IF(F1253="","Needs child",IF(H1253="","Child not found",IF(OR(B1253="",NOT(ISNUMBER(C1253))),"Needs month/pages","OK")))))</f>
        <v/>
      </c>
      <c r="J1253" s="10">
        <f>IF(I1253="","",IF(I1253="OK",IF(COUNTIFS(H1254:H$3001,H1253,B1254:B$3001,B1253,G1254:G$3001,"")=0,C1253,0),0))</f>
        <v/>
      </c>
    </row>
    <row r="1254">
      <c r="A1254" s="6" t="n"/>
      <c r="B1254" s="9" t="n"/>
      <c r="C1254" s="6" t="n"/>
      <c r="D1254" s="6" t="n"/>
      <c r="E1254" s="6" t="n"/>
      <c r="F1254" s="6" t="n"/>
      <c r="G1254" s="6" t="n"/>
      <c r="H1254" s="10">
        <f>IF(F1254="","",IFERROR(INDEX(Roster!$A$2:$A$600,MATCH(F1254,Roster!$E$2:$E$600,0)),""))</f>
        <v/>
      </c>
      <c r="I1254" s="10">
        <f>IF(AND(D1254="",C1254="",F1254=""),"",IF(G1254&lt;&gt;"","Void",IF(F1254="","Needs child",IF(H1254="","Child not found",IF(OR(B1254="",NOT(ISNUMBER(C1254))),"Needs month/pages","OK")))))</f>
        <v/>
      </c>
      <c r="J1254" s="10">
        <f>IF(I1254="","",IF(I1254="OK",IF(COUNTIFS(H1255:H$3001,H1254,B1255:B$3001,B1254,G1255:G$3001,"")=0,C1254,0),0))</f>
        <v/>
      </c>
    </row>
    <row r="1255">
      <c r="A1255" s="6" t="n"/>
      <c r="B1255" s="9" t="n"/>
      <c r="C1255" s="6" t="n"/>
      <c r="D1255" s="6" t="n"/>
      <c r="E1255" s="6" t="n"/>
      <c r="F1255" s="6" t="n"/>
      <c r="G1255" s="6" t="n"/>
      <c r="H1255" s="10">
        <f>IF(F1255="","",IFERROR(INDEX(Roster!$A$2:$A$600,MATCH(F1255,Roster!$E$2:$E$600,0)),""))</f>
        <v/>
      </c>
      <c r="I1255" s="10">
        <f>IF(AND(D1255="",C1255="",F1255=""),"",IF(G1255&lt;&gt;"","Void",IF(F1255="","Needs child",IF(H1255="","Child not found",IF(OR(B1255="",NOT(ISNUMBER(C1255))),"Needs month/pages","OK")))))</f>
        <v/>
      </c>
      <c r="J1255" s="10">
        <f>IF(I1255="","",IF(I1255="OK",IF(COUNTIFS(H1256:H$3001,H1255,B1256:B$3001,B1255,G1256:G$3001,"")=0,C1255,0),0))</f>
        <v/>
      </c>
    </row>
    <row r="1256">
      <c r="A1256" s="6" t="n"/>
      <c r="B1256" s="9" t="n"/>
      <c r="C1256" s="6" t="n"/>
      <c r="D1256" s="6" t="n"/>
      <c r="E1256" s="6" t="n"/>
      <c r="F1256" s="6" t="n"/>
      <c r="G1256" s="6" t="n"/>
      <c r="H1256" s="10">
        <f>IF(F1256="","",IFERROR(INDEX(Roster!$A$2:$A$600,MATCH(F1256,Roster!$E$2:$E$600,0)),""))</f>
        <v/>
      </c>
      <c r="I1256" s="10">
        <f>IF(AND(D1256="",C1256="",F1256=""),"",IF(G1256&lt;&gt;"","Void",IF(F1256="","Needs child",IF(H1256="","Child not found",IF(OR(B1256="",NOT(ISNUMBER(C1256))),"Needs month/pages","OK")))))</f>
        <v/>
      </c>
      <c r="J1256" s="10">
        <f>IF(I1256="","",IF(I1256="OK",IF(COUNTIFS(H1257:H$3001,H1256,B1257:B$3001,B1256,G1257:G$3001,"")=0,C1256,0),0))</f>
        <v/>
      </c>
    </row>
    <row r="1257">
      <c r="A1257" s="6" t="n"/>
      <c r="B1257" s="9" t="n"/>
      <c r="C1257" s="6" t="n"/>
      <c r="D1257" s="6" t="n"/>
      <c r="E1257" s="6" t="n"/>
      <c r="F1257" s="6" t="n"/>
      <c r="G1257" s="6" t="n"/>
      <c r="H1257" s="10">
        <f>IF(F1257="","",IFERROR(INDEX(Roster!$A$2:$A$600,MATCH(F1257,Roster!$E$2:$E$600,0)),""))</f>
        <v/>
      </c>
      <c r="I1257" s="10">
        <f>IF(AND(D1257="",C1257="",F1257=""),"",IF(G1257&lt;&gt;"","Void",IF(F1257="","Needs child",IF(H1257="","Child not found",IF(OR(B1257="",NOT(ISNUMBER(C1257))),"Needs month/pages","OK")))))</f>
        <v/>
      </c>
      <c r="J1257" s="10">
        <f>IF(I1257="","",IF(I1257="OK",IF(COUNTIFS(H1258:H$3001,H1257,B1258:B$3001,B1257,G1258:G$3001,"")=0,C1257,0),0))</f>
        <v/>
      </c>
    </row>
    <row r="1258">
      <c r="A1258" s="6" t="n"/>
      <c r="B1258" s="9" t="n"/>
      <c r="C1258" s="6" t="n"/>
      <c r="D1258" s="6" t="n"/>
      <c r="E1258" s="6" t="n"/>
      <c r="F1258" s="6" t="n"/>
      <c r="G1258" s="6" t="n"/>
      <c r="H1258" s="10">
        <f>IF(F1258="","",IFERROR(INDEX(Roster!$A$2:$A$600,MATCH(F1258,Roster!$E$2:$E$600,0)),""))</f>
        <v/>
      </c>
      <c r="I1258" s="10">
        <f>IF(AND(D1258="",C1258="",F1258=""),"",IF(G1258&lt;&gt;"","Void",IF(F1258="","Needs child",IF(H1258="","Child not found",IF(OR(B1258="",NOT(ISNUMBER(C1258))),"Needs month/pages","OK")))))</f>
        <v/>
      </c>
      <c r="J1258" s="10">
        <f>IF(I1258="","",IF(I1258="OK",IF(COUNTIFS(H1259:H$3001,H1258,B1259:B$3001,B1258,G1259:G$3001,"")=0,C1258,0),0))</f>
        <v/>
      </c>
    </row>
    <row r="1259">
      <c r="A1259" s="6" t="n"/>
      <c r="B1259" s="9" t="n"/>
      <c r="C1259" s="6" t="n"/>
      <c r="D1259" s="6" t="n"/>
      <c r="E1259" s="6" t="n"/>
      <c r="F1259" s="6" t="n"/>
      <c r="G1259" s="6" t="n"/>
      <c r="H1259" s="10">
        <f>IF(F1259="","",IFERROR(INDEX(Roster!$A$2:$A$600,MATCH(F1259,Roster!$E$2:$E$600,0)),""))</f>
        <v/>
      </c>
      <c r="I1259" s="10">
        <f>IF(AND(D1259="",C1259="",F1259=""),"",IF(G1259&lt;&gt;"","Void",IF(F1259="","Needs child",IF(H1259="","Child not found",IF(OR(B1259="",NOT(ISNUMBER(C1259))),"Needs month/pages","OK")))))</f>
        <v/>
      </c>
      <c r="J1259" s="10">
        <f>IF(I1259="","",IF(I1259="OK",IF(COUNTIFS(H1260:H$3001,H1259,B1260:B$3001,B1259,G1260:G$3001,"")=0,C1259,0),0))</f>
        <v/>
      </c>
    </row>
    <row r="1260">
      <c r="A1260" s="6" t="n"/>
      <c r="B1260" s="9" t="n"/>
      <c r="C1260" s="6" t="n"/>
      <c r="D1260" s="6" t="n"/>
      <c r="E1260" s="6" t="n"/>
      <c r="F1260" s="6" t="n"/>
      <c r="G1260" s="6" t="n"/>
      <c r="H1260" s="10">
        <f>IF(F1260="","",IFERROR(INDEX(Roster!$A$2:$A$600,MATCH(F1260,Roster!$E$2:$E$600,0)),""))</f>
        <v/>
      </c>
      <c r="I1260" s="10">
        <f>IF(AND(D1260="",C1260="",F1260=""),"",IF(G1260&lt;&gt;"","Void",IF(F1260="","Needs child",IF(H1260="","Child not found",IF(OR(B1260="",NOT(ISNUMBER(C1260))),"Needs month/pages","OK")))))</f>
        <v/>
      </c>
      <c r="J1260" s="10">
        <f>IF(I1260="","",IF(I1260="OK",IF(COUNTIFS(H1261:H$3001,H1260,B1261:B$3001,B1260,G1261:G$3001,"")=0,C1260,0),0))</f>
        <v/>
      </c>
    </row>
    <row r="1261">
      <c r="A1261" s="6" t="n"/>
      <c r="B1261" s="9" t="n"/>
      <c r="C1261" s="6" t="n"/>
      <c r="D1261" s="6" t="n"/>
      <c r="E1261" s="6" t="n"/>
      <c r="F1261" s="6" t="n"/>
      <c r="G1261" s="6" t="n"/>
      <c r="H1261" s="10">
        <f>IF(F1261="","",IFERROR(INDEX(Roster!$A$2:$A$600,MATCH(F1261,Roster!$E$2:$E$600,0)),""))</f>
        <v/>
      </c>
      <c r="I1261" s="10">
        <f>IF(AND(D1261="",C1261="",F1261=""),"",IF(G1261&lt;&gt;"","Void",IF(F1261="","Needs child",IF(H1261="","Child not found",IF(OR(B1261="",NOT(ISNUMBER(C1261))),"Needs month/pages","OK")))))</f>
        <v/>
      </c>
      <c r="J1261" s="10">
        <f>IF(I1261="","",IF(I1261="OK",IF(COUNTIFS(H1262:H$3001,H1261,B1262:B$3001,B1261,G1262:G$3001,"")=0,C1261,0),0))</f>
        <v/>
      </c>
    </row>
    <row r="1262">
      <c r="A1262" s="6" t="n"/>
      <c r="B1262" s="9" t="n"/>
      <c r="C1262" s="6" t="n"/>
      <c r="D1262" s="6" t="n"/>
      <c r="E1262" s="6" t="n"/>
      <c r="F1262" s="6" t="n"/>
      <c r="G1262" s="6" t="n"/>
      <c r="H1262" s="10">
        <f>IF(F1262="","",IFERROR(INDEX(Roster!$A$2:$A$600,MATCH(F1262,Roster!$E$2:$E$600,0)),""))</f>
        <v/>
      </c>
      <c r="I1262" s="10">
        <f>IF(AND(D1262="",C1262="",F1262=""),"",IF(G1262&lt;&gt;"","Void",IF(F1262="","Needs child",IF(H1262="","Child not found",IF(OR(B1262="",NOT(ISNUMBER(C1262))),"Needs month/pages","OK")))))</f>
        <v/>
      </c>
      <c r="J1262" s="10">
        <f>IF(I1262="","",IF(I1262="OK",IF(COUNTIFS(H1263:H$3001,H1262,B1263:B$3001,B1262,G1263:G$3001,"")=0,C1262,0),0))</f>
        <v/>
      </c>
    </row>
    <row r="1263">
      <c r="A1263" s="6" t="n"/>
      <c r="B1263" s="9" t="n"/>
      <c r="C1263" s="6" t="n"/>
      <c r="D1263" s="6" t="n"/>
      <c r="E1263" s="6" t="n"/>
      <c r="F1263" s="6" t="n"/>
      <c r="G1263" s="6" t="n"/>
      <c r="H1263" s="10">
        <f>IF(F1263="","",IFERROR(INDEX(Roster!$A$2:$A$600,MATCH(F1263,Roster!$E$2:$E$600,0)),""))</f>
        <v/>
      </c>
      <c r="I1263" s="10">
        <f>IF(AND(D1263="",C1263="",F1263=""),"",IF(G1263&lt;&gt;"","Void",IF(F1263="","Needs child",IF(H1263="","Child not found",IF(OR(B1263="",NOT(ISNUMBER(C1263))),"Needs month/pages","OK")))))</f>
        <v/>
      </c>
      <c r="J1263" s="10">
        <f>IF(I1263="","",IF(I1263="OK",IF(COUNTIFS(H1264:H$3001,H1263,B1264:B$3001,B1263,G1264:G$3001,"")=0,C1263,0),0))</f>
        <v/>
      </c>
    </row>
    <row r="1264">
      <c r="A1264" s="6" t="n"/>
      <c r="B1264" s="9" t="n"/>
      <c r="C1264" s="6" t="n"/>
      <c r="D1264" s="6" t="n"/>
      <c r="E1264" s="6" t="n"/>
      <c r="F1264" s="6" t="n"/>
      <c r="G1264" s="6" t="n"/>
      <c r="H1264" s="10">
        <f>IF(F1264="","",IFERROR(INDEX(Roster!$A$2:$A$600,MATCH(F1264,Roster!$E$2:$E$600,0)),""))</f>
        <v/>
      </c>
      <c r="I1264" s="10">
        <f>IF(AND(D1264="",C1264="",F1264=""),"",IF(G1264&lt;&gt;"","Void",IF(F1264="","Needs child",IF(H1264="","Child not found",IF(OR(B1264="",NOT(ISNUMBER(C1264))),"Needs month/pages","OK")))))</f>
        <v/>
      </c>
      <c r="J1264" s="10">
        <f>IF(I1264="","",IF(I1264="OK",IF(COUNTIFS(H1265:H$3001,H1264,B1265:B$3001,B1264,G1265:G$3001,"")=0,C1264,0),0))</f>
        <v/>
      </c>
    </row>
    <row r="1265">
      <c r="A1265" s="6" t="n"/>
      <c r="B1265" s="9" t="n"/>
      <c r="C1265" s="6" t="n"/>
      <c r="D1265" s="6" t="n"/>
      <c r="E1265" s="6" t="n"/>
      <c r="F1265" s="6" t="n"/>
      <c r="G1265" s="6" t="n"/>
      <c r="H1265" s="10">
        <f>IF(F1265="","",IFERROR(INDEX(Roster!$A$2:$A$600,MATCH(F1265,Roster!$E$2:$E$600,0)),""))</f>
        <v/>
      </c>
      <c r="I1265" s="10">
        <f>IF(AND(D1265="",C1265="",F1265=""),"",IF(G1265&lt;&gt;"","Void",IF(F1265="","Needs child",IF(H1265="","Child not found",IF(OR(B1265="",NOT(ISNUMBER(C1265))),"Needs month/pages","OK")))))</f>
        <v/>
      </c>
      <c r="J1265" s="10">
        <f>IF(I1265="","",IF(I1265="OK",IF(COUNTIFS(H1266:H$3001,H1265,B1266:B$3001,B1265,G1266:G$3001,"")=0,C1265,0),0))</f>
        <v/>
      </c>
    </row>
    <row r="1266">
      <c r="A1266" s="6" t="n"/>
      <c r="B1266" s="9" t="n"/>
      <c r="C1266" s="6" t="n"/>
      <c r="D1266" s="6" t="n"/>
      <c r="E1266" s="6" t="n"/>
      <c r="F1266" s="6" t="n"/>
      <c r="G1266" s="6" t="n"/>
      <c r="H1266" s="10">
        <f>IF(F1266="","",IFERROR(INDEX(Roster!$A$2:$A$600,MATCH(F1266,Roster!$E$2:$E$600,0)),""))</f>
        <v/>
      </c>
      <c r="I1266" s="10">
        <f>IF(AND(D1266="",C1266="",F1266=""),"",IF(G1266&lt;&gt;"","Void",IF(F1266="","Needs child",IF(H1266="","Child not found",IF(OR(B1266="",NOT(ISNUMBER(C1266))),"Needs month/pages","OK")))))</f>
        <v/>
      </c>
      <c r="J1266" s="10">
        <f>IF(I1266="","",IF(I1266="OK",IF(COUNTIFS(H1267:H$3001,H1266,B1267:B$3001,B1266,G1267:G$3001,"")=0,C1266,0),0))</f>
        <v/>
      </c>
    </row>
    <row r="1267">
      <c r="A1267" s="6" t="n"/>
      <c r="B1267" s="9" t="n"/>
      <c r="C1267" s="6" t="n"/>
      <c r="D1267" s="6" t="n"/>
      <c r="E1267" s="6" t="n"/>
      <c r="F1267" s="6" t="n"/>
      <c r="G1267" s="6" t="n"/>
      <c r="H1267" s="10">
        <f>IF(F1267="","",IFERROR(INDEX(Roster!$A$2:$A$600,MATCH(F1267,Roster!$E$2:$E$600,0)),""))</f>
        <v/>
      </c>
      <c r="I1267" s="10">
        <f>IF(AND(D1267="",C1267="",F1267=""),"",IF(G1267&lt;&gt;"","Void",IF(F1267="","Needs child",IF(H1267="","Child not found",IF(OR(B1267="",NOT(ISNUMBER(C1267))),"Needs month/pages","OK")))))</f>
        <v/>
      </c>
      <c r="J1267" s="10">
        <f>IF(I1267="","",IF(I1267="OK",IF(COUNTIFS(H1268:H$3001,H1267,B1268:B$3001,B1267,G1268:G$3001,"")=0,C1267,0),0))</f>
        <v/>
      </c>
    </row>
    <row r="1268">
      <c r="A1268" s="6" t="n"/>
      <c r="B1268" s="9" t="n"/>
      <c r="C1268" s="6" t="n"/>
      <c r="D1268" s="6" t="n"/>
      <c r="E1268" s="6" t="n"/>
      <c r="F1268" s="6" t="n"/>
      <c r="G1268" s="6" t="n"/>
      <c r="H1268" s="10">
        <f>IF(F1268="","",IFERROR(INDEX(Roster!$A$2:$A$600,MATCH(F1268,Roster!$E$2:$E$600,0)),""))</f>
        <v/>
      </c>
      <c r="I1268" s="10">
        <f>IF(AND(D1268="",C1268="",F1268=""),"",IF(G1268&lt;&gt;"","Void",IF(F1268="","Needs child",IF(H1268="","Child not found",IF(OR(B1268="",NOT(ISNUMBER(C1268))),"Needs month/pages","OK")))))</f>
        <v/>
      </c>
      <c r="J1268" s="10">
        <f>IF(I1268="","",IF(I1268="OK",IF(COUNTIFS(H1269:H$3001,H1268,B1269:B$3001,B1268,G1269:G$3001,"")=0,C1268,0),0))</f>
        <v/>
      </c>
    </row>
    <row r="1269">
      <c r="A1269" s="6" t="n"/>
      <c r="B1269" s="9" t="n"/>
      <c r="C1269" s="6" t="n"/>
      <c r="D1269" s="6" t="n"/>
      <c r="E1269" s="6" t="n"/>
      <c r="F1269" s="6" t="n"/>
      <c r="G1269" s="6" t="n"/>
      <c r="H1269" s="10">
        <f>IF(F1269="","",IFERROR(INDEX(Roster!$A$2:$A$600,MATCH(F1269,Roster!$E$2:$E$600,0)),""))</f>
        <v/>
      </c>
      <c r="I1269" s="10">
        <f>IF(AND(D1269="",C1269="",F1269=""),"",IF(G1269&lt;&gt;"","Void",IF(F1269="","Needs child",IF(H1269="","Child not found",IF(OR(B1269="",NOT(ISNUMBER(C1269))),"Needs month/pages","OK")))))</f>
        <v/>
      </c>
      <c r="J1269" s="10">
        <f>IF(I1269="","",IF(I1269="OK",IF(COUNTIFS(H1270:H$3001,H1269,B1270:B$3001,B1269,G1270:G$3001,"")=0,C1269,0),0))</f>
        <v/>
      </c>
    </row>
    <row r="1270">
      <c r="A1270" s="6" t="n"/>
      <c r="B1270" s="9" t="n"/>
      <c r="C1270" s="6" t="n"/>
      <c r="D1270" s="6" t="n"/>
      <c r="E1270" s="6" t="n"/>
      <c r="F1270" s="6" t="n"/>
      <c r="G1270" s="6" t="n"/>
      <c r="H1270" s="10">
        <f>IF(F1270="","",IFERROR(INDEX(Roster!$A$2:$A$600,MATCH(F1270,Roster!$E$2:$E$600,0)),""))</f>
        <v/>
      </c>
      <c r="I1270" s="10">
        <f>IF(AND(D1270="",C1270="",F1270=""),"",IF(G1270&lt;&gt;"","Void",IF(F1270="","Needs child",IF(H1270="","Child not found",IF(OR(B1270="",NOT(ISNUMBER(C1270))),"Needs month/pages","OK")))))</f>
        <v/>
      </c>
      <c r="J1270" s="10">
        <f>IF(I1270="","",IF(I1270="OK",IF(COUNTIFS(H1271:H$3001,H1270,B1271:B$3001,B1270,G1271:G$3001,"")=0,C1270,0),0))</f>
        <v/>
      </c>
    </row>
    <row r="1271">
      <c r="A1271" s="6" t="n"/>
      <c r="B1271" s="9" t="n"/>
      <c r="C1271" s="6" t="n"/>
      <c r="D1271" s="6" t="n"/>
      <c r="E1271" s="6" t="n"/>
      <c r="F1271" s="6" t="n"/>
      <c r="G1271" s="6" t="n"/>
      <c r="H1271" s="10">
        <f>IF(F1271="","",IFERROR(INDEX(Roster!$A$2:$A$600,MATCH(F1271,Roster!$E$2:$E$600,0)),""))</f>
        <v/>
      </c>
      <c r="I1271" s="10">
        <f>IF(AND(D1271="",C1271="",F1271=""),"",IF(G1271&lt;&gt;"","Void",IF(F1271="","Needs child",IF(H1271="","Child not found",IF(OR(B1271="",NOT(ISNUMBER(C1271))),"Needs month/pages","OK")))))</f>
        <v/>
      </c>
      <c r="J1271" s="10">
        <f>IF(I1271="","",IF(I1271="OK",IF(COUNTIFS(H1272:H$3001,H1271,B1272:B$3001,B1271,G1272:G$3001,"")=0,C1271,0),0))</f>
        <v/>
      </c>
    </row>
    <row r="1272">
      <c r="A1272" s="6" t="n"/>
      <c r="B1272" s="9" t="n"/>
      <c r="C1272" s="6" t="n"/>
      <c r="D1272" s="6" t="n"/>
      <c r="E1272" s="6" t="n"/>
      <c r="F1272" s="6" t="n"/>
      <c r="G1272" s="6" t="n"/>
      <c r="H1272" s="10">
        <f>IF(F1272="","",IFERROR(INDEX(Roster!$A$2:$A$600,MATCH(F1272,Roster!$E$2:$E$600,0)),""))</f>
        <v/>
      </c>
      <c r="I1272" s="10">
        <f>IF(AND(D1272="",C1272="",F1272=""),"",IF(G1272&lt;&gt;"","Void",IF(F1272="","Needs child",IF(H1272="","Child not found",IF(OR(B1272="",NOT(ISNUMBER(C1272))),"Needs month/pages","OK")))))</f>
        <v/>
      </c>
      <c r="J1272" s="10">
        <f>IF(I1272="","",IF(I1272="OK",IF(COUNTIFS(H1273:H$3001,H1272,B1273:B$3001,B1272,G1273:G$3001,"")=0,C1272,0),0))</f>
        <v/>
      </c>
    </row>
    <row r="1273">
      <c r="A1273" s="6" t="n"/>
      <c r="B1273" s="9" t="n"/>
      <c r="C1273" s="6" t="n"/>
      <c r="D1273" s="6" t="n"/>
      <c r="E1273" s="6" t="n"/>
      <c r="F1273" s="6" t="n"/>
      <c r="G1273" s="6" t="n"/>
      <c r="H1273" s="10">
        <f>IF(F1273="","",IFERROR(INDEX(Roster!$A$2:$A$600,MATCH(F1273,Roster!$E$2:$E$600,0)),""))</f>
        <v/>
      </c>
      <c r="I1273" s="10">
        <f>IF(AND(D1273="",C1273="",F1273=""),"",IF(G1273&lt;&gt;"","Void",IF(F1273="","Needs child",IF(H1273="","Child not found",IF(OR(B1273="",NOT(ISNUMBER(C1273))),"Needs month/pages","OK")))))</f>
        <v/>
      </c>
      <c r="J1273" s="10">
        <f>IF(I1273="","",IF(I1273="OK",IF(COUNTIFS(H1274:H$3001,H1273,B1274:B$3001,B1273,G1274:G$3001,"")=0,C1273,0),0))</f>
        <v/>
      </c>
    </row>
    <row r="1274">
      <c r="A1274" s="6" t="n"/>
      <c r="B1274" s="9" t="n"/>
      <c r="C1274" s="6" t="n"/>
      <c r="D1274" s="6" t="n"/>
      <c r="E1274" s="6" t="n"/>
      <c r="F1274" s="6" t="n"/>
      <c r="G1274" s="6" t="n"/>
      <c r="H1274" s="10">
        <f>IF(F1274="","",IFERROR(INDEX(Roster!$A$2:$A$600,MATCH(F1274,Roster!$E$2:$E$600,0)),""))</f>
        <v/>
      </c>
      <c r="I1274" s="10">
        <f>IF(AND(D1274="",C1274="",F1274=""),"",IF(G1274&lt;&gt;"","Void",IF(F1274="","Needs child",IF(H1274="","Child not found",IF(OR(B1274="",NOT(ISNUMBER(C1274))),"Needs month/pages","OK")))))</f>
        <v/>
      </c>
      <c r="J1274" s="10">
        <f>IF(I1274="","",IF(I1274="OK",IF(COUNTIFS(H1275:H$3001,H1274,B1275:B$3001,B1274,G1275:G$3001,"")=0,C1274,0),0))</f>
        <v/>
      </c>
    </row>
    <row r="1275">
      <c r="A1275" s="6" t="n"/>
      <c r="B1275" s="9" t="n"/>
      <c r="C1275" s="6" t="n"/>
      <c r="D1275" s="6" t="n"/>
      <c r="E1275" s="6" t="n"/>
      <c r="F1275" s="6" t="n"/>
      <c r="G1275" s="6" t="n"/>
      <c r="H1275" s="10">
        <f>IF(F1275="","",IFERROR(INDEX(Roster!$A$2:$A$600,MATCH(F1275,Roster!$E$2:$E$600,0)),""))</f>
        <v/>
      </c>
      <c r="I1275" s="10">
        <f>IF(AND(D1275="",C1275="",F1275=""),"",IF(G1275&lt;&gt;"","Void",IF(F1275="","Needs child",IF(H1275="","Child not found",IF(OR(B1275="",NOT(ISNUMBER(C1275))),"Needs month/pages","OK")))))</f>
        <v/>
      </c>
      <c r="J1275" s="10">
        <f>IF(I1275="","",IF(I1275="OK",IF(COUNTIFS(H1276:H$3001,H1275,B1276:B$3001,B1275,G1276:G$3001,"")=0,C1275,0),0))</f>
        <v/>
      </c>
    </row>
    <row r="1276">
      <c r="A1276" s="6" t="n"/>
      <c r="B1276" s="9" t="n"/>
      <c r="C1276" s="6" t="n"/>
      <c r="D1276" s="6" t="n"/>
      <c r="E1276" s="6" t="n"/>
      <c r="F1276" s="6" t="n"/>
      <c r="G1276" s="6" t="n"/>
      <c r="H1276" s="10">
        <f>IF(F1276="","",IFERROR(INDEX(Roster!$A$2:$A$600,MATCH(F1276,Roster!$E$2:$E$600,0)),""))</f>
        <v/>
      </c>
      <c r="I1276" s="10">
        <f>IF(AND(D1276="",C1276="",F1276=""),"",IF(G1276&lt;&gt;"","Void",IF(F1276="","Needs child",IF(H1276="","Child not found",IF(OR(B1276="",NOT(ISNUMBER(C1276))),"Needs month/pages","OK")))))</f>
        <v/>
      </c>
      <c r="J1276" s="10">
        <f>IF(I1276="","",IF(I1276="OK",IF(COUNTIFS(H1277:H$3001,H1276,B1277:B$3001,B1276,G1277:G$3001,"")=0,C1276,0),0))</f>
        <v/>
      </c>
    </row>
    <row r="1277">
      <c r="A1277" s="6" t="n"/>
      <c r="B1277" s="9" t="n"/>
      <c r="C1277" s="6" t="n"/>
      <c r="D1277" s="6" t="n"/>
      <c r="E1277" s="6" t="n"/>
      <c r="F1277" s="6" t="n"/>
      <c r="G1277" s="6" t="n"/>
      <c r="H1277" s="10">
        <f>IF(F1277="","",IFERROR(INDEX(Roster!$A$2:$A$600,MATCH(F1277,Roster!$E$2:$E$600,0)),""))</f>
        <v/>
      </c>
      <c r="I1277" s="10">
        <f>IF(AND(D1277="",C1277="",F1277=""),"",IF(G1277&lt;&gt;"","Void",IF(F1277="","Needs child",IF(H1277="","Child not found",IF(OR(B1277="",NOT(ISNUMBER(C1277))),"Needs month/pages","OK")))))</f>
        <v/>
      </c>
      <c r="J1277" s="10">
        <f>IF(I1277="","",IF(I1277="OK",IF(COUNTIFS(H1278:H$3001,H1277,B1278:B$3001,B1277,G1278:G$3001,"")=0,C1277,0),0))</f>
        <v/>
      </c>
    </row>
    <row r="1278">
      <c r="A1278" s="6" t="n"/>
      <c r="B1278" s="9" t="n"/>
      <c r="C1278" s="6" t="n"/>
      <c r="D1278" s="6" t="n"/>
      <c r="E1278" s="6" t="n"/>
      <c r="F1278" s="6" t="n"/>
      <c r="G1278" s="6" t="n"/>
      <c r="H1278" s="10">
        <f>IF(F1278="","",IFERROR(INDEX(Roster!$A$2:$A$600,MATCH(F1278,Roster!$E$2:$E$600,0)),""))</f>
        <v/>
      </c>
      <c r="I1278" s="10">
        <f>IF(AND(D1278="",C1278="",F1278=""),"",IF(G1278&lt;&gt;"","Void",IF(F1278="","Needs child",IF(H1278="","Child not found",IF(OR(B1278="",NOT(ISNUMBER(C1278))),"Needs month/pages","OK")))))</f>
        <v/>
      </c>
      <c r="J1278" s="10">
        <f>IF(I1278="","",IF(I1278="OK",IF(COUNTIFS(H1279:H$3001,H1278,B1279:B$3001,B1278,G1279:G$3001,"")=0,C1278,0),0))</f>
        <v/>
      </c>
    </row>
    <row r="1279">
      <c r="A1279" s="6" t="n"/>
      <c r="B1279" s="9" t="n"/>
      <c r="C1279" s="6" t="n"/>
      <c r="D1279" s="6" t="n"/>
      <c r="E1279" s="6" t="n"/>
      <c r="F1279" s="6" t="n"/>
      <c r="G1279" s="6" t="n"/>
      <c r="H1279" s="10">
        <f>IF(F1279="","",IFERROR(INDEX(Roster!$A$2:$A$600,MATCH(F1279,Roster!$E$2:$E$600,0)),""))</f>
        <v/>
      </c>
      <c r="I1279" s="10">
        <f>IF(AND(D1279="",C1279="",F1279=""),"",IF(G1279&lt;&gt;"","Void",IF(F1279="","Needs child",IF(H1279="","Child not found",IF(OR(B1279="",NOT(ISNUMBER(C1279))),"Needs month/pages","OK")))))</f>
        <v/>
      </c>
      <c r="J1279" s="10">
        <f>IF(I1279="","",IF(I1279="OK",IF(COUNTIFS(H1280:H$3001,H1279,B1280:B$3001,B1279,G1280:G$3001,"")=0,C1279,0),0))</f>
        <v/>
      </c>
    </row>
    <row r="1280">
      <c r="A1280" s="6" t="n"/>
      <c r="B1280" s="9" t="n"/>
      <c r="C1280" s="6" t="n"/>
      <c r="D1280" s="6" t="n"/>
      <c r="E1280" s="6" t="n"/>
      <c r="F1280" s="6" t="n"/>
      <c r="G1280" s="6" t="n"/>
      <c r="H1280" s="10">
        <f>IF(F1280="","",IFERROR(INDEX(Roster!$A$2:$A$600,MATCH(F1280,Roster!$E$2:$E$600,0)),""))</f>
        <v/>
      </c>
      <c r="I1280" s="10">
        <f>IF(AND(D1280="",C1280="",F1280=""),"",IF(G1280&lt;&gt;"","Void",IF(F1280="","Needs child",IF(H1280="","Child not found",IF(OR(B1280="",NOT(ISNUMBER(C1280))),"Needs month/pages","OK")))))</f>
        <v/>
      </c>
      <c r="J1280" s="10">
        <f>IF(I1280="","",IF(I1280="OK",IF(COUNTIFS(H1281:H$3001,H1280,B1281:B$3001,B1280,G1281:G$3001,"")=0,C1280,0),0))</f>
        <v/>
      </c>
    </row>
    <row r="1281">
      <c r="A1281" s="6" t="n"/>
      <c r="B1281" s="9" t="n"/>
      <c r="C1281" s="6" t="n"/>
      <c r="D1281" s="6" t="n"/>
      <c r="E1281" s="6" t="n"/>
      <c r="F1281" s="6" t="n"/>
      <c r="G1281" s="6" t="n"/>
      <c r="H1281" s="10">
        <f>IF(F1281="","",IFERROR(INDEX(Roster!$A$2:$A$600,MATCH(F1281,Roster!$E$2:$E$600,0)),""))</f>
        <v/>
      </c>
      <c r="I1281" s="10">
        <f>IF(AND(D1281="",C1281="",F1281=""),"",IF(G1281&lt;&gt;"","Void",IF(F1281="","Needs child",IF(H1281="","Child not found",IF(OR(B1281="",NOT(ISNUMBER(C1281))),"Needs month/pages","OK")))))</f>
        <v/>
      </c>
      <c r="J1281" s="10">
        <f>IF(I1281="","",IF(I1281="OK",IF(COUNTIFS(H1282:H$3001,H1281,B1282:B$3001,B1281,G1282:G$3001,"")=0,C1281,0),0))</f>
        <v/>
      </c>
    </row>
    <row r="1282">
      <c r="A1282" s="6" t="n"/>
      <c r="B1282" s="9" t="n"/>
      <c r="C1282" s="6" t="n"/>
      <c r="D1282" s="6" t="n"/>
      <c r="E1282" s="6" t="n"/>
      <c r="F1282" s="6" t="n"/>
      <c r="G1282" s="6" t="n"/>
      <c r="H1282" s="10">
        <f>IF(F1282="","",IFERROR(INDEX(Roster!$A$2:$A$600,MATCH(F1282,Roster!$E$2:$E$600,0)),""))</f>
        <v/>
      </c>
      <c r="I1282" s="10">
        <f>IF(AND(D1282="",C1282="",F1282=""),"",IF(G1282&lt;&gt;"","Void",IF(F1282="","Needs child",IF(H1282="","Child not found",IF(OR(B1282="",NOT(ISNUMBER(C1282))),"Needs month/pages","OK")))))</f>
        <v/>
      </c>
      <c r="J1282" s="10">
        <f>IF(I1282="","",IF(I1282="OK",IF(COUNTIFS(H1283:H$3001,H1282,B1283:B$3001,B1282,G1283:G$3001,"")=0,C1282,0),0))</f>
        <v/>
      </c>
    </row>
    <row r="1283">
      <c r="A1283" s="6" t="n"/>
      <c r="B1283" s="9" t="n"/>
      <c r="C1283" s="6" t="n"/>
      <c r="D1283" s="6" t="n"/>
      <c r="E1283" s="6" t="n"/>
      <c r="F1283" s="6" t="n"/>
      <c r="G1283" s="6" t="n"/>
      <c r="H1283" s="10">
        <f>IF(F1283="","",IFERROR(INDEX(Roster!$A$2:$A$600,MATCH(F1283,Roster!$E$2:$E$600,0)),""))</f>
        <v/>
      </c>
      <c r="I1283" s="10">
        <f>IF(AND(D1283="",C1283="",F1283=""),"",IF(G1283&lt;&gt;"","Void",IF(F1283="","Needs child",IF(H1283="","Child not found",IF(OR(B1283="",NOT(ISNUMBER(C1283))),"Needs month/pages","OK")))))</f>
        <v/>
      </c>
      <c r="J1283" s="10">
        <f>IF(I1283="","",IF(I1283="OK",IF(COUNTIFS(H1284:H$3001,H1283,B1284:B$3001,B1283,G1284:G$3001,"")=0,C1283,0),0))</f>
        <v/>
      </c>
    </row>
    <row r="1284">
      <c r="A1284" s="6" t="n"/>
      <c r="B1284" s="9" t="n"/>
      <c r="C1284" s="6" t="n"/>
      <c r="D1284" s="6" t="n"/>
      <c r="E1284" s="6" t="n"/>
      <c r="F1284" s="6" t="n"/>
      <c r="G1284" s="6" t="n"/>
      <c r="H1284" s="10">
        <f>IF(F1284="","",IFERROR(INDEX(Roster!$A$2:$A$600,MATCH(F1284,Roster!$E$2:$E$600,0)),""))</f>
        <v/>
      </c>
      <c r="I1284" s="10">
        <f>IF(AND(D1284="",C1284="",F1284=""),"",IF(G1284&lt;&gt;"","Void",IF(F1284="","Needs child",IF(H1284="","Child not found",IF(OR(B1284="",NOT(ISNUMBER(C1284))),"Needs month/pages","OK")))))</f>
        <v/>
      </c>
      <c r="J1284" s="10">
        <f>IF(I1284="","",IF(I1284="OK",IF(COUNTIFS(H1285:H$3001,H1284,B1285:B$3001,B1284,G1285:G$3001,"")=0,C1284,0),0))</f>
        <v/>
      </c>
    </row>
    <row r="1285">
      <c r="A1285" s="6" t="n"/>
      <c r="B1285" s="9" t="n"/>
      <c r="C1285" s="6" t="n"/>
      <c r="D1285" s="6" t="n"/>
      <c r="E1285" s="6" t="n"/>
      <c r="F1285" s="6" t="n"/>
      <c r="G1285" s="6" t="n"/>
      <c r="H1285" s="10">
        <f>IF(F1285="","",IFERROR(INDEX(Roster!$A$2:$A$600,MATCH(F1285,Roster!$E$2:$E$600,0)),""))</f>
        <v/>
      </c>
      <c r="I1285" s="10">
        <f>IF(AND(D1285="",C1285="",F1285=""),"",IF(G1285&lt;&gt;"","Void",IF(F1285="","Needs child",IF(H1285="","Child not found",IF(OR(B1285="",NOT(ISNUMBER(C1285))),"Needs month/pages","OK")))))</f>
        <v/>
      </c>
      <c r="J1285" s="10">
        <f>IF(I1285="","",IF(I1285="OK",IF(COUNTIFS(H1286:H$3001,H1285,B1286:B$3001,B1285,G1286:G$3001,"")=0,C1285,0),0))</f>
        <v/>
      </c>
    </row>
    <row r="1286">
      <c r="A1286" s="6" t="n"/>
      <c r="B1286" s="9" t="n"/>
      <c r="C1286" s="6" t="n"/>
      <c r="D1286" s="6" t="n"/>
      <c r="E1286" s="6" t="n"/>
      <c r="F1286" s="6" t="n"/>
      <c r="G1286" s="6" t="n"/>
      <c r="H1286" s="10">
        <f>IF(F1286="","",IFERROR(INDEX(Roster!$A$2:$A$600,MATCH(F1286,Roster!$E$2:$E$600,0)),""))</f>
        <v/>
      </c>
      <c r="I1286" s="10">
        <f>IF(AND(D1286="",C1286="",F1286=""),"",IF(G1286&lt;&gt;"","Void",IF(F1286="","Needs child",IF(H1286="","Child not found",IF(OR(B1286="",NOT(ISNUMBER(C1286))),"Needs month/pages","OK")))))</f>
        <v/>
      </c>
      <c r="J1286" s="10">
        <f>IF(I1286="","",IF(I1286="OK",IF(COUNTIFS(H1287:H$3001,H1286,B1287:B$3001,B1286,G1287:G$3001,"")=0,C1286,0),0))</f>
        <v/>
      </c>
    </row>
    <row r="1287">
      <c r="A1287" s="6" t="n"/>
      <c r="B1287" s="9" t="n"/>
      <c r="C1287" s="6" t="n"/>
      <c r="D1287" s="6" t="n"/>
      <c r="E1287" s="6" t="n"/>
      <c r="F1287" s="6" t="n"/>
      <c r="G1287" s="6" t="n"/>
      <c r="H1287" s="10">
        <f>IF(F1287="","",IFERROR(INDEX(Roster!$A$2:$A$600,MATCH(F1287,Roster!$E$2:$E$600,0)),""))</f>
        <v/>
      </c>
      <c r="I1287" s="10">
        <f>IF(AND(D1287="",C1287="",F1287=""),"",IF(G1287&lt;&gt;"","Void",IF(F1287="","Needs child",IF(H1287="","Child not found",IF(OR(B1287="",NOT(ISNUMBER(C1287))),"Needs month/pages","OK")))))</f>
        <v/>
      </c>
      <c r="J1287" s="10">
        <f>IF(I1287="","",IF(I1287="OK",IF(COUNTIFS(H1288:H$3001,H1287,B1288:B$3001,B1287,G1288:G$3001,"")=0,C1287,0),0))</f>
        <v/>
      </c>
    </row>
    <row r="1288">
      <c r="A1288" s="6" t="n"/>
      <c r="B1288" s="9" t="n"/>
      <c r="C1288" s="6" t="n"/>
      <c r="D1288" s="6" t="n"/>
      <c r="E1288" s="6" t="n"/>
      <c r="F1288" s="6" t="n"/>
      <c r="G1288" s="6" t="n"/>
      <c r="H1288" s="10">
        <f>IF(F1288="","",IFERROR(INDEX(Roster!$A$2:$A$600,MATCH(F1288,Roster!$E$2:$E$600,0)),""))</f>
        <v/>
      </c>
      <c r="I1288" s="10">
        <f>IF(AND(D1288="",C1288="",F1288=""),"",IF(G1288&lt;&gt;"","Void",IF(F1288="","Needs child",IF(H1288="","Child not found",IF(OR(B1288="",NOT(ISNUMBER(C1288))),"Needs month/pages","OK")))))</f>
        <v/>
      </c>
      <c r="J1288" s="10">
        <f>IF(I1288="","",IF(I1288="OK",IF(COUNTIFS(H1289:H$3001,H1288,B1289:B$3001,B1288,G1289:G$3001,"")=0,C1288,0),0))</f>
        <v/>
      </c>
    </row>
    <row r="1289">
      <c r="A1289" s="6" t="n"/>
      <c r="B1289" s="9" t="n"/>
      <c r="C1289" s="6" t="n"/>
      <c r="D1289" s="6" t="n"/>
      <c r="E1289" s="6" t="n"/>
      <c r="F1289" s="6" t="n"/>
      <c r="G1289" s="6" t="n"/>
      <c r="H1289" s="10">
        <f>IF(F1289="","",IFERROR(INDEX(Roster!$A$2:$A$600,MATCH(F1289,Roster!$E$2:$E$600,0)),""))</f>
        <v/>
      </c>
      <c r="I1289" s="10">
        <f>IF(AND(D1289="",C1289="",F1289=""),"",IF(G1289&lt;&gt;"","Void",IF(F1289="","Needs child",IF(H1289="","Child not found",IF(OR(B1289="",NOT(ISNUMBER(C1289))),"Needs month/pages","OK")))))</f>
        <v/>
      </c>
      <c r="J1289" s="10">
        <f>IF(I1289="","",IF(I1289="OK",IF(COUNTIFS(H1290:H$3001,H1289,B1290:B$3001,B1289,G1290:G$3001,"")=0,C1289,0),0))</f>
        <v/>
      </c>
    </row>
    <row r="1290">
      <c r="A1290" s="6" t="n"/>
      <c r="B1290" s="9" t="n"/>
      <c r="C1290" s="6" t="n"/>
      <c r="D1290" s="6" t="n"/>
      <c r="E1290" s="6" t="n"/>
      <c r="F1290" s="6" t="n"/>
      <c r="G1290" s="6" t="n"/>
      <c r="H1290" s="10">
        <f>IF(F1290="","",IFERROR(INDEX(Roster!$A$2:$A$600,MATCH(F1290,Roster!$E$2:$E$600,0)),""))</f>
        <v/>
      </c>
      <c r="I1290" s="10">
        <f>IF(AND(D1290="",C1290="",F1290=""),"",IF(G1290&lt;&gt;"","Void",IF(F1290="","Needs child",IF(H1290="","Child not found",IF(OR(B1290="",NOT(ISNUMBER(C1290))),"Needs month/pages","OK")))))</f>
        <v/>
      </c>
      <c r="J1290" s="10">
        <f>IF(I1290="","",IF(I1290="OK",IF(COUNTIFS(H1291:H$3001,H1290,B1291:B$3001,B1290,G1291:G$3001,"")=0,C1290,0),0))</f>
        <v/>
      </c>
    </row>
    <row r="1291">
      <c r="A1291" s="6" t="n"/>
      <c r="B1291" s="9" t="n"/>
      <c r="C1291" s="6" t="n"/>
      <c r="D1291" s="6" t="n"/>
      <c r="E1291" s="6" t="n"/>
      <c r="F1291" s="6" t="n"/>
      <c r="G1291" s="6" t="n"/>
      <c r="H1291" s="10">
        <f>IF(F1291="","",IFERROR(INDEX(Roster!$A$2:$A$600,MATCH(F1291,Roster!$E$2:$E$600,0)),""))</f>
        <v/>
      </c>
      <c r="I1291" s="10">
        <f>IF(AND(D1291="",C1291="",F1291=""),"",IF(G1291&lt;&gt;"","Void",IF(F1291="","Needs child",IF(H1291="","Child not found",IF(OR(B1291="",NOT(ISNUMBER(C1291))),"Needs month/pages","OK")))))</f>
        <v/>
      </c>
      <c r="J1291" s="10">
        <f>IF(I1291="","",IF(I1291="OK",IF(COUNTIFS(H1292:H$3001,H1291,B1292:B$3001,B1291,G1292:G$3001,"")=0,C1291,0),0))</f>
        <v/>
      </c>
    </row>
    <row r="1292">
      <c r="A1292" s="6" t="n"/>
      <c r="B1292" s="9" t="n"/>
      <c r="C1292" s="6" t="n"/>
      <c r="D1292" s="6" t="n"/>
      <c r="E1292" s="6" t="n"/>
      <c r="F1292" s="6" t="n"/>
      <c r="G1292" s="6" t="n"/>
      <c r="H1292" s="10">
        <f>IF(F1292="","",IFERROR(INDEX(Roster!$A$2:$A$600,MATCH(F1292,Roster!$E$2:$E$600,0)),""))</f>
        <v/>
      </c>
      <c r="I1292" s="10">
        <f>IF(AND(D1292="",C1292="",F1292=""),"",IF(G1292&lt;&gt;"","Void",IF(F1292="","Needs child",IF(H1292="","Child not found",IF(OR(B1292="",NOT(ISNUMBER(C1292))),"Needs month/pages","OK")))))</f>
        <v/>
      </c>
      <c r="J1292" s="10">
        <f>IF(I1292="","",IF(I1292="OK",IF(COUNTIFS(H1293:H$3001,H1292,B1293:B$3001,B1292,G1293:G$3001,"")=0,C1292,0),0))</f>
        <v/>
      </c>
    </row>
    <row r="1293">
      <c r="A1293" s="6" t="n"/>
      <c r="B1293" s="9" t="n"/>
      <c r="C1293" s="6" t="n"/>
      <c r="D1293" s="6" t="n"/>
      <c r="E1293" s="6" t="n"/>
      <c r="F1293" s="6" t="n"/>
      <c r="G1293" s="6" t="n"/>
      <c r="H1293" s="10">
        <f>IF(F1293="","",IFERROR(INDEX(Roster!$A$2:$A$600,MATCH(F1293,Roster!$E$2:$E$600,0)),""))</f>
        <v/>
      </c>
      <c r="I1293" s="10">
        <f>IF(AND(D1293="",C1293="",F1293=""),"",IF(G1293&lt;&gt;"","Void",IF(F1293="","Needs child",IF(H1293="","Child not found",IF(OR(B1293="",NOT(ISNUMBER(C1293))),"Needs month/pages","OK")))))</f>
        <v/>
      </c>
      <c r="J1293" s="10">
        <f>IF(I1293="","",IF(I1293="OK",IF(COUNTIFS(H1294:H$3001,H1293,B1294:B$3001,B1293,G1294:G$3001,"")=0,C1293,0),0))</f>
        <v/>
      </c>
    </row>
    <row r="1294">
      <c r="A1294" s="6" t="n"/>
      <c r="B1294" s="9" t="n"/>
      <c r="C1294" s="6" t="n"/>
      <c r="D1294" s="6" t="n"/>
      <c r="E1294" s="6" t="n"/>
      <c r="F1294" s="6" t="n"/>
      <c r="G1294" s="6" t="n"/>
      <c r="H1294" s="10">
        <f>IF(F1294="","",IFERROR(INDEX(Roster!$A$2:$A$600,MATCH(F1294,Roster!$E$2:$E$600,0)),""))</f>
        <v/>
      </c>
      <c r="I1294" s="10">
        <f>IF(AND(D1294="",C1294="",F1294=""),"",IF(G1294&lt;&gt;"","Void",IF(F1294="","Needs child",IF(H1294="","Child not found",IF(OR(B1294="",NOT(ISNUMBER(C1294))),"Needs month/pages","OK")))))</f>
        <v/>
      </c>
      <c r="J1294" s="10">
        <f>IF(I1294="","",IF(I1294="OK",IF(COUNTIFS(H1295:H$3001,H1294,B1295:B$3001,B1294,G1295:G$3001,"")=0,C1294,0),0))</f>
        <v/>
      </c>
    </row>
    <row r="1295">
      <c r="A1295" s="6" t="n"/>
      <c r="B1295" s="9" t="n"/>
      <c r="C1295" s="6" t="n"/>
      <c r="D1295" s="6" t="n"/>
      <c r="E1295" s="6" t="n"/>
      <c r="F1295" s="6" t="n"/>
      <c r="G1295" s="6" t="n"/>
      <c r="H1295" s="10">
        <f>IF(F1295="","",IFERROR(INDEX(Roster!$A$2:$A$600,MATCH(F1295,Roster!$E$2:$E$600,0)),""))</f>
        <v/>
      </c>
      <c r="I1295" s="10">
        <f>IF(AND(D1295="",C1295="",F1295=""),"",IF(G1295&lt;&gt;"","Void",IF(F1295="","Needs child",IF(H1295="","Child not found",IF(OR(B1295="",NOT(ISNUMBER(C1295))),"Needs month/pages","OK")))))</f>
        <v/>
      </c>
      <c r="J1295" s="10">
        <f>IF(I1295="","",IF(I1295="OK",IF(COUNTIFS(H1296:H$3001,H1295,B1296:B$3001,B1295,G1296:G$3001,"")=0,C1295,0),0))</f>
        <v/>
      </c>
    </row>
    <row r="1296">
      <c r="A1296" s="6" t="n"/>
      <c r="B1296" s="9" t="n"/>
      <c r="C1296" s="6" t="n"/>
      <c r="D1296" s="6" t="n"/>
      <c r="E1296" s="6" t="n"/>
      <c r="F1296" s="6" t="n"/>
      <c r="G1296" s="6" t="n"/>
      <c r="H1296" s="10">
        <f>IF(F1296="","",IFERROR(INDEX(Roster!$A$2:$A$600,MATCH(F1296,Roster!$E$2:$E$600,0)),""))</f>
        <v/>
      </c>
      <c r="I1296" s="10">
        <f>IF(AND(D1296="",C1296="",F1296=""),"",IF(G1296&lt;&gt;"","Void",IF(F1296="","Needs child",IF(H1296="","Child not found",IF(OR(B1296="",NOT(ISNUMBER(C1296))),"Needs month/pages","OK")))))</f>
        <v/>
      </c>
      <c r="J1296" s="10">
        <f>IF(I1296="","",IF(I1296="OK",IF(COUNTIFS(H1297:H$3001,H1296,B1297:B$3001,B1296,G1297:G$3001,"")=0,C1296,0),0))</f>
        <v/>
      </c>
    </row>
    <row r="1297">
      <c r="A1297" s="6" t="n"/>
      <c r="B1297" s="9" t="n"/>
      <c r="C1297" s="6" t="n"/>
      <c r="D1297" s="6" t="n"/>
      <c r="E1297" s="6" t="n"/>
      <c r="F1297" s="6" t="n"/>
      <c r="G1297" s="6" t="n"/>
      <c r="H1297" s="10">
        <f>IF(F1297="","",IFERROR(INDEX(Roster!$A$2:$A$600,MATCH(F1297,Roster!$E$2:$E$600,0)),""))</f>
        <v/>
      </c>
      <c r="I1297" s="10">
        <f>IF(AND(D1297="",C1297="",F1297=""),"",IF(G1297&lt;&gt;"","Void",IF(F1297="","Needs child",IF(H1297="","Child not found",IF(OR(B1297="",NOT(ISNUMBER(C1297))),"Needs month/pages","OK")))))</f>
        <v/>
      </c>
      <c r="J1297" s="10">
        <f>IF(I1297="","",IF(I1297="OK",IF(COUNTIFS(H1298:H$3001,H1297,B1298:B$3001,B1297,G1298:G$3001,"")=0,C1297,0),0))</f>
        <v/>
      </c>
    </row>
    <row r="1298">
      <c r="A1298" s="6" t="n"/>
      <c r="B1298" s="9" t="n"/>
      <c r="C1298" s="6" t="n"/>
      <c r="D1298" s="6" t="n"/>
      <c r="E1298" s="6" t="n"/>
      <c r="F1298" s="6" t="n"/>
      <c r="G1298" s="6" t="n"/>
      <c r="H1298" s="10">
        <f>IF(F1298="","",IFERROR(INDEX(Roster!$A$2:$A$600,MATCH(F1298,Roster!$E$2:$E$600,0)),""))</f>
        <v/>
      </c>
      <c r="I1298" s="10">
        <f>IF(AND(D1298="",C1298="",F1298=""),"",IF(G1298&lt;&gt;"","Void",IF(F1298="","Needs child",IF(H1298="","Child not found",IF(OR(B1298="",NOT(ISNUMBER(C1298))),"Needs month/pages","OK")))))</f>
        <v/>
      </c>
      <c r="J1298" s="10">
        <f>IF(I1298="","",IF(I1298="OK",IF(COUNTIFS(H1299:H$3001,H1298,B1299:B$3001,B1298,G1299:G$3001,"")=0,C1298,0),0))</f>
        <v/>
      </c>
    </row>
    <row r="1299">
      <c r="A1299" s="6" t="n"/>
      <c r="B1299" s="9" t="n"/>
      <c r="C1299" s="6" t="n"/>
      <c r="D1299" s="6" t="n"/>
      <c r="E1299" s="6" t="n"/>
      <c r="F1299" s="6" t="n"/>
      <c r="G1299" s="6" t="n"/>
      <c r="H1299" s="10">
        <f>IF(F1299="","",IFERROR(INDEX(Roster!$A$2:$A$600,MATCH(F1299,Roster!$E$2:$E$600,0)),""))</f>
        <v/>
      </c>
      <c r="I1299" s="10">
        <f>IF(AND(D1299="",C1299="",F1299=""),"",IF(G1299&lt;&gt;"","Void",IF(F1299="","Needs child",IF(H1299="","Child not found",IF(OR(B1299="",NOT(ISNUMBER(C1299))),"Needs month/pages","OK")))))</f>
        <v/>
      </c>
      <c r="J1299" s="10">
        <f>IF(I1299="","",IF(I1299="OK",IF(COUNTIFS(H1300:H$3001,H1299,B1300:B$3001,B1299,G1300:G$3001,"")=0,C1299,0),0))</f>
        <v/>
      </c>
    </row>
    <row r="1300">
      <c r="A1300" s="6" t="n"/>
      <c r="B1300" s="9" t="n"/>
      <c r="C1300" s="6" t="n"/>
      <c r="D1300" s="6" t="n"/>
      <c r="E1300" s="6" t="n"/>
      <c r="F1300" s="6" t="n"/>
      <c r="G1300" s="6" t="n"/>
      <c r="H1300" s="10">
        <f>IF(F1300="","",IFERROR(INDEX(Roster!$A$2:$A$600,MATCH(F1300,Roster!$E$2:$E$600,0)),""))</f>
        <v/>
      </c>
      <c r="I1300" s="10">
        <f>IF(AND(D1300="",C1300="",F1300=""),"",IF(G1300&lt;&gt;"","Void",IF(F1300="","Needs child",IF(H1300="","Child not found",IF(OR(B1300="",NOT(ISNUMBER(C1300))),"Needs month/pages","OK")))))</f>
        <v/>
      </c>
      <c r="J1300" s="10">
        <f>IF(I1300="","",IF(I1300="OK",IF(COUNTIFS(H1301:H$3001,H1300,B1301:B$3001,B1300,G1301:G$3001,"")=0,C1300,0),0))</f>
        <v/>
      </c>
    </row>
    <row r="1301">
      <c r="A1301" s="6" t="n"/>
      <c r="B1301" s="9" t="n"/>
      <c r="C1301" s="6" t="n"/>
      <c r="D1301" s="6" t="n"/>
      <c r="E1301" s="6" t="n"/>
      <c r="F1301" s="6" t="n"/>
      <c r="G1301" s="6" t="n"/>
      <c r="H1301" s="10">
        <f>IF(F1301="","",IFERROR(INDEX(Roster!$A$2:$A$600,MATCH(F1301,Roster!$E$2:$E$600,0)),""))</f>
        <v/>
      </c>
      <c r="I1301" s="10">
        <f>IF(AND(D1301="",C1301="",F1301=""),"",IF(G1301&lt;&gt;"","Void",IF(F1301="","Needs child",IF(H1301="","Child not found",IF(OR(B1301="",NOT(ISNUMBER(C1301))),"Needs month/pages","OK")))))</f>
        <v/>
      </c>
      <c r="J1301" s="10">
        <f>IF(I1301="","",IF(I1301="OK",IF(COUNTIFS(H1302:H$3001,H1301,B1302:B$3001,B1301,G1302:G$3001,"")=0,C1301,0),0))</f>
        <v/>
      </c>
    </row>
    <row r="1302">
      <c r="A1302" s="6" t="n"/>
      <c r="B1302" s="9" t="n"/>
      <c r="C1302" s="6" t="n"/>
      <c r="D1302" s="6" t="n"/>
      <c r="E1302" s="6" t="n"/>
      <c r="F1302" s="6" t="n"/>
      <c r="G1302" s="6" t="n"/>
      <c r="H1302" s="10">
        <f>IF(F1302="","",IFERROR(INDEX(Roster!$A$2:$A$600,MATCH(F1302,Roster!$E$2:$E$600,0)),""))</f>
        <v/>
      </c>
      <c r="I1302" s="10">
        <f>IF(AND(D1302="",C1302="",F1302=""),"",IF(G1302&lt;&gt;"","Void",IF(F1302="","Needs child",IF(H1302="","Child not found",IF(OR(B1302="",NOT(ISNUMBER(C1302))),"Needs month/pages","OK")))))</f>
        <v/>
      </c>
      <c r="J1302" s="10">
        <f>IF(I1302="","",IF(I1302="OK",IF(COUNTIFS(H1303:H$3001,H1302,B1303:B$3001,B1302,G1303:G$3001,"")=0,C1302,0),0))</f>
        <v/>
      </c>
    </row>
    <row r="1303">
      <c r="A1303" s="6" t="n"/>
      <c r="B1303" s="9" t="n"/>
      <c r="C1303" s="6" t="n"/>
      <c r="D1303" s="6" t="n"/>
      <c r="E1303" s="6" t="n"/>
      <c r="F1303" s="6" t="n"/>
      <c r="G1303" s="6" t="n"/>
      <c r="H1303" s="10">
        <f>IF(F1303="","",IFERROR(INDEX(Roster!$A$2:$A$600,MATCH(F1303,Roster!$E$2:$E$600,0)),""))</f>
        <v/>
      </c>
      <c r="I1303" s="10">
        <f>IF(AND(D1303="",C1303="",F1303=""),"",IF(G1303&lt;&gt;"","Void",IF(F1303="","Needs child",IF(H1303="","Child not found",IF(OR(B1303="",NOT(ISNUMBER(C1303))),"Needs month/pages","OK")))))</f>
        <v/>
      </c>
      <c r="J1303" s="10">
        <f>IF(I1303="","",IF(I1303="OK",IF(COUNTIFS(H1304:H$3001,H1303,B1304:B$3001,B1303,G1304:G$3001,"")=0,C1303,0),0))</f>
        <v/>
      </c>
    </row>
    <row r="1304">
      <c r="A1304" s="6" t="n"/>
      <c r="B1304" s="9" t="n"/>
      <c r="C1304" s="6" t="n"/>
      <c r="D1304" s="6" t="n"/>
      <c r="E1304" s="6" t="n"/>
      <c r="F1304" s="6" t="n"/>
      <c r="G1304" s="6" t="n"/>
      <c r="H1304" s="10">
        <f>IF(F1304="","",IFERROR(INDEX(Roster!$A$2:$A$600,MATCH(F1304,Roster!$E$2:$E$600,0)),""))</f>
        <v/>
      </c>
      <c r="I1304" s="10">
        <f>IF(AND(D1304="",C1304="",F1304=""),"",IF(G1304&lt;&gt;"","Void",IF(F1304="","Needs child",IF(H1304="","Child not found",IF(OR(B1304="",NOT(ISNUMBER(C1304))),"Needs month/pages","OK")))))</f>
        <v/>
      </c>
      <c r="J1304" s="10">
        <f>IF(I1304="","",IF(I1304="OK",IF(COUNTIFS(H1305:H$3001,H1304,B1305:B$3001,B1304,G1305:G$3001,"")=0,C1304,0),0))</f>
        <v/>
      </c>
    </row>
    <row r="1305">
      <c r="A1305" s="6" t="n"/>
      <c r="B1305" s="9" t="n"/>
      <c r="C1305" s="6" t="n"/>
      <c r="D1305" s="6" t="n"/>
      <c r="E1305" s="6" t="n"/>
      <c r="F1305" s="6" t="n"/>
      <c r="G1305" s="6" t="n"/>
      <c r="H1305" s="10">
        <f>IF(F1305="","",IFERROR(INDEX(Roster!$A$2:$A$600,MATCH(F1305,Roster!$E$2:$E$600,0)),""))</f>
        <v/>
      </c>
      <c r="I1305" s="10">
        <f>IF(AND(D1305="",C1305="",F1305=""),"",IF(G1305&lt;&gt;"","Void",IF(F1305="","Needs child",IF(H1305="","Child not found",IF(OR(B1305="",NOT(ISNUMBER(C1305))),"Needs month/pages","OK")))))</f>
        <v/>
      </c>
      <c r="J1305" s="10">
        <f>IF(I1305="","",IF(I1305="OK",IF(COUNTIFS(H1306:H$3001,H1305,B1306:B$3001,B1305,G1306:G$3001,"")=0,C1305,0),0))</f>
        <v/>
      </c>
    </row>
    <row r="1306">
      <c r="A1306" s="6" t="n"/>
      <c r="B1306" s="9" t="n"/>
      <c r="C1306" s="6" t="n"/>
      <c r="D1306" s="6" t="n"/>
      <c r="E1306" s="6" t="n"/>
      <c r="F1306" s="6" t="n"/>
      <c r="G1306" s="6" t="n"/>
      <c r="H1306" s="10">
        <f>IF(F1306="","",IFERROR(INDEX(Roster!$A$2:$A$600,MATCH(F1306,Roster!$E$2:$E$600,0)),""))</f>
        <v/>
      </c>
      <c r="I1306" s="10">
        <f>IF(AND(D1306="",C1306="",F1306=""),"",IF(G1306&lt;&gt;"","Void",IF(F1306="","Needs child",IF(H1306="","Child not found",IF(OR(B1306="",NOT(ISNUMBER(C1306))),"Needs month/pages","OK")))))</f>
        <v/>
      </c>
      <c r="J1306" s="10">
        <f>IF(I1306="","",IF(I1306="OK",IF(COUNTIFS(H1307:H$3001,H1306,B1307:B$3001,B1306,G1307:G$3001,"")=0,C1306,0),0))</f>
        <v/>
      </c>
    </row>
    <row r="1307">
      <c r="A1307" s="6" t="n"/>
      <c r="B1307" s="9" t="n"/>
      <c r="C1307" s="6" t="n"/>
      <c r="D1307" s="6" t="n"/>
      <c r="E1307" s="6" t="n"/>
      <c r="F1307" s="6" t="n"/>
      <c r="G1307" s="6" t="n"/>
      <c r="H1307" s="10">
        <f>IF(F1307="","",IFERROR(INDEX(Roster!$A$2:$A$600,MATCH(F1307,Roster!$E$2:$E$600,0)),""))</f>
        <v/>
      </c>
      <c r="I1307" s="10">
        <f>IF(AND(D1307="",C1307="",F1307=""),"",IF(G1307&lt;&gt;"","Void",IF(F1307="","Needs child",IF(H1307="","Child not found",IF(OR(B1307="",NOT(ISNUMBER(C1307))),"Needs month/pages","OK")))))</f>
        <v/>
      </c>
      <c r="J1307" s="10">
        <f>IF(I1307="","",IF(I1307="OK",IF(COUNTIFS(H1308:H$3001,H1307,B1308:B$3001,B1307,G1308:G$3001,"")=0,C1307,0),0))</f>
        <v/>
      </c>
    </row>
    <row r="1308">
      <c r="A1308" s="6" t="n"/>
      <c r="B1308" s="9" t="n"/>
      <c r="C1308" s="6" t="n"/>
      <c r="D1308" s="6" t="n"/>
      <c r="E1308" s="6" t="n"/>
      <c r="F1308" s="6" t="n"/>
      <c r="G1308" s="6" t="n"/>
      <c r="H1308" s="10">
        <f>IF(F1308="","",IFERROR(INDEX(Roster!$A$2:$A$600,MATCH(F1308,Roster!$E$2:$E$600,0)),""))</f>
        <v/>
      </c>
      <c r="I1308" s="10">
        <f>IF(AND(D1308="",C1308="",F1308=""),"",IF(G1308&lt;&gt;"","Void",IF(F1308="","Needs child",IF(H1308="","Child not found",IF(OR(B1308="",NOT(ISNUMBER(C1308))),"Needs month/pages","OK")))))</f>
        <v/>
      </c>
      <c r="J1308" s="10">
        <f>IF(I1308="","",IF(I1308="OK",IF(COUNTIFS(H1309:H$3001,H1308,B1309:B$3001,B1308,G1309:G$3001,"")=0,C1308,0),0))</f>
        <v/>
      </c>
    </row>
    <row r="1309">
      <c r="A1309" s="6" t="n"/>
      <c r="B1309" s="9" t="n"/>
      <c r="C1309" s="6" t="n"/>
      <c r="D1309" s="6" t="n"/>
      <c r="E1309" s="6" t="n"/>
      <c r="F1309" s="6" t="n"/>
      <c r="G1309" s="6" t="n"/>
      <c r="H1309" s="10">
        <f>IF(F1309="","",IFERROR(INDEX(Roster!$A$2:$A$600,MATCH(F1309,Roster!$E$2:$E$600,0)),""))</f>
        <v/>
      </c>
      <c r="I1309" s="10">
        <f>IF(AND(D1309="",C1309="",F1309=""),"",IF(G1309&lt;&gt;"","Void",IF(F1309="","Needs child",IF(H1309="","Child not found",IF(OR(B1309="",NOT(ISNUMBER(C1309))),"Needs month/pages","OK")))))</f>
        <v/>
      </c>
      <c r="J1309" s="10">
        <f>IF(I1309="","",IF(I1309="OK",IF(COUNTIFS(H1310:H$3001,H1309,B1310:B$3001,B1309,G1310:G$3001,"")=0,C1309,0),0))</f>
        <v/>
      </c>
    </row>
    <row r="1310">
      <c r="A1310" s="6" t="n"/>
      <c r="B1310" s="9" t="n"/>
      <c r="C1310" s="6" t="n"/>
      <c r="D1310" s="6" t="n"/>
      <c r="E1310" s="6" t="n"/>
      <c r="F1310" s="6" t="n"/>
      <c r="G1310" s="6" t="n"/>
      <c r="H1310" s="10">
        <f>IF(F1310="","",IFERROR(INDEX(Roster!$A$2:$A$600,MATCH(F1310,Roster!$E$2:$E$600,0)),""))</f>
        <v/>
      </c>
      <c r="I1310" s="10">
        <f>IF(AND(D1310="",C1310="",F1310=""),"",IF(G1310&lt;&gt;"","Void",IF(F1310="","Needs child",IF(H1310="","Child not found",IF(OR(B1310="",NOT(ISNUMBER(C1310))),"Needs month/pages","OK")))))</f>
        <v/>
      </c>
      <c r="J1310" s="10">
        <f>IF(I1310="","",IF(I1310="OK",IF(COUNTIFS(H1311:H$3001,H1310,B1311:B$3001,B1310,G1311:G$3001,"")=0,C1310,0),0))</f>
        <v/>
      </c>
    </row>
    <row r="1311">
      <c r="A1311" s="6" t="n"/>
      <c r="B1311" s="9" t="n"/>
      <c r="C1311" s="6" t="n"/>
      <c r="D1311" s="6" t="n"/>
      <c r="E1311" s="6" t="n"/>
      <c r="F1311" s="6" t="n"/>
      <c r="G1311" s="6" t="n"/>
      <c r="H1311" s="10">
        <f>IF(F1311="","",IFERROR(INDEX(Roster!$A$2:$A$600,MATCH(F1311,Roster!$E$2:$E$600,0)),""))</f>
        <v/>
      </c>
      <c r="I1311" s="10">
        <f>IF(AND(D1311="",C1311="",F1311=""),"",IF(G1311&lt;&gt;"","Void",IF(F1311="","Needs child",IF(H1311="","Child not found",IF(OR(B1311="",NOT(ISNUMBER(C1311))),"Needs month/pages","OK")))))</f>
        <v/>
      </c>
      <c r="J1311" s="10">
        <f>IF(I1311="","",IF(I1311="OK",IF(COUNTIFS(H1312:H$3001,H1311,B1312:B$3001,B1311,G1312:G$3001,"")=0,C1311,0),0))</f>
        <v/>
      </c>
    </row>
    <row r="1312">
      <c r="A1312" s="6" t="n"/>
      <c r="B1312" s="9" t="n"/>
      <c r="C1312" s="6" t="n"/>
      <c r="D1312" s="6" t="n"/>
      <c r="E1312" s="6" t="n"/>
      <c r="F1312" s="6" t="n"/>
      <c r="G1312" s="6" t="n"/>
      <c r="H1312" s="10">
        <f>IF(F1312="","",IFERROR(INDEX(Roster!$A$2:$A$600,MATCH(F1312,Roster!$E$2:$E$600,0)),""))</f>
        <v/>
      </c>
      <c r="I1312" s="10">
        <f>IF(AND(D1312="",C1312="",F1312=""),"",IF(G1312&lt;&gt;"","Void",IF(F1312="","Needs child",IF(H1312="","Child not found",IF(OR(B1312="",NOT(ISNUMBER(C1312))),"Needs month/pages","OK")))))</f>
        <v/>
      </c>
      <c r="J1312" s="10">
        <f>IF(I1312="","",IF(I1312="OK",IF(COUNTIFS(H1313:H$3001,H1312,B1313:B$3001,B1312,G1313:G$3001,"")=0,C1312,0),0))</f>
        <v/>
      </c>
    </row>
    <row r="1313">
      <c r="A1313" s="6" t="n"/>
      <c r="B1313" s="9" t="n"/>
      <c r="C1313" s="6" t="n"/>
      <c r="D1313" s="6" t="n"/>
      <c r="E1313" s="6" t="n"/>
      <c r="F1313" s="6" t="n"/>
      <c r="G1313" s="6" t="n"/>
      <c r="H1313" s="10">
        <f>IF(F1313="","",IFERROR(INDEX(Roster!$A$2:$A$600,MATCH(F1313,Roster!$E$2:$E$600,0)),""))</f>
        <v/>
      </c>
      <c r="I1313" s="10">
        <f>IF(AND(D1313="",C1313="",F1313=""),"",IF(G1313&lt;&gt;"","Void",IF(F1313="","Needs child",IF(H1313="","Child not found",IF(OR(B1313="",NOT(ISNUMBER(C1313))),"Needs month/pages","OK")))))</f>
        <v/>
      </c>
      <c r="J1313" s="10">
        <f>IF(I1313="","",IF(I1313="OK",IF(COUNTIFS(H1314:H$3001,H1313,B1314:B$3001,B1313,G1314:G$3001,"")=0,C1313,0),0))</f>
        <v/>
      </c>
    </row>
    <row r="1314">
      <c r="A1314" s="6" t="n"/>
      <c r="B1314" s="9" t="n"/>
      <c r="C1314" s="6" t="n"/>
      <c r="D1314" s="6" t="n"/>
      <c r="E1314" s="6" t="n"/>
      <c r="F1314" s="6" t="n"/>
      <c r="G1314" s="6" t="n"/>
      <c r="H1314" s="10">
        <f>IF(F1314="","",IFERROR(INDEX(Roster!$A$2:$A$600,MATCH(F1314,Roster!$E$2:$E$600,0)),""))</f>
        <v/>
      </c>
      <c r="I1314" s="10">
        <f>IF(AND(D1314="",C1314="",F1314=""),"",IF(G1314&lt;&gt;"","Void",IF(F1314="","Needs child",IF(H1314="","Child not found",IF(OR(B1314="",NOT(ISNUMBER(C1314))),"Needs month/pages","OK")))))</f>
        <v/>
      </c>
      <c r="J1314" s="10">
        <f>IF(I1314="","",IF(I1314="OK",IF(COUNTIFS(H1315:H$3001,H1314,B1315:B$3001,B1314,G1315:G$3001,"")=0,C1314,0),0))</f>
        <v/>
      </c>
    </row>
    <row r="1315">
      <c r="A1315" s="6" t="n"/>
      <c r="B1315" s="9" t="n"/>
      <c r="C1315" s="6" t="n"/>
      <c r="D1315" s="6" t="n"/>
      <c r="E1315" s="6" t="n"/>
      <c r="F1315" s="6" t="n"/>
      <c r="G1315" s="6" t="n"/>
      <c r="H1315" s="10">
        <f>IF(F1315="","",IFERROR(INDEX(Roster!$A$2:$A$600,MATCH(F1315,Roster!$E$2:$E$600,0)),""))</f>
        <v/>
      </c>
      <c r="I1315" s="10">
        <f>IF(AND(D1315="",C1315="",F1315=""),"",IF(G1315&lt;&gt;"","Void",IF(F1315="","Needs child",IF(H1315="","Child not found",IF(OR(B1315="",NOT(ISNUMBER(C1315))),"Needs month/pages","OK")))))</f>
        <v/>
      </c>
      <c r="J1315" s="10">
        <f>IF(I1315="","",IF(I1315="OK",IF(COUNTIFS(H1316:H$3001,H1315,B1316:B$3001,B1315,G1316:G$3001,"")=0,C1315,0),0))</f>
        <v/>
      </c>
    </row>
    <row r="1316">
      <c r="A1316" s="6" t="n"/>
      <c r="B1316" s="9" t="n"/>
      <c r="C1316" s="6" t="n"/>
      <c r="D1316" s="6" t="n"/>
      <c r="E1316" s="6" t="n"/>
      <c r="F1316" s="6" t="n"/>
      <c r="G1316" s="6" t="n"/>
      <c r="H1316" s="10">
        <f>IF(F1316="","",IFERROR(INDEX(Roster!$A$2:$A$600,MATCH(F1316,Roster!$E$2:$E$600,0)),""))</f>
        <v/>
      </c>
      <c r="I1316" s="10">
        <f>IF(AND(D1316="",C1316="",F1316=""),"",IF(G1316&lt;&gt;"","Void",IF(F1316="","Needs child",IF(H1316="","Child not found",IF(OR(B1316="",NOT(ISNUMBER(C1316))),"Needs month/pages","OK")))))</f>
        <v/>
      </c>
      <c r="J1316" s="10">
        <f>IF(I1316="","",IF(I1316="OK",IF(COUNTIFS(H1317:H$3001,H1316,B1317:B$3001,B1316,G1317:G$3001,"")=0,C1316,0),0))</f>
        <v/>
      </c>
    </row>
    <row r="1317">
      <c r="A1317" s="6" t="n"/>
      <c r="B1317" s="9" t="n"/>
      <c r="C1317" s="6" t="n"/>
      <c r="D1317" s="6" t="n"/>
      <c r="E1317" s="6" t="n"/>
      <c r="F1317" s="6" t="n"/>
      <c r="G1317" s="6" t="n"/>
      <c r="H1317" s="10">
        <f>IF(F1317="","",IFERROR(INDEX(Roster!$A$2:$A$600,MATCH(F1317,Roster!$E$2:$E$600,0)),""))</f>
        <v/>
      </c>
      <c r="I1317" s="10">
        <f>IF(AND(D1317="",C1317="",F1317=""),"",IF(G1317&lt;&gt;"","Void",IF(F1317="","Needs child",IF(H1317="","Child not found",IF(OR(B1317="",NOT(ISNUMBER(C1317))),"Needs month/pages","OK")))))</f>
        <v/>
      </c>
      <c r="J1317" s="10">
        <f>IF(I1317="","",IF(I1317="OK",IF(COUNTIFS(H1318:H$3001,H1317,B1318:B$3001,B1317,G1318:G$3001,"")=0,C1317,0),0))</f>
        <v/>
      </c>
    </row>
    <row r="1318">
      <c r="A1318" s="6" t="n"/>
      <c r="B1318" s="9" t="n"/>
      <c r="C1318" s="6" t="n"/>
      <c r="D1318" s="6" t="n"/>
      <c r="E1318" s="6" t="n"/>
      <c r="F1318" s="6" t="n"/>
      <c r="G1318" s="6" t="n"/>
      <c r="H1318" s="10">
        <f>IF(F1318="","",IFERROR(INDEX(Roster!$A$2:$A$600,MATCH(F1318,Roster!$E$2:$E$600,0)),""))</f>
        <v/>
      </c>
      <c r="I1318" s="10">
        <f>IF(AND(D1318="",C1318="",F1318=""),"",IF(G1318&lt;&gt;"","Void",IF(F1318="","Needs child",IF(H1318="","Child not found",IF(OR(B1318="",NOT(ISNUMBER(C1318))),"Needs month/pages","OK")))))</f>
        <v/>
      </c>
      <c r="J1318" s="10">
        <f>IF(I1318="","",IF(I1318="OK",IF(COUNTIFS(H1319:H$3001,H1318,B1319:B$3001,B1318,G1319:G$3001,"")=0,C1318,0),0))</f>
        <v/>
      </c>
    </row>
    <row r="1319">
      <c r="A1319" s="6" t="n"/>
      <c r="B1319" s="9" t="n"/>
      <c r="C1319" s="6" t="n"/>
      <c r="D1319" s="6" t="n"/>
      <c r="E1319" s="6" t="n"/>
      <c r="F1319" s="6" t="n"/>
      <c r="G1319" s="6" t="n"/>
      <c r="H1319" s="10">
        <f>IF(F1319="","",IFERROR(INDEX(Roster!$A$2:$A$600,MATCH(F1319,Roster!$E$2:$E$600,0)),""))</f>
        <v/>
      </c>
      <c r="I1319" s="10">
        <f>IF(AND(D1319="",C1319="",F1319=""),"",IF(G1319&lt;&gt;"","Void",IF(F1319="","Needs child",IF(H1319="","Child not found",IF(OR(B1319="",NOT(ISNUMBER(C1319))),"Needs month/pages","OK")))))</f>
        <v/>
      </c>
      <c r="J1319" s="10">
        <f>IF(I1319="","",IF(I1319="OK",IF(COUNTIFS(H1320:H$3001,H1319,B1320:B$3001,B1319,G1320:G$3001,"")=0,C1319,0),0))</f>
        <v/>
      </c>
    </row>
    <row r="1320">
      <c r="A1320" s="6" t="n"/>
      <c r="B1320" s="9" t="n"/>
      <c r="C1320" s="6" t="n"/>
      <c r="D1320" s="6" t="n"/>
      <c r="E1320" s="6" t="n"/>
      <c r="F1320" s="6" t="n"/>
      <c r="G1320" s="6" t="n"/>
      <c r="H1320" s="10">
        <f>IF(F1320="","",IFERROR(INDEX(Roster!$A$2:$A$600,MATCH(F1320,Roster!$E$2:$E$600,0)),""))</f>
        <v/>
      </c>
      <c r="I1320" s="10">
        <f>IF(AND(D1320="",C1320="",F1320=""),"",IF(G1320&lt;&gt;"","Void",IF(F1320="","Needs child",IF(H1320="","Child not found",IF(OR(B1320="",NOT(ISNUMBER(C1320))),"Needs month/pages","OK")))))</f>
        <v/>
      </c>
      <c r="J1320" s="10">
        <f>IF(I1320="","",IF(I1320="OK",IF(COUNTIFS(H1321:H$3001,H1320,B1321:B$3001,B1320,G1321:G$3001,"")=0,C1320,0),0))</f>
        <v/>
      </c>
    </row>
    <row r="1321">
      <c r="A1321" s="6" t="n"/>
      <c r="B1321" s="9" t="n"/>
      <c r="C1321" s="6" t="n"/>
      <c r="D1321" s="6" t="n"/>
      <c r="E1321" s="6" t="n"/>
      <c r="F1321" s="6" t="n"/>
      <c r="G1321" s="6" t="n"/>
      <c r="H1321" s="10">
        <f>IF(F1321="","",IFERROR(INDEX(Roster!$A$2:$A$600,MATCH(F1321,Roster!$E$2:$E$600,0)),""))</f>
        <v/>
      </c>
      <c r="I1321" s="10">
        <f>IF(AND(D1321="",C1321="",F1321=""),"",IF(G1321&lt;&gt;"","Void",IF(F1321="","Needs child",IF(H1321="","Child not found",IF(OR(B1321="",NOT(ISNUMBER(C1321))),"Needs month/pages","OK")))))</f>
        <v/>
      </c>
      <c r="J1321" s="10">
        <f>IF(I1321="","",IF(I1321="OK",IF(COUNTIFS(H1322:H$3001,H1321,B1322:B$3001,B1321,G1322:G$3001,"")=0,C1321,0),0))</f>
        <v/>
      </c>
    </row>
    <row r="1322">
      <c r="A1322" s="6" t="n"/>
      <c r="B1322" s="9" t="n"/>
      <c r="C1322" s="6" t="n"/>
      <c r="D1322" s="6" t="n"/>
      <c r="E1322" s="6" t="n"/>
      <c r="F1322" s="6" t="n"/>
      <c r="G1322" s="6" t="n"/>
      <c r="H1322" s="10">
        <f>IF(F1322="","",IFERROR(INDEX(Roster!$A$2:$A$600,MATCH(F1322,Roster!$E$2:$E$600,0)),""))</f>
        <v/>
      </c>
      <c r="I1322" s="10">
        <f>IF(AND(D1322="",C1322="",F1322=""),"",IF(G1322&lt;&gt;"","Void",IF(F1322="","Needs child",IF(H1322="","Child not found",IF(OR(B1322="",NOT(ISNUMBER(C1322))),"Needs month/pages","OK")))))</f>
        <v/>
      </c>
      <c r="J1322" s="10">
        <f>IF(I1322="","",IF(I1322="OK",IF(COUNTIFS(H1323:H$3001,H1322,B1323:B$3001,B1322,G1323:G$3001,"")=0,C1322,0),0))</f>
        <v/>
      </c>
    </row>
    <row r="1323">
      <c r="A1323" s="6" t="n"/>
      <c r="B1323" s="9" t="n"/>
      <c r="C1323" s="6" t="n"/>
      <c r="D1323" s="6" t="n"/>
      <c r="E1323" s="6" t="n"/>
      <c r="F1323" s="6" t="n"/>
      <c r="G1323" s="6" t="n"/>
      <c r="H1323" s="10">
        <f>IF(F1323="","",IFERROR(INDEX(Roster!$A$2:$A$600,MATCH(F1323,Roster!$E$2:$E$600,0)),""))</f>
        <v/>
      </c>
      <c r="I1323" s="10">
        <f>IF(AND(D1323="",C1323="",F1323=""),"",IF(G1323&lt;&gt;"","Void",IF(F1323="","Needs child",IF(H1323="","Child not found",IF(OR(B1323="",NOT(ISNUMBER(C1323))),"Needs month/pages","OK")))))</f>
        <v/>
      </c>
      <c r="J1323" s="10">
        <f>IF(I1323="","",IF(I1323="OK",IF(COUNTIFS(H1324:H$3001,H1323,B1324:B$3001,B1323,G1324:G$3001,"")=0,C1323,0),0))</f>
        <v/>
      </c>
    </row>
    <row r="1324">
      <c r="A1324" s="6" t="n"/>
      <c r="B1324" s="9" t="n"/>
      <c r="C1324" s="6" t="n"/>
      <c r="D1324" s="6" t="n"/>
      <c r="E1324" s="6" t="n"/>
      <c r="F1324" s="6" t="n"/>
      <c r="G1324" s="6" t="n"/>
      <c r="H1324" s="10">
        <f>IF(F1324="","",IFERROR(INDEX(Roster!$A$2:$A$600,MATCH(F1324,Roster!$E$2:$E$600,0)),""))</f>
        <v/>
      </c>
      <c r="I1324" s="10">
        <f>IF(AND(D1324="",C1324="",F1324=""),"",IF(G1324&lt;&gt;"","Void",IF(F1324="","Needs child",IF(H1324="","Child not found",IF(OR(B1324="",NOT(ISNUMBER(C1324))),"Needs month/pages","OK")))))</f>
        <v/>
      </c>
      <c r="J1324" s="10">
        <f>IF(I1324="","",IF(I1324="OK",IF(COUNTIFS(H1325:H$3001,H1324,B1325:B$3001,B1324,G1325:G$3001,"")=0,C1324,0),0))</f>
        <v/>
      </c>
    </row>
    <row r="1325">
      <c r="A1325" s="6" t="n"/>
      <c r="B1325" s="9" t="n"/>
      <c r="C1325" s="6" t="n"/>
      <c r="D1325" s="6" t="n"/>
      <c r="E1325" s="6" t="n"/>
      <c r="F1325" s="6" t="n"/>
      <c r="G1325" s="6" t="n"/>
      <c r="H1325" s="10">
        <f>IF(F1325="","",IFERROR(INDEX(Roster!$A$2:$A$600,MATCH(F1325,Roster!$E$2:$E$600,0)),""))</f>
        <v/>
      </c>
      <c r="I1325" s="10">
        <f>IF(AND(D1325="",C1325="",F1325=""),"",IF(G1325&lt;&gt;"","Void",IF(F1325="","Needs child",IF(H1325="","Child not found",IF(OR(B1325="",NOT(ISNUMBER(C1325))),"Needs month/pages","OK")))))</f>
        <v/>
      </c>
      <c r="J1325" s="10">
        <f>IF(I1325="","",IF(I1325="OK",IF(COUNTIFS(H1326:H$3001,H1325,B1326:B$3001,B1325,G1326:G$3001,"")=0,C1325,0),0))</f>
        <v/>
      </c>
    </row>
    <row r="1326">
      <c r="A1326" s="6" t="n"/>
      <c r="B1326" s="9" t="n"/>
      <c r="C1326" s="6" t="n"/>
      <c r="D1326" s="6" t="n"/>
      <c r="E1326" s="6" t="n"/>
      <c r="F1326" s="6" t="n"/>
      <c r="G1326" s="6" t="n"/>
      <c r="H1326" s="10">
        <f>IF(F1326="","",IFERROR(INDEX(Roster!$A$2:$A$600,MATCH(F1326,Roster!$E$2:$E$600,0)),""))</f>
        <v/>
      </c>
      <c r="I1326" s="10">
        <f>IF(AND(D1326="",C1326="",F1326=""),"",IF(G1326&lt;&gt;"","Void",IF(F1326="","Needs child",IF(H1326="","Child not found",IF(OR(B1326="",NOT(ISNUMBER(C1326))),"Needs month/pages","OK")))))</f>
        <v/>
      </c>
      <c r="J1326" s="10">
        <f>IF(I1326="","",IF(I1326="OK",IF(COUNTIFS(H1327:H$3001,H1326,B1327:B$3001,B1326,G1327:G$3001,"")=0,C1326,0),0))</f>
        <v/>
      </c>
    </row>
    <row r="1327">
      <c r="A1327" s="6" t="n"/>
      <c r="B1327" s="9" t="n"/>
      <c r="C1327" s="6" t="n"/>
      <c r="D1327" s="6" t="n"/>
      <c r="E1327" s="6" t="n"/>
      <c r="F1327" s="6" t="n"/>
      <c r="G1327" s="6" t="n"/>
      <c r="H1327" s="10">
        <f>IF(F1327="","",IFERROR(INDEX(Roster!$A$2:$A$600,MATCH(F1327,Roster!$E$2:$E$600,0)),""))</f>
        <v/>
      </c>
      <c r="I1327" s="10">
        <f>IF(AND(D1327="",C1327="",F1327=""),"",IF(G1327&lt;&gt;"","Void",IF(F1327="","Needs child",IF(H1327="","Child not found",IF(OR(B1327="",NOT(ISNUMBER(C1327))),"Needs month/pages","OK")))))</f>
        <v/>
      </c>
      <c r="J1327" s="10">
        <f>IF(I1327="","",IF(I1327="OK",IF(COUNTIFS(H1328:H$3001,H1327,B1328:B$3001,B1327,G1328:G$3001,"")=0,C1327,0),0))</f>
        <v/>
      </c>
    </row>
    <row r="1328">
      <c r="A1328" s="6" t="n"/>
      <c r="B1328" s="9" t="n"/>
      <c r="C1328" s="6" t="n"/>
      <c r="D1328" s="6" t="n"/>
      <c r="E1328" s="6" t="n"/>
      <c r="F1328" s="6" t="n"/>
      <c r="G1328" s="6" t="n"/>
      <c r="H1328" s="10">
        <f>IF(F1328="","",IFERROR(INDEX(Roster!$A$2:$A$600,MATCH(F1328,Roster!$E$2:$E$600,0)),""))</f>
        <v/>
      </c>
      <c r="I1328" s="10">
        <f>IF(AND(D1328="",C1328="",F1328=""),"",IF(G1328&lt;&gt;"","Void",IF(F1328="","Needs child",IF(H1328="","Child not found",IF(OR(B1328="",NOT(ISNUMBER(C1328))),"Needs month/pages","OK")))))</f>
        <v/>
      </c>
      <c r="J1328" s="10">
        <f>IF(I1328="","",IF(I1328="OK",IF(COUNTIFS(H1329:H$3001,H1328,B1329:B$3001,B1328,G1329:G$3001,"")=0,C1328,0),0))</f>
        <v/>
      </c>
    </row>
    <row r="1329">
      <c r="A1329" s="6" t="n"/>
      <c r="B1329" s="9" t="n"/>
      <c r="C1329" s="6" t="n"/>
      <c r="D1329" s="6" t="n"/>
      <c r="E1329" s="6" t="n"/>
      <c r="F1329" s="6" t="n"/>
      <c r="G1329" s="6" t="n"/>
      <c r="H1329" s="10">
        <f>IF(F1329="","",IFERROR(INDEX(Roster!$A$2:$A$600,MATCH(F1329,Roster!$E$2:$E$600,0)),""))</f>
        <v/>
      </c>
      <c r="I1329" s="10">
        <f>IF(AND(D1329="",C1329="",F1329=""),"",IF(G1329&lt;&gt;"","Void",IF(F1329="","Needs child",IF(H1329="","Child not found",IF(OR(B1329="",NOT(ISNUMBER(C1329))),"Needs month/pages","OK")))))</f>
        <v/>
      </c>
      <c r="J1329" s="10">
        <f>IF(I1329="","",IF(I1329="OK",IF(COUNTIFS(H1330:H$3001,H1329,B1330:B$3001,B1329,G1330:G$3001,"")=0,C1329,0),0))</f>
        <v/>
      </c>
    </row>
    <row r="1330">
      <c r="A1330" s="6" t="n"/>
      <c r="B1330" s="9" t="n"/>
      <c r="C1330" s="6" t="n"/>
      <c r="D1330" s="6" t="n"/>
      <c r="E1330" s="6" t="n"/>
      <c r="F1330" s="6" t="n"/>
      <c r="G1330" s="6" t="n"/>
      <c r="H1330" s="10">
        <f>IF(F1330="","",IFERROR(INDEX(Roster!$A$2:$A$600,MATCH(F1330,Roster!$E$2:$E$600,0)),""))</f>
        <v/>
      </c>
      <c r="I1330" s="10">
        <f>IF(AND(D1330="",C1330="",F1330=""),"",IF(G1330&lt;&gt;"","Void",IF(F1330="","Needs child",IF(H1330="","Child not found",IF(OR(B1330="",NOT(ISNUMBER(C1330))),"Needs month/pages","OK")))))</f>
        <v/>
      </c>
      <c r="J1330" s="10">
        <f>IF(I1330="","",IF(I1330="OK",IF(COUNTIFS(H1331:H$3001,H1330,B1331:B$3001,B1330,G1331:G$3001,"")=0,C1330,0),0))</f>
        <v/>
      </c>
    </row>
    <row r="1331">
      <c r="A1331" s="6" t="n"/>
      <c r="B1331" s="9" t="n"/>
      <c r="C1331" s="6" t="n"/>
      <c r="D1331" s="6" t="n"/>
      <c r="E1331" s="6" t="n"/>
      <c r="F1331" s="6" t="n"/>
      <c r="G1331" s="6" t="n"/>
      <c r="H1331" s="10">
        <f>IF(F1331="","",IFERROR(INDEX(Roster!$A$2:$A$600,MATCH(F1331,Roster!$E$2:$E$600,0)),""))</f>
        <v/>
      </c>
      <c r="I1331" s="10">
        <f>IF(AND(D1331="",C1331="",F1331=""),"",IF(G1331&lt;&gt;"","Void",IF(F1331="","Needs child",IF(H1331="","Child not found",IF(OR(B1331="",NOT(ISNUMBER(C1331))),"Needs month/pages","OK")))))</f>
        <v/>
      </c>
      <c r="J1331" s="10">
        <f>IF(I1331="","",IF(I1331="OK",IF(COUNTIFS(H1332:H$3001,H1331,B1332:B$3001,B1331,G1332:G$3001,"")=0,C1331,0),0))</f>
        <v/>
      </c>
    </row>
    <row r="1332">
      <c r="A1332" s="6" t="n"/>
      <c r="B1332" s="9" t="n"/>
      <c r="C1332" s="6" t="n"/>
      <c r="D1332" s="6" t="n"/>
      <c r="E1332" s="6" t="n"/>
      <c r="F1332" s="6" t="n"/>
      <c r="G1332" s="6" t="n"/>
      <c r="H1332" s="10">
        <f>IF(F1332="","",IFERROR(INDEX(Roster!$A$2:$A$600,MATCH(F1332,Roster!$E$2:$E$600,0)),""))</f>
        <v/>
      </c>
      <c r="I1332" s="10">
        <f>IF(AND(D1332="",C1332="",F1332=""),"",IF(G1332&lt;&gt;"","Void",IF(F1332="","Needs child",IF(H1332="","Child not found",IF(OR(B1332="",NOT(ISNUMBER(C1332))),"Needs month/pages","OK")))))</f>
        <v/>
      </c>
      <c r="J1332" s="10">
        <f>IF(I1332="","",IF(I1332="OK",IF(COUNTIFS(H1333:H$3001,H1332,B1333:B$3001,B1332,G1333:G$3001,"")=0,C1332,0),0))</f>
        <v/>
      </c>
    </row>
    <row r="1333">
      <c r="A1333" s="6" t="n"/>
      <c r="B1333" s="9" t="n"/>
      <c r="C1333" s="6" t="n"/>
      <c r="D1333" s="6" t="n"/>
      <c r="E1333" s="6" t="n"/>
      <c r="F1333" s="6" t="n"/>
      <c r="G1333" s="6" t="n"/>
      <c r="H1333" s="10">
        <f>IF(F1333="","",IFERROR(INDEX(Roster!$A$2:$A$600,MATCH(F1333,Roster!$E$2:$E$600,0)),""))</f>
        <v/>
      </c>
      <c r="I1333" s="10">
        <f>IF(AND(D1333="",C1333="",F1333=""),"",IF(G1333&lt;&gt;"","Void",IF(F1333="","Needs child",IF(H1333="","Child not found",IF(OR(B1333="",NOT(ISNUMBER(C1333))),"Needs month/pages","OK")))))</f>
        <v/>
      </c>
      <c r="J1333" s="10">
        <f>IF(I1333="","",IF(I1333="OK",IF(COUNTIFS(H1334:H$3001,H1333,B1334:B$3001,B1333,G1334:G$3001,"")=0,C1333,0),0))</f>
        <v/>
      </c>
    </row>
    <row r="1334">
      <c r="A1334" s="6" t="n"/>
      <c r="B1334" s="9" t="n"/>
      <c r="C1334" s="6" t="n"/>
      <c r="D1334" s="6" t="n"/>
      <c r="E1334" s="6" t="n"/>
      <c r="F1334" s="6" t="n"/>
      <c r="G1334" s="6" t="n"/>
      <c r="H1334" s="10">
        <f>IF(F1334="","",IFERROR(INDEX(Roster!$A$2:$A$600,MATCH(F1334,Roster!$E$2:$E$600,0)),""))</f>
        <v/>
      </c>
      <c r="I1334" s="10">
        <f>IF(AND(D1334="",C1334="",F1334=""),"",IF(G1334&lt;&gt;"","Void",IF(F1334="","Needs child",IF(H1334="","Child not found",IF(OR(B1334="",NOT(ISNUMBER(C1334))),"Needs month/pages","OK")))))</f>
        <v/>
      </c>
      <c r="J1334" s="10">
        <f>IF(I1334="","",IF(I1334="OK",IF(COUNTIFS(H1335:H$3001,H1334,B1335:B$3001,B1334,G1335:G$3001,"")=0,C1334,0),0))</f>
        <v/>
      </c>
    </row>
    <row r="1335">
      <c r="A1335" s="6" t="n"/>
      <c r="B1335" s="9" t="n"/>
      <c r="C1335" s="6" t="n"/>
      <c r="D1335" s="6" t="n"/>
      <c r="E1335" s="6" t="n"/>
      <c r="F1335" s="6" t="n"/>
      <c r="G1335" s="6" t="n"/>
      <c r="H1335" s="10">
        <f>IF(F1335="","",IFERROR(INDEX(Roster!$A$2:$A$600,MATCH(F1335,Roster!$E$2:$E$600,0)),""))</f>
        <v/>
      </c>
      <c r="I1335" s="10">
        <f>IF(AND(D1335="",C1335="",F1335=""),"",IF(G1335&lt;&gt;"","Void",IF(F1335="","Needs child",IF(H1335="","Child not found",IF(OR(B1335="",NOT(ISNUMBER(C1335))),"Needs month/pages","OK")))))</f>
        <v/>
      </c>
      <c r="J1335" s="10">
        <f>IF(I1335="","",IF(I1335="OK",IF(COUNTIFS(H1336:H$3001,H1335,B1336:B$3001,B1335,G1336:G$3001,"")=0,C1335,0),0))</f>
        <v/>
      </c>
    </row>
    <row r="1336">
      <c r="A1336" s="6" t="n"/>
      <c r="B1336" s="9" t="n"/>
      <c r="C1336" s="6" t="n"/>
      <c r="D1336" s="6" t="n"/>
      <c r="E1336" s="6" t="n"/>
      <c r="F1336" s="6" t="n"/>
      <c r="G1336" s="6" t="n"/>
      <c r="H1336" s="10">
        <f>IF(F1336="","",IFERROR(INDEX(Roster!$A$2:$A$600,MATCH(F1336,Roster!$E$2:$E$600,0)),""))</f>
        <v/>
      </c>
      <c r="I1336" s="10">
        <f>IF(AND(D1336="",C1336="",F1336=""),"",IF(G1336&lt;&gt;"","Void",IF(F1336="","Needs child",IF(H1336="","Child not found",IF(OR(B1336="",NOT(ISNUMBER(C1336))),"Needs month/pages","OK")))))</f>
        <v/>
      </c>
      <c r="J1336" s="10">
        <f>IF(I1336="","",IF(I1336="OK",IF(COUNTIFS(H1337:H$3001,H1336,B1337:B$3001,B1336,G1337:G$3001,"")=0,C1336,0),0))</f>
        <v/>
      </c>
    </row>
    <row r="1337">
      <c r="A1337" s="6" t="n"/>
      <c r="B1337" s="9" t="n"/>
      <c r="C1337" s="6" t="n"/>
      <c r="D1337" s="6" t="n"/>
      <c r="E1337" s="6" t="n"/>
      <c r="F1337" s="6" t="n"/>
      <c r="G1337" s="6" t="n"/>
      <c r="H1337" s="10">
        <f>IF(F1337="","",IFERROR(INDEX(Roster!$A$2:$A$600,MATCH(F1337,Roster!$E$2:$E$600,0)),""))</f>
        <v/>
      </c>
      <c r="I1337" s="10">
        <f>IF(AND(D1337="",C1337="",F1337=""),"",IF(G1337&lt;&gt;"","Void",IF(F1337="","Needs child",IF(H1337="","Child not found",IF(OR(B1337="",NOT(ISNUMBER(C1337))),"Needs month/pages","OK")))))</f>
        <v/>
      </c>
      <c r="J1337" s="10">
        <f>IF(I1337="","",IF(I1337="OK",IF(COUNTIFS(H1338:H$3001,H1337,B1338:B$3001,B1337,G1338:G$3001,"")=0,C1337,0),0))</f>
        <v/>
      </c>
    </row>
    <row r="1338">
      <c r="A1338" s="6" t="n"/>
      <c r="B1338" s="9" t="n"/>
      <c r="C1338" s="6" t="n"/>
      <c r="D1338" s="6" t="n"/>
      <c r="E1338" s="6" t="n"/>
      <c r="F1338" s="6" t="n"/>
      <c r="G1338" s="6" t="n"/>
      <c r="H1338" s="10">
        <f>IF(F1338="","",IFERROR(INDEX(Roster!$A$2:$A$600,MATCH(F1338,Roster!$E$2:$E$600,0)),""))</f>
        <v/>
      </c>
      <c r="I1338" s="10">
        <f>IF(AND(D1338="",C1338="",F1338=""),"",IF(G1338&lt;&gt;"","Void",IF(F1338="","Needs child",IF(H1338="","Child not found",IF(OR(B1338="",NOT(ISNUMBER(C1338))),"Needs month/pages","OK")))))</f>
        <v/>
      </c>
      <c r="J1338" s="10">
        <f>IF(I1338="","",IF(I1338="OK",IF(COUNTIFS(H1339:H$3001,H1338,B1339:B$3001,B1338,G1339:G$3001,"")=0,C1338,0),0))</f>
        <v/>
      </c>
    </row>
    <row r="1339">
      <c r="A1339" s="6" t="n"/>
      <c r="B1339" s="9" t="n"/>
      <c r="C1339" s="6" t="n"/>
      <c r="D1339" s="6" t="n"/>
      <c r="E1339" s="6" t="n"/>
      <c r="F1339" s="6" t="n"/>
      <c r="G1339" s="6" t="n"/>
      <c r="H1339" s="10">
        <f>IF(F1339="","",IFERROR(INDEX(Roster!$A$2:$A$600,MATCH(F1339,Roster!$E$2:$E$600,0)),""))</f>
        <v/>
      </c>
      <c r="I1339" s="10">
        <f>IF(AND(D1339="",C1339="",F1339=""),"",IF(G1339&lt;&gt;"","Void",IF(F1339="","Needs child",IF(H1339="","Child not found",IF(OR(B1339="",NOT(ISNUMBER(C1339))),"Needs month/pages","OK")))))</f>
        <v/>
      </c>
      <c r="J1339" s="10">
        <f>IF(I1339="","",IF(I1339="OK",IF(COUNTIFS(H1340:H$3001,H1339,B1340:B$3001,B1339,G1340:G$3001,"")=0,C1339,0),0))</f>
        <v/>
      </c>
    </row>
    <row r="1340">
      <c r="A1340" s="6" t="n"/>
      <c r="B1340" s="9" t="n"/>
      <c r="C1340" s="6" t="n"/>
      <c r="D1340" s="6" t="n"/>
      <c r="E1340" s="6" t="n"/>
      <c r="F1340" s="6" t="n"/>
      <c r="G1340" s="6" t="n"/>
      <c r="H1340" s="10">
        <f>IF(F1340="","",IFERROR(INDEX(Roster!$A$2:$A$600,MATCH(F1340,Roster!$E$2:$E$600,0)),""))</f>
        <v/>
      </c>
      <c r="I1340" s="10">
        <f>IF(AND(D1340="",C1340="",F1340=""),"",IF(G1340&lt;&gt;"","Void",IF(F1340="","Needs child",IF(H1340="","Child not found",IF(OR(B1340="",NOT(ISNUMBER(C1340))),"Needs month/pages","OK")))))</f>
        <v/>
      </c>
      <c r="J1340" s="10">
        <f>IF(I1340="","",IF(I1340="OK",IF(COUNTIFS(H1341:H$3001,H1340,B1341:B$3001,B1340,G1341:G$3001,"")=0,C1340,0),0))</f>
        <v/>
      </c>
    </row>
    <row r="1341">
      <c r="A1341" s="6" t="n"/>
      <c r="B1341" s="9" t="n"/>
      <c r="C1341" s="6" t="n"/>
      <c r="D1341" s="6" t="n"/>
      <c r="E1341" s="6" t="n"/>
      <c r="F1341" s="6" t="n"/>
      <c r="G1341" s="6" t="n"/>
      <c r="H1341" s="10">
        <f>IF(F1341="","",IFERROR(INDEX(Roster!$A$2:$A$600,MATCH(F1341,Roster!$E$2:$E$600,0)),""))</f>
        <v/>
      </c>
      <c r="I1341" s="10">
        <f>IF(AND(D1341="",C1341="",F1341=""),"",IF(G1341&lt;&gt;"","Void",IF(F1341="","Needs child",IF(H1341="","Child not found",IF(OR(B1341="",NOT(ISNUMBER(C1341))),"Needs month/pages","OK")))))</f>
        <v/>
      </c>
      <c r="J1341" s="10">
        <f>IF(I1341="","",IF(I1341="OK",IF(COUNTIFS(H1342:H$3001,H1341,B1342:B$3001,B1341,G1342:G$3001,"")=0,C1341,0),0))</f>
        <v/>
      </c>
    </row>
    <row r="1342">
      <c r="A1342" s="6" t="n"/>
      <c r="B1342" s="9" t="n"/>
      <c r="C1342" s="6" t="n"/>
      <c r="D1342" s="6" t="n"/>
      <c r="E1342" s="6" t="n"/>
      <c r="F1342" s="6" t="n"/>
      <c r="G1342" s="6" t="n"/>
      <c r="H1342" s="10">
        <f>IF(F1342="","",IFERROR(INDEX(Roster!$A$2:$A$600,MATCH(F1342,Roster!$E$2:$E$600,0)),""))</f>
        <v/>
      </c>
      <c r="I1342" s="10">
        <f>IF(AND(D1342="",C1342="",F1342=""),"",IF(G1342&lt;&gt;"","Void",IF(F1342="","Needs child",IF(H1342="","Child not found",IF(OR(B1342="",NOT(ISNUMBER(C1342))),"Needs month/pages","OK")))))</f>
        <v/>
      </c>
      <c r="J1342" s="10">
        <f>IF(I1342="","",IF(I1342="OK",IF(COUNTIFS(H1343:H$3001,H1342,B1343:B$3001,B1342,G1343:G$3001,"")=0,C1342,0),0))</f>
        <v/>
      </c>
    </row>
    <row r="1343">
      <c r="A1343" s="6" t="n"/>
      <c r="B1343" s="9" t="n"/>
      <c r="C1343" s="6" t="n"/>
      <c r="D1343" s="6" t="n"/>
      <c r="E1343" s="6" t="n"/>
      <c r="F1343" s="6" t="n"/>
      <c r="G1343" s="6" t="n"/>
      <c r="H1343" s="10">
        <f>IF(F1343="","",IFERROR(INDEX(Roster!$A$2:$A$600,MATCH(F1343,Roster!$E$2:$E$600,0)),""))</f>
        <v/>
      </c>
      <c r="I1343" s="10">
        <f>IF(AND(D1343="",C1343="",F1343=""),"",IF(G1343&lt;&gt;"","Void",IF(F1343="","Needs child",IF(H1343="","Child not found",IF(OR(B1343="",NOT(ISNUMBER(C1343))),"Needs month/pages","OK")))))</f>
        <v/>
      </c>
      <c r="J1343" s="10">
        <f>IF(I1343="","",IF(I1343="OK",IF(COUNTIFS(H1344:H$3001,H1343,B1344:B$3001,B1343,G1344:G$3001,"")=0,C1343,0),0))</f>
        <v/>
      </c>
    </row>
    <row r="1344">
      <c r="A1344" s="6" t="n"/>
      <c r="B1344" s="9" t="n"/>
      <c r="C1344" s="6" t="n"/>
      <c r="D1344" s="6" t="n"/>
      <c r="E1344" s="6" t="n"/>
      <c r="F1344" s="6" t="n"/>
      <c r="G1344" s="6" t="n"/>
      <c r="H1344" s="10">
        <f>IF(F1344="","",IFERROR(INDEX(Roster!$A$2:$A$600,MATCH(F1344,Roster!$E$2:$E$600,0)),""))</f>
        <v/>
      </c>
      <c r="I1344" s="10">
        <f>IF(AND(D1344="",C1344="",F1344=""),"",IF(G1344&lt;&gt;"","Void",IF(F1344="","Needs child",IF(H1344="","Child not found",IF(OR(B1344="",NOT(ISNUMBER(C1344))),"Needs month/pages","OK")))))</f>
        <v/>
      </c>
      <c r="J1344" s="10">
        <f>IF(I1344="","",IF(I1344="OK",IF(COUNTIFS(H1345:H$3001,H1344,B1345:B$3001,B1344,G1345:G$3001,"")=0,C1344,0),0))</f>
        <v/>
      </c>
    </row>
    <row r="1345">
      <c r="A1345" s="6" t="n"/>
      <c r="B1345" s="9" t="n"/>
      <c r="C1345" s="6" t="n"/>
      <c r="D1345" s="6" t="n"/>
      <c r="E1345" s="6" t="n"/>
      <c r="F1345" s="6" t="n"/>
      <c r="G1345" s="6" t="n"/>
      <c r="H1345" s="10">
        <f>IF(F1345="","",IFERROR(INDEX(Roster!$A$2:$A$600,MATCH(F1345,Roster!$E$2:$E$600,0)),""))</f>
        <v/>
      </c>
      <c r="I1345" s="10">
        <f>IF(AND(D1345="",C1345="",F1345=""),"",IF(G1345&lt;&gt;"","Void",IF(F1345="","Needs child",IF(H1345="","Child not found",IF(OR(B1345="",NOT(ISNUMBER(C1345))),"Needs month/pages","OK")))))</f>
        <v/>
      </c>
      <c r="J1345" s="10">
        <f>IF(I1345="","",IF(I1345="OK",IF(COUNTIFS(H1346:H$3001,H1345,B1346:B$3001,B1345,G1346:G$3001,"")=0,C1345,0),0))</f>
        <v/>
      </c>
    </row>
    <row r="1346">
      <c r="A1346" s="6" t="n"/>
      <c r="B1346" s="9" t="n"/>
      <c r="C1346" s="6" t="n"/>
      <c r="D1346" s="6" t="n"/>
      <c r="E1346" s="6" t="n"/>
      <c r="F1346" s="6" t="n"/>
      <c r="G1346" s="6" t="n"/>
      <c r="H1346" s="10">
        <f>IF(F1346="","",IFERROR(INDEX(Roster!$A$2:$A$600,MATCH(F1346,Roster!$E$2:$E$600,0)),""))</f>
        <v/>
      </c>
      <c r="I1346" s="10">
        <f>IF(AND(D1346="",C1346="",F1346=""),"",IF(G1346&lt;&gt;"","Void",IF(F1346="","Needs child",IF(H1346="","Child not found",IF(OR(B1346="",NOT(ISNUMBER(C1346))),"Needs month/pages","OK")))))</f>
        <v/>
      </c>
      <c r="J1346" s="10">
        <f>IF(I1346="","",IF(I1346="OK",IF(COUNTIFS(H1347:H$3001,H1346,B1347:B$3001,B1346,G1347:G$3001,"")=0,C1346,0),0))</f>
        <v/>
      </c>
    </row>
    <row r="1347">
      <c r="A1347" s="6" t="n"/>
      <c r="B1347" s="9" t="n"/>
      <c r="C1347" s="6" t="n"/>
      <c r="D1347" s="6" t="n"/>
      <c r="E1347" s="6" t="n"/>
      <c r="F1347" s="6" t="n"/>
      <c r="G1347" s="6" t="n"/>
      <c r="H1347" s="10">
        <f>IF(F1347="","",IFERROR(INDEX(Roster!$A$2:$A$600,MATCH(F1347,Roster!$E$2:$E$600,0)),""))</f>
        <v/>
      </c>
      <c r="I1347" s="10">
        <f>IF(AND(D1347="",C1347="",F1347=""),"",IF(G1347&lt;&gt;"","Void",IF(F1347="","Needs child",IF(H1347="","Child not found",IF(OR(B1347="",NOT(ISNUMBER(C1347))),"Needs month/pages","OK")))))</f>
        <v/>
      </c>
      <c r="J1347" s="10">
        <f>IF(I1347="","",IF(I1347="OK",IF(COUNTIFS(H1348:H$3001,H1347,B1348:B$3001,B1347,G1348:G$3001,"")=0,C1347,0),0))</f>
        <v/>
      </c>
    </row>
    <row r="1348">
      <c r="A1348" s="6" t="n"/>
      <c r="B1348" s="9" t="n"/>
      <c r="C1348" s="6" t="n"/>
      <c r="D1348" s="6" t="n"/>
      <c r="E1348" s="6" t="n"/>
      <c r="F1348" s="6" t="n"/>
      <c r="G1348" s="6" t="n"/>
      <c r="H1348" s="10">
        <f>IF(F1348="","",IFERROR(INDEX(Roster!$A$2:$A$600,MATCH(F1348,Roster!$E$2:$E$600,0)),""))</f>
        <v/>
      </c>
      <c r="I1348" s="10">
        <f>IF(AND(D1348="",C1348="",F1348=""),"",IF(G1348&lt;&gt;"","Void",IF(F1348="","Needs child",IF(H1348="","Child not found",IF(OR(B1348="",NOT(ISNUMBER(C1348))),"Needs month/pages","OK")))))</f>
        <v/>
      </c>
      <c r="J1348" s="10">
        <f>IF(I1348="","",IF(I1348="OK",IF(COUNTIFS(H1349:H$3001,H1348,B1349:B$3001,B1348,G1349:G$3001,"")=0,C1348,0),0))</f>
        <v/>
      </c>
    </row>
    <row r="1349">
      <c r="A1349" s="6" t="n"/>
      <c r="B1349" s="9" t="n"/>
      <c r="C1349" s="6" t="n"/>
      <c r="D1349" s="6" t="n"/>
      <c r="E1349" s="6" t="n"/>
      <c r="F1349" s="6" t="n"/>
      <c r="G1349" s="6" t="n"/>
      <c r="H1349" s="10">
        <f>IF(F1349="","",IFERROR(INDEX(Roster!$A$2:$A$600,MATCH(F1349,Roster!$E$2:$E$600,0)),""))</f>
        <v/>
      </c>
      <c r="I1349" s="10">
        <f>IF(AND(D1349="",C1349="",F1349=""),"",IF(G1349&lt;&gt;"","Void",IF(F1349="","Needs child",IF(H1349="","Child not found",IF(OR(B1349="",NOT(ISNUMBER(C1349))),"Needs month/pages","OK")))))</f>
        <v/>
      </c>
      <c r="J1349" s="10">
        <f>IF(I1349="","",IF(I1349="OK",IF(COUNTIFS(H1350:H$3001,H1349,B1350:B$3001,B1349,G1350:G$3001,"")=0,C1349,0),0))</f>
        <v/>
      </c>
    </row>
    <row r="1350">
      <c r="A1350" s="6" t="n"/>
      <c r="B1350" s="9" t="n"/>
      <c r="C1350" s="6" t="n"/>
      <c r="D1350" s="6" t="n"/>
      <c r="E1350" s="6" t="n"/>
      <c r="F1350" s="6" t="n"/>
      <c r="G1350" s="6" t="n"/>
      <c r="H1350" s="10">
        <f>IF(F1350="","",IFERROR(INDEX(Roster!$A$2:$A$600,MATCH(F1350,Roster!$E$2:$E$600,0)),""))</f>
        <v/>
      </c>
      <c r="I1350" s="10">
        <f>IF(AND(D1350="",C1350="",F1350=""),"",IF(G1350&lt;&gt;"","Void",IF(F1350="","Needs child",IF(H1350="","Child not found",IF(OR(B1350="",NOT(ISNUMBER(C1350))),"Needs month/pages","OK")))))</f>
        <v/>
      </c>
      <c r="J1350" s="10">
        <f>IF(I1350="","",IF(I1350="OK",IF(COUNTIFS(H1351:H$3001,H1350,B1351:B$3001,B1350,G1351:G$3001,"")=0,C1350,0),0))</f>
        <v/>
      </c>
    </row>
    <row r="1351">
      <c r="A1351" s="6" t="n"/>
      <c r="B1351" s="9" t="n"/>
      <c r="C1351" s="6" t="n"/>
      <c r="D1351" s="6" t="n"/>
      <c r="E1351" s="6" t="n"/>
      <c r="F1351" s="6" t="n"/>
      <c r="G1351" s="6" t="n"/>
      <c r="H1351" s="10">
        <f>IF(F1351="","",IFERROR(INDEX(Roster!$A$2:$A$600,MATCH(F1351,Roster!$E$2:$E$600,0)),""))</f>
        <v/>
      </c>
      <c r="I1351" s="10">
        <f>IF(AND(D1351="",C1351="",F1351=""),"",IF(G1351&lt;&gt;"","Void",IF(F1351="","Needs child",IF(H1351="","Child not found",IF(OR(B1351="",NOT(ISNUMBER(C1351))),"Needs month/pages","OK")))))</f>
        <v/>
      </c>
      <c r="J1351" s="10">
        <f>IF(I1351="","",IF(I1351="OK",IF(COUNTIFS(H1352:H$3001,H1351,B1352:B$3001,B1351,G1352:G$3001,"")=0,C1351,0),0))</f>
        <v/>
      </c>
    </row>
    <row r="1352">
      <c r="A1352" s="6" t="n"/>
      <c r="B1352" s="9" t="n"/>
      <c r="C1352" s="6" t="n"/>
      <c r="D1352" s="6" t="n"/>
      <c r="E1352" s="6" t="n"/>
      <c r="F1352" s="6" t="n"/>
      <c r="G1352" s="6" t="n"/>
      <c r="H1352" s="10">
        <f>IF(F1352="","",IFERROR(INDEX(Roster!$A$2:$A$600,MATCH(F1352,Roster!$E$2:$E$600,0)),""))</f>
        <v/>
      </c>
      <c r="I1352" s="10">
        <f>IF(AND(D1352="",C1352="",F1352=""),"",IF(G1352&lt;&gt;"","Void",IF(F1352="","Needs child",IF(H1352="","Child not found",IF(OR(B1352="",NOT(ISNUMBER(C1352))),"Needs month/pages","OK")))))</f>
        <v/>
      </c>
      <c r="J1352" s="10">
        <f>IF(I1352="","",IF(I1352="OK",IF(COUNTIFS(H1353:H$3001,H1352,B1353:B$3001,B1352,G1353:G$3001,"")=0,C1352,0),0))</f>
        <v/>
      </c>
    </row>
    <row r="1353">
      <c r="A1353" s="6" t="n"/>
      <c r="B1353" s="9" t="n"/>
      <c r="C1353" s="6" t="n"/>
      <c r="D1353" s="6" t="n"/>
      <c r="E1353" s="6" t="n"/>
      <c r="F1353" s="6" t="n"/>
      <c r="G1353" s="6" t="n"/>
      <c r="H1353" s="10">
        <f>IF(F1353="","",IFERROR(INDEX(Roster!$A$2:$A$600,MATCH(F1353,Roster!$E$2:$E$600,0)),""))</f>
        <v/>
      </c>
      <c r="I1353" s="10">
        <f>IF(AND(D1353="",C1353="",F1353=""),"",IF(G1353&lt;&gt;"","Void",IF(F1353="","Needs child",IF(H1353="","Child not found",IF(OR(B1353="",NOT(ISNUMBER(C1353))),"Needs month/pages","OK")))))</f>
        <v/>
      </c>
      <c r="J1353" s="10">
        <f>IF(I1353="","",IF(I1353="OK",IF(COUNTIFS(H1354:H$3001,H1353,B1354:B$3001,B1353,G1354:G$3001,"")=0,C1353,0),0))</f>
        <v/>
      </c>
    </row>
    <row r="1354">
      <c r="A1354" s="6" t="n"/>
      <c r="B1354" s="9" t="n"/>
      <c r="C1354" s="6" t="n"/>
      <c r="D1354" s="6" t="n"/>
      <c r="E1354" s="6" t="n"/>
      <c r="F1354" s="6" t="n"/>
      <c r="G1354" s="6" t="n"/>
      <c r="H1354" s="10">
        <f>IF(F1354="","",IFERROR(INDEX(Roster!$A$2:$A$600,MATCH(F1354,Roster!$E$2:$E$600,0)),""))</f>
        <v/>
      </c>
      <c r="I1354" s="10">
        <f>IF(AND(D1354="",C1354="",F1354=""),"",IF(G1354&lt;&gt;"","Void",IF(F1354="","Needs child",IF(H1354="","Child not found",IF(OR(B1354="",NOT(ISNUMBER(C1354))),"Needs month/pages","OK")))))</f>
        <v/>
      </c>
      <c r="J1354" s="10">
        <f>IF(I1354="","",IF(I1354="OK",IF(COUNTIFS(H1355:H$3001,H1354,B1355:B$3001,B1354,G1355:G$3001,"")=0,C1354,0),0))</f>
        <v/>
      </c>
    </row>
    <row r="1355">
      <c r="A1355" s="6" t="n"/>
      <c r="B1355" s="9" t="n"/>
      <c r="C1355" s="6" t="n"/>
      <c r="D1355" s="6" t="n"/>
      <c r="E1355" s="6" t="n"/>
      <c r="F1355" s="6" t="n"/>
      <c r="G1355" s="6" t="n"/>
      <c r="H1355" s="10">
        <f>IF(F1355="","",IFERROR(INDEX(Roster!$A$2:$A$600,MATCH(F1355,Roster!$E$2:$E$600,0)),""))</f>
        <v/>
      </c>
      <c r="I1355" s="10">
        <f>IF(AND(D1355="",C1355="",F1355=""),"",IF(G1355&lt;&gt;"","Void",IF(F1355="","Needs child",IF(H1355="","Child not found",IF(OR(B1355="",NOT(ISNUMBER(C1355))),"Needs month/pages","OK")))))</f>
        <v/>
      </c>
      <c r="J1355" s="10">
        <f>IF(I1355="","",IF(I1355="OK",IF(COUNTIFS(H1356:H$3001,H1355,B1356:B$3001,B1355,G1356:G$3001,"")=0,C1355,0),0))</f>
        <v/>
      </c>
    </row>
    <row r="1356">
      <c r="A1356" s="6" t="n"/>
      <c r="B1356" s="9" t="n"/>
      <c r="C1356" s="6" t="n"/>
      <c r="D1356" s="6" t="n"/>
      <c r="E1356" s="6" t="n"/>
      <c r="F1356" s="6" t="n"/>
      <c r="G1356" s="6" t="n"/>
      <c r="H1356" s="10">
        <f>IF(F1356="","",IFERROR(INDEX(Roster!$A$2:$A$600,MATCH(F1356,Roster!$E$2:$E$600,0)),""))</f>
        <v/>
      </c>
      <c r="I1356" s="10">
        <f>IF(AND(D1356="",C1356="",F1356=""),"",IF(G1356&lt;&gt;"","Void",IF(F1356="","Needs child",IF(H1356="","Child not found",IF(OR(B1356="",NOT(ISNUMBER(C1356))),"Needs month/pages","OK")))))</f>
        <v/>
      </c>
      <c r="J1356" s="10">
        <f>IF(I1356="","",IF(I1356="OK",IF(COUNTIFS(H1357:H$3001,H1356,B1357:B$3001,B1356,G1357:G$3001,"")=0,C1356,0),0))</f>
        <v/>
      </c>
    </row>
    <row r="1357">
      <c r="A1357" s="6" t="n"/>
      <c r="B1357" s="9" t="n"/>
      <c r="C1357" s="6" t="n"/>
      <c r="D1357" s="6" t="n"/>
      <c r="E1357" s="6" t="n"/>
      <c r="F1357" s="6" t="n"/>
      <c r="G1357" s="6" t="n"/>
      <c r="H1357" s="10">
        <f>IF(F1357="","",IFERROR(INDEX(Roster!$A$2:$A$600,MATCH(F1357,Roster!$E$2:$E$600,0)),""))</f>
        <v/>
      </c>
      <c r="I1357" s="10">
        <f>IF(AND(D1357="",C1357="",F1357=""),"",IF(G1357&lt;&gt;"","Void",IF(F1357="","Needs child",IF(H1357="","Child not found",IF(OR(B1357="",NOT(ISNUMBER(C1357))),"Needs month/pages","OK")))))</f>
        <v/>
      </c>
      <c r="J1357" s="10">
        <f>IF(I1357="","",IF(I1357="OK",IF(COUNTIFS(H1358:H$3001,H1357,B1358:B$3001,B1357,G1358:G$3001,"")=0,C1357,0),0))</f>
        <v/>
      </c>
    </row>
    <row r="1358">
      <c r="A1358" s="6" t="n"/>
      <c r="B1358" s="9" t="n"/>
      <c r="C1358" s="6" t="n"/>
      <c r="D1358" s="6" t="n"/>
      <c r="E1358" s="6" t="n"/>
      <c r="F1358" s="6" t="n"/>
      <c r="G1358" s="6" t="n"/>
      <c r="H1358" s="10">
        <f>IF(F1358="","",IFERROR(INDEX(Roster!$A$2:$A$600,MATCH(F1358,Roster!$E$2:$E$600,0)),""))</f>
        <v/>
      </c>
      <c r="I1358" s="10">
        <f>IF(AND(D1358="",C1358="",F1358=""),"",IF(G1358&lt;&gt;"","Void",IF(F1358="","Needs child",IF(H1358="","Child not found",IF(OR(B1358="",NOT(ISNUMBER(C1358))),"Needs month/pages","OK")))))</f>
        <v/>
      </c>
      <c r="J1358" s="10">
        <f>IF(I1358="","",IF(I1358="OK",IF(COUNTIFS(H1359:H$3001,H1358,B1359:B$3001,B1358,G1359:G$3001,"")=0,C1358,0),0))</f>
        <v/>
      </c>
    </row>
    <row r="1359">
      <c r="A1359" s="6" t="n"/>
      <c r="B1359" s="9" t="n"/>
      <c r="C1359" s="6" t="n"/>
      <c r="D1359" s="6" t="n"/>
      <c r="E1359" s="6" t="n"/>
      <c r="F1359" s="6" t="n"/>
      <c r="G1359" s="6" t="n"/>
      <c r="H1359" s="10">
        <f>IF(F1359="","",IFERROR(INDEX(Roster!$A$2:$A$600,MATCH(F1359,Roster!$E$2:$E$600,0)),""))</f>
        <v/>
      </c>
      <c r="I1359" s="10">
        <f>IF(AND(D1359="",C1359="",F1359=""),"",IF(G1359&lt;&gt;"","Void",IF(F1359="","Needs child",IF(H1359="","Child not found",IF(OR(B1359="",NOT(ISNUMBER(C1359))),"Needs month/pages","OK")))))</f>
        <v/>
      </c>
      <c r="J1359" s="10">
        <f>IF(I1359="","",IF(I1359="OK",IF(COUNTIFS(H1360:H$3001,H1359,B1360:B$3001,B1359,G1360:G$3001,"")=0,C1359,0),0))</f>
        <v/>
      </c>
    </row>
    <row r="1360">
      <c r="A1360" s="6" t="n"/>
      <c r="B1360" s="9" t="n"/>
      <c r="C1360" s="6" t="n"/>
      <c r="D1360" s="6" t="n"/>
      <c r="E1360" s="6" t="n"/>
      <c r="F1360" s="6" t="n"/>
      <c r="G1360" s="6" t="n"/>
      <c r="H1360" s="10">
        <f>IF(F1360="","",IFERROR(INDEX(Roster!$A$2:$A$600,MATCH(F1360,Roster!$E$2:$E$600,0)),""))</f>
        <v/>
      </c>
      <c r="I1360" s="10">
        <f>IF(AND(D1360="",C1360="",F1360=""),"",IF(G1360&lt;&gt;"","Void",IF(F1360="","Needs child",IF(H1360="","Child not found",IF(OR(B1360="",NOT(ISNUMBER(C1360))),"Needs month/pages","OK")))))</f>
        <v/>
      </c>
      <c r="J1360" s="10">
        <f>IF(I1360="","",IF(I1360="OK",IF(COUNTIFS(H1361:H$3001,H1360,B1361:B$3001,B1360,G1361:G$3001,"")=0,C1360,0),0))</f>
        <v/>
      </c>
    </row>
    <row r="1361">
      <c r="A1361" s="6" t="n"/>
      <c r="B1361" s="9" t="n"/>
      <c r="C1361" s="6" t="n"/>
      <c r="D1361" s="6" t="n"/>
      <c r="E1361" s="6" t="n"/>
      <c r="F1361" s="6" t="n"/>
      <c r="G1361" s="6" t="n"/>
      <c r="H1361" s="10">
        <f>IF(F1361="","",IFERROR(INDEX(Roster!$A$2:$A$600,MATCH(F1361,Roster!$E$2:$E$600,0)),""))</f>
        <v/>
      </c>
      <c r="I1361" s="10">
        <f>IF(AND(D1361="",C1361="",F1361=""),"",IF(G1361&lt;&gt;"","Void",IF(F1361="","Needs child",IF(H1361="","Child not found",IF(OR(B1361="",NOT(ISNUMBER(C1361))),"Needs month/pages","OK")))))</f>
        <v/>
      </c>
      <c r="J1361" s="10">
        <f>IF(I1361="","",IF(I1361="OK",IF(COUNTIFS(H1362:H$3001,H1361,B1362:B$3001,B1361,G1362:G$3001,"")=0,C1361,0),0))</f>
        <v/>
      </c>
    </row>
    <row r="1362">
      <c r="A1362" s="6" t="n"/>
      <c r="B1362" s="9" t="n"/>
      <c r="C1362" s="6" t="n"/>
      <c r="D1362" s="6" t="n"/>
      <c r="E1362" s="6" t="n"/>
      <c r="F1362" s="6" t="n"/>
      <c r="G1362" s="6" t="n"/>
      <c r="H1362" s="10">
        <f>IF(F1362="","",IFERROR(INDEX(Roster!$A$2:$A$600,MATCH(F1362,Roster!$E$2:$E$600,0)),""))</f>
        <v/>
      </c>
      <c r="I1362" s="10">
        <f>IF(AND(D1362="",C1362="",F1362=""),"",IF(G1362&lt;&gt;"","Void",IF(F1362="","Needs child",IF(H1362="","Child not found",IF(OR(B1362="",NOT(ISNUMBER(C1362))),"Needs month/pages","OK")))))</f>
        <v/>
      </c>
      <c r="J1362" s="10">
        <f>IF(I1362="","",IF(I1362="OK",IF(COUNTIFS(H1363:H$3001,H1362,B1363:B$3001,B1362,G1363:G$3001,"")=0,C1362,0),0))</f>
        <v/>
      </c>
    </row>
    <row r="1363">
      <c r="A1363" s="6" t="n"/>
      <c r="B1363" s="9" t="n"/>
      <c r="C1363" s="6" t="n"/>
      <c r="D1363" s="6" t="n"/>
      <c r="E1363" s="6" t="n"/>
      <c r="F1363" s="6" t="n"/>
      <c r="G1363" s="6" t="n"/>
      <c r="H1363" s="10">
        <f>IF(F1363="","",IFERROR(INDEX(Roster!$A$2:$A$600,MATCH(F1363,Roster!$E$2:$E$600,0)),""))</f>
        <v/>
      </c>
      <c r="I1363" s="10">
        <f>IF(AND(D1363="",C1363="",F1363=""),"",IF(G1363&lt;&gt;"","Void",IF(F1363="","Needs child",IF(H1363="","Child not found",IF(OR(B1363="",NOT(ISNUMBER(C1363))),"Needs month/pages","OK")))))</f>
        <v/>
      </c>
      <c r="J1363" s="10">
        <f>IF(I1363="","",IF(I1363="OK",IF(COUNTIFS(H1364:H$3001,H1363,B1364:B$3001,B1363,G1364:G$3001,"")=0,C1363,0),0))</f>
        <v/>
      </c>
    </row>
    <row r="1364">
      <c r="A1364" s="6" t="n"/>
      <c r="B1364" s="9" t="n"/>
      <c r="C1364" s="6" t="n"/>
      <c r="D1364" s="6" t="n"/>
      <c r="E1364" s="6" t="n"/>
      <c r="F1364" s="6" t="n"/>
      <c r="G1364" s="6" t="n"/>
      <c r="H1364" s="10">
        <f>IF(F1364="","",IFERROR(INDEX(Roster!$A$2:$A$600,MATCH(F1364,Roster!$E$2:$E$600,0)),""))</f>
        <v/>
      </c>
      <c r="I1364" s="10">
        <f>IF(AND(D1364="",C1364="",F1364=""),"",IF(G1364&lt;&gt;"","Void",IF(F1364="","Needs child",IF(H1364="","Child not found",IF(OR(B1364="",NOT(ISNUMBER(C1364))),"Needs month/pages","OK")))))</f>
        <v/>
      </c>
      <c r="J1364" s="10">
        <f>IF(I1364="","",IF(I1364="OK",IF(COUNTIFS(H1365:H$3001,H1364,B1365:B$3001,B1364,G1365:G$3001,"")=0,C1364,0),0))</f>
        <v/>
      </c>
    </row>
    <row r="1365">
      <c r="A1365" s="6" t="n"/>
      <c r="B1365" s="9" t="n"/>
      <c r="C1365" s="6" t="n"/>
      <c r="D1365" s="6" t="n"/>
      <c r="E1365" s="6" t="n"/>
      <c r="F1365" s="6" t="n"/>
      <c r="G1365" s="6" t="n"/>
      <c r="H1365" s="10">
        <f>IF(F1365="","",IFERROR(INDEX(Roster!$A$2:$A$600,MATCH(F1365,Roster!$E$2:$E$600,0)),""))</f>
        <v/>
      </c>
      <c r="I1365" s="10">
        <f>IF(AND(D1365="",C1365="",F1365=""),"",IF(G1365&lt;&gt;"","Void",IF(F1365="","Needs child",IF(H1365="","Child not found",IF(OR(B1365="",NOT(ISNUMBER(C1365))),"Needs month/pages","OK")))))</f>
        <v/>
      </c>
      <c r="J1365" s="10">
        <f>IF(I1365="","",IF(I1365="OK",IF(COUNTIFS(H1366:H$3001,H1365,B1366:B$3001,B1365,G1366:G$3001,"")=0,C1365,0),0))</f>
        <v/>
      </c>
    </row>
    <row r="1366">
      <c r="A1366" s="6" t="n"/>
      <c r="B1366" s="9" t="n"/>
      <c r="C1366" s="6" t="n"/>
      <c r="D1366" s="6" t="n"/>
      <c r="E1366" s="6" t="n"/>
      <c r="F1366" s="6" t="n"/>
      <c r="G1366" s="6" t="n"/>
      <c r="H1366" s="10">
        <f>IF(F1366="","",IFERROR(INDEX(Roster!$A$2:$A$600,MATCH(F1366,Roster!$E$2:$E$600,0)),""))</f>
        <v/>
      </c>
      <c r="I1366" s="10">
        <f>IF(AND(D1366="",C1366="",F1366=""),"",IF(G1366&lt;&gt;"","Void",IF(F1366="","Needs child",IF(H1366="","Child not found",IF(OR(B1366="",NOT(ISNUMBER(C1366))),"Needs month/pages","OK")))))</f>
        <v/>
      </c>
      <c r="J1366" s="10">
        <f>IF(I1366="","",IF(I1366="OK",IF(COUNTIFS(H1367:H$3001,H1366,B1367:B$3001,B1366,G1367:G$3001,"")=0,C1366,0),0))</f>
        <v/>
      </c>
    </row>
    <row r="1367">
      <c r="A1367" s="6" t="n"/>
      <c r="B1367" s="9" t="n"/>
      <c r="C1367" s="6" t="n"/>
      <c r="D1367" s="6" t="n"/>
      <c r="E1367" s="6" t="n"/>
      <c r="F1367" s="6" t="n"/>
      <c r="G1367" s="6" t="n"/>
      <c r="H1367" s="10">
        <f>IF(F1367="","",IFERROR(INDEX(Roster!$A$2:$A$600,MATCH(F1367,Roster!$E$2:$E$600,0)),""))</f>
        <v/>
      </c>
      <c r="I1367" s="10">
        <f>IF(AND(D1367="",C1367="",F1367=""),"",IF(G1367&lt;&gt;"","Void",IF(F1367="","Needs child",IF(H1367="","Child not found",IF(OR(B1367="",NOT(ISNUMBER(C1367))),"Needs month/pages","OK")))))</f>
        <v/>
      </c>
      <c r="J1367" s="10">
        <f>IF(I1367="","",IF(I1367="OK",IF(COUNTIFS(H1368:H$3001,H1367,B1368:B$3001,B1367,G1368:G$3001,"")=0,C1367,0),0))</f>
        <v/>
      </c>
    </row>
    <row r="1368">
      <c r="A1368" s="6" t="n"/>
      <c r="B1368" s="9" t="n"/>
      <c r="C1368" s="6" t="n"/>
      <c r="D1368" s="6" t="n"/>
      <c r="E1368" s="6" t="n"/>
      <c r="F1368" s="6" t="n"/>
      <c r="G1368" s="6" t="n"/>
      <c r="H1368" s="10">
        <f>IF(F1368="","",IFERROR(INDEX(Roster!$A$2:$A$600,MATCH(F1368,Roster!$E$2:$E$600,0)),""))</f>
        <v/>
      </c>
      <c r="I1368" s="10">
        <f>IF(AND(D1368="",C1368="",F1368=""),"",IF(G1368&lt;&gt;"","Void",IF(F1368="","Needs child",IF(H1368="","Child not found",IF(OR(B1368="",NOT(ISNUMBER(C1368))),"Needs month/pages","OK")))))</f>
        <v/>
      </c>
      <c r="J1368" s="10">
        <f>IF(I1368="","",IF(I1368="OK",IF(COUNTIFS(H1369:H$3001,H1368,B1369:B$3001,B1368,G1369:G$3001,"")=0,C1368,0),0))</f>
        <v/>
      </c>
    </row>
    <row r="1369">
      <c r="A1369" s="6" t="n"/>
      <c r="B1369" s="9" t="n"/>
      <c r="C1369" s="6" t="n"/>
      <c r="D1369" s="6" t="n"/>
      <c r="E1369" s="6" t="n"/>
      <c r="F1369" s="6" t="n"/>
      <c r="G1369" s="6" t="n"/>
      <c r="H1369" s="10">
        <f>IF(F1369="","",IFERROR(INDEX(Roster!$A$2:$A$600,MATCH(F1369,Roster!$E$2:$E$600,0)),""))</f>
        <v/>
      </c>
      <c r="I1369" s="10">
        <f>IF(AND(D1369="",C1369="",F1369=""),"",IF(G1369&lt;&gt;"","Void",IF(F1369="","Needs child",IF(H1369="","Child not found",IF(OR(B1369="",NOT(ISNUMBER(C1369))),"Needs month/pages","OK")))))</f>
        <v/>
      </c>
      <c r="J1369" s="10">
        <f>IF(I1369="","",IF(I1369="OK",IF(COUNTIFS(H1370:H$3001,H1369,B1370:B$3001,B1369,G1370:G$3001,"")=0,C1369,0),0))</f>
        <v/>
      </c>
    </row>
    <row r="1370">
      <c r="A1370" s="6" t="n"/>
      <c r="B1370" s="9" t="n"/>
      <c r="C1370" s="6" t="n"/>
      <c r="D1370" s="6" t="n"/>
      <c r="E1370" s="6" t="n"/>
      <c r="F1370" s="6" t="n"/>
      <c r="G1370" s="6" t="n"/>
      <c r="H1370" s="10">
        <f>IF(F1370="","",IFERROR(INDEX(Roster!$A$2:$A$600,MATCH(F1370,Roster!$E$2:$E$600,0)),""))</f>
        <v/>
      </c>
      <c r="I1370" s="10">
        <f>IF(AND(D1370="",C1370="",F1370=""),"",IF(G1370&lt;&gt;"","Void",IF(F1370="","Needs child",IF(H1370="","Child not found",IF(OR(B1370="",NOT(ISNUMBER(C1370))),"Needs month/pages","OK")))))</f>
        <v/>
      </c>
      <c r="J1370" s="10">
        <f>IF(I1370="","",IF(I1370="OK",IF(COUNTIFS(H1371:H$3001,H1370,B1371:B$3001,B1370,G1371:G$3001,"")=0,C1370,0),0))</f>
        <v/>
      </c>
    </row>
    <row r="1371">
      <c r="A1371" s="6" t="n"/>
      <c r="B1371" s="9" t="n"/>
      <c r="C1371" s="6" t="n"/>
      <c r="D1371" s="6" t="n"/>
      <c r="E1371" s="6" t="n"/>
      <c r="F1371" s="6" t="n"/>
      <c r="G1371" s="6" t="n"/>
      <c r="H1371" s="10">
        <f>IF(F1371="","",IFERROR(INDEX(Roster!$A$2:$A$600,MATCH(F1371,Roster!$E$2:$E$600,0)),""))</f>
        <v/>
      </c>
      <c r="I1371" s="10">
        <f>IF(AND(D1371="",C1371="",F1371=""),"",IF(G1371&lt;&gt;"","Void",IF(F1371="","Needs child",IF(H1371="","Child not found",IF(OR(B1371="",NOT(ISNUMBER(C1371))),"Needs month/pages","OK")))))</f>
        <v/>
      </c>
      <c r="J1371" s="10">
        <f>IF(I1371="","",IF(I1371="OK",IF(COUNTIFS(H1372:H$3001,H1371,B1372:B$3001,B1371,G1372:G$3001,"")=0,C1371,0),0))</f>
        <v/>
      </c>
    </row>
    <row r="1372">
      <c r="A1372" s="6" t="n"/>
      <c r="B1372" s="9" t="n"/>
      <c r="C1372" s="6" t="n"/>
      <c r="D1372" s="6" t="n"/>
      <c r="E1372" s="6" t="n"/>
      <c r="F1372" s="6" t="n"/>
      <c r="G1372" s="6" t="n"/>
      <c r="H1372" s="10">
        <f>IF(F1372="","",IFERROR(INDEX(Roster!$A$2:$A$600,MATCH(F1372,Roster!$E$2:$E$600,0)),""))</f>
        <v/>
      </c>
      <c r="I1372" s="10">
        <f>IF(AND(D1372="",C1372="",F1372=""),"",IF(G1372&lt;&gt;"","Void",IF(F1372="","Needs child",IF(H1372="","Child not found",IF(OR(B1372="",NOT(ISNUMBER(C1372))),"Needs month/pages","OK")))))</f>
        <v/>
      </c>
      <c r="J1372" s="10">
        <f>IF(I1372="","",IF(I1372="OK",IF(COUNTIFS(H1373:H$3001,H1372,B1373:B$3001,B1372,G1373:G$3001,"")=0,C1372,0),0))</f>
        <v/>
      </c>
    </row>
    <row r="1373">
      <c r="A1373" s="6" t="n"/>
      <c r="B1373" s="9" t="n"/>
      <c r="C1373" s="6" t="n"/>
      <c r="D1373" s="6" t="n"/>
      <c r="E1373" s="6" t="n"/>
      <c r="F1373" s="6" t="n"/>
      <c r="G1373" s="6" t="n"/>
      <c r="H1373" s="10">
        <f>IF(F1373="","",IFERROR(INDEX(Roster!$A$2:$A$600,MATCH(F1373,Roster!$E$2:$E$600,0)),""))</f>
        <v/>
      </c>
      <c r="I1373" s="10">
        <f>IF(AND(D1373="",C1373="",F1373=""),"",IF(G1373&lt;&gt;"","Void",IF(F1373="","Needs child",IF(H1373="","Child not found",IF(OR(B1373="",NOT(ISNUMBER(C1373))),"Needs month/pages","OK")))))</f>
        <v/>
      </c>
      <c r="J1373" s="10">
        <f>IF(I1373="","",IF(I1373="OK",IF(COUNTIFS(H1374:H$3001,H1373,B1374:B$3001,B1373,G1374:G$3001,"")=0,C1373,0),0))</f>
        <v/>
      </c>
    </row>
    <row r="1374">
      <c r="A1374" s="6" t="n"/>
      <c r="B1374" s="9" t="n"/>
      <c r="C1374" s="6" t="n"/>
      <c r="D1374" s="6" t="n"/>
      <c r="E1374" s="6" t="n"/>
      <c r="F1374" s="6" t="n"/>
      <c r="G1374" s="6" t="n"/>
      <c r="H1374" s="10">
        <f>IF(F1374="","",IFERROR(INDEX(Roster!$A$2:$A$600,MATCH(F1374,Roster!$E$2:$E$600,0)),""))</f>
        <v/>
      </c>
      <c r="I1374" s="10">
        <f>IF(AND(D1374="",C1374="",F1374=""),"",IF(G1374&lt;&gt;"","Void",IF(F1374="","Needs child",IF(H1374="","Child not found",IF(OR(B1374="",NOT(ISNUMBER(C1374))),"Needs month/pages","OK")))))</f>
        <v/>
      </c>
      <c r="J1374" s="10">
        <f>IF(I1374="","",IF(I1374="OK",IF(COUNTIFS(H1375:H$3001,H1374,B1375:B$3001,B1374,G1375:G$3001,"")=0,C1374,0),0))</f>
        <v/>
      </c>
    </row>
    <row r="1375">
      <c r="A1375" s="6" t="n"/>
      <c r="B1375" s="9" t="n"/>
      <c r="C1375" s="6" t="n"/>
      <c r="D1375" s="6" t="n"/>
      <c r="E1375" s="6" t="n"/>
      <c r="F1375" s="6" t="n"/>
      <c r="G1375" s="6" t="n"/>
      <c r="H1375" s="10">
        <f>IF(F1375="","",IFERROR(INDEX(Roster!$A$2:$A$600,MATCH(F1375,Roster!$E$2:$E$600,0)),""))</f>
        <v/>
      </c>
      <c r="I1375" s="10">
        <f>IF(AND(D1375="",C1375="",F1375=""),"",IF(G1375&lt;&gt;"","Void",IF(F1375="","Needs child",IF(H1375="","Child not found",IF(OR(B1375="",NOT(ISNUMBER(C1375))),"Needs month/pages","OK")))))</f>
        <v/>
      </c>
      <c r="J1375" s="10">
        <f>IF(I1375="","",IF(I1375="OK",IF(COUNTIFS(H1376:H$3001,H1375,B1376:B$3001,B1375,G1376:G$3001,"")=0,C1375,0),0))</f>
        <v/>
      </c>
    </row>
    <row r="1376">
      <c r="A1376" s="6" t="n"/>
      <c r="B1376" s="9" t="n"/>
      <c r="C1376" s="6" t="n"/>
      <c r="D1376" s="6" t="n"/>
      <c r="E1376" s="6" t="n"/>
      <c r="F1376" s="6" t="n"/>
      <c r="G1376" s="6" t="n"/>
      <c r="H1376" s="10">
        <f>IF(F1376="","",IFERROR(INDEX(Roster!$A$2:$A$600,MATCH(F1376,Roster!$E$2:$E$600,0)),""))</f>
        <v/>
      </c>
      <c r="I1376" s="10">
        <f>IF(AND(D1376="",C1376="",F1376=""),"",IF(G1376&lt;&gt;"","Void",IF(F1376="","Needs child",IF(H1376="","Child not found",IF(OR(B1376="",NOT(ISNUMBER(C1376))),"Needs month/pages","OK")))))</f>
        <v/>
      </c>
      <c r="J1376" s="10">
        <f>IF(I1376="","",IF(I1376="OK",IF(COUNTIFS(H1377:H$3001,H1376,B1377:B$3001,B1376,G1377:G$3001,"")=0,C1376,0),0))</f>
        <v/>
      </c>
    </row>
    <row r="1377">
      <c r="A1377" s="6" t="n"/>
      <c r="B1377" s="9" t="n"/>
      <c r="C1377" s="6" t="n"/>
      <c r="D1377" s="6" t="n"/>
      <c r="E1377" s="6" t="n"/>
      <c r="F1377" s="6" t="n"/>
      <c r="G1377" s="6" t="n"/>
      <c r="H1377" s="10">
        <f>IF(F1377="","",IFERROR(INDEX(Roster!$A$2:$A$600,MATCH(F1377,Roster!$E$2:$E$600,0)),""))</f>
        <v/>
      </c>
      <c r="I1377" s="10">
        <f>IF(AND(D1377="",C1377="",F1377=""),"",IF(G1377&lt;&gt;"","Void",IF(F1377="","Needs child",IF(H1377="","Child not found",IF(OR(B1377="",NOT(ISNUMBER(C1377))),"Needs month/pages","OK")))))</f>
        <v/>
      </c>
      <c r="J1377" s="10">
        <f>IF(I1377="","",IF(I1377="OK",IF(COUNTIFS(H1378:H$3001,H1377,B1378:B$3001,B1377,G1378:G$3001,"")=0,C1377,0),0))</f>
        <v/>
      </c>
    </row>
    <row r="1378">
      <c r="A1378" s="6" t="n"/>
      <c r="B1378" s="9" t="n"/>
      <c r="C1378" s="6" t="n"/>
      <c r="D1378" s="6" t="n"/>
      <c r="E1378" s="6" t="n"/>
      <c r="F1378" s="6" t="n"/>
      <c r="G1378" s="6" t="n"/>
      <c r="H1378" s="10">
        <f>IF(F1378="","",IFERROR(INDEX(Roster!$A$2:$A$600,MATCH(F1378,Roster!$E$2:$E$600,0)),""))</f>
        <v/>
      </c>
      <c r="I1378" s="10">
        <f>IF(AND(D1378="",C1378="",F1378=""),"",IF(G1378&lt;&gt;"","Void",IF(F1378="","Needs child",IF(H1378="","Child not found",IF(OR(B1378="",NOT(ISNUMBER(C1378))),"Needs month/pages","OK")))))</f>
        <v/>
      </c>
      <c r="J1378" s="10">
        <f>IF(I1378="","",IF(I1378="OK",IF(COUNTIFS(H1379:H$3001,H1378,B1379:B$3001,B1378,G1379:G$3001,"")=0,C1378,0),0))</f>
        <v/>
      </c>
    </row>
    <row r="1379">
      <c r="A1379" s="6" t="n"/>
      <c r="B1379" s="9" t="n"/>
      <c r="C1379" s="6" t="n"/>
      <c r="D1379" s="6" t="n"/>
      <c r="E1379" s="6" t="n"/>
      <c r="F1379" s="6" t="n"/>
      <c r="G1379" s="6" t="n"/>
      <c r="H1379" s="10">
        <f>IF(F1379="","",IFERROR(INDEX(Roster!$A$2:$A$600,MATCH(F1379,Roster!$E$2:$E$600,0)),""))</f>
        <v/>
      </c>
      <c r="I1379" s="10">
        <f>IF(AND(D1379="",C1379="",F1379=""),"",IF(G1379&lt;&gt;"","Void",IF(F1379="","Needs child",IF(H1379="","Child not found",IF(OR(B1379="",NOT(ISNUMBER(C1379))),"Needs month/pages","OK")))))</f>
        <v/>
      </c>
      <c r="J1379" s="10">
        <f>IF(I1379="","",IF(I1379="OK",IF(COUNTIFS(H1380:H$3001,H1379,B1380:B$3001,B1379,G1380:G$3001,"")=0,C1379,0),0))</f>
        <v/>
      </c>
    </row>
    <row r="1380">
      <c r="A1380" s="6" t="n"/>
      <c r="B1380" s="9" t="n"/>
      <c r="C1380" s="6" t="n"/>
      <c r="D1380" s="6" t="n"/>
      <c r="E1380" s="6" t="n"/>
      <c r="F1380" s="6" t="n"/>
      <c r="G1380" s="6" t="n"/>
      <c r="H1380" s="10">
        <f>IF(F1380="","",IFERROR(INDEX(Roster!$A$2:$A$600,MATCH(F1380,Roster!$E$2:$E$600,0)),""))</f>
        <v/>
      </c>
      <c r="I1380" s="10">
        <f>IF(AND(D1380="",C1380="",F1380=""),"",IF(G1380&lt;&gt;"","Void",IF(F1380="","Needs child",IF(H1380="","Child not found",IF(OR(B1380="",NOT(ISNUMBER(C1380))),"Needs month/pages","OK")))))</f>
        <v/>
      </c>
      <c r="J1380" s="10">
        <f>IF(I1380="","",IF(I1380="OK",IF(COUNTIFS(H1381:H$3001,H1380,B1381:B$3001,B1380,G1381:G$3001,"")=0,C1380,0),0))</f>
        <v/>
      </c>
    </row>
    <row r="1381">
      <c r="A1381" s="6" t="n"/>
      <c r="B1381" s="9" t="n"/>
      <c r="C1381" s="6" t="n"/>
      <c r="D1381" s="6" t="n"/>
      <c r="E1381" s="6" t="n"/>
      <c r="F1381" s="6" t="n"/>
      <c r="G1381" s="6" t="n"/>
      <c r="H1381" s="10">
        <f>IF(F1381="","",IFERROR(INDEX(Roster!$A$2:$A$600,MATCH(F1381,Roster!$E$2:$E$600,0)),""))</f>
        <v/>
      </c>
      <c r="I1381" s="10">
        <f>IF(AND(D1381="",C1381="",F1381=""),"",IF(G1381&lt;&gt;"","Void",IF(F1381="","Needs child",IF(H1381="","Child not found",IF(OR(B1381="",NOT(ISNUMBER(C1381))),"Needs month/pages","OK")))))</f>
        <v/>
      </c>
      <c r="J1381" s="10">
        <f>IF(I1381="","",IF(I1381="OK",IF(COUNTIFS(H1382:H$3001,H1381,B1382:B$3001,B1381,G1382:G$3001,"")=0,C1381,0),0))</f>
        <v/>
      </c>
    </row>
    <row r="1382">
      <c r="A1382" s="6" t="n"/>
      <c r="B1382" s="9" t="n"/>
      <c r="C1382" s="6" t="n"/>
      <c r="D1382" s="6" t="n"/>
      <c r="E1382" s="6" t="n"/>
      <c r="F1382" s="6" t="n"/>
      <c r="G1382" s="6" t="n"/>
      <c r="H1382" s="10">
        <f>IF(F1382="","",IFERROR(INDEX(Roster!$A$2:$A$600,MATCH(F1382,Roster!$E$2:$E$600,0)),""))</f>
        <v/>
      </c>
      <c r="I1382" s="10">
        <f>IF(AND(D1382="",C1382="",F1382=""),"",IF(G1382&lt;&gt;"","Void",IF(F1382="","Needs child",IF(H1382="","Child not found",IF(OR(B1382="",NOT(ISNUMBER(C1382))),"Needs month/pages","OK")))))</f>
        <v/>
      </c>
      <c r="J1382" s="10">
        <f>IF(I1382="","",IF(I1382="OK",IF(COUNTIFS(H1383:H$3001,H1382,B1383:B$3001,B1382,G1383:G$3001,"")=0,C1382,0),0))</f>
        <v/>
      </c>
    </row>
    <row r="1383">
      <c r="A1383" s="6" t="n"/>
      <c r="B1383" s="9" t="n"/>
      <c r="C1383" s="6" t="n"/>
      <c r="D1383" s="6" t="n"/>
      <c r="E1383" s="6" t="n"/>
      <c r="F1383" s="6" t="n"/>
      <c r="G1383" s="6" t="n"/>
      <c r="H1383" s="10">
        <f>IF(F1383="","",IFERROR(INDEX(Roster!$A$2:$A$600,MATCH(F1383,Roster!$E$2:$E$600,0)),""))</f>
        <v/>
      </c>
      <c r="I1383" s="10">
        <f>IF(AND(D1383="",C1383="",F1383=""),"",IF(G1383&lt;&gt;"","Void",IF(F1383="","Needs child",IF(H1383="","Child not found",IF(OR(B1383="",NOT(ISNUMBER(C1383))),"Needs month/pages","OK")))))</f>
        <v/>
      </c>
      <c r="J1383" s="10">
        <f>IF(I1383="","",IF(I1383="OK",IF(COUNTIFS(H1384:H$3001,H1383,B1384:B$3001,B1383,G1384:G$3001,"")=0,C1383,0),0))</f>
        <v/>
      </c>
    </row>
    <row r="1384">
      <c r="A1384" s="6" t="n"/>
      <c r="B1384" s="9" t="n"/>
      <c r="C1384" s="6" t="n"/>
      <c r="D1384" s="6" t="n"/>
      <c r="E1384" s="6" t="n"/>
      <c r="F1384" s="6" t="n"/>
      <c r="G1384" s="6" t="n"/>
      <c r="H1384" s="10">
        <f>IF(F1384="","",IFERROR(INDEX(Roster!$A$2:$A$600,MATCH(F1384,Roster!$E$2:$E$600,0)),""))</f>
        <v/>
      </c>
      <c r="I1384" s="10">
        <f>IF(AND(D1384="",C1384="",F1384=""),"",IF(G1384&lt;&gt;"","Void",IF(F1384="","Needs child",IF(H1384="","Child not found",IF(OR(B1384="",NOT(ISNUMBER(C1384))),"Needs month/pages","OK")))))</f>
        <v/>
      </c>
      <c r="J1384" s="10">
        <f>IF(I1384="","",IF(I1384="OK",IF(COUNTIFS(H1385:H$3001,H1384,B1385:B$3001,B1384,G1385:G$3001,"")=0,C1384,0),0))</f>
        <v/>
      </c>
    </row>
    <row r="1385">
      <c r="A1385" s="6" t="n"/>
      <c r="B1385" s="9" t="n"/>
      <c r="C1385" s="6" t="n"/>
      <c r="D1385" s="6" t="n"/>
      <c r="E1385" s="6" t="n"/>
      <c r="F1385" s="6" t="n"/>
      <c r="G1385" s="6" t="n"/>
      <c r="H1385" s="10">
        <f>IF(F1385="","",IFERROR(INDEX(Roster!$A$2:$A$600,MATCH(F1385,Roster!$E$2:$E$600,0)),""))</f>
        <v/>
      </c>
      <c r="I1385" s="10">
        <f>IF(AND(D1385="",C1385="",F1385=""),"",IF(G1385&lt;&gt;"","Void",IF(F1385="","Needs child",IF(H1385="","Child not found",IF(OR(B1385="",NOT(ISNUMBER(C1385))),"Needs month/pages","OK")))))</f>
        <v/>
      </c>
      <c r="J1385" s="10">
        <f>IF(I1385="","",IF(I1385="OK",IF(COUNTIFS(H1386:H$3001,H1385,B1386:B$3001,B1385,G1386:G$3001,"")=0,C1385,0),0))</f>
        <v/>
      </c>
    </row>
    <row r="1386">
      <c r="A1386" s="6" t="n"/>
      <c r="B1386" s="9" t="n"/>
      <c r="C1386" s="6" t="n"/>
      <c r="D1386" s="6" t="n"/>
      <c r="E1386" s="6" t="n"/>
      <c r="F1386" s="6" t="n"/>
      <c r="G1386" s="6" t="n"/>
      <c r="H1386" s="10">
        <f>IF(F1386="","",IFERROR(INDEX(Roster!$A$2:$A$600,MATCH(F1386,Roster!$E$2:$E$600,0)),""))</f>
        <v/>
      </c>
      <c r="I1386" s="10">
        <f>IF(AND(D1386="",C1386="",F1386=""),"",IF(G1386&lt;&gt;"","Void",IF(F1386="","Needs child",IF(H1386="","Child not found",IF(OR(B1386="",NOT(ISNUMBER(C1386))),"Needs month/pages","OK")))))</f>
        <v/>
      </c>
      <c r="J1386" s="10">
        <f>IF(I1386="","",IF(I1386="OK",IF(COUNTIFS(H1387:H$3001,H1386,B1387:B$3001,B1386,G1387:G$3001,"")=0,C1386,0),0))</f>
        <v/>
      </c>
    </row>
    <row r="1387">
      <c r="A1387" s="6" t="n"/>
      <c r="B1387" s="9" t="n"/>
      <c r="C1387" s="6" t="n"/>
      <c r="D1387" s="6" t="n"/>
      <c r="E1387" s="6" t="n"/>
      <c r="F1387" s="6" t="n"/>
      <c r="G1387" s="6" t="n"/>
      <c r="H1387" s="10">
        <f>IF(F1387="","",IFERROR(INDEX(Roster!$A$2:$A$600,MATCH(F1387,Roster!$E$2:$E$600,0)),""))</f>
        <v/>
      </c>
      <c r="I1387" s="10">
        <f>IF(AND(D1387="",C1387="",F1387=""),"",IF(G1387&lt;&gt;"","Void",IF(F1387="","Needs child",IF(H1387="","Child not found",IF(OR(B1387="",NOT(ISNUMBER(C1387))),"Needs month/pages","OK")))))</f>
        <v/>
      </c>
      <c r="J1387" s="10">
        <f>IF(I1387="","",IF(I1387="OK",IF(COUNTIFS(H1388:H$3001,H1387,B1388:B$3001,B1387,G1388:G$3001,"")=0,C1387,0),0))</f>
        <v/>
      </c>
    </row>
    <row r="1388">
      <c r="A1388" s="6" t="n"/>
      <c r="B1388" s="9" t="n"/>
      <c r="C1388" s="6" t="n"/>
      <c r="D1388" s="6" t="n"/>
      <c r="E1388" s="6" t="n"/>
      <c r="F1388" s="6" t="n"/>
      <c r="G1388" s="6" t="n"/>
      <c r="H1388" s="10">
        <f>IF(F1388="","",IFERROR(INDEX(Roster!$A$2:$A$600,MATCH(F1388,Roster!$E$2:$E$600,0)),""))</f>
        <v/>
      </c>
      <c r="I1388" s="10">
        <f>IF(AND(D1388="",C1388="",F1388=""),"",IF(G1388&lt;&gt;"","Void",IF(F1388="","Needs child",IF(H1388="","Child not found",IF(OR(B1388="",NOT(ISNUMBER(C1388))),"Needs month/pages","OK")))))</f>
        <v/>
      </c>
      <c r="J1388" s="10">
        <f>IF(I1388="","",IF(I1388="OK",IF(COUNTIFS(H1389:H$3001,H1388,B1389:B$3001,B1388,G1389:G$3001,"")=0,C1388,0),0))</f>
        <v/>
      </c>
    </row>
    <row r="1389">
      <c r="A1389" s="6" t="n"/>
      <c r="B1389" s="9" t="n"/>
      <c r="C1389" s="6" t="n"/>
      <c r="D1389" s="6" t="n"/>
      <c r="E1389" s="6" t="n"/>
      <c r="F1389" s="6" t="n"/>
      <c r="G1389" s="6" t="n"/>
      <c r="H1389" s="10">
        <f>IF(F1389="","",IFERROR(INDEX(Roster!$A$2:$A$600,MATCH(F1389,Roster!$E$2:$E$600,0)),""))</f>
        <v/>
      </c>
      <c r="I1389" s="10">
        <f>IF(AND(D1389="",C1389="",F1389=""),"",IF(G1389&lt;&gt;"","Void",IF(F1389="","Needs child",IF(H1389="","Child not found",IF(OR(B1389="",NOT(ISNUMBER(C1389))),"Needs month/pages","OK")))))</f>
        <v/>
      </c>
      <c r="J1389" s="10">
        <f>IF(I1389="","",IF(I1389="OK",IF(COUNTIFS(H1390:H$3001,H1389,B1390:B$3001,B1389,G1390:G$3001,"")=0,C1389,0),0))</f>
        <v/>
      </c>
    </row>
    <row r="1390">
      <c r="A1390" s="6" t="n"/>
      <c r="B1390" s="9" t="n"/>
      <c r="C1390" s="6" t="n"/>
      <c r="D1390" s="6" t="n"/>
      <c r="E1390" s="6" t="n"/>
      <c r="F1390" s="6" t="n"/>
      <c r="G1390" s="6" t="n"/>
      <c r="H1390" s="10">
        <f>IF(F1390="","",IFERROR(INDEX(Roster!$A$2:$A$600,MATCH(F1390,Roster!$E$2:$E$600,0)),""))</f>
        <v/>
      </c>
      <c r="I1390" s="10">
        <f>IF(AND(D1390="",C1390="",F1390=""),"",IF(G1390&lt;&gt;"","Void",IF(F1390="","Needs child",IF(H1390="","Child not found",IF(OR(B1390="",NOT(ISNUMBER(C1390))),"Needs month/pages","OK")))))</f>
        <v/>
      </c>
      <c r="J1390" s="10">
        <f>IF(I1390="","",IF(I1390="OK",IF(COUNTIFS(H1391:H$3001,H1390,B1391:B$3001,B1390,G1391:G$3001,"")=0,C1390,0),0))</f>
        <v/>
      </c>
    </row>
    <row r="1391">
      <c r="A1391" s="6" t="n"/>
      <c r="B1391" s="9" t="n"/>
      <c r="C1391" s="6" t="n"/>
      <c r="D1391" s="6" t="n"/>
      <c r="E1391" s="6" t="n"/>
      <c r="F1391" s="6" t="n"/>
      <c r="G1391" s="6" t="n"/>
      <c r="H1391" s="10">
        <f>IF(F1391="","",IFERROR(INDEX(Roster!$A$2:$A$600,MATCH(F1391,Roster!$E$2:$E$600,0)),""))</f>
        <v/>
      </c>
      <c r="I1391" s="10">
        <f>IF(AND(D1391="",C1391="",F1391=""),"",IF(G1391&lt;&gt;"","Void",IF(F1391="","Needs child",IF(H1391="","Child not found",IF(OR(B1391="",NOT(ISNUMBER(C1391))),"Needs month/pages","OK")))))</f>
        <v/>
      </c>
      <c r="J1391" s="10">
        <f>IF(I1391="","",IF(I1391="OK",IF(COUNTIFS(H1392:H$3001,H1391,B1392:B$3001,B1391,G1392:G$3001,"")=0,C1391,0),0))</f>
        <v/>
      </c>
    </row>
    <row r="1392">
      <c r="A1392" s="6" t="n"/>
      <c r="B1392" s="9" t="n"/>
      <c r="C1392" s="6" t="n"/>
      <c r="D1392" s="6" t="n"/>
      <c r="E1392" s="6" t="n"/>
      <c r="F1392" s="6" t="n"/>
      <c r="G1392" s="6" t="n"/>
      <c r="H1392" s="10">
        <f>IF(F1392="","",IFERROR(INDEX(Roster!$A$2:$A$600,MATCH(F1392,Roster!$E$2:$E$600,0)),""))</f>
        <v/>
      </c>
      <c r="I1392" s="10">
        <f>IF(AND(D1392="",C1392="",F1392=""),"",IF(G1392&lt;&gt;"","Void",IF(F1392="","Needs child",IF(H1392="","Child not found",IF(OR(B1392="",NOT(ISNUMBER(C1392))),"Needs month/pages","OK")))))</f>
        <v/>
      </c>
      <c r="J1392" s="10">
        <f>IF(I1392="","",IF(I1392="OK",IF(COUNTIFS(H1393:H$3001,H1392,B1393:B$3001,B1392,G1393:G$3001,"")=0,C1392,0),0))</f>
        <v/>
      </c>
    </row>
    <row r="1393">
      <c r="A1393" s="6" t="n"/>
      <c r="B1393" s="9" t="n"/>
      <c r="C1393" s="6" t="n"/>
      <c r="D1393" s="6" t="n"/>
      <c r="E1393" s="6" t="n"/>
      <c r="F1393" s="6" t="n"/>
      <c r="G1393" s="6" t="n"/>
      <c r="H1393" s="10">
        <f>IF(F1393="","",IFERROR(INDEX(Roster!$A$2:$A$600,MATCH(F1393,Roster!$E$2:$E$600,0)),""))</f>
        <v/>
      </c>
      <c r="I1393" s="10">
        <f>IF(AND(D1393="",C1393="",F1393=""),"",IF(G1393&lt;&gt;"","Void",IF(F1393="","Needs child",IF(H1393="","Child not found",IF(OR(B1393="",NOT(ISNUMBER(C1393))),"Needs month/pages","OK")))))</f>
        <v/>
      </c>
      <c r="J1393" s="10">
        <f>IF(I1393="","",IF(I1393="OK",IF(COUNTIFS(H1394:H$3001,H1393,B1394:B$3001,B1393,G1394:G$3001,"")=0,C1393,0),0))</f>
        <v/>
      </c>
    </row>
    <row r="1394">
      <c r="A1394" s="6" t="n"/>
      <c r="B1394" s="9" t="n"/>
      <c r="C1394" s="6" t="n"/>
      <c r="D1394" s="6" t="n"/>
      <c r="E1394" s="6" t="n"/>
      <c r="F1394" s="6" t="n"/>
      <c r="G1394" s="6" t="n"/>
      <c r="H1394" s="10">
        <f>IF(F1394="","",IFERROR(INDEX(Roster!$A$2:$A$600,MATCH(F1394,Roster!$E$2:$E$600,0)),""))</f>
        <v/>
      </c>
      <c r="I1394" s="10">
        <f>IF(AND(D1394="",C1394="",F1394=""),"",IF(G1394&lt;&gt;"","Void",IF(F1394="","Needs child",IF(H1394="","Child not found",IF(OR(B1394="",NOT(ISNUMBER(C1394))),"Needs month/pages","OK")))))</f>
        <v/>
      </c>
      <c r="J1394" s="10">
        <f>IF(I1394="","",IF(I1394="OK",IF(COUNTIFS(H1395:H$3001,H1394,B1395:B$3001,B1394,G1395:G$3001,"")=0,C1394,0),0))</f>
        <v/>
      </c>
    </row>
    <row r="1395">
      <c r="A1395" s="6" t="n"/>
      <c r="B1395" s="9" t="n"/>
      <c r="C1395" s="6" t="n"/>
      <c r="D1395" s="6" t="n"/>
      <c r="E1395" s="6" t="n"/>
      <c r="F1395" s="6" t="n"/>
      <c r="G1395" s="6" t="n"/>
      <c r="H1395" s="10">
        <f>IF(F1395="","",IFERROR(INDEX(Roster!$A$2:$A$600,MATCH(F1395,Roster!$E$2:$E$600,0)),""))</f>
        <v/>
      </c>
      <c r="I1395" s="10">
        <f>IF(AND(D1395="",C1395="",F1395=""),"",IF(G1395&lt;&gt;"","Void",IF(F1395="","Needs child",IF(H1395="","Child not found",IF(OR(B1395="",NOT(ISNUMBER(C1395))),"Needs month/pages","OK")))))</f>
        <v/>
      </c>
      <c r="J1395" s="10">
        <f>IF(I1395="","",IF(I1395="OK",IF(COUNTIFS(H1396:H$3001,H1395,B1396:B$3001,B1395,G1396:G$3001,"")=0,C1395,0),0))</f>
        <v/>
      </c>
    </row>
    <row r="1396">
      <c r="A1396" s="6" t="n"/>
      <c r="B1396" s="9" t="n"/>
      <c r="C1396" s="6" t="n"/>
      <c r="D1396" s="6" t="n"/>
      <c r="E1396" s="6" t="n"/>
      <c r="F1396" s="6" t="n"/>
      <c r="G1396" s="6" t="n"/>
      <c r="H1396" s="10">
        <f>IF(F1396="","",IFERROR(INDEX(Roster!$A$2:$A$600,MATCH(F1396,Roster!$E$2:$E$600,0)),""))</f>
        <v/>
      </c>
      <c r="I1396" s="10">
        <f>IF(AND(D1396="",C1396="",F1396=""),"",IF(G1396&lt;&gt;"","Void",IF(F1396="","Needs child",IF(H1396="","Child not found",IF(OR(B1396="",NOT(ISNUMBER(C1396))),"Needs month/pages","OK")))))</f>
        <v/>
      </c>
      <c r="J1396" s="10">
        <f>IF(I1396="","",IF(I1396="OK",IF(COUNTIFS(H1397:H$3001,H1396,B1397:B$3001,B1396,G1397:G$3001,"")=0,C1396,0),0))</f>
        <v/>
      </c>
    </row>
    <row r="1397">
      <c r="A1397" s="6" t="n"/>
      <c r="B1397" s="9" t="n"/>
      <c r="C1397" s="6" t="n"/>
      <c r="D1397" s="6" t="n"/>
      <c r="E1397" s="6" t="n"/>
      <c r="F1397" s="6" t="n"/>
      <c r="G1397" s="6" t="n"/>
      <c r="H1397" s="10">
        <f>IF(F1397="","",IFERROR(INDEX(Roster!$A$2:$A$600,MATCH(F1397,Roster!$E$2:$E$600,0)),""))</f>
        <v/>
      </c>
      <c r="I1397" s="10">
        <f>IF(AND(D1397="",C1397="",F1397=""),"",IF(G1397&lt;&gt;"","Void",IF(F1397="","Needs child",IF(H1397="","Child not found",IF(OR(B1397="",NOT(ISNUMBER(C1397))),"Needs month/pages","OK")))))</f>
        <v/>
      </c>
      <c r="J1397" s="10">
        <f>IF(I1397="","",IF(I1397="OK",IF(COUNTIFS(H1398:H$3001,H1397,B1398:B$3001,B1397,G1398:G$3001,"")=0,C1397,0),0))</f>
        <v/>
      </c>
    </row>
    <row r="1398">
      <c r="A1398" s="6" t="n"/>
      <c r="B1398" s="9" t="n"/>
      <c r="C1398" s="6" t="n"/>
      <c r="D1398" s="6" t="n"/>
      <c r="E1398" s="6" t="n"/>
      <c r="F1398" s="6" t="n"/>
      <c r="G1398" s="6" t="n"/>
      <c r="H1398" s="10">
        <f>IF(F1398="","",IFERROR(INDEX(Roster!$A$2:$A$600,MATCH(F1398,Roster!$E$2:$E$600,0)),""))</f>
        <v/>
      </c>
      <c r="I1398" s="10">
        <f>IF(AND(D1398="",C1398="",F1398=""),"",IF(G1398&lt;&gt;"","Void",IF(F1398="","Needs child",IF(H1398="","Child not found",IF(OR(B1398="",NOT(ISNUMBER(C1398))),"Needs month/pages","OK")))))</f>
        <v/>
      </c>
      <c r="J1398" s="10">
        <f>IF(I1398="","",IF(I1398="OK",IF(COUNTIFS(H1399:H$3001,H1398,B1399:B$3001,B1398,G1399:G$3001,"")=0,C1398,0),0))</f>
        <v/>
      </c>
    </row>
    <row r="1399">
      <c r="A1399" s="6" t="n"/>
      <c r="B1399" s="9" t="n"/>
      <c r="C1399" s="6" t="n"/>
      <c r="D1399" s="6" t="n"/>
      <c r="E1399" s="6" t="n"/>
      <c r="F1399" s="6" t="n"/>
      <c r="G1399" s="6" t="n"/>
      <c r="H1399" s="10">
        <f>IF(F1399="","",IFERROR(INDEX(Roster!$A$2:$A$600,MATCH(F1399,Roster!$E$2:$E$600,0)),""))</f>
        <v/>
      </c>
      <c r="I1399" s="10">
        <f>IF(AND(D1399="",C1399="",F1399=""),"",IF(G1399&lt;&gt;"","Void",IF(F1399="","Needs child",IF(H1399="","Child not found",IF(OR(B1399="",NOT(ISNUMBER(C1399))),"Needs month/pages","OK")))))</f>
        <v/>
      </c>
      <c r="J1399" s="10">
        <f>IF(I1399="","",IF(I1399="OK",IF(COUNTIFS(H1400:H$3001,H1399,B1400:B$3001,B1399,G1400:G$3001,"")=0,C1399,0),0))</f>
        <v/>
      </c>
    </row>
    <row r="1400">
      <c r="A1400" s="6" t="n"/>
      <c r="B1400" s="9" t="n"/>
      <c r="C1400" s="6" t="n"/>
      <c r="D1400" s="6" t="n"/>
      <c r="E1400" s="6" t="n"/>
      <c r="F1400" s="6" t="n"/>
      <c r="G1400" s="6" t="n"/>
      <c r="H1400" s="10">
        <f>IF(F1400="","",IFERROR(INDEX(Roster!$A$2:$A$600,MATCH(F1400,Roster!$E$2:$E$600,0)),""))</f>
        <v/>
      </c>
      <c r="I1400" s="10">
        <f>IF(AND(D1400="",C1400="",F1400=""),"",IF(G1400&lt;&gt;"","Void",IF(F1400="","Needs child",IF(H1400="","Child not found",IF(OR(B1400="",NOT(ISNUMBER(C1400))),"Needs month/pages","OK")))))</f>
        <v/>
      </c>
      <c r="J1400" s="10">
        <f>IF(I1400="","",IF(I1400="OK",IF(COUNTIFS(H1401:H$3001,H1400,B1401:B$3001,B1400,G1401:G$3001,"")=0,C1400,0),0))</f>
        <v/>
      </c>
    </row>
    <row r="1401">
      <c r="A1401" s="6" t="n"/>
      <c r="B1401" s="9" t="n"/>
      <c r="C1401" s="6" t="n"/>
      <c r="D1401" s="6" t="n"/>
      <c r="E1401" s="6" t="n"/>
      <c r="F1401" s="6" t="n"/>
      <c r="G1401" s="6" t="n"/>
      <c r="H1401" s="10">
        <f>IF(F1401="","",IFERROR(INDEX(Roster!$A$2:$A$600,MATCH(F1401,Roster!$E$2:$E$600,0)),""))</f>
        <v/>
      </c>
      <c r="I1401" s="10">
        <f>IF(AND(D1401="",C1401="",F1401=""),"",IF(G1401&lt;&gt;"","Void",IF(F1401="","Needs child",IF(H1401="","Child not found",IF(OR(B1401="",NOT(ISNUMBER(C1401))),"Needs month/pages","OK")))))</f>
        <v/>
      </c>
      <c r="J1401" s="10">
        <f>IF(I1401="","",IF(I1401="OK",IF(COUNTIFS(H1402:H$3001,H1401,B1402:B$3001,B1401,G1402:G$3001,"")=0,C1401,0),0))</f>
        <v/>
      </c>
    </row>
    <row r="1402">
      <c r="A1402" s="6" t="n"/>
      <c r="B1402" s="9" t="n"/>
      <c r="C1402" s="6" t="n"/>
      <c r="D1402" s="6" t="n"/>
      <c r="E1402" s="6" t="n"/>
      <c r="F1402" s="6" t="n"/>
      <c r="G1402" s="6" t="n"/>
      <c r="H1402" s="10">
        <f>IF(F1402="","",IFERROR(INDEX(Roster!$A$2:$A$600,MATCH(F1402,Roster!$E$2:$E$600,0)),""))</f>
        <v/>
      </c>
      <c r="I1402" s="10">
        <f>IF(AND(D1402="",C1402="",F1402=""),"",IF(G1402&lt;&gt;"","Void",IF(F1402="","Needs child",IF(H1402="","Child not found",IF(OR(B1402="",NOT(ISNUMBER(C1402))),"Needs month/pages","OK")))))</f>
        <v/>
      </c>
      <c r="J1402" s="10">
        <f>IF(I1402="","",IF(I1402="OK",IF(COUNTIFS(H1403:H$3001,H1402,B1403:B$3001,B1402,G1403:G$3001,"")=0,C1402,0),0))</f>
        <v/>
      </c>
    </row>
    <row r="1403">
      <c r="A1403" s="6" t="n"/>
      <c r="B1403" s="9" t="n"/>
      <c r="C1403" s="6" t="n"/>
      <c r="D1403" s="6" t="n"/>
      <c r="E1403" s="6" t="n"/>
      <c r="F1403" s="6" t="n"/>
      <c r="G1403" s="6" t="n"/>
      <c r="H1403" s="10">
        <f>IF(F1403="","",IFERROR(INDEX(Roster!$A$2:$A$600,MATCH(F1403,Roster!$E$2:$E$600,0)),""))</f>
        <v/>
      </c>
      <c r="I1403" s="10">
        <f>IF(AND(D1403="",C1403="",F1403=""),"",IF(G1403&lt;&gt;"","Void",IF(F1403="","Needs child",IF(H1403="","Child not found",IF(OR(B1403="",NOT(ISNUMBER(C1403))),"Needs month/pages","OK")))))</f>
        <v/>
      </c>
      <c r="J1403" s="10">
        <f>IF(I1403="","",IF(I1403="OK",IF(COUNTIFS(H1404:H$3001,H1403,B1404:B$3001,B1403,G1404:G$3001,"")=0,C1403,0),0))</f>
        <v/>
      </c>
    </row>
    <row r="1404">
      <c r="A1404" s="6" t="n"/>
      <c r="B1404" s="9" t="n"/>
      <c r="C1404" s="6" t="n"/>
      <c r="D1404" s="6" t="n"/>
      <c r="E1404" s="6" t="n"/>
      <c r="F1404" s="6" t="n"/>
      <c r="G1404" s="6" t="n"/>
      <c r="H1404" s="10">
        <f>IF(F1404="","",IFERROR(INDEX(Roster!$A$2:$A$600,MATCH(F1404,Roster!$E$2:$E$600,0)),""))</f>
        <v/>
      </c>
      <c r="I1404" s="10">
        <f>IF(AND(D1404="",C1404="",F1404=""),"",IF(G1404&lt;&gt;"","Void",IF(F1404="","Needs child",IF(H1404="","Child not found",IF(OR(B1404="",NOT(ISNUMBER(C1404))),"Needs month/pages","OK")))))</f>
        <v/>
      </c>
      <c r="J1404" s="10">
        <f>IF(I1404="","",IF(I1404="OK",IF(COUNTIFS(H1405:H$3001,H1404,B1405:B$3001,B1404,G1405:G$3001,"")=0,C1404,0),0))</f>
        <v/>
      </c>
    </row>
    <row r="1405">
      <c r="A1405" s="6" t="n"/>
      <c r="B1405" s="9" t="n"/>
      <c r="C1405" s="6" t="n"/>
      <c r="D1405" s="6" t="n"/>
      <c r="E1405" s="6" t="n"/>
      <c r="F1405" s="6" t="n"/>
      <c r="G1405" s="6" t="n"/>
      <c r="H1405" s="10">
        <f>IF(F1405="","",IFERROR(INDEX(Roster!$A$2:$A$600,MATCH(F1405,Roster!$E$2:$E$600,0)),""))</f>
        <v/>
      </c>
      <c r="I1405" s="10">
        <f>IF(AND(D1405="",C1405="",F1405=""),"",IF(G1405&lt;&gt;"","Void",IF(F1405="","Needs child",IF(H1405="","Child not found",IF(OR(B1405="",NOT(ISNUMBER(C1405))),"Needs month/pages","OK")))))</f>
        <v/>
      </c>
      <c r="J1405" s="10">
        <f>IF(I1405="","",IF(I1405="OK",IF(COUNTIFS(H1406:H$3001,H1405,B1406:B$3001,B1405,G1406:G$3001,"")=0,C1405,0),0))</f>
        <v/>
      </c>
    </row>
    <row r="1406">
      <c r="A1406" s="6" t="n"/>
      <c r="B1406" s="9" t="n"/>
      <c r="C1406" s="6" t="n"/>
      <c r="D1406" s="6" t="n"/>
      <c r="E1406" s="6" t="n"/>
      <c r="F1406" s="6" t="n"/>
      <c r="G1406" s="6" t="n"/>
      <c r="H1406" s="10">
        <f>IF(F1406="","",IFERROR(INDEX(Roster!$A$2:$A$600,MATCH(F1406,Roster!$E$2:$E$600,0)),""))</f>
        <v/>
      </c>
      <c r="I1406" s="10">
        <f>IF(AND(D1406="",C1406="",F1406=""),"",IF(G1406&lt;&gt;"","Void",IF(F1406="","Needs child",IF(H1406="","Child not found",IF(OR(B1406="",NOT(ISNUMBER(C1406))),"Needs month/pages","OK")))))</f>
        <v/>
      </c>
      <c r="J1406" s="10">
        <f>IF(I1406="","",IF(I1406="OK",IF(COUNTIFS(H1407:H$3001,H1406,B1407:B$3001,B1406,G1407:G$3001,"")=0,C1406,0),0))</f>
        <v/>
      </c>
    </row>
    <row r="1407">
      <c r="A1407" s="6" t="n"/>
      <c r="B1407" s="9" t="n"/>
      <c r="C1407" s="6" t="n"/>
      <c r="D1407" s="6" t="n"/>
      <c r="E1407" s="6" t="n"/>
      <c r="F1407" s="6" t="n"/>
      <c r="G1407" s="6" t="n"/>
      <c r="H1407" s="10">
        <f>IF(F1407="","",IFERROR(INDEX(Roster!$A$2:$A$600,MATCH(F1407,Roster!$E$2:$E$600,0)),""))</f>
        <v/>
      </c>
      <c r="I1407" s="10">
        <f>IF(AND(D1407="",C1407="",F1407=""),"",IF(G1407&lt;&gt;"","Void",IF(F1407="","Needs child",IF(H1407="","Child not found",IF(OR(B1407="",NOT(ISNUMBER(C1407))),"Needs month/pages","OK")))))</f>
        <v/>
      </c>
      <c r="J1407" s="10">
        <f>IF(I1407="","",IF(I1407="OK",IF(COUNTIFS(H1408:H$3001,H1407,B1408:B$3001,B1407,G1408:G$3001,"")=0,C1407,0),0))</f>
        <v/>
      </c>
    </row>
    <row r="1408">
      <c r="A1408" s="6" t="n"/>
      <c r="B1408" s="9" t="n"/>
      <c r="C1408" s="6" t="n"/>
      <c r="D1408" s="6" t="n"/>
      <c r="E1408" s="6" t="n"/>
      <c r="F1408" s="6" t="n"/>
      <c r="G1408" s="6" t="n"/>
      <c r="H1408" s="10">
        <f>IF(F1408="","",IFERROR(INDEX(Roster!$A$2:$A$600,MATCH(F1408,Roster!$E$2:$E$600,0)),""))</f>
        <v/>
      </c>
      <c r="I1408" s="10">
        <f>IF(AND(D1408="",C1408="",F1408=""),"",IF(G1408&lt;&gt;"","Void",IF(F1408="","Needs child",IF(H1408="","Child not found",IF(OR(B1408="",NOT(ISNUMBER(C1408))),"Needs month/pages","OK")))))</f>
        <v/>
      </c>
      <c r="J1408" s="10">
        <f>IF(I1408="","",IF(I1408="OK",IF(COUNTIFS(H1409:H$3001,H1408,B1409:B$3001,B1408,G1409:G$3001,"")=0,C1408,0),0))</f>
        <v/>
      </c>
    </row>
    <row r="1409">
      <c r="A1409" s="6" t="n"/>
      <c r="B1409" s="9" t="n"/>
      <c r="C1409" s="6" t="n"/>
      <c r="D1409" s="6" t="n"/>
      <c r="E1409" s="6" t="n"/>
      <c r="F1409" s="6" t="n"/>
      <c r="G1409" s="6" t="n"/>
      <c r="H1409" s="10">
        <f>IF(F1409="","",IFERROR(INDEX(Roster!$A$2:$A$600,MATCH(F1409,Roster!$E$2:$E$600,0)),""))</f>
        <v/>
      </c>
      <c r="I1409" s="10">
        <f>IF(AND(D1409="",C1409="",F1409=""),"",IF(G1409&lt;&gt;"","Void",IF(F1409="","Needs child",IF(H1409="","Child not found",IF(OR(B1409="",NOT(ISNUMBER(C1409))),"Needs month/pages","OK")))))</f>
        <v/>
      </c>
      <c r="J1409" s="10">
        <f>IF(I1409="","",IF(I1409="OK",IF(COUNTIFS(H1410:H$3001,H1409,B1410:B$3001,B1409,G1410:G$3001,"")=0,C1409,0),0))</f>
        <v/>
      </c>
    </row>
    <row r="1410">
      <c r="A1410" s="6" t="n"/>
      <c r="B1410" s="9" t="n"/>
      <c r="C1410" s="6" t="n"/>
      <c r="D1410" s="6" t="n"/>
      <c r="E1410" s="6" t="n"/>
      <c r="F1410" s="6" t="n"/>
      <c r="G1410" s="6" t="n"/>
      <c r="H1410" s="10">
        <f>IF(F1410="","",IFERROR(INDEX(Roster!$A$2:$A$600,MATCH(F1410,Roster!$E$2:$E$600,0)),""))</f>
        <v/>
      </c>
      <c r="I1410" s="10">
        <f>IF(AND(D1410="",C1410="",F1410=""),"",IF(G1410&lt;&gt;"","Void",IF(F1410="","Needs child",IF(H1410="","Child not found",IF(OR(B1410="",NOT(ISNUMBER(C1410))),"Needs month/pages","OK")))))</f>
        <v/>
      </c>
      <c r="J1410" s="10">
        <f>IF(I1410="","",IF(I1410="OK",IF(COUNTIFS(H1411:H$3001,H1410,B1411:B$3001,B1410,G1411:G$3001,"")=0,C1410,0),0))</f>
        <v/>
      </c>
    </row>
    <row r="1411">
      <c r="A1411" s="6" t="n"/>
      <c r="B1411" s="9" t="n"/>
      <c r="C1411" s="6" t="n"/>
      <c r="D1411" s="6" t="n"/>
      <c r="E1411" s="6" t="n"/>
      <c r="F1411" s="6" t="n"/>
      <c r="G1411" s="6" t="n"/>
      <c r="H1411" s="10">
        <f>IF(F1411="","",IFERROR(INDEX(Roster!$A$2:$A$600,MATCH(F1411,Roster!$E$2:$E$600,0)),""))</f>
        <v/>
      </c>
      <c r="I1411" s="10">
        <f>IF(AND(D1411="",C1411="",F1411=""),"",IF(G1411&lt;&gt;"","Void",IF(F1411="","Needs child",IF(H1411="","Child not found",IF(OR(B1411="",NOT(ISNUMBER(C1411))),"Needs month/pages","OK")))))</f>
        <v/>
      </c>
      <c r="J1411" s="10">
        <f>IF(I1411="","",IF(I1411="OK",IF(COUNTIFS(H1412:H$3001,H1411,B1412:B$3001,B1411,G1412:G$3001,"")=0,C1411,0),0))</f>
        <v/>
      </c>
    </row>
    <row r="1412">
      <c r="A1412" s="6" t="n"/>
      <c r="B1412" s="9" t="n"/>
      <c r="C1412" s="6" t="n"/>
      <c r="D1412" s="6" t="n"/>
      <c r="E1412" s="6" t="n"/>
      <c r="F1412" s="6" t="n"/>
      <c r="G1412" s="6" t="n"/>
      <c r="H1412" s="10">
        <f>IF(F1412="","",IFERROR(INDEX(Roster!$A$2:$A$600,MATCH(F1412,Roster!$E$2:$E$600,0)),""))</f>
        <v/>
      </c>
      <c r="I1412" s="10">
        <f>IF(AND(D1412="",C1412="",F1412=""),"",IF(G1412&lt;&gt;"","Void",IF(F1412="","Needs child",IF(H1412="","Child not found",IF(OR(B1412="",NOT(ISNUMBER(C1412))),"Needs month/pages","OK")))))</f>
        <v/>
      </c>
      <c r="J1412" s="10">
        <f>IF(I1412="","",IF(I1412="OK",IF(COUNTIFS(H1413:H$3001,H1412,B1413:B$3001,B1412,G1413:G$3001,"")=0,C1412,0),0))</f>
        <v/>
      </c>
    </row>
    <row r="1413">
      <c r="A1413" s="6" t="n"/>
      <c r="B1413" s="9" t="n"/>
      <c r="C1413" s="6" t="n"/>
      <c r="D1413" s="6" t="n"/>
      <c r="E1413" s="6" t="n"/>
      <c r="F1413" s="6" t="n"/>
      <c r="G1413" s="6" t="n"/>
      <c r="H1413" s="10">
        <f>IF(F1413="","",IFERROR(INDEX(Roster!$A$2:$A$600,MATCH(F1413,Roster!$E$2:$E$600,0)),""))</f>
        <v/>
      </c>
      <c r="I1413" s="10">
        <f>IF(AND(D1413="",C1413="",F1413=""),"",IF(G1413&lt;&gt;"","Void",IF(F1413="","Needs child",IF(H1413="","Child not found",IF(OR(B1413="",NOT(ISNUMBER(C1413))),"Needs month/pages","OK")))))</f>
        <v/>
      </c>
      <c r="J1413" s="10">
        <f>IF(I1413="","",IF(I1413="OK",IF(COUNTIFS(H1414:H$3001,H1413,B1414:B$3001,B1413,G1414:G$3001,"")=0,C1413,0),0))</f>
        <v/>
      </c>
    </row>
    <row r="1414">
      <c r="A1414" s="6" t="n"/>
      <c r="B1414" s="9" t="n"/>
      <c r="C1414" s="6" t="n"/>
      <c r="D1414" s="6" t="n"/>
      <c r="E1414" s="6" t="n"/>
      <c r="F1414" s="6" t="n"/>
      <c r="G1414" s="6" t="n"/>
      <c r="H1414" s="10">
        <f>IF(F1414="","",IFERROR(INDEX(Roster!$A$2:$A$600,MATCH(F1414,Roster!$E$2:$E$600,0)),""))</f>
        <v/>
      </c>
      <c r="I1414" s="10">
        <f>IF(AND(D1414="",C1414="",F1414=""),"",IF(G1414&lt;&gt;"","Void",IF(F1414="","Needs child",IF(H1414="","Child not found",IF(OR(B1414="",NOT(ISNUMBER(C1414))),"Needs month/pages","OK")))))</f>
        <v/>
      </c>
      <c r="J1414" s="10">
        <f>IF(I1414="","",IF(I1414="OK",IF(COUNTIFS(H1415:H$3001,H1414,B1415:B$3001,B1414,G1415:G$3001,"")=0,C1414,0),0))</f>
        <v/>
      </c>
    </row>
    <row r="1415">
      <c r="A1415" s="6" t="n"/>
      <c r="B1415" s="9" t="n"/>
      <c r="C1415" s="6" t="n"/>
      <c r="D1415" s="6" t="n"/>
      <c r="E1415" s="6" t="n"/>
      <c r="F1415" s="6" t="n"/>
      <c r="G1415" s="6" t="n"/>
      <c r="H1415" s="10">
        <f>IF(F1415="","",IFERROR(INDEX(Roster!$A$2:$A$600,MATCH(F1415,Roster!$E$2:$E$600,0)),""))</f>
        <v/>
      </c>
      <c r="I1415" s="10">
        <f>IF(AND(D1415="",C1415="",F1415=""),"",IF(G1415&lt;&gt;"","Void",IF(F1415="","Needs child",IF(H1415="","Child not found",IF(OR(B1415="",NOT(ISNUMBER(C1415))),"Needs month/pages","OK")))))</f>
        <v/>
      </c>
      <c r="J1415" s="10">
        <f>IF(I1415="","",IF(I1415="OK",IF(COUNTIFS(H1416:H$3001,H1415,B1416:B$3001,B1415,G1416:G$3001,"")=0,C1415,0),0))</f>
        <v/>
      </c>
    </row>
    <row r="1416">
      <c r="A1416" s="6" t="n"/>
      <c r="B1416" s="9" t="n"/>
      <c r="C1416" s="6" t="n"/>
      <c r="D1416" s="6" t="n"/>
      <c r="E1416" s="6" t="n"/>
      <c r="F1416" s="6" t="n"/>
      <c r="G1416" s="6" t="n"/>
      <c r="H1416" s="10">
        <f>IF(F1416="","",IFERROR(INDEX(Roster!$A$2:$A$600,MATCH(F1416,Roster!$E$2:$E$600,0)),""))</f>
        <v/>
      </c>
      <c r="I1416" s="10">
        <f>IF(AND(D1416="",C1416="",F1416=""),"",IF(G1416&lt;&gt;"","Void",IF(F1416="","Needs child",IF(H1416="","Child not found",IF(OR(B1416="",NOT(ISNUMBER(C1416))),"Needs month/pages","OK")))))</f>
        <v/>
      </c>
      <c r="J1416" s="10">
        <f>IF(I1416="","",IF(I1416="OK",IF(COUNTIFS(H1417:H$3001,H1416,B1417:B$3001,B1416,G1417:G$3001,"")=0,C1416,0),0))</f>
        <v/>
      </c>
    </row>
    <row r="1417">
      <c r="A1417" s="6" t="n"/>
      <c r="B1417" s="9" t="n"/>
      <c r="C1417" s="6" t="n"/>
      <c r="D1417" s="6" t="n"/>
      <c r="E1417" s="6" t="n"/>
      <c r="F1417" s="6" t="n"/>
      <c r="G1417" s="6" t="n"/>
      <c r="H1417" s="10">
        <f>IF(F1417="","",IFERROR(INDEX(Roster!$A$2:$A$600,MATCH(F1417,Roster!$E$2:$E$600,0)),""))</f>
        <v/>
      </c>
      <c r="I1417" s="10">
        <f>IF(AND(D1417="",C1417="",F1417=""),"",IF(G1417&lt;&gt;"","Void",IF(F1417="","Needs child",IF(H1417="","Child not found",IF(OR(B1417="",NOT(ISNUMBER(C1417))),"Needs month/pages","OK")))))</f>
        <v/>
      </c>
      <c r="J1417" s="10">
        <f>IF(I1417="","",IF(I1417="OK",IF(COUNTIFS(H1418:H$3001,H1417,B1418:B$3001,B1417,G1418:G$3001,"")=0,C1417,0),0))</f>
        <v/>
      </c>
    </row>
    <row r="1418">
      <c r="A1418" s="6" t="n"/>
      <c r="B1418" s="9" t="n"/>
      <c r="C1418" s="6" t="n"/>
      <c r="D1418" s="6" t="n"/>
      <c r="E1418" s="6" t="n"/>
      <c r="F1418" s="6" t="n"/>
      <c r="G1418" s="6" t="n"/>
      <c r="H1418" s="10">
        <f>IF(F1418="","",IFERROR(INDEX(Roster!$A$2:$A$600,MATCH(F1418,Roster!$E$2:$E$600,0)),""))</f>
        <v/>
      </c>
      <c r="I1418" s="10">
        <f>IF(AND(D1418="",C1418="",F1418=""),"",IF(G1418&lt;&gt;"","Void",IF(F1418="","Needs child",IF(H1418="","Child not found",IF(OR(B1418="",NOT(ISNUMBER(C1418))),"Needs month/pages","OK")))))</f>
        <v/>
      </c>
      <c r="J1418" s="10">
        <f>IF(I1418="","",IF(I1418="OK",IF(COUNTIFS(H1419:H$3001,H1418,B1419:B$3001,B1418,G1419:G$3001,"")=0,C1418,0),0))</f>
        <v/>
      </c>
    </row>
    <row r="1419">
      <c r="A1419" s="6" t="n"/>
      <c r="B1419" s="9" t="n"/>
      <c r="C1419" s="6" t="n"/>
      <c r="D1419" s="6" t="n"/>
      <c r="E1419" s="6" t="n"/>
      <c r="F1419" s="6" t="n"/>
      <c r="G1419" s="6" t="n"/>
      <c r="H1419" s="10">
        <f>IF(F1419="","",IFERROR(INDEX(Roster!$A$2:$A$600,MATCH(F1419,Roster!$E$2:$E$600,0)),""))</f>
        <v/>
      </c>
      <c r="I1419" s="10">
        <f>IF(AND(D1419="",C1419="",F1419=""),"",IF(G1419&lt;&gt;"","Void",IF(F1419="","Needs child",IF(H1419="","Child not found",IF(OR(B1419="",NOT(ISNUMBER(C1419))),"Needs month/pages","OK")))))</f>
        <v/>
      </c>
      <c r="J1419" s="10">
        <f>IF(I1419="","",IF(I1419="OK",IF(COUNTIFS(H1420:H$3001,H1419,B1420:B$3001,B1419,G1420:G$3001,"")=0,C1419,0),0))</f>
        <v/>
      </c>
    </row>
    <row r="1420">
      <c r="A1420" s="6" t="n"/>
      <c r="B1420" s="9" t="n"/>
      <c r="C1420" s="6" t="n"/>
      <c r="D1420" s="6" t="n"/>
      <c r="E1420" s="6" t="n"/>
      <c r="F1420" s="6" t="n"/>
      <c r="G1420" s="6" t="n"/>
      <c r="H1420" s="10">
        <f>IF(F1420="","",IFERROR(INDEX(Roster!$A$2:$A$600,MATCH(F1420,Roster!$E$2:$E$600,0)),""))</f>
        <v/>
      </c>
      <c r="I1420" s="10">
        <f>IF(AND(D1420="",C1420="",F1420=""),"",IF(G1420&lt;&gt;"","Void",IF(F1420="","Needs child",IF(H1420="","Child not found",IF(OR(B1420="",NOT(ISNUMBER(C1420))),"Needs month/pages","OK")))))</f>
        <v/>
      </c>
      <c r="J1420" s="10">
        <f>IF(I1420="","",IF(I1420="OK",IF(COUNTIFS(H1421:H$3001,H1420,B1421:B$3001,B1420,G1421:G$3001,"")=0,C1420,0),0))</f>
        <v/>
      </c>
    </row>
    <row r="1421">
      <c r="A1421" s="6" t="n"/>
      <c r="B1421" s="9" t="n"/>
      <c r="C1421" s="6" t="n"/>
      <c r="D1421" s="6" t="n"/>
      <c r="E1421" s="6" t="n"/>
      <c r="F1421" s="6" t="n"/>
      <c r="G1421" s="6" t="n"/>
      <c r="H1421" s="10">
        <f>IF(F1421="","",IFERROR(INDEX(Roster!$A$2:$A$600,MATCH(F1421,Roster!$E$2:$E$600,0)),""))</f>
        <v/>
      </c>
      <c r="I1421" s="10">
        <f>IF(AND(D1421="",C1421="",F1421=""),"",IF(G1421&lt;&gt;"","Void",IF(F1421="","Needs child",IF(H1421="","Child not found",IF(OR(B1421="",NOT(ISNUMBER(C1421))),"Needs month/pages","OK")))))</f>
        <v/>
      </c>
      <c r="J1421" s="10">
        <f>IF(I1421="","",IF(I1421="OK",IF(COUNTIFS(H1422:H$3001,H1421,B1422:B$3001,B1421,G1422:G$3001,"")=0,C1421,0),0))</f>
        <v/>
      </c>
    </row>
    <row r="1422">
      <c r="A1422" s="6" t="n"/>
      <c r="B1422" s="9" t="n"/>
      <c r="C1422" s="6" t="n"/>
      <c r="D1422" s="6" t="n"/>
      <c r="E1422" s="6" t="n"/>
      <c r="F1422" s="6" t="n"/>
      <c r="G1422" s="6" t="n"/>
      <c r="H1422" s="10">
        <f>IF(F1422="","",IFERROR(INDEX(Roster!$A$2:$A$600,MATCH(F1422,Roster!$E$2:$E$600,0)),""))</f>
        <v/>
      </c>
      <c r="I1422" s="10">
        <f>IF(AND(D1422="",C1422="",F1422=""),"",IF(G1422&lt;&gt;"","Void",IF(F1422="","Needs child",IF(H1422="","Child not found",IF(OR(B1422="",NOT(ISNUMBER(C1422))),"Needs month/pages","OK")))))</f>
        <v/>
      </c>
      <c r="J1422" s="10">
        <f>IF(I1422="","",IF(I1422="OK",IF(COUNTIFS(H1423:H$3001,H1422,B1423:B$3001,B1422,G1423:G$3001,"")=0,C1422,0),0))</f>
        <v/>
      </c>
    </row>
    <row r="1423">
      <c r="A1423" s="6" t="n"/>
      <c r="B1423" s="9" t="n"/>
      <c r="C1423" s="6" t="n"/>
      <c r="D1423" s="6" t="n"/>
      <c r="E1423" s="6" t="n"/>
      <c r="F1423" s="6" t="n"/>
      <c r="G1423" s="6" t="n"/>
      <c r="H1423" s="10">
        <f>IF(F1423="","",IFERROR(INDEX(Roster!$A$2:$A$600,MATCH(F1423,Roster!$E$2:$E$600,0)),""))</f>
        <v/>
      </c>
      <c r="I1423" s="10">
        <f>IF(AND(D1423="",C1423="",F1423=""),"",IF(G1423&lt;&gt;"","Void",IF(F1423="","Needs child",IF(H1423="","Child not found",IF(OR(B1423="",NOT(ISNUMBER(C1423))),"Needs month/pages","OK")))))</f>
        <v/>
      </c>
      <c r="J1423" s="10">
        <f>IF(I1423="","",IF(I1423="OK",IF(COUNTIFS(H1424:H$3001,H1423,B1424:B$3001,B1423,G1424:G$3001,"")=0,C1423,0),0))</f>
        <v/>
      </c>
    </row>
    <row r="1424">
      <c r="A1424" s="6" t="n"/>
      <c r="B1424" s="9" t="n"/>
      <c r="C1424" s="6" t="n"/>
      <c r="D1424" s="6" t="n"/>
      <c r="E1424" s="6" t="n"/>
      <c r="F1424" s="6" t="n"/>
      <c r="G1424" s="6" t="n"/>
      <c r="H1424" s="10">
        <f>IF(F1424="","",IFERROR(INDEX(Roster!$A$2:$A$600,MATCH(F1424,Roster!$E$2:$E$600,0)),""))</f>
        <v/>
      </c>
      <c r="I1424" s="10">
        <f>IF(AND(D1424="",C1424="",F1424=""),"",IF(G1424&lt;&gt;"","Void",IF(F1424="","Needs child",IF(H1424="","Child not found",IF(OR(B1424="",NOT(ISNUMBER(C1424))),"Needs month/pages","OK")))))</f>
        <v/>
      </c>
      <c r="J1424" s="10">
        <f>IF(I1424="","",IF(I1424="OK",IF(COUNTIFS(H1425:H$3001,H1424,B1425:B$3001,B1424,G1425:G$3001,"")=0,C1424,0),0))</f>
        <v/>
      </c>
    </row>
    <row r="1425">
      <c r="A1425" s="6" t="n"/>
      <c r="B1425" s="9" t="n"/>
      <c r="C1425" s="6" t="n"/>
      <c r="D1425" s="6" t="n"/>
      <c r="E1425" s="6" t="n"/>
      <c r="F1425" s="6" t="n"/>
      <c r="G1425" s="6" t="n"/>
      <c r="H1425" s="10">
        <f>IF(F1425="","",IFERROR(INDEX(Roster!$A$2:$A$600,MATCH(F1425,Roster!$E$2:$E$600,0)),""))</f>
        <v/>
      </c>
      <c r="I1425" s="10">
        <f>IF(AND(D1425="",C1425="",F1425=""),"",IF(G1425&lt;&gt;"","Void",IF(F1425="","Needs child",IF(H1425="","Child not found",IF(OR(B1425="",NOT(ISNUMBER(C1425))),"Needs month/pages","OK")))))</f>
        <v/>
      </c>
      <c r="J1425" s="10">
        <f>IF(I1425="","",IF(I1425="OK",IF(COUNTIFS(H1426:H$3001,H1425,B1426:B$3001,B1425,G1426:G$3001,"")=0,C1425,0),0))</f>
        <v/>
      </c>
    </row>
    <row r="1426">
      <c r="A1426" s="6" t="n"/>
      <c r="B1426" s="9" t="n"/>
      <c r="C1426" s="6" t="n"/>
      <c r="D1426" s="6" t="n"/>
      <c r="E1426" s="6" t="n"/>
      <c r="F1426" s="6" t="n"/>
      <c r="G1426" s="6" t="n"/>
      <c r="H1426" s="10">
        <f>IF(F1426="","",IFERROR(INDEX(Roster!$A$2:$A$600,MATCH(F1426,Roster!$E$2:$E$600,0)),""))</f>
        <v/>
      </c>
      <c r="I1426" s="10">
        <f>IF(AND(D1426="",C1426="",F1426=""),"",IF(G1426&lt;&gt;"","Void",IF(F1426="","Needs child",IF(H1426="","Child not found",IF(OR(B1426="",NOT(ISNUMBER(C1426))),"Needs month/pages","OK")))))</f>
        <v/>
      </c>
      <c r="J1426" s="10">
        <f>IF(I1426="","",IF(I1426="OK",IF(COUNTIFS(H1427:H$3001,H1426,B1427:B$3001,B1426,G1427:G$3001,"")=0,C1426,0),0))</f>
        <v/>
      </c>
    </row>
    <row r="1427">
      <c r="A1427" s="6" t="n"/>
      <c r="B1427" s="9" t="n"/>
      <c r="C1427" s="6" t="n"/>
      <c r="D1427" s="6" t="n"/>
      <c r="E1427" s="6" t="n"/>
      <c r="F1427" s="6" t="n"/>
      <c r="G1427" s="6" t="n"/>
      <c r="H1427" s="10">
        <f>IF(F1427="","",IFERROR(INDEX(Roster!$A$2:$A$600,MATCH(F1427,Roster!$E$2:$E$600,0)),""))</f>
        <v/>
      </c>
      <c r="I1427" s="10">
        <f>IF(AND(D1427="",C1427="",F1427=""),"",IF(G1427&lt;&gt;"","Void",IF(F1427="","Needs child",IF(H1427="","Child not found",IF(OR(B1427="",NOT(ISNUMBER(C1427))),"Needs month/pages","OK")))))</f>
        <v/>
      </c>
      <c r="J1427" s="10">
        <f>IF(I1427="","",IF(I1427="OK",IF(COUNTIFS(H1428:H$3001,H1427,B1428:B$3001,B1427,G1428:G$3001,"")=0,C1427,0),0))</f>
        <v/>
      </c>
    </row>
    <row r="1428">
      <c r="A1428" s="6" t="n"/>
      <c r="B1428" s="9" t="n"/>
      <c r="C1428" s="6" t="n"/>
      <c r="D1428" s="6" t="n"/>
      <c r="E1428" s="6" t="n"/>
      <c r="F1428" s="6" t="n"/>
      <c r="G1428" s="6" t="n"/>
      <c r="H1428" s="10">
        <f>IF(F1428="","",IFERROR(INDEX(Roster!$A$2:$A$600,MATCH(F1428,Roster!$E$2:$E$600,0)),""))</f>
        <v/>
      </c>
      <c r="I1428" s="10">
        <f>IF(AND(D1428="",C1428="",F1428=""),"",IF(G1428&lt;&gt;"","Void",IF(F1428="","Needs child",IF(H1428="","Child not found",IF(OR(B1428="",NOT(ISNUMBER(C1428))),"Needs month/pages","OK")))))</f>
        <v/>
      </c>
      <c r="J1428" s="10">
        <f>IF(I1428="","",IF(I1428="OK",IF(COUNTIFS(H1429:H$3001,H1428,B1429:B$3001,B1428,G1429:G$3001,"")=0,C1428,0),0))</f>
        <v/>
      </c>
    </row>
    <row r="1429">
      <c r="A1429" s="6" t="n"/>
      <c r="B1429" s="9" t="n"/>
      <c r="C1429" s="6" t="n"/>
      <c r="D1429" s="6" t="n"/>
      <c r="E1429" s="6" t="n"/>
      <c r="F1429" s="6" t="n"/>
      <c r="G1429" s="6" t="n"/>
      <c r="H1429" s="10">
        <f>IF(F1429="","",IFERROR(INDEX(Roster!$A$2:$A$600,MATCH(F1429,Roster!$E$2:$E$600,0)),""))</f>
        <v/>
      </c>
      <c r="I1429" s="10">
        <f>IF(AND(D1429="",C1429="",F1429=""),"",IF(G1429&lt;&gt;"","Void",IF(F1429="","Needs child",IF(H1429="","Child not found",IF(OR(B1429="",NOT(ISNUMBER(C1429))),"Needs month/pages","OK")))))</f>
        <v/>
      </c>
      <c r="J1429" s="10">
        <f>IF(I1429="","",IF(I1429="OK",IF(COUNTIFS(H1430:H$3001,H1429,B1430:B$3001,B1429,G1430:G$3001,"")=0,C1429,0),0))</f>
        <v/>
      </c>
    </row>
    <row r="1430">
      <c r="A1430" s="6" t="n"/>
      <c r="B1430" s="9" t="n"/>
      <c r="C1430" s="6" t="n"/>
      <c r="D1430" s="6" t="n"/>
      <c r="E1430" s="6" t="n"/>
      <c r="F1430" s="6" t="n"/>
      <c r="G1430" s="6" t="n"/>
      <c r="H1430" s="10">
        <f>IF(F1430="","",IFERROR(INDEX(Roster!$A$2:$A$600,MATCH(F1430,Roster!$E$2:$E$600,0)),""))</f>
        <v/>
      </c>
      <c r="I1430" s="10">
        <f>IF(AND(D1430="",C1430="",F1430=""),"",IF(G1430&lt;&gt;"","Void",IF(F1430="","Needs child",IF(H1430="","Child not found",IF(OR(B1430="",NOT(ISNUMBER(C1430))),"Needs month/pages","OK")))))</f>
        <v/>
      </c>
      <c r="J1430" s="10">
        <f>IF(I1430="","",IF(I1430="OK",IF(COUNTIFS(H1431:H$3001,H1430,B1431:B$3001,B1430,G1431:G$3001,"")=0,C1430,0),0))</f>
        <v/>
      </c>
    </row>
    <row r="1431">
      <c r="A1431" s="6" t="n"/>
      <c r="B1431" s="9" t="n"/>
      <c r="C1431" s="6" t="n"/>
      <c r="D1431" s="6" t="n"/>
      <c r="E1431" s="6" t="n"/>
      <c r="F1431" s="6" t="n"/>
      <c r="G1431" s="6" t="n"/>
      <c r="H1431" s="10">
        <f>IF(F1431="","",IFERROR(INDEX(Roster!$A$2:$A$600,MATCH(F1431,Roster!$E$2:$E$600,0)),""))</f>
        <v/>
      </c>
      <c r="I1431" s="10">
        <f>IF(AND(D1431="",C1431="",F1431=""),"",IF(G1431&lt;&gt;"","Void",IF(F1431="","Needs child",IF(H1431="","Child not found",IF(OR(B1431="",NOT(ISNUMBER(C1431))),"Needs month/pages","OK")))))</f>
        <v/>
      </c>
      <c r="J1431" s="10">
        <f>IF(I1431="","",IF(I1431="OK",IF(COUNTIFS(H1432:H$3001,H1431,B1432:B$3001,B1431,G1432:G$3001,"")=0,C1431,0),0))</f>
        <v/>
      </c>
    </row>
    <row r="1432">
      <c r="A1432" s="6" t="n"/>
      <c r="B1432" s="9" t="n"/>
      <c r="C1432" s="6" t="n"/>
      <c r="D1432" s="6" t="n"/>
      <c r="E1432" s="6" t="n"/>
      <c r="F1432" s="6" t="n"/>
      <c r="G1432" s="6" t="n"/>
      <c r="H1432" s="10">
        <f>IF(F1432="","",IFERROR(INDEX(Roster!$A$2:$A$600,MATCH(F1432,Roster!$E$2:$E$600,0)),""))</f>
        <v/>
      </c>
      <c r="I1432" s="10">
        <f>IF(AND(D1432="",C1432="",F1432=""),"",IF(G1432&lt;&gt;"","Void",IF(F1432="","Needs child",IF(H1432="","Child not found",IF(OR(B1432="",NOT(ISNUMBER(C1432))),"Needs month/pages","OK")))))</f>
        <v/>
      </c>
      <c r="J1432" s="10">
        <f>IF(I1432="","",IF(I1432="OK",IF(COUNTIFS(H1433:H$3001,H1432,B1433:B$3001,B1432,G1433:G$3001,"")=0,C1432,0),0))</f>
        <v/>
      </c>
    </row>
    <row r="1433">
      <c r="A1433" s="6" t="n"/>
      <c r="B1433" s="9" t="n"/>
      <c r="C1433" s="6" t="n"/>
      <c r="D1433" s="6" t="n"/>
      <c r="E1433" s="6" t="n"/>
      <c r="F1433" s="6" t="n"/>
      <c r="G1433" s="6" t="n"/>
      <c r="H1433" s="10">
        <f>IF(F1433="","",IFERROR(INDEX(Roster!$A$2:$A$600,MATCH(F1433,Roster!$E$2:$E$600,0)),""))</f>
        <v/>
      </c>
      <c r="I1433" s="10">
        <f>IF(AND(D1433="",C1433="",F1433=""),"",IF(G1433&lt;&gt;"","Void",IF(F1433="","Needs child",IF(H1433="","Child not found",IF(OR(B1433="",NOT(ISNUMBER(C1433))),"Needs month/pages","OK")))))</f>
        <v/>
      </c>
      <c r="J1433" s="10">
        <f>IF(I1433="","",IF(I1433="OK",IF(COUNTIFS(H1434:H$3001,H1433,B1434:B$3001,B1433,G1434:G$3001,"")=0,C1433,0),0))</f>
        <v/>
      </c>
    </row>
    <row r="1434">
      <c r="A1434" s="6" t="n"/>
      <c r="B1434" s="9" t="n"/>
      <c r="C1434" s="6" t="n"/>
      <c r="D1434" s="6" t="n"/>
      <c r="E1434" s="6" t="n"/>
      <c r="F1434" s="6" t="n"/>
      <c r="G1434" s="6" t="n"/>
      <c r="H1434" s="10">
        <f>IF(F1434="","",IFERROR(INDEX(Roster!$A$2:$A$600,MATCH(F1434,Roster!$E$2:$E$600,0)),""))</f>
        <v/>
      </c>
      <c r="I1434" s="10">
        <f>IF(AND(D1434="",C1434="",F1434=""),"",IF(G1434&lt;&gt;"","Void",IF(F1434="","Needs child",IF(H1434="","Child not found",IF(OR(B1434="",NOT(ISNUMBER(C1434))),"Needs month/pages","OK")))))</f>
        <v/>
      </c>
      <c r="J1434" s="10">
        <f>IF(I1434="","",IF(I1434="OK",IF(COUNTIFS(H1435:H$3001,H1434,B1435:B$3001,B1434,G1435:G$3001,"")=0,C1434,0),0))</f>
        <v/>
      </c>
    </row>
    <row r="1435">
      <c r="A1435" s="6" t="n"/>
      <c r="B1435" s="9" t="n"/>
      <c r="C1435" s="6" t="n"/>
      <c r="D1435" s="6" t="n"/>
      <c r="E1435" s="6" t="n"/>
      <c r="F1435" s="6" t="n"/>
      <c r="G1435" s="6" t="n"/>
      <c r="H1435" s="10">
        <f>IF(F1435="","",IFERROR(INDEX(Roster!$A$2:$A$600,MATCH(F1435,Roster!$E$2:$E$600,0)),""))</f>
        <v/>
      </c>
      <c r="I1435" s="10">
        <f>IF(AND(D1435="",C1435="",F1435=""),"",IF(G1435&lt;&gt;"","Void",IF(F1435="","Needs child",IF(H1435="","Child not found",IF(OR(B1435="",NOT(ISNUMBER(C1435))),"Needs month/pages","OK")))))</f>
        <v/>
      </c>
      <c r="J1435" s="10">
        <f>IF(I1435="","",IF(I1435="OK",IF(COUNTIFS(H1436:H$3001,H1435,B1436:B$3001,B1435,G1436:G$3001,"")=0,C1435,0),0))</f>
        <v/>
      </c>
    </row>
    <row r="1436">
      <c r="A1436" s="6" t="n"/>
      <c r="B1436" s="9" t="n"/>
      <c r="C1436" s="6" t="n"/>
      <c r="D1436" s="6" t="n"/>
      <c r="E1436" s="6" t="n"/>
      <c r="F1436" s="6" t="n"/>
      <c r="G1436" s="6" t="n"/>
      <c r="H1436" s="10">
        <f>IF(F1436="","",IFERROR(INDEX(Roster!$A$2:$A$600,MATCH(F1436,Roster!$E$2:$E$600,0)),""))</f>
        <v/>
      </c>
      <c r="I1436" s="10">
        <f>IF(AND(D1436="",C1436="",F1436=""),"",IF(G1436&lt;&gt;"","Void",IF(F1436="","Needs child",IF(H1436="","Child not found",IF(OR(B1436="",NOT(ISNUMBER(C1436))),"Needs month/pages","OK")))))</f>
        <v/>
      </c>
      <c r="J1436" s="10">
        <f>IF(I1436="","",IF(I1436="OK",IF(COUNTIFS(H1437:H$3001,H1436,B1437:B$3001,B1436,G1437:G$3001,"")=0,C1436,0),0))</f>
        <v/>
      </c>
    </row>
    <row r="1437">
      <c r="A1437" s="6" t="n"/>
      <c r="B1437" s="9" t="n"/>
      <c r="C1437" s="6" t="n"/>
      <c r="D1437" s="6" t="n"/>
      <c r="E1437" s="6" t="n"/>
      <c r="F1437" s="6" t="n"/>
      <c r="G1437" s="6" t="n"/>
      <c r="H1437" s="10">
        <f>IF(F1437="","",IFERROR(INDEX(Roster!$A$2:$A$600,MATCH(F1437,Roster!$E$2:$E$600,0)),""))</f>
        <v/>
      </c>
      <c r="I1437" s="10">
        <f>IF(AND(D1437="",C1437="",F1437=""),"",IF(G1437&lt;&gt;"","Void",IF(F1437="","Needs child",IF(H1437="","Child not found",IF(OR(B1437="",NOT(ISNUMBER(C1437))),"Needs month/pages","OK")))))</f>
        <v/>
      </c>
      <c r="J1437" s="10">
        <f>IF(I1437="","",IF(I1437="OK",IF(COUNTIFS(H1438:H$3001,H1437,B1438:B$3001,B1437,G1438:G$3001,"")=0,C1437,0),0))</f>
        <v/>
      </c>
    </row>
    <row r="1438">
      <c r="A1438" s="6" t="n"/>
      <c r="B1438" s="9" t="n"/>
      <c r="C1438" s="6" t="n"/>
      <c r="D1438" s="6" t="n"/>
      <c r="E1438" s="6" t="n"/>
      <c r="F1438" s="6" t="n"/>
      <c r="G1438" s="6" t="n"/>
      <c r="H1438" s="10">
        <f>IF(F1438="","",IFERROR(INDEX(Roster!$A$2:$A$600,MATCH(F1438,Roster!$E$2:$E$600,0)),""))</f>
        <v/>
      </c>
      <c r="I1438" s="10">
        <f>IF(AND(D1438="",C1438="",F1438=""),"",IF(G1438&lt;&gt;"","Void",IF(F1438="","Needs child",IF(H1438="","Child not found",IF(OR(B1438="",NOT(ISNUMBER(C1438))),"Needs month/pages","OK")))))</f>
        <v/>
      </c>
      <c r="J1438" s="10">
        <f>IF(I1438="","",IF(I1438="OK",IF(COUNTIFS(H1439:H$3001,H1438,B1439:B$3001,B1438,G1439:G$3001,"")=0,C1438,0),0))</f>
        <v/>
      </c>
    </row>
    <row r="1439">
      <c r="A1439" s="6" t="n"/>
      <c r="B1439" s="9" t="n"/>
      <c r="C1439" s="6" t="n"/>
      <c r="D1439" s="6" t="n"/>
      <c r="E1439" s="6" t="n"/>
      <c r="F1439" s="6" t="n"/>
      <c r="G1439" s="6" t="n"/>
      <c r="H1439" s="10">
        <f>IF(F1439="","",IFERROR(INDEX(Roster!$A$2:$A$600,MATCH(F1439,Roster!$E$2:$E$600,0)),""))</f>
        <v/>
      </c>
      <c r="I1439" s="10">
        <f>IF(AND(D1439="",C1439="",F1439=""),"",IF(G1439&lt;&gt;"","Void",IF(F1439="","Needs child",IF(H1439="","Child not found",IF(OR(B1439="",NOT(ISNUMBER(C1439))),"Needs month/pages","OK")))))</f>
        <v/>
      </c>
      <c r="J1439" s="10">
        <f>IF(I1439="","",IF(I1439="OK",IF(COUNTIFS(H1440:H$3001,H1439,B1440:B$3001,B1439,G1440:G$3001,"")=0,C1439,0),0))</f>
        <v/>
      </c>
    </row>
    <row r="1440">
      <c r="A1440" s="6" t="n"/>
      <c r="B1440" s="9" t="n"/>
      <c r="C1440" s="6" t="n"/>
      <c r="D1440" s="6" t="n"/>
      <c r="E1440" s="6" t="n"/>
      <c r="F1440" s="6" t="n"/>
      <c r="G1440" s="6" t="n"/>
      <c r="H1440" s="10">
        <f>IF(F1440="","",IFERROR(INDEX(Roster!$A$2:$A$600,MATCH(F1440,Roster!$E$2:$E$600,0)),""))</f>
        <v/>
      </c>
      <c r="I1440" s="10">
        <f>IF(AND(D1440="",C1440="",F1440=""),"",IF(G1440&lt;&gt;"","Void",IF(F1440="","Needs child",IF(H1440="","Child not found",IF(OR(B1440="",NOT(ISNUMBER(C1440))),"Needs month/pages","OK")))))</f>
        <v/>
      </c>
      <c r="J1440" s="10">
        <f>IF(I1440="","",IF(I1440="OK",IF(COUNTIFS(H1441:H$3001,H1440,B1441:B$3001,B1440,G1441:G$3001,"")=0,C1440,0),0))</f>
        <v/>
      </c>
    </row>
    <row r="1441">
      <c r="A1441" s="6" t="n"/>
      <c r="B1441" s="9" t="n"/>
      <c r="C1441" s="6" t="n"/>
      <c r="D1441" s="6" t="n"/>
      <c r="E1441" s="6" t="n"/>
      <c r="F1441" s="6" t="n"/>
      <c r="G1441" s="6" t="n"/>
      <c r="H1441" s="10">
        <f>IF(F1441="","",IFERROR(INDEX(Roster!$A$2:$A$600,MATCH(F1441,Roster!$E$2:$E$600,0)),""))</f>
        <v/>
      </c>
      <c r="I1441" s="10">
        <f>IF(AND(D1441="",C1441="",F1441=""),"",IF(G1441&lt;&gt;"","Void",IF(F1441="","Needs child",IF(H1441="","Child not found",IF(OR(B1441="",NOT(ISNUMBER(C1441))),"Needs month/pages","OK")))))</f>
        <v/>
      </c>
      <c r="J1441" s="10">
        <f>IF(I1441="","",IF(I1441="OK",IF(COUNTIFS(H1442:H$3001,H1441,B1442:B$3001,B1441,G1442:G$3001,"")=0,C1441,0),0))</f>
        <v/>
      </c>
    </row>
    <row r="1442">
      <c r="A1442" s="6" t="n"/>
      <c r="B1442" s="9" t="n"/>
      <c r="C1442" s="6" t="n"/>
      <c r="D1442" s="6" t="n"/>
      <c r="E1442" s="6" t="n"/>
      <c r="F1442" s="6" t="n"/>
      <c r="G1442" s="6" t="n"/>
      <c r="H1442" s="10">
        <f>IF(F1442="","",IFERROR(INDEX(Roster!$A$2:$A$600,MATCH(F1442,Roster!$E$2:$E$600,0)),""))</f>
        <v/>
      </c>
      <c r="I1442" s="10">
        <f>IF(AND(D1442="",C1442="",F1442=""),"",IF(G1442&lt;&gt;"","Void",IF(F1442="","Needs child",IF(H1442="","Child not found",IF(OR(B1442="",NOT(ISNUMBER(C1442))),"Needs month/pages","OK")))))</f>
        <v/>
      </c>
      <c r="J1442" s="10">
        <f>IF(I1442="","",IF(I1442="OK",IF(COUNTIFS(H1443:H$3001,H1442,B1443:B$3001,B1442,G1443:G$3001,"")=0,C1442,0),0))</f>
        <v/>
      </c>
    </row>
    <row r="1443">
      <c r="A1443" s="6" t="n"/>
      <c r="B1443" s="9" t="n"/>
      <c r="C1443" s="6" t="n"/>
      <c r="D1443" s="6" t="n"/>
      <c r="E1443" s="6" t="n"/>
      <c r="F1443" s="6" t="n"/>
      <c r="G1443" s="6" t="n"/>
      <c r="H1443" s="10">
        <f>IF(F1443="","",IFERROR(INDEX(Roster!$A$2:$A$600,MATCH(F1443,Roster!$E$2:$E$600,0)),""))</f>
        <v/>
      </c>
      <c r="I1443" s="10">
        <f>IF(AND(D1443="",C1443="",F1443=""),"",IF(G1443&lt;&gt;"","Void",IF(F1443="","Needs child",IF(H1443="","Child not found",IF(OR(B1443="",NOT(ISNUMBER(C1443))),"Needs month/pages","OK")))))</f>
        <v/>
      </c>
      <c r="J1443" s="10">
        <f>IF(I1443="","",IF(I1443="OK",IF(COUNTIFS(H1444:H$3001,H1443,B1444:B$3001,B1443,G1444:G$3001,"")=0,C1443,0),0))</f>
        <v/>
      </c>
    </row>
    <row r="1444">
      <c r="A1444" s="6" t="n"/>
      <c r="B1444" s="9" t="n"/>
      <c r="C1444" s="6" t="n"/>
      <c r="D1444" s="6" t="n"/>
      <c r="E1444" s="6" t="n"/>
      <c r="F1444" s="6" t="n"/>
      <c r="G1444" s="6" t="n"/>
      <c r="H1444" s="10">
        <f>IF(F1444="","",IFERROR(INDEX(Roster!$A$2:$A$600,MATCH(F1444,Roster!$E$2:$E$600,0)),""))</f>
        <v/>
      </c>
      <c r="I1444" s="10">
        <f>IF(AND(D1444="",C1444="",F1444=""),"",IF(G1444&lt;&gt;"","Void",IF(F1444="","Needs child",IF(H1444="","Child not found",IF(OR(B1444="",NOT(ISNUMBER(C1444))),"Needs month/pages","OK")))))</f>
        <v/>
      </c>
      <c r="J1444" s="10">
        <f>IF(I1444="","",IF(I1444="OK",IF(COUNTIFS(H1445:H$3001,H1444,B1445:B$3001,B1444,G1445:G$3001,"")=0,C1444,0),0))</f>
        <v/>
      </c>
    </row>
    <row r="1445">
      <c r="A1445" s="6" t="n"/>
      <c r="B1445" s="9" t="n"/>
      <c r="C1445" s="6" t="n"/>
      <c r="D1445" s="6" t="n"/>
      <c r="E1445" s="6" t="n"/>
      <c r="F1445" s="6" t="n"/>
      <c r="G1445" s="6" t="n"/>
      <c r="H1445" s="10">
        <f>IF(F1445="","",IFERROR(INDEX(Roster!$A$2:$A$600,MATCH(F1445,Roster!$E$2:$E$600,0)),""))</f>
        <v/>
      </c>
      <c r="I1445" s="10">
        <f>IF(AND(D1445="",C1445="",F1445=""),"",IF(G1445&lt;&gt;"","Void",IF(F1445="","Needs child",IF(H1445="","Child not found",IF(OR(B1445="",NOT(ISNUMBER(C1445))),"Needs month/pages","OK")))))</f>
        <v/>
      </c>
      <c r="J1445" s="10">
        <f>IF(I1445="","",IF(I1445="OK",IF(COUNTIFS(H1446:H$3001,H1445,B1446:B$3001,B1445,G1446:G$3001,"")=0,C1445,0),0))</f>
        <v/>
      </c>
    </row>
    <row r="1446">
      <c r="A1446" s="6" t="n"/>
      <c r="B1446" s="9" t="n"/>
      <c r="C1446" s="6" t="n"/>
      <c r="D1446" s="6" t="n"/>
      <c r="E1446" s="6" t="n"/>
      <c r="F1446" s="6" t="n"/>
      <c r="G1446" s="6" t="n"/>
      <c r="H1446" s="10">
        <f>IF(F1446="","",IFERROR(INDEX(Roster!$A$2:$A$600,MATCH(F1446,Roster!$E$2:$E$600,0)),""))</f>
        <v/>
      </c>
      <c r="I1446" s="10">
        <f>IF(AND(D1446="",C1446="",F1446=""),"",IF(G1446&lt;&gt;"","Void",IF(F1446="","Needs child",IF(H1446="","Child not found",IF(OR(B1446="",NOT(ISNUMBER(C1446))),"Needs month/pages","OK")))))</f>
        <v/>
      </c>
      <c r="J1446" s="10">
        <f>IF(I1446="","",IF(I1446="OK",IF(COUNTIFS(H1447:H$3001,H1446,B1447:B$3001,B1446,G1447:G$3001,"")=0,C1446,0),0))</f>
        <v/>
      </c>
    </row>
    <row r="1447">
      <c r="A1447" s="6" t="n"/>
      <c r="B1447" s="9" t="n"/>
      <c r="C1447" s="6" t="n"/>
      <c r="D1447" s="6" t="n"/>
      <c r="E1447" s="6" t="n"/>
      <c r="F1447" s="6" t="n"/>
      <c r="G1447" s="6" t="n"/>
      <c r="H1447" s="10">
        <f>IF(F1447="","",IFERROR(INDEX(Roster!$A$2:$A$600,MATCH(F1447,Roster!$E$2:$E$600,0)),""))</f>
        <v/>
      </c>
      <c r="I1447" s="10">
        <f>IF(AND(D1447="",C1447="",F1447=""),"",IF(G1447&lt;&gt;"","Void",IF(F1447="","Needs child",IF(H1447="","Child not found",IF(OR(B1447="",NOT(ISNUMBER(C1447))),"Needs month/pages","OK")))))</f>
        <v/>
      </c>
      <c r="J1447" s="10">
        <f>IF(I1447="","",IF(I1447="OK",IF(COUNTIFS(H1448:H$3001,H1447,B1448:B$3001,B1447,G1448:G$3001,"")=0,C1447,0),0))</f>
        <v/>
      </c>
    </row>
    <row r="1448">
      <c r="A1448" s="6" t="n"/>
      <c r="B1448" s="9" t="n"/>
      <c r="C1448" s="6" t="n"/>
      <c r="D1448" s="6" t="n"/>
      <c r="E1448" s="6" t="n"/>
      <c r="F1448" s="6" t="n"/>
      <c r="G1448" s="6" t="n"/>
      <c r="H1448" s="10">
        <f>IF(F1448="","",IFERROR(INDEX(Roster!$A$2:$A$600,MATCH(F1448,Roster!$E$2:$E$600,0)),""))</f>
        <v/>
      </c>
      <c r="I1448" s="10">
        <f>IF(AND(D1448="",C1448="",F1448=""),"",IF(G1448&lt;&gt;"","Void",IF(F1448="","Needs child",IF(H1448="","Child not found",IF(OR(B1448="",NOT(ISNUMBER(C1448))),"Needs month/pages","OK")))))</f>
        <v/>
      </c>
      <c r="J1448" s="10">
        <f>IF(I1448="","",IF(I1448="OK",IF(COUNTIFS(H1449:H$3001,H1448,B1449:B$3001,B1448,G1449:G$3001,"")=0,C1448,0),0))</f>
        <v/>
      </c>
    </row>
    <row r="1449">
      <c r="A1449" s="6" t="n"/>
      <c r="B1449" s="9" t="n"/>
      <c r="C1449" s="6" t="n"/>
      <c r="D1449" s="6" t="n"/>
      <c r="E1449" s="6" t="n"/>
      <c r="F1449" s="6" t="n"/>
      <c r="G1449" s="6" t="n"/>
      <c r="H1449" s="10">
        <f>IF(F1449="","",IFERROR(INDEX(Roster!$A$2:$A$600,MATCH(F1449,Roster!$E$2:$E$600,0)),""))</f>
        <v/>
      </c>
      <c r="I1449" s="10">
        <f>IF(AND(D1449="",C1449="",F1449=""),"",IF(G1449&lt;&gt;"","Void",IF(F1449="","Needs child",IF(H1449="","Child not found",IF(OR(B1449="",NOT(ISNUMBER(C1449))),"Needs month/pages","OK")))))</f>
        <v/>
      </c>
      <c r="J1449" s="10">
        <f>IF(I1449="","",IF(I1449="OK",IF(COUNTIFS(H1450:H$3001,H1449,B1450:B$3001,B1449,G1450:G$3001,"")=0,C1449,0),0))</f>
        <v/>
      </c>
    </row>
    <row r="1450">
      <c r="A1450" s="6" t="n"/>
      <c r="B1450" s="9" t="n"/>
      <c r="C1450" s="6" t="n"/>
      <c r="D1450" s="6" t="n"/>
      <c r="E1450" s="6" t="n"/>
      <c r="F1450" s="6" t="n"/>
      <c r="G1450" s="6" t="n"/>
      <c r="H1450" s="10">
        <f>IF(F1450="","",IFERROR(INDEX(Roster!$A$2:$A$600,MATCH(F1450,Roster!$E$2:$E$600,0)),""))</f>
        <v/>
      </c>
      <c r="I1450" s="10">
        <f>IF(AND(D1450="",C1450="",F1450=""),"",IF(G1450&lt;&gt;"","Void",IF(F1450="","Needs child",IF(H1450="","Child not found",IF(OR(B1450="",NOT(ISNUMBER(C1450))),"Needs month/pages","OK")))))</f>
        <v/>
      </c>
      <c r="J1450" s="10">
        <f>IF(I1450="","",IF(I1450="OK",IF(COUNTIFS(H1451:H$3001,H1450,B1451:B$3001,B1450,G1451:G$3001,"")=0,C1450,0),0))</f>
        <v/>
      </c>
    </row>
    <row r="1451">
      <c r="A1451" s="6" t="n"/>
      <c r="B1451" s="9" t="n"/>
      <c r="C1451" s="6" t="n"/>
      <c r="D1451" s="6" t="n"/>
      <c r="E1451" s="6" t="n"/>
      <c r="F1451" s="6" t="n"/>
      <c r="G1451" s="6" t="n"/>
      <c r="H1451" s="10">
        <f>IF(F1451="","",IFERROR(INDEX(Roster!$A$2:$A$600,MATCH(F1451,Roster!$E$2:$E$600,0)),""))</f>
        <v/>
      </c>
      <c r="I1451" s="10">
        <f>IF(AND(D1451="",C1451="",F1451=""),"",IF(G1451&lt;&gt;"","Void",IF(F1451="","Needs child",IF(H1451="","Child not found",IF(OR(B1451="",NOT(ISNUMBER(C1451))),"Needs month/pages","OK")))))</f>
        <v/>
      </c>
      <c r="J1451" s="10">
        <f>IF(I1451="","",IF(I1451="OK",IF(COUNTIFS(H1452:H$3001,H1451,B1452:B$3001,B1451,G1452:G$3001,"")=0,C1451,0),0))</f>
        <v/>
      </c>
    </row>
    <row r="1452">
      <c r="A1452" s="6" t="n"/>
      <c r="B1452" s="9" t="n"/>
      <c r="C1452" s="6" t="n"/>
      <c r="D1452" s="6" t="n"/>
      <c r="E1452" s="6" t="n"/>
      <c r="F1452" s="6" t="n"/>
      <c r="G1452" s="6" t="n"/>
      <c r="H1452" s="10">
        <f>IF(F1452="","",IFERROR(INDEX(Roster!$A$2:$A$600,MATCH(F1452,Roster!$E$2:$E$600,0)),""))</f>
        <v/>
      </c>
      <c r="I1452" s="10">
        <f>IF(AND(D1452="",C1452="",F1452=""),"",IF(G1452&lt;&gt;"","Void",IF(F1452="","Needs child",IF(H1452="","Child not found",IF(OR(B1452="",NOT(ISNUMBER(C1452))),"Needs month/pages","OK")))))</f>
        <v/>
      </c>
      <c r="J1452" s="10">
        <f>IF(I1452="","",IF(I1452="OK",IF(COUNTIFS(H1453:H$3001,H1452,B1453:B$3001,B1452,G1453:G$3001,"")=0,C1452,0),0))</f>
        <v/>
      </c>
    </row>
    <row r="1453">
      <c r="A1453" s="6" t="n"/>
      <c r="B1453" s="9" t="n"/>
      <c r="C1453" s="6" t="n"/>
      <c r="D1453" s="6" t="n"/>
      <c r="E1453" s="6" t="n"/>
      <c r="F1453" s="6" t="n"/>
      <c r="G1453" s="6" t="n"/>
      <c r="H1453" s="10">
        <f>IF(F1453="","",IFERROR(INDEX(Roster!$A$2:$A$600,MATCH(F1453,Roster!$E$2:$E$600,0)),""))</f>
        <v/>
      </c>
      <c r="I1453" s="10">
        <f>IF(AND(D1453="",C1453="",F1453=""),"",IF(G1453&lt;&gt;"","Void",IF(F1453="","Needs child",IF(H1453="","Child not found",IF(OR(B1453="",NOT(ISNUMBER(C1453))),"Needs month/pages","OK")))))</f>
        <v/>
      </c>
      <c r="J1453" s="10">
        <f>IF(I1453="","",IF(I1453="OK",IF(COUNTIFS(H1454:H$3001,H1453,B1454:B$3001,B1453,G1454:G$3001,"")=0,C1453,0),0))</f>
        <v/>
      </c>
    </row>
    <row r="1454">
      <c r="A1454" s="6" t="n"/>
      <c r="B1454" s="9" t="n"/>
      <c r="C1454" s="6" t="n"/>
      <c r="D1454" s="6" t="n"/>
      <c r="E1454" s="6" t="n"/>
      <c r="F1454" s="6" t="n"/>
      <c r="G1454" s="6" t="n"/>
      <c r="H1454" s="10">
        <f>IF(F1454="","",IFERROR(INDEX(Roster!$A$2:$A$600,MATCH(F1454,Roster!$E$2:$E$600,0)),""))</f>
        <v/>
      </c>
      <c r="I1454" s="10">
        <f>IF(AND(D1454="",C1454="",F1454=""),"",IF(G1454&lt;&gt;"","Void",IF(F1454="","Needs child",IF(H1454="","Child not found",IF(OR(B1454="",NOT(ISNUMBER(C1454))),"Needs month/pages","OK")))))</f>
        <v/>
      </c>
      <c r="J1454" s="10">
        <f>IF(I1454="","",IF(I1454="OK",IF(COUNTIFS(H1455:H$3001,H1454,B1455:B$3001,B1454,G1455:G$3001,"")=0,C1454,0),0))</f>
        <v/>
      </c>
    </row>
    <row r="1455">
      <c r="A1455" s="6" t="n"/>
      <c r="B1455" s="9" t="n"/>
      <c r="C1455" s="6" t="n"/>
      <c r="D1455" s="6" t="n"/>
      <c r="E1455" s="6" t="n"/>
      <c r="F1455" s="6" t="n"/>
      <c r="G1455" s="6" t="n"/>
      <c r="H1455" s="10">
        <f>IF(F1455="","",IFERROR(INDEX(Roster!$A$2:$A$600,MATCH(F1455,Roster!$E$2:$E$600,0)),""))</f>
        <v/>
      </c>
      <c r="I1455" s="10">
        <f>IF(AND(D1455="",C1455="",F1455=""),"",IF(G1455&lt;&gt;"","Void",IF(F1455="","Needs child",IF(H1455="","Child not found",IF(OR(B1455="",NOT(ISNUMBER(C1455))),"Needs month/pages","OK")))))</f>
        <v/>
      </c>
      <c r="J1455" s="10">
        <f>IF(I1455="","",IF(I1455="OK",IF(COUNTIFS(H1456:H$3001,H1455,B1456:B$3001,B1455,G1456:G$3001,"")=0,C1455,0),0))</f>
        <v/>
      </c>
    </row>
    <row r="1456">
      <c r="A1456" s="6" t="n"/>
      <c r="B1456" s="9" t="n"/>
      <c r="C1456" s="6" t="n"/>
      <c r="D1456" s="6" t="n"/>
      <c r="E1456" s="6" t="n"/>
      <c r="F1456" s="6" t="n"/>
      <c r="G1456" s="6" t="n"/>
      <c r="H1456" s="10">
        <f>IF(F1456="","",IFERROR(INDEX(Roster!$A$2:$A$600,MATCH(F1456,Roster!$E$2:$E$600,0)),""))</f>
        <v/>
      </c>
      <c r="I1456" s="10">
        <f>IF(AND(D1456="",C1456="",F1456=""),"",IF(G1456&lt;&gt;"","Void",IF(F1456="","Needs child",IF(H1456="","Child not found",IF(OR(B1456="",NOT(ISNUMBER(C1456))),"Needs month/pages","OK")))))</f>
        <v/>
      </c>
      <c r="J1456" s="10">
        <f>IF(I1456="","",IF(I1456="OK",IF(COUNTIFS(H1457:H$3001,H1456,B1457:B$3001,B1456,G1457:G$3001,"")=0,C1456,0),0))</f>
        <v/>
      </c>
    </row>
    <row r="1457">
      <c r="A1457" s="6" t="n"/>
      <c r="B1457" s="9" t="n"/>
      <c r="C1457" s="6" t="n"/>
      <c r="D1457" s="6" t="n"/>
      <c r="E1457" s="6" t="n"/>
      <c r="F1457" s="6" t="n"/>
      <c r="G1457" s="6" t="n"/>
      <c r="H1457" s="10">
        <f>IF(F1457="","",IFERROR(INDEX(Roster!$A$2:$A$600,MATCH(F1457,Roster!$E$2:$E$600,0)),""))</f>
        <v/>
      </c>
      <c r="I1457" s="10">
        <f>IF(AND(D1457="",C1457="",F1457=""),"",IF(G1457&lt;&gt;"","Void",IF(F1457="","Needs child",IF(H1457="","Child not found",IF(OR(B1457="",NOT(ISNUMBER(C1457))),"Needs month/pages","OK")))))</f>
        <v/>
      </c>
      <c r="J1457" s="10">
        <f>IF(I1457="","",IF(I1457="OK",IF(COUNTIFS(H1458:H$3001,H1457,B1458:B$3001,B1457,G1458:G$3001,"")=0,C1457,0),0))</f>
        <v/>
      </c>
    </row>
    <row r="1458">
      <c r="A1458" s="6" t="n"/>
      <c r="B1458" s="9" t="n"/>
      <c r="C1458" s="6" t="n"/>
      <c r="D1458" s="6" t="n"/>
      <c r="E1458" s="6" t="n"/>
      <c r="F1458" s="6" t="n"/>
      <c r="G1458" s="6" t="n"/>
      <c r="H1458" s="10">
        <f>IF(F1458="","",IFERROR(INDEX(Roster!$A$2:$A$600,MATCH(F1458,Roster!$E$2:$E$600,0)),""))</f>
        <v/>
      </c>
      <c r="I1458" s="10">
        <f>IF(AND(D1458="",C1458="",F1458=""),"",IF(G1458&lt;&gt;"","Void",IF(F1458="","Needs child",IF(H1458="","Child not found",IF(OR(B1458="",NOT(ISNUMBER(C1458))),"Needs month/pages","OK")))))</f>
        <v/>
      </c>
      <c r="J1458" s="10">
        <f>IF(I1458="","",IF(I1458="OK",IF(COUNTIFS(H1459:H$3001,H1458,B1459:B$3001,B1458,G1459:G$3001,"")=0,C1458,0),0))</f>
        <v/>
      </c>
    </row>
    <row r="1459">
      <c r="A1459" s="6" t="n"/>
      <c r="B1459" s="9" t="n"/>
      <c r="C1459" s="6" t="n"/>
      <c r="D1459" s="6" t="n"/>
      <c r="E1459" s="6" t="n"/>
      <c r="F1459" s="6" t="n"/>
      <c r="G1459" s="6" t="n"/>
      <c r="H1459" s="10">
        <f>IF(F1459="","",IFERROR(INDEX(Roster!$A$2:$A$600,MATCH(F1459,Roster!$E$2:$E$600,0)),""))</f>
        <v/>
      </c>
      <c r="I1459" s="10">
        <f>IF(AND(D1459="",C1459="",F1459=""),"",IF(G1459&lt;&gt;"","Void",IF(F1459="","Needs child",IF(H1459="","Child not found",IF(OR(B1459="",NOT(ISNUMBER(C1459))),"Needs month/pages","OK")))))</f>
        <v/>
      </c>
      <c r="J1459" s="10">
        <f>IF(I1459="","",IF(I1459="OK",IF(COUNTIFS(H1460:H$3001,H1459,B1460:B$3001,B1459,G1460:G$3001,"")=0,C1459,0),0))</f>
        <v/>
      </c>
    </row>
    <row r="1460">
      <c r="A1460" s="6" t="n"/>
      <c r="B1460" s="9" t="n"/>
      <c r="C1460" s="6" t="n"/>
      <c r="D1460" s="6" t="n"/>
      <c r="E1460" s="6" t="n"/>
      <c r="F1460" s="6" t="n"/>
      <c r="G1460" s="6" t="n"/>
      <c r="H1460" s="10">
        <f>IF(F1460="","",IFERROR(INDEX(Roster!$A$2:$A$600,MATCH(F1460,Roster!$E$2:$E$600,0)),""))</f>
        <v/>
      </c>
      <c r="I1460" s="10">
        <f>IF(AND(D1460="",C1460="",F1460=""),"",IF(G1460&lt;&gt;"","Void",IF(F1460="","Needs child",IF(H1460="","Child not found",IF(OR(B1460="",NOT(ISNUMBER(C1460))),"Needs month/pages","OK")))))</f>
        <v/>
      </c>
      <c r="J1460" s="10">
        <f>IF(I1460="","",IF(I1460="OK",IF(COUNTIFS(H1461:H$3001,H1460,B1461:B$3001,B1460,G1461:G$3001,"")=0,C1460,0),0))</f>
        <v/>
      </c>
    </row>
    <row r="1461">
      <c r="A1461" s="6" t="n"/>
      <c r="B1461" s="9" t="n"/>
      <c r="C1461" s="6" t="n"/>
      <c r="D1461" s="6" t="n"/>
      <c r="E1461" s="6" t="n"/>
      <c r="F1461" s="6" t="n"/>
      <c r="G1461" s="6" t="n"/>
      <c r="H1461" s="10">
        <f>IF(F1461="","",IFERROR(INDEX(Roster!$A$2:$A$600,MATCH(F1461,Roster!$E$2:$E$600,0)),""))</f>
        <v/>
      </c>
      <c r="I1461" s="10">
        <f>IF(AND(D1461="",C1461="",F1461=""),"",IF(G1461&lt;&gt;"","Void",IF(F1461="","Needs child",IF(H1461="","Child not found",IF(OR(B1461="",NOT(ISNUMBER(C1461))),"Needs month/pages","OK")))))</f>
        <v/>
      </c>
      <c r="J1461" s="10">
        <f>IF(I1461="","",IF(I1461="OK",IF(COUNTIFS(H1462:H$3001,H1461,B1462:B$3001,B1461,G1462:G$3001,"")=0,C1461,0),0))</f>
        <v/>
      </c>
    </row>
    <row r="1462">
      <c r="A1462" s="6" t="n"/>
      <c r="B1462" s="9" t="n"/>
      <c r="C1462" s="6" t="n"/>
      <c r="D1462" s="6" t="n"/>
      <c r="E1462" s="6" t="n"/>
      <c r="F1462" s="6" t="n"/>
      <c r="G1462" s="6" t="n"/>
      <c r="H1462" s="10">
        <f>IF(F1462="","",IFERROR(INDEX(Roster!$A$2:$A$600,MATCH(F1462,Roster!$E$2:$E$600,0)),""))</f>
        <v/>
      </c>
      <c r="I1462" s="10">
        <f>IF(AND(D1462="",C1462="",F1462=""),"",IF(G1462&lt;&gt;"","Void",IF(F1462="","Needs child",IF(H1462="","Child not found",IF(OR(B1462="",NOT(ISNUMBER(C1462))),"Needs month/pages","OK")))))</f>
        <v/>
      </c>
      <c r="J1462" s="10">
        <f>IF(I1462="","",IF(I1462="OK",IF(COUNTIFS(H1463:H$3001,H1462,B1463:B$3001,B1462,G1463:G$3001,"")=0,C1462,0),0))</f>
        <v/>
      </c>
    </row>
    <row r="1463">
      <c r="A1463" s="6" t="n"/>
      <c r="B1463" s="9" t="n"/>
      <c r="C1463" s="6" t="n"/>
      <c r="D1463" s="6" t="n"/>
      <c r="E1463" s="6" t="n"/>
      <c r="F1463" s="6" t="n"/>
      <c r="G1463" s="6" t="n"/>
      <c r="H1463" s="10">
        <f>IF(F1463="","",IFERROR(INDEX(Roster!$A$2:$A$600,MATCH(F1463,Roster!$E$2:$E$600,0)),""))</f>
        <v/>
      </c>
      <c r="I1463" s="10">
        <f>IF(AND(D1463="",C1463="",F1463=""),"",IF(G1463&lt;&gt;"","Void",IF(F1463="","Needs child",IF(H1463="","Child not found",IF(OR(B1463="",NOT(ISNUMBER(C1463))),"Needs month/pages","OK")))))</f>
        <v/>
      </c>
      <c r="J1463" s="10">
        <f>IF(I1463="","",IF(I1463="OK",IF(COUNTIFS(H1464:H$3001,H1463,B1464:B$3001,B1463,G1464:G$3001,"")=0,C1463,0),0))</f>
        <v/>
      </c>
    </row>
    <row r="1464">
      <c r="A1464" s="6" t="n"/>
      <c r="B1464" s="9" t="n"/>
      <c r="C1464" s="6" t="n"/>
      <c r="D1464" s="6" t="n"/>
      <c r="E1464" s="6" t="n"/>
      <c r="F1464" s="6" t="n"/>
      <c r="G1464" s="6" t="n"/>
      <c r="H1464" s="10">
        <f>IF(F1464="","",IFERROR(INDEX(Roster!$A$2:$A$600,MATCH(F1464,Roster!$E$2:$E$600,0)),""))</f>
        <v/>
      </c>
      <c r="I1464" s="10">
        <f>IF(AND(D1464="",C1464="",F1464=""),"",IF(G1464&lt;&gt;"","Void",IF(F1464="","Needs child",IF(H1464="","Child not found",IF(OR(B1464="",NOT(ISNUMBER(C1464))),"Needs month/pages","OK")))))</f>
        <v/>
      </c>
      <c r="J1464" s="10">
        <f>IF(I1464="","",IF(I1464="OK",IF(COUNTIFS(H1465:H$3001,H1464,B1465:B$3001,B1464,G1465:G$3001,"")=0,C1464,0),0))</f>
        <v/>
      </c>
    </row>
    <row r="1465">
      <c r="A1465" s="6" t="n"/>
      <c r="B1465" s="9" t="n"/>
      <c r="C1465" s="6" t="n"/>
      <c r="D1465" s="6" t="n"/>
      <c r="E1465" s="6" t="n"/>
      <c r="F1465" s="6" t="n"/>
      <c r="G1465" s="6" t="n"/>
      <c r="H1465" s="10">
        <f>IF(F1465="","",IFERROR(INDEX(Roster!$A$2:$A$600,MATCH(F1465,Roster!$E$2:$E$600,0)),""))</f>
        <v/>
      </c>
      <c r="I1465" s="10">
        <f>IF(AND(D1465="",C1465="",F1465=""),"",IF(G1465&lt;&gt;"","Void",IF(F1465="","Needs child",IF(H1465="","Child not found",IF(OR(B1465="",NOT(ISNUMBER(C1465))),"Needs month/pages","OK")))))</f>
        <v/>
      </c>
      <c r="J1465" s="10">
        <f>IF(I1465="","",IF(I1465="OK",IF(COUNTIFS(H1466:H$3001,H1465,B1466:B$3001,B1465,G1466:G$3001,"")=0,C1465,0),0))</f>
        <v/>
      </c>
    </row>
    <row r="1466">
      <c r="A1466" s="6" t="n"/>
      <c r="B1466" s="9" t="n"/>
      <c r="C1466" s="6" t="n"/>
      <c r="D1466" s="6" t="n"/>
      <c r="E1466" s="6" t="n"/>
      <c r="F1466" s="6" t="n"/>
      <c r="G1466" s="6" t="n"/>
      <c r="H1466" s="10">
        <f>IF(F1466="","",IFERROR(INDEX(Roster!$A$2:$A$600,MATCH(F1466,Roster!$E$2:$E$600,0)),""))</f>
        <v/>
      </c>
      <c r="I1466" s="10">
        <f>IF(AND(D1466="",C1466="",F1466=""),"",IF(G1466&lt;&gt;"","Void",IF(F1466="","Needs child",IF(H1466="","Child not found",IF(OR(B1466="",NOT(ISNUMBER(C1466))),"Needs month/pages","OK")))))</f>
        <v/>
      </c>
      <c r="J1466" s="10">
        <f>IF(I1466="","",IF(I1466="OK",IF(COUNTIFS(H1467:H$3001,H1466,B1467:B$3001,B1466,G1467:G$3001,"")=0,C1466,0),0))</f>
        <v/>
      </c>
    </row>
    <row r="1467">
      <c r="A1467" s="6" t="n"/>
      <c r="B1467" s="9" t="n"/>
      <c r="C1467" s="6" t="n"/>
      <c r="D1467" s="6" t="n"/>
      <c r="E1467" s="6" t="n"/>
      <c r="F1467" s="6" t="n"/>
      <c r="G1467" s="6" t="n"/>
      <c r="H1467" s="10">
        <f>IF(F1467="","",IFERROR(INDEX(Roster!$A$2:$A$600,MATCH(F1467,Roster!$E$2:$E$600,0)),""))</f>
        <v/>
      </c>
      <c r="I1467" s="10">
        <f>IF(AND(D1467="",C1467="",F1467=""),"",IF(G1467&lt;&gt;"","Void",IF(F1467="","Needs child",IF(H1467="","Child not found",IF(OR(B1467="",NOT(ISNUMBER(C1467))),"Needs month/pages","OK")))))</f>
        <v/>
      </c>
      <c r="J1467" s="10">
        <f>IF(I1467="","",IF(I1467="OK",IF(COUNTIFS(H1468:H$3001,H1467,B1468:B$3001,B1467,G1468:G$3001,"")=0,C1467,0),0))</f>
        <v/>
      </c>
    </row>
    <row r="1468">
      <c r="A1468" s="6" t="n"/>
      <c r="B1468" s="9" t="n"/>
      <c r="C1468" s="6" t="n"/>
      <c r="D1468" s="6" t="n"/>
      <c r="E1468" s="6" t="n"/>
      <c r="F1468" s="6" t="n"/>
      <c r="G1468" s="6" t="n"/>
      <c r="H1468" s="10">
        <f>IF(F1468="","",IFERROR(INDEX(Roster!$A$2:$A$600,MATCH(F1468,Roster!$E$2:$E$600,0)),""))</f>
        <v/>
      </c>
      <c r="I1468" s="10">
        <f>IF(AND(D1468="",C1468="",F1468=""),"",IF(G1468&lt;&gt;"","Void",IF(F1468="","Needs child",IF(H1468="","Child not found",IF(OR(B1468="",NOT(ISNUMBER(C1468))),"Needs month/pages","OK")))))</f>
        <v/>
      </c>
      <c r="J1468" s="10">
        <f>IF(I1468="","",IF(I1468="OK",IF(COUNTIFS(H1469:H$3001,H1468,B1469:B$3001,B1468,G1469:G$3001,"")=0,C1468,0),0))</f>
        <v/>
      </c>
    </row>
    <row r="1469">
      <c r="A1469" s="6" t="n"/>
      <c r="B1469" s="9" t="n"/>
      <c r="C1469" s="6" t="n"/>
      <c r="D1469" s="6" t="n"/>
      <c r="E1469" s="6" t="n"/>
      <c r="F1469" s="6" t="n"/>
      <c r="G1469" s="6" t="n"/>
      <c r="H1469" s="10">
        <f>IF(F1469="","",IFERROR(INDEX(Roster!$A$2:$A$600,MATCH(F1469,Roster!$E$2:$E$600,0)),""))</f>
        <v/>
      </c>
      <c r="I1469" s="10">
        <f>IF(AND(D1469="",C1469="",F1469=""),"",IF(G1469&lt;&gt;"","Void",IF(F1469="","Needs child",IF(H1469="","Child not found",IF(OR(B1469="",NOT(ISNUMBER(C1469))),"Needs month/pages","OK")))))</f>
        <v/>
      </c>
      <c r="J1469" s="10">
        <f>IF(I1469="","",IF(I1469="OK",IF(COUNTIFS(H1470:H$3001,H1469,B1470:B$3001,B1469,G1470:G$3001,"")=0,C1469,0),0))</f>
        <v/>
      </c>
    </row>
    <row r="1470">
      <c r="A1470" s="6" t="n"/>
      <c r="B1470" s="9" t="n"/>
      <c r="C1470" s="6" t="n"/>
      <c r="D1470" s="6" t="n"/>
      <c r="E1470" s="6" t="n"/>
      <c r="F1470" s="6" t="n"/>
      <c r="G1470" s="6" t="n"/>
      <c r="H1470" s="10">
        <f>IF(F1470="","",IFERROR(INDEX(Roster!$A$2:$A$600,MATCH(F1470,Roster!$E$2:$E$600,0)),""))</f>
        <v/>
      </c>
      <c r="I1470" s="10">
        <f>IF(AND(D1470="",C1470="",F1470=""),"",IF(G1470&lt;&gt;"","Void",IF(F1470="","Needs child",IF(H1470="","Child not found",IF(OR(B1470="",NOT(ISNUMBER(C1470))),"Needs month/pages","OK")))))</f>
        <v/>
      </c>
      <c r="J1470" s="10">
        <f>IF(I1470="","",IF(I1470="OK",IF(COUNTIFS(H1471:H$3001,H1470,B1471:B$3001,B1470,G1471:G$3001,"")=0,C1470,0),0))</f>
        <v/>
      </c>
    </row>
    <row r="1471">
      <c r="A1471" s="6" t="n"/>
      <c r="B1471" s="9" t="n"/>
      <c r="C1471" s="6" t="n"/>
      <c r="D1471" s="6" t="n"/>
      <c r="E1471" s="6" t="n"/>
      <c r="F1471" s="6" t="n"/>
      <c r="G1471" s="6" t="n"/>
      <c r="H1471" s="10">
        <f>IF(F1471="","",IFERROR(INDEX(Roster!$A$2:$A$600,MATCH(F1471,Roster!$E$2:$E$600,0)),""))</f>
        <v/>
      </c>
      <c r="I1471" s="10">
        <f>IF(AND(D1471="",C1471="",F1471=""),"",IF(G1471&lt;&gt;"","Void",IF(F1471="","Needs child",IF(H1471="","Child not found",IF(OR(B1471="",NOT(ISNUMBER(C1471))),"Needs month/pages","OK")))))</f>
        <v/>
      </c>
      <c r="J1471" s="10">
        <f>IF(I1471="","",IF(I1471="OK",IF(COUNTIFS(H1472:H$3001,H1471,B1472:B$3001,B1471,G1472:G$3001,"")=0,C1471,0),0))</f>
        <v/>
      </c>
    </row>
    <row r="1472">
      <c r="A1472" s="6" t="n"/>
      <c r="B1472" s="9" t="n"/>
      <c r="C1472" s="6" t="n"/>
      <c r="D1472" s="6" t="n"/>
      <c r="E1472" s="6" t="n"/>
      <c r="F1472" s="6" t="n"/>
      <c r="G1472" s="6" t="n"/>
      <c r="H1472" s="10">
        <f>IF(F1472="","",IFERROR(INDEX(Roster!$A$2:$A$600,MATCH(F1472,Roster!$E$2:$E$600,0)),""))</f>
        <v/>
      </c>
      <c r="I1472" s="10">
        <f>IF(AND(D1472="",C1472="",F1472=""),"",IF(G1472&lt;&gt;"","Void",IF(F1472="","Needs child",IF(H1472="","Child not found",IF(OR(B1472="",NOT(ISNUMBER(C1472))),"Needs month/pages","OK")))))</f>
        <v/>
      </c>
      <c r="J1472" s="10">
        <f>IF(I1472="","",IF(I1472="OK",IF(COUNTIFS(H1473:H$3001,H1472,B1473:B$3001,B1472,G1473:G$3001,"")=0,C1472,0),0))</f>
        <v/>
      </c>
    </row>
    <row r="1473">
      <c r="A1473" s="6" t="n"/>
      <c r="B1473" s="9" t="n"/>
      <c r="C1473" s="6" t="n"/>
      <c r="D1473" s="6" t="n"/>
      <c r="E1473" s="6" t="n"/>
      <c r="F1473" s="6" t="n"/>
      <c r="G1473" s="6" t="n"/>
      <c r="H1473" s="10">
        <f>IF(F1473="","",IFERROR(INDEX(Roster!$A$2:$A$600,MATCH(F1473,Roster!$E$2:$E$600,0)),""))</f>
        <v/>
      </c>
      <c r="I1473" s="10">
        <f>IF(AND(D1473="",C1473="",F1473=""),"",IF(G1473&lt;&gt;"","Void",IF(F1473="","Needs child",IF(H1473="","Child not found",IF(OR(B1473="",NOT(ISNUMBER(C1473))),"Needs month/pages","OK")))))</f>
        <v/>
      </c>
      <c r="J1473" s="10">
        <f>IF(I1473="","",IF(I1473="OK",IF(COUNTIFS(H1474:H$3001,H1473,B1474:B$3001,B1473,G1474:G$3001,"")=0,C1473,0),0))</f>
        <v/>
      </c>
    </row>
    <row r="1474">
      <c r="A1474" s="6" t="n"/>
      <c r="B1474" s="9" t="n"/>
      <c r="C1474" s="6" t="n"/>
      <c r="D1474" s="6" t="n"/>
      <c r="E1474" s="6" t="n"/>
      <c r="F1474" s="6" t="n"/>
      <c r="G1474" s="6" t="n"/>
      <c r="H1474" s="10">
        <f>IF(F1474="","",IFERROR(INDEX(Roster!$A$2:$A$600,MATCH(F1474,Roster!$E$2:$E$600,0)),""))</f>
        <v/>
      </c>
      <c r="I1474" s="10">
        <f>IF(AND(D1474="",C1474="",F1474=""),"",IF(G1474&lt;&gt;"","Void",IF(F1474="","Needs child",IF(H1474="","Child not found",IF(OR(B1474="",NOT(ISNUMBER(C1474))),"Needs month/pages","OK")))))</f>
        <v/>
      </c>
      <c r="J1474" s="10">
        <f>IF(I1474="","",IF(I1474="OK",IF(COUNTIFS(H1475:H$3001,H1474,B1475:B$3001,B1474,G1475:G$3001,"")=0,C1474,0),0))</f>
        <v/>
      </c>
    </row>
    <row r="1475">
      <c r="A1475" s="6" t="n"/>
      <c r="B1475" s="9" t="n"/>
      <c r="C1475" s="6" t="n"/>
      <c r="D1475" s="6" t="n"/>
      <c r="E1475" s="6" t="n"/>
      <c r="F1475" s="6" t="n"/>
      <c r="G1475" s="6" t="n"/>
      <c r="H1475" s="10">
        <f>IF(F1475="","",IFERROR(INDEX(Roster!$A$2:$A$600,MATCH(F1475,Roster!$E$2:$E$600,0)),""))</f>
        <v/>
      </c>
      <c r="I1475" s="10">
        <f>IF(AND(D1475="",C1475="",F1475=""),"",IF(G1475&lt;&gt;"","Void",IF(F1475="","Needs child",IF(H1475="","Child not found",IF(OR(B1475="",NOT(ISNUMBER(C1475))),"Needs month/pages","OK")))))</f>
        <v/>
      </c>
      <c r="J1475" s="10">
        <f>IF(I1475="","",IF(I1475="OK",IF(COUNTIFS(H1476:H$3001,H1475,B1476:B$3001,B1475,G1476:G$3001,"")=0,C1475,0),0))</f>
        <v/>
      </c>
    </row>
    <row r="1476">
      <c r="A1476" s="6" t="n"/>
      <c r="B1476" s="9" t="n"/>
      <c r="C1476" s="6" t="n"/>
      <c r="D1476" s="6" t="n"/>
      <c r="E1476" s="6" t="n"/>
      <c r="F1476" s="6" t="n"/>
      <c r="G1476" s="6" t="n"/>
      <c r="H1476" s="10">
        <f>IF(F1476="","",IFERROR(INDEX(Roster!$A$2:$A$600,MATCH(F1476,Roster!$E$2:$E$600,0)),""))</f>
        <v/>
      </c>
      <c r="I1476" s="10">
        <f>IF(AND(D1476="",C1476="",F1476=""),"",IF(G1476&lt;&gt;"","Void",IF(F1476="","Needs child",IF(H1476="","Child not found",IF(OR(B1476="",NOT(ISNUMBER(C1476))),"Needs month/pages","OK")))))</f>
        <v/>
      </c>
      <c r="J1476" s="10">
        <f>IF(I1476="","",IF(I1476="OK",IF(COUNTIFS(H1477:H$3001,H1476,B1477:B$3001,B1476,G1477:G$3001,"")=0,C1476,0),0))</f>
        <v/>
      </c>
    </row>
    <row r="1477">
      <c r="A1477" s="6" t="n"/>
      <c r="B1477" s="9" t="n"/>
      <c r="C1477" s="6" t="n"/>
      <c r="D1477" s="6" t="n"/>
      <c r="E1477" s="6" t="n"/>
      <c r="F1477" s="6" t="n"/>
      <c r="G1477" s="6" t="n"/>
      <c r="H1477" s="10">
        <f>IF(F1477="","",IFERROR(INDEX(Roster!$A$2:$A$600,MATCH(F1477,Roster!$E$2:$E$600,0)),""))</f>
        <v/>
      </c>
      <c r="I1477" s="10">
        <f>IF(AND(D1477="",C1477="",F1477=""),"",IF(G1477&lt;&gt;"","Void",IF(F1477="","Needs child",IF(H1477="","Child not found",IF(OR(B1477="",NOT(ISNUMBER(C1477))),"Needs month/pages","OK")))))</f>
        <v/>
      </c>
      <c r="J1477" s="10">
        <f>IF(I1477="","",IF(I1477="OK",IF(COUNTIFS(H1478:H$3001,H1477,B1478:B$3001,B1477,G1478:G$3001,"")=0,C1477,0),0))</f>
        <v/>
      </c>
    </row>
    <row r="1478">
      <c r="A1478" s="6" t="n"/>
      <c r="B1478" s="9" t="n"/>
      <c r="C1478" s="6" t="n"/>
      <c r="D1478" s="6" t="n"/>
      <c r="E1478" s="6" t="n"/>
      <c r="F1478" s="6" t="n"/>
      <c r="G1478" s="6" t="n"/>
      <c r="H1478" s="10">
        <f>IF(F1478="","",IFERROR(INDEX(Roster!$A$2:$A$600,MATCH(F1478,Roster!$E$2:$E$600,0)),""))</f>
        <v/>
      </c>
      <c r="I1478" s="10">
        <f>IF(AND(D1478="",C1478="",F1478=""),"",IF(G1478&lt;&gt;"","Void",IF(F1478="","Needs child",IF(H1478="","Child not found",IF(OR(B1478="",NOT(ISNUMBER(C1478))),"Needs month/pages","OK")))))</f>
        <v/>
      </c>
      <c r="J1478" s="10">
        <f>IF(I1478="","",IF(I1478="OK",IF(COUNTIFS(H1479:H$3001,H1478,B1479:B$3001,B1478,G1479:G$3001,"")=0,C1478,0),0))</f>
        <v/>
      </c>
    </row>
    <row r="1479">
      <c r="A1479" s="6" t="n"/>
      <c r="B1479" s="9" t="n"/>
      <c r="C1479" s="6" t="n"/>
      <c r="D1479" s="6" t="n"/>
      <c r="E1479" s="6" t="n"/>
      <c r="F1479" s="6" t="n"/>
      <c r="G1479" s="6" t="n"/>
      <c r="H1479" s="10">
        <f>IF(F1479="","",IFERROR(INDEX(Roster!$A$2:$A$600,MATCH(F1479,Roster!$E$2:$E$600,0)),""))</f>
        <v/>
      </c>
      <c r="I1479" s="10">
        <f>IF(AND(D1479="",C1479="",F1479=""),"",IF(G1479&lt;&gt;"","Void",IF(F1479="","Needs child",IF(H1479="","Child not found",IF(OR(B1479="",NOT(ISNUMBER(C1479))),"Needs month/pages","OK")))))</f>
        <v/>
      </c>
      <c r="J1479" s="10">
        <f>IF(I1479="","",IF(I1479="OK",IF(COUNTIFS(H1480:H$3001,H1479,B1480:B$3001,B1479,G1480:G$3001,"")=0,C1479,0),0))</f>
        <v/>
      </c>
    </row>
    <row r="1480">
      <c r="A1480" s="6" t="n"/>
      <c r="B1480" s="9" t="n"/>
      <c r="C1480" s="6" t="n"/>
      <c r="D1480" s="6" t="n"/>
      <c r="E1480" s="6" t="n"/>
      <c r="F1480" s="6" t="n"/>
      <c r="G1480" s="6" t="n"/>
      <c r="H1480" s="10">
        <f>IF(F1480="","",IFERROR(INDEX(Roster!$A$2:$A$600,MATCH(F1480,Roster!$E$2:$E$600,0)),""))</f>
        <v/>
      </c>
      <c r="I1480" s="10">
        <f>IF(AND(D1480="",C1480="",F1480=""),"",IF(G1480&lt;&gt;"","Void",IF(F1480="","Needs child",IF(H1480="","Child not found",IF(OR(B1480="",NOT(ISNUMBER(C1480))),"Needs month/pages","OK")))))</f>
        <v/>
      </c>
      <c r="J1480" s="10">
        <f>IF(I1480="","",IF(I1480="OK",IF(COUNTIFS(H1481:H$3001,H1480,B1481:B$3001,B1480,G1481:G$3001,"")=0,C1480,0),0))</f>
        <v/>
      </c>
    </row>
    <row r="1481">
      <c r="A1481" s="6" t="n"/>
      <c r="B1481" s="9" t="n"/>
      <c r="C1481" s="6" t="n"/>
      <c r="D1481" s="6" t="n"/>
      <c r="E1481" s="6" t="n"/>
      <c r="F1481" s="6" t="n"/>
      <c r="G1481" s="6" t="n"/>
      <c r="H1481" s="10">
        <f>IF(F1481="","",IFERROR(INDEX(Roster!$A$2:$A$600,MATCH(F1481,Roster!$E$2:$E$600,0)),""))</f>
        <v/>
      </c>
      <c r="I1481" s="10">
        <f>IF(AND(D1481="",C1481="",F1481=""),"",IF(G1481&lt;&gt;"","Void",IF(F1481="","Needs child",IF(H1481="","Child not found",IF(OR(B1481="",NOT(ISNUMBER(C1481))),"Needs month/pages","OK")))))</f>
        <v/>
      </c>
      <c r="J1481" s="10">
        <f>IF(I1481="","",IF(I1481="OK",IF(COUNTIFS(H1482:H$3001,H1481,B1482:B$3001,B1481,G1482:G$3001,"")=0,C1481,0),0))</f>
        <v/>
      </c>
    </row>
    <row r="1482">
      <c r="A1482" s="6" t="n"/>
      <c r="B1482" s="9" t="n"/>
      <c r="C1482" s="6" t="n"/>
      <c r="D1482" s="6" t="n"/>
      <c r="E1482" s="6" t="n"/>
      <c r="F1482" s="6" t="n"/>
      <c r="G1482" s="6" t="n"/>
      <c r="H1482" s="10">
        <f>IF(F1482="","",IFERROR(INDEX(Roster!$A$2:$A$600,MATCH(F1482,Roster!$E$2:$E$600,0)),""))</f>
        <v/>
      </c>
      <c r="I1482" s="10">
        <f>IF(AND(D1482="",C1482="",F1482=""),"",IF(G1482&lt;&gt;"","Void",IF(F1482="","Needs child",IF(H1482="","Child not found",IF(OR(B1482="",NOT(ISNUMBER(C1482))),"Needs month/pages","OK")))))</f>
        <v/>
      </c>
      <c r="J1482" s="10">
        <f>IF(I1482="","",IF(I1482="OK",IF(COUNTIFS(H1483:H$3001,H1482,B1483:B$3001,B1482,G1483:G$3001,"")=0,C1482,0),0))</f>
        <v/>
      </c>
    </row>
    <row r="1483">
      <c r="A1483" s="6" t="n"/>
      <c r="B1483" s="9" t="n"/>
      <c r="C1483" s="6" t="n"/>
      <c r="D1483" s="6" t="n"/>
      <c r="E1483" s="6" t="n"/>
      <c r="F1483" s="6" t="n"/>
      <c r="G1483" s="6" t="n"/>
      <c r="H1483" s="10">
        <f>IF(F1483="","",IFERROR(INDEX(Roster!$A$2:$A$600,MATCH(F1483,Roster!$E$2:$E$600,0)),""))</f>
        <v/>
      </c>
      <c r="I1483" s="10">
        <f>IF(AND(D1483="",C1483="",F1483=""),"",IF(G1483&lt;&gt;"","Void",IF(F1483="","Needs child",IF(H1483="","Child not found",IF(OR(B1483="",NOT(ISNUMBER(C1483))),"Needs month/pages","OK")))))</f>
        <v/>
      </c>
      <c r="J1483" s="10">
        <f>IF(I1483="","",IF(I1483="OK",IF(COUNTIFS(H1484:H$3001,H1483,B1484:B$3001,B1483,G1484:G$3001,"")=0,C1483,0),0))</f>
        <v/>
      </c>
    </row>
    <row r="1484">
      <c r="A1484" s="6" t="n"/>
      <c r="B1484" s="9" t="n"/>
      <c r="C1484" s="6" t="n"/>
      <c r="D1484" s="6" t="n"/>
      <c r="E1484" s="6" t="n"/>
      <c r="F1484" s="6" t="n"/>
      <c r="G1484" s="6" t="n"/>
      <c r="H1484" s="10">
        <f>IF(F1484="","",IFERROR(INDEX(Roster!$A$2:$A$600,MATCH(F1484,Roster!$E$2:$E$600,0)),""))</f>
        <v/>
      </c>
      <c r="I1484" s="10">
        <f>IF(AND(D1484="",C1484="",F1484=""),"",IF(G1484&lt;&gt;"","Void",IF(F1484="","Needs child",IF(H1484="","Child not found",IF(OR(B1484="",NOT(ISNUMBER(C1484))),"Needs month/pages","OK")))))</f>
        <v/>
      </c>
      <c r="J1484" s="10">
        <f>IF(I1484="","",IF(I1484="OK",IF(COUNTIFS(H1485:H$3001,H1484,B1485:B$3001,B1484,G1485:G$3001,"")=0,C1484,0),0))</f>
        <v/>
      </c>
    </row>
    <row r="1485">
      <c r="A1485" s="6" t="n"/>
      <c r="B1485" s="9" t="n"/>
      <c r="C1485" s="6" t="n"/>
      <c r="D1485" s="6" t="n"/>
      <c r="E1485" s="6" t="n"/>
      <c r="F1485" s="6" t="n"/>
      <c r="G1485" s="6" t="n"/>
      <c r="H1485" s="10">
        <f>IF(F1485="","",IFERROR(INDEX(Roster!$A$2:$A$600,MATCH(F1485,Roster!$E$2:$E$600,0)),""))</f>
        <v/>
      </c>
      <c r="I1485" s="10">
        <f>IF(AND(D1485="",C1485="",F1485=""),"",IF(G1485&lt;&gt;"","Void",IF(F1485="","Needs child",IF(H1485="","Child not found",IF(OR(B1485="",NOT(ISNUMBER(C1485))),"Needs month/pages","OK")))))</f>
        <v/>
      </c>
      <c r="J1485" s="10">
        <f>IF(I1485="","",IF(I1485="OK",IF(COUNTIFS(H1486:H$3001,H1485,B1486:B$3001,B1485,G1486:G$3001,"")=0,C1485,0),0))</f>
        <v/>
      </c>
    </row>
    <row r="1486">
      <c r="A1486" s="6" t="n"/>
      <c r="B1486" s="9" t="n"/>
      <c r="C1486" s="6" t="n"/>
      <c r="D1486" s="6" t="n"/>
      <c r="E1486" s="6" t="n"/>
      <c r="F1486" s="6" t="n"/>
      <c r="G1486" s="6" t="n"/>
      <c r="H1486" s="10">
        <f>IF(F1486="","",IFERROR(INDEX(Roster!$A$2:$A$600,MATCH(F1486,Roster!$E$2:$E$600,0)),""))</f>
        <v/>
      </c>
      <c r="I1486" s="10">
        <f>IF(AND(D1486="",C1486="",F1486=""),"",IF(G1486&lt;&gt;"","Void",IF(F1486="","Needs child",IF(H1486="","Child not found",IF(OR(B1486="",NOT(ISNUMBER(C1486))),"Needs month/pages","OK")))))</f>
        <v/>
      </c>
      <c r="J1486" s="10">
        <f>IF(I1486="","",IF(I1486="OK",IF(COUNTIFS(H1487:H$3001,H1486,B1487:B$3001,B1486,G1487:G$3001,"")=0,C1486,0),0))</f>
        <v/>
      </c>
    </row>
    <row r="1487">
      <c r="A1487" s="6" t="n"/>
      <c r="B1487" s="9" t="n"/>
      <c r="C1487" s="6" t="n"/>
      <c r="D1487" s="6" t="n"/>
      <c r="E1487" s="6" t="n"/>
      <c r="F1487" s="6" t="n"/>
      <c r="G1487" s="6" t="n"/>
      <c r="H1487" s="10">
        <f>IF(F1487="","",IFERROR(INDEX(Roster!$A$2:$A$600,MATCH(F1487,Roster!$E$2:$E$600,0)),""))</f>
        <v/>
      </c>
      <c r="I1487" s="10">
        <f>IF(AND(D1487="",C1487="",F1487=""),"",IF(G1487&lt;&gt;"","Void",IF(F1487="","Needs child",IF(H1487="","Child not found",IF(OR(B1487="",NOT(ISNUMBER(C1487))),"Needs month/pages","OK")))))</f>
        <v/>
      </c>
      <c r="J1487" s="10">
        <f>IF(I1487="","",IF(I1487="OK",IF(COUNTIFS(H1488:H$3001,H1487,B1488:B$3001,B1487,G1488:G$3001,"")=0,C1487,0),0))</f>
        <v/>
      </c>
    </row>
    <row r="1488">
      <c r="A1488" s="6" t="n"/>
      <c r="B1488" s="9" t="n"/>
      <c r="C1488" s="6" t="n"/>
      <c r="D1488" s="6" t="n"/>
      <c r="E1488" s="6" t="n"/>
      <c r="F1488" s="6" t="n"/>
      <c r="G1488" s="6" t="n"/>
      <c r="H1488" s="10">
        <f>IF(F1488="","",IFERROR(INDEX(Roster!$A$2:$A$600,MATCH(F1488,Roster!$E$2:$E$600,0)),""))</f>
        <v/>
      </c>
      <c r="I1488" s="10">
        <f>IF(AND(D1488="",C1488="",F1488=""),"",IF(G1488&lt;&gt;"","Void",IF(F1488="","Needs child",IF(H1488="","Child not found",IF(OR(B1488="",NOT(ISNUMBER(C1488))),"Needs month/pages","OK")))))</f>
        <v/>
      </c>
      <c r="J1488" s="10">
        <f>IF(I1488="","",IF(I1488="OK",IF(COUNTIFS(H1489:H$3001,H1488,B1489:B$3001,B1488,G1489:G$3001,"")=0,C1488,0),0))</f>
        <v/>
      </c>
    </row>
    <row r="1489">
      <c r="A1489" s="6" t="n"/>
      <c r="B1489" s="9" t="n"/>
      <c r="C1489" s="6" t="n"/>
      <c r="D1489" s="6" t="n"/>
      <c r="E1489" s="6" t="n"/>
      <c r="F1489" s="6" t="n"/>
      <c r="G1489" s="6" t="n"/>
      <c r="H1489" s="10">
        <f>IF(F1489="","",IFERROR(INDEX(Roster!$A$2:$A$600,MATCH(F1489,Roster!$E$2:$E$600,0)),""))</f>
        <v/>
      </c>
      <c r="I1489" s="10">
        <f>IF(AND(D1489="",C1489="",F1489=""),"",IF(G1489&lt;&gt;"","Void",IF(F1489="","Needs child",IF(H1489="","Child not found",IF(OR(B1489="",NOT(ISNUMBER(C1489))),"Needs month/pages","OK")))))</f>
        <v/>
      </c>
      <c r="J1489" s="10">
        <f>IF(I1489="","",IF(I1489="OK",IF(COUNTIFS(H1490:H$3001,H1489,B1490:B$3001,B1489,G1490:G$3001,"")=0,C1489,0),0))</f>
        <v/>
      </c>
    </row>
    <row r="1490">
      <c r="A1490" s="6" t="n"/>
      <c r="B1490" s="9" t="n"/>
      <c r="C1490" s="6" t="n"/>
      <c r="D1490" s="6" t="n"/>
      <c r="E1490" s="6" t="n"/>
      <c r="F1490" s="6" t="n"/>
      <c r="G1490" s="6" t="n"/>
      <c r="H1490" s="10">
        <f>IF(F1490="","",IFERROR(INDEX(Roster!$A$2:$A$600,MATCH(F1490,Roster!$E$2:$E$600,0)),""))</f>
        <v/>
      </c>
      <c r="I1490" s="10">
        <f>IF(AND(D1490="",C1490="",F1490=""),"",IF(G1490&lt;&gt;"","Void",IF(F1490="","Needs child",IF(H1490="","Child not found",IF(OR(B1490="",NOT(ISNUMBER(C1490))),"Needs month/pages","OK")))))</f>
        <v/>
      </c>
      <c r="J1490" s="10">
        <f>IF(I1490="","",IF(I1490="OK",IF(COUNTIFS(H1491:H$3001,H1490,B1491:B$3001,B1490,G1491:G$3001,"")=0,C1490,0),0))</f>
        <v/>
      </c>
    </row>
    <row r="1491">
      <c r="A1491" s="6" t="n"/>
      <c r="B1491" s="9" t="n"/>
      <c r="C1491" s="6" t="n"/>
      <c r="D1491" s="6" t="n"/>
      <c r="E1491" s="6" t="n"/>
      <c r="F1491" s="6" t="n"/>
      <c r="G1491" s="6" t="n"/>
      <c r="H1491" s="10">
        <f>IF(F1491="","",IFERROR(INDEX(Roster!$A$2:$A$600,MATCH(F1491,Roster!$E$2:$E$600,0)),""))</f>
        <v/>
      </c>
      <c r="I1491" s="10">
        <f>IF(AND(D1491="",C1491="",F1491=""),"",IF(G1491&lt;&gt;"","Void",IF(F1491="","Needs child",IF(H1491="","Child not found",IF(OR(B1491="",NOT(ISNUMBER(C1491))),"Needs month/pages","OK")))))</f>
        <v/>
      </c>
      <c r="J1491" s="10">
        <f>IF(I1491="","",IF(I1491="OK",IF(COUNTIFS(H1492:H$3001,H1491,B1492:B$3001,B1491,G1492:G$3001,"")=0,C1491,0),0))</f>
        <v/>
      </c>
    </row>
    <row r="1492">
      <c r="A1492" s="6" t="n"/>
      <c r="B1492" s="9" t="n"/>
      <c r="C1492" s="6" t="n"/>
      <c r="D1492" s="6" t="n"/>
      <c r="E1492" s="6" t="n"/>
      <c r="F1492" s="6" t="n"/>
      <c r="G1492" s="6" t="n"/>
      <c r="H1492" s="10">
        <f>IF(F1492="","",IFERROR(INDEX(Roster!$A$2:$A$600,MATCH(F1492,Roster!$E$2:$E$600,0)),""))</f>
        <v/>
      </c>
      <c r="I1492" s="10">
        <f>IF(AND(D1492="",C1492="",F1492=""),"",IF(G1492&lt;&gt;"","Void",IF(F1492="","Needs child",IF(H1492="","Child not found",IF(OR(B1492="",NOT(ISNUMBER(C1492))),"Needs month/pages","OK")))))</f>
        <v/>
      </c>
      <c r="J1492" s="10">
        <f>IF(I1492="","",IF(I1492="OK",IF(COUNTIFS(H1493:H$3001,H1492,B1493:B$3001,B1492,G1493:G$3001,"")=0,C1492,0),0))</f>
        <v/>
      </c>
    </row>
    <row r="1493">
      <c r="A1493" s="6" t="n"/>
      <c r="B1493" s="9" t="n"/>
      <c r="C1493" s="6" t="n"/>
      <c r="D1493" s="6" t="n"/>
      <c r="E1493" s="6" t="n"/>
      <c r="F1493" s="6" t="n"/>
      <c r="G1493" s="6" t="n"/>
      <c r="H1493" s="10">
        <f>IF(F1493="","",IFERROR(INDEX(Roster!$A$2:$A$600,MATCH(F1493,Roster!$E$2:$E$600,0)),""))</f>
        <v/>
      </c>
      <c r="I1493" s="10">
        <f>IF(AND(D1493="",C1493="",F1493=""),"",IF(G1493&lt;&gt;"","Void",IF(F1493="","Needs child",IF(H1493="","Child not found",IF(OR(B1493="",NOT(ISNUMBER(C1493))),"Needs month/pages","OK")))))</f>
        <v/>
      </c>
      <c r="J1493" s="10">
        <f>IF(I1493="","",IF(I1493="OK",IF(COUNTIFS(H1494:H$3001,H1493,B1494:B$3001,B1493,G1494:G$3001,"")=0,C1493,0),0))</f>
        <v/>
      </c>
    </row>
    <row r="1494">
      <c r="A1494" s="6" t="n"/>
      <c r="B1494" s="9" t="n"/>
      <c r="C1494" s="6" t="n"/>
      <c r="D1494" s="6" t="n"/>
      <c r="E1494" s="6" t="n"/>
      <c r="F1494" s="6" t="n"/>
      <c r="G1494" s="6" t="n"/>
      <c r="H1494" s="10">
        <f>IF(F1494="","",IFERROR(INDEX(Roster!$A$2:$A$600,MATCH(F1494,Roster!$E$2:$E$600,0)),""))</f>
        <v/>
      </c>
      <c r="I1494" s="10">
        <f>IF(AND(D1494="",C1494="",F1494=""),"",IF(G1494&lt;&gt;"","Void",IF(F1494="","Needs child",IF(H1494="","Child not found",IF(OR(B1494="",NOT(ISNUMBER(C1494))),"Needs month/pages","OK")))))</f>
        <v/>
      </c>
      <c r="J1494" s="10">
        <f>IF(I1494="","",IF(I1494="OK",IF(COUNTIFS(H1495:H$3001,H1494,B1495:B$3001,B1494,G1495:G$3001,"")=0,C1494,0),0))</f>
        <v/>
      </c>
    </row>
    <row r="1495">
      <c r="A1495" s="6" t="n"/>
      <c r="B1495" s="9" t="n"/>
      <c r="C1495" s="6" t="n"/>
      <c r="D1495" s="6" t="n"/>
      <c r="E1495" s="6" t="n"/>
      <c r="F1495" s="6" t="n"/>
      <c r="G1495" s="6" t="n"/>
      <c r="H1495" s="10">
        <f>IF(F1495="","",IFERROR(INDEX(Roster!$A$2:$A$600,MATCH(F1495,Roster!$E$2:$E$600,0)),""))</f>
        <v/>
      </c>
      <c r="I1495" s="10">
        <f>IF(AND(D1495="",C1495="",F1495=""),"",IF(G1495&lt;&gt;"","Void",IF(F1495="","Needs child",IF(H1495="","Child not found",IF(OR(B1495="",NOT(ISNUMBER(C1495))),"Needs month/pages","OK")))))</f>
        <v/>
      </c>
      <c r="J1495" s="10">
        <f>IF(I1495="","",IF(I1495="OK",IF(COUNTIFS(H1496:H$3001,H1495,B1496:B$3001,B1495,G1496:G$3001,"")=0,C1495,0),0))</f>
        <v/>
      </c>
    </row>
    <row r="1496">
      <c r="A1496" s="6" t="n"/>
      <c r="B1496" s="9" t="n"/>
      <c r="C1496" s="6" t="n"/>
      <c r="D1496" s="6" t="n"/>
      <c r="E1496" s="6" t="n"/>
      <c r="F1496" s="6" t="n"/>
      <c r="G1496" s="6" t="n"/>
      <c r="H1496" s="10">
        <f>IF(F1496="","",IFERROR(INDEX(Roster!$A$2:$A$600,MATCH(F1496,Roster!$E$2:$E$600,0)),""))</f>
        <v/>
      </c>
      <c r="I1496" s="10">
        <f>IF(AND(D1496="",C1496="",F1496=""),"",IF(G1496&lt;&gt;"","Void",IF(F1496="","Needs child",IF(H1496="","Child not found",IF(OR(B1496="",NOT(ISNUMBER(C1496))),"Needs month/pages","OK")))))</f>
        <v/>
      </c>
      <c r="J1496" s="10">
        <f>IF(I1496="","",IF(I1496="OK",IF(COUNTIFS(H1497:H$3001,H1496,B1497:B$3001,B1496,G1497:G$3001,"")=0,C1496,0),0))</f>
        <v/>
      </c>
    </row>
    <row r="1497">
      <c r="A1497" s="6" t="n"/>
      <c r="B1497" s="9" t="n"/>
      <c r="C1497" s="6" t="n"/>
      <c r="D1497" s="6" t="n"/>
      <c r="E1497" s="6" t="n"/>
      <c r="F1497" s="6" t="n"/>
      <c r="G1497" s="6" t="n"/>
      <c r="H1497" s="10">
        <f>IF(F1497="","",IFERROR(INDEX(Roster!$A$2:$A$600,MATCH(F1497,Roster!$E$2:$E$600,0)),""))</f>
        <v/>
      </c>
      <c r="I1497" s="10">
        <f>IF(AND(D1497="",C1497="",F1497=""),"",IF(G1497&lt;&gt;"","Void",IF(F1497="","Needs child",IF(H1497="","Child not found",IF(OR(B1497="",NOT(ISNUMBER(C1497))),"Needs month/pages","OK")))))</f>
        <v/>
      </c>
      <c r="J1497" s="10">
        <f>IF(I1497="","",IF(I1497="OK",IF(COUNTIFS(H1498:H$3001,H1497,B1498:B$3001,B1497,G1498:G$3001,"")=0,C1497,0),0))</f>
        <v/>
      </c>
    </row>
    <row r="1498">
      <c r="A1498" s="6" t="n"/>
      <c r="B1498" s="9" t="n"/>
      <c r="C1498" s="6" t="n"/>
      <c r="D1498" s="6" t="n"/>
      <c r="E1498" s="6" t="n"/>
      <c r="F1498" s="6" t="n"/>
      <c r="G1498" s="6" t="n"/>
      <c r="H1498" s="10">
        <f>IF(F1498="","",IFERROR(INDEX(Roster!$A$2:$A$600,MATCH(F1498,Roster!$E$2:$E$600,0)),""))</f>
        <v/>
      </c>
      <c r="I1498" s="10">
        <f>IF(AND(D1498="",C1498="",F1498=""),"",IF(G1498&lt;&gt;"","Void",IF(F1498="","Needs child",IF(H1498="","Child not found",IF(OR(B1498="",NOT(ISNUMBER(C1498))),"Needs month/pages","OK")))))</f>
        <v/>
      </c>
      <c r="J1498" s="10">
        <f>IF(I1498="","",IF(I1498="OK",IF(COUNTIFS(H1499:H$3001,H1498,B1499:B$3001,B1498,G1499:G$3001,"")=0,C1498,0),0))</f>
        <v/>
      </c>
    </row>
    <row r="1499">
      <c r="A1499" s="6" t="n"/>
      <c r="B1499" s="9" t="n"/>
      <c r="C1499" s="6" t="n"/>
      <c r="D1499" s="6" t="n"/>
      <c r="E1499" s="6" t="n"/>
      <c r="F1499" s="6" t="n"/>
      <c r="G1499" s="6" t="n"/>
      <c r="H1499" s="10">
        <f>IF(F1499="","",IFERROR(INDEX(Roster!$A$2:$A$600,MATCH(F1499,Roster!$E$2:$E$600,0)),""))</f>
        <v/>
      </c>
      <c r="I1499" s="10">
        <f>IF(AND(D1499="",C1499="",F1499=""),"",IF(G1499&lt;&gt;"","Void",IF(F1499="","Needs child",IF(H1499="","Child not found",IF(OR(B1499="",NOT(ISNUMBER(C1499))),"Needs month/pages","OK")))))</f>
        <v/>
      </c>
      <c r="J1499" s="10">
        <f>IF(I1499="","",IF(I1499="OK",IF(COUNTIFS(H1500:H$3001,H1499,B1500:B$3001,B1499,G1500:G$3001,"")=0,C1499,0),0))</f>
        <v/>
      </c>
    </row>
    <row r="1500">
      <c r="A1500" s="6" t="n"/>
      <c r="B1500" s="9" t="n"/>
      <c r="C1500" s="6" t="n"/>
      <c r="D1500" s="6" t="n"/>
      <c r="E1500" s="6" t="n"/>
      <c r="F1500" s="6" t="n"/>
      <c r="G1500" s="6" t="n"/>
      <c r="H1500" s="10">
        <f>IF(F1500="","",IFERROR(INDEX(Roster!$A$2:$A$600,MATCH(F1500,Roster!$E$2:$E$600,0)),""))</f>
        <v/>
      </c>
      <c r="I1500" s="10">
        <f>IF(AND(D1500="",C1500="",F1500=""),"",IF(G1500&lt;&gt;"","Void",IF(F1500="","Needs child",IF(H1500="","Child not found",IF(OR(B1500="",NOT(ISNUMBER(C1500))),"Needs month/pages","OK")))))</f>
        <v/>
      </c>
      <c r="J1500" s="10">
        <f>IF(I1500="","",IF(I1500="OK",IF(COUNTIFS(H1501:H$3001,H1500,B1501:B$3001,B1500,G1501:G$3001,"")=0,C1500,0),0))</f>
        <v/>
      </c>
    </row>
    <row r="1501">
      <c r="A1501" s="6" t="n"/>
      <c r="B1501" s="9" t="n"/>
      <c r="C1501" s="6" t="n"/>
      <c r="D1501" s="6" t="n"/>
      <c r="E1501" s="6" t="n"/>
      <c r="F1501" s="6" t="n"/>
      <c r="G1501" s="6" t="n"/>
      <c r="H1501" s="10">
        <f>IF(F1501="","",IFERROR(INDEX(Roster!$A$2:$A$600,MATCH(F1501,Roster!$E$2:$E$600,0)),""))</f>
        <v/>
      </c>
      <c r="I1501" s="10">
        <f>IF(AND(D1501="",C1501="",F1501=""),"",IF(G1501&lt;&gt;"","Void",IF(F1501="","Needs child",IF(H1501="","Child not found",IF(OR(B1501="",NOT(ISNUMBER(C1501))),"Needs month/pages","OK")))))</f>
        <v/>
      </c>
      <c r="J1501" s="10">
        <f>IF(I1501="","",IF(I1501="OK",IF(COUNTIFS(H1502:H$3001,H1501,B1502:B$3001,B1501,G1502:G$3001,"")=0,C1501,0),0))</f>
        <v/>
      </c>
    </row>
    <row r="1502">
      <c r="A1502" s="6" t="n"/>
      <c r="B1502" s="9" t="n"/>
      <c r="C1502" s="6" t="n"/>
      <c r="D1502" s="6" t="n"/>
      <c r="E1502" s="6" t="n"/>
      <c r="F1502" s="6" t="n"/>
      <c r="G1502" s="6" t="n"/>
      <c r="H1502" s="10">
        <f>IF(F1502="","",IFERROR(INDEX(Roster!$A$2:$A$600,MATCH(F1502,Roster!$E$2:$E$600,0)),""))</f>
        <v/>
      </c>
      <c r="I1502" s="10">
        <f>IF(AND(D1502="",C1502="",F1502=""),"",IF(G1502&lt;&gt;"","Void",IF(F1502="","Needs child",IF(H1502="","Child not found",IF(OR(B1502="",NOT(ISNUMBER(C1502))),"Needs month/pages","OK")))))</f>
        <v/>
      </c>
      <c r="J1502" s="10">
        <f>IF(I1502="","",IF(I1502="OK",IF(COUNTIFS(H1503:H$3001,H1502,B1503:B$3001,B1502,G1503:G$3001,"")=0,C1502,0),0))</f>
        <v/>
      </c>
    </row>
    <row r="1503">
      <c r="A1503" s="6" t="n"/>
      <c r="B1503" s="9" t="n"/>
      <c r="C1503" s="6" t="n"/>
      <c r="D1503" s="6" t="n"/>
      <c r="E1503" s="6" t="n"/>
      <c r="F1503" s="6" t="n"/>
      <c r="G1503" s="6" t="n"/>
      <c r="H1503" s="10">
        <f>IF(F1503="","",IFERROR(INDEX(Roster!$A$2:$A$600,MATCH(F1503,Roster!$E$2:$E$600,0)),""))</f>
        <v/>
      </c>
      <c r="I1503" s="10">
        <f>IF(AND(D1503="",C1503="",F1503=""),"",IF(G1503&lt;&gt;"","Void",IF(F1503="","Needs child",IF(H1503="","Child not found",IF(OR(B1503="",NOT(ISNUMBER(C1503))),"Needs month/pages","OK")))))</f>
        <v/>
      </c>
      <c r="J1503" s="10">
        <f>IF(I1503="","",IF(I1503="OK",IF(COUNTIFS(H1504:H$3001,H1503,B1504:B$3001,B1503,G1504:G$3001,"")=0,C1503,0),0))</f>
        <v/>
      </c>
    </row>
    <row r="1504">
      <c r="A1504" s="6" t="n"/>
      <c r="B1504" s="9" t="n"/>
      <c r="C1504" s="6" t="n"/>
      <c r="D1504" s="6" t="n"/>
      <c r="E1504" s="6" t="n"/>
      <c r="F1504" s="6" t="n"/>
      <c r="G1504" s="6" t="n"/>
      <c r="H1504" s="10">
        <f>IF(F1504="","",IFERROR(INDEX(Roster!$A$2:$A$600,MATCH(F1504,Roster!$E$2:$E$600,0)),""))</f>
        <v/>
      </c>
      <c r="I1504" s="10">
        <f>IF(AND(D1504="",C1504="",F1504=""),"",IF(G1504&lt;&gt;"","Void",IF(F1504="","Needs child",IF(H1504="","Child not found",IF(OR(B1504="",NOT(ISNUMBER(C1504))),"Needs month/pages","OK")))))</f>
        <v/>
      </c>
      <c r="J1504" s="10">
        <f>IF(I1504="","",IF(I1504="OK",IF(COUNTIFS(H1505:H$3001,H1504,B1505:B$3001,B1504,G1505:G$3001,"")=0,C1504,0),0))</f>
        <v/>
      </c>
    </row>
    <row r="1505">
      <c r="A1505" s="6" t="n"/>
      <c r="B1505" s="9" t="n"/>
      <c r="C1505" s="6" t="n"/>
      <c r="D1505" s="6" t="n"/>
      <c r="E1505" s="6" t="n"/>
      <c r="F1505" s="6" t="n"/>
      <c r="G1505" s="6" t="n"/>
      <c r="H1505" s="10">
        <f>IF(F1505="","",IFERROR(INDEX(Roster!$A$2:$A$600,MATCH(F1505,Roster!$E$2:$E$600,0)),""))</f>
        <v/>
      </c>
      <c r="I1505" s="10">
        <f>IF(AND(D1505="",C1505="",F1505=""),"",IF(G1505&lt;&gt;"","Void",IF(F1505="","Needs child",IF(H1505="","Child not found",IF(OR(B1505="",NOT(ISNUMBER(C1505))),"Needs month/pages","OK")))))</f>
        <v/>
      </c>
      <c r="J1505" s="10">
        <f>IF(I1505="","",IF(I1505="OK",IF(COUNTIFS(H1506:H$3001,H1505,B1506:B$3001,B1505,G1506:G$3001,"")=0,C1505,0),0))</f>
        <v/>
      </c>
    </row>
    <row r="1506">
      <c r="A1506" s="6" t="n"/>
      <c r="B1506" s="9" t="n"/>
      <c r="C1506" s="6" t="n"/>
      <c r="D1506" s="6" t="n"/>
      <c r="E1506" s="6" t="n"/>
      <c r="F1506" s="6" t="n"/>
      <c r="G1506" s="6" t="n"/>
      <c r="H1506" s="10">
        <f>IF(F1506="","",IFERROR(INDEX(Roster!$A$2:$A$600,MATCH(F1506,Roster!$E$2:$E$600,0)),""))</f>
        <v/>
      </c>
      <c r="I1506" s="10">
        <f>IF(AND(D1506="",C1506="",F1506=""),"",IF(G1506&lt;&gt;"","Void",IF(F1506="","Needs child",IF(H1506="","Child not found",IF(OR(B1506="",NOT(ISNUMBER(C1506))),"Needs month/pages","OK")))))</f>
        <v/>
      </c>
      <c r="J1506" s="10">
        <f>IF(I1506="","",IF(I1506="OK",IF(COUNTIFS(H1507:H$3001,H1506,B1507:B$3001,B1506,G1507:G$3001,"")=0,C1506,0),0))</f>
        <v/>
      </c>
    </row>
    <row r="1507">
      <c r="A1507" s="6" t="n"/>
      <c r="B1507" s="9" t="n"/>
      <c r="C1507" s="6" t="n"/>
      <c r="D1507" s="6" t="n"/>
      <c r="E1507" s="6" t="n"/>
      <c r="F1507" s="6" t="n"/>
      <c r="G1507" s="6" t="n"/>
      <c r="H1507" s="10">
        <f>IF(F1507="","",IFERROR(INDEX(Roster!$A$2:$A$600,MATCH(F1507,Roster!$E$2:$E$600,0)),""))</f>
        <v/>
      </c>
      <c r="I1507" s="10">
        <f>IF(AND(D1507="",C1507="",F1507=""),"",IF(G1507&lt;&gt;"","Void",IF(F1507="","Needs child",IF(H1507="","Child not found",IF(OR(B1507="",NOT(ISNUMBER(C1507))),"Needs month/pages","OK")))))</f>
        <v/>
      </c>
      <c r="J1507" s="10">
        <f>IF(I1507="","",IF(I1507="OK",IF(COUNTIFS(H1508:H$3001,H1507,B1508:B$3001,B1507,G1508:G$3001,"")=0,C1507,0),0))</f>
        <v/>
      </c>
    </row>
    <row r="1508">
      <c r="A1508" s="6" t="n"/>
      <c r="B1508" s="9" t="n"/>
      <c r="C1508" s="6" t="n"/>
      <c r="D1508" s="6" t="n"/>
      <c r="E1508" s="6" t="n"/>
      <c r="F1508" s="6" t="n"/>
      <c r="G1508" s="6" t="n"/>
      <c r="H1508" s="10">
        <f>IF(F1508="","",IFERROR(INDEX(Roster!$A$2:$A$600,MATCH(F1508,Roster!$E$2:$E$600,0)),""))</f>
        <v/>
      </c>
      <c r="I1508" s="10">
        <f>IF(AND(D1508="",C1508="",F1508=""),"",IF(G1508&lt;&gt;"","Void",IF(F1508="","Needs child",IF(H1508="","Child not found",IF(OR(B1508="",NOT(ISNUMBER(C1508))),"Needs month/pages","OK")))))</f>
        <v/>
      </c>
      <c r="J1508" s="10">
        <f>IF(I1508="","",IF(I1508="OK",IF(COUNTIFS(H1509:H$3001,H1508,B1509:B$3001,B1508,G1509:G$3001,"")=0,C1508,0),0))</f>
        <v/>
      </c>
    </row>
    <row r="1509">
      <c r="A1509" s="6" t="n"/>
      <c r="B1509" s="9" t="n"/>
      <c r="C1509" s="6" t="n"/>
      <c r="D1509" s="6" t="n"/>
      <c r="E1509" s="6" t="n"/>
      <c r="F1509" s="6" t="n"/>
      <c r="G1509" s="6" t="n"/>
      <c r="H1509" s="10">
        <f>IF(F1509="","",IFERROR(INDEX(Roster!$A$2:$A$600,MATCH(F1509,Roster!$E$2:$E$600,0)),""))</f>
        <v/>
      </c>
      <c r="I1509" s="10">
        <f>IF(AND(D1509="",C1509="",F1509=""),"",IF(G1509&lt;&gt;"","Void",IF(F1509="","Needs child",IF(H1509="","Child not found",IF(OR(B1509="",NOT(ISNUMBER(C1509))),"Needs month/pages","OK")))))</f>
        <v/>
      </c>
      <c r="J1509" s="10">
        <f>IF(I1509="","",IF(I1509="OK",IF(COUNTIFS(H1510:H$3001,H1509,B1510:B$3001,B1509,G1510:G$3001,"")=0,C1509,0),0))</f>
        <v/>
      </c>
    </row>
    <row r="1510">
      <c r="A1510" s="6" t="n"/>
      <c r="B1510" s="9" t="n"/>
      <c r="C1510" s="6" t="n"/>
      <c r="D1510" s="6" t="n"/>
      <c r="E1510" s="6" t="n"/>
      <c r="F1510" s="6" t="n"/>
      <c r="G1510" s="6" t="n"/>
      <c r="H1510" s="10">
        <f>IF(F1510="","",IFERROR(INDEX(Roster!$A$2:$A$600,MATCH(F1510,Roster!$E$2:$E$600,0)),""))</f>
        <v/>
      </c>
      <c r="I1510" s="10">
        <f>IF(AND(D1510="",C1510="",F1510=""),"",IF(G1510&lt;&gt;"","Void",IF(F1510="","Needs child",IF(H1510="","Child not found",IF(OR(B1510="",NOT(ISNUMBER(C1510))),"Needs month/pages","OK")))))</f>
        <v/>
      </c>
      <c r="J1510" s="10">
        <f>IF(I1510="","",IF(I1510="OK",IF(COUNTIFS(H1511:H$3001,H1510,B1511:B$3001,B1510,G1511:G$3001,"")=0,C1510,0),0))</f>
        <v/>
      </c>
    </row>
    <row r="1511">
      <c r="A1511" s="6" t="n"/>
      <c r="B1511" s="9" t="n"/>
      <c r="C1511" s="6" t="n"/>
      <c r="D1511" s="6" t="n"/>
      <c r="E1511" s="6" t="n"/>
      <c r="F1511" s="6" t="n"/>
      <c r="G1511" s="6" t="n"/>
      <c r="H1511" s="10">
        <f>IF(F1511="","",IFERROR(INDEX(Roster!$A$2:$A$600,MATCH(F1511,Roster!$E$2:$E$600,0)),""))</f>
        <v/>
      </c>
      <c r="I1511" s="10">
        <f>IF(AND(D1511="",C1511="",F1511=""),"",IF(G1511&lt;&gt;"","Void",IF(F1511="","Needs child",IF(H1511="","Child not found",IF(OR(B1511="",NOT(ISNUMBER(C1511))),"Needs month/pages","OK")))))</f>
        <v/>
      </c>
      <c r="J1511" s="10">
        <f>IF(I1511="","",IF(I1511="OK",IF(COUNTIFS(H1512:H$3001,H1511,B1512:B$3001,B1511,G1512:G$3001,"")=0,C1511,0),0))</f>
        <v/>
      </c>
    </row>
    <row r="1512">
      <c r="A1512" s="6" t="n"/>
      <c r="B1512" s="9" t="n"/>
      <c r="C1512" s="6" t="n"/>
      <c r="D1512" s="6" t="n"/>
      <c r="E1512" s="6" t="n"/>
      <c r="F1512" s="6" t="n"/>
      <c r="G1512" s="6" t="n"/>
      <c r="H1512" s="10">
        <f>IF(F1512="","",IFERROR(INDEX(Roster!$A$2:$A$600,MATCH(F1512,Roster!$E$2:$E$600,0)),""))</f>
        <v/>
      </c>
      <c r="I1512" s="10">
        <f>IF(AND(D1512="",C1512="",F1512=""),"",IF(G1512&lt;&gt;"","Void",IF(F1512="","Needs child",IF(H1512="","Child not found",IF(OR(B1512="",NOT(ISNUMBER(C1512))),"Needs month/pages","OK")))))</f>
        <v/>
      </c>
      <c r="J1512" s="10">
        <f>IF(I1512="","",IF(I1512="OK",IF(COUNTIFS(H1513:H$3001,H1512,B1513:B$3001,B1512,G1513:G$3001,"")=0,C1512,0),0))</f>
        <v/>
      </c>
    </row>
    <row r="1513">
      <c r="A1513" s="6" t="n"/>
      <c r="B1513" s="9" t="n"/>
      <c r="C1513" s="6" t="n"/>
      <c r="D1513" s="6" t="n"/>
      <c r="E1513" s="6" t="n"/>
      <c r="F1513" s="6" t="n"/>
      <c r="G1513" s="6" t="n"/>
      <c r="H1513" s="10">
        <f>IF(F1513="","",IFERROR(INDEX(Roster!$A$2:$A$600,MATCH(F1513,Roster!$E$2:$E$600,0)),""))</f>
        <v/>
      </c>
      <c r="I1513" s="10">
        <f>IF(AND(D1513="",C1513="",F1513=""),"",IF(G1513&lt;&gt;"","Void",IF(F1513="","Needs child",IF(H1513="","Child not found",IF(OR(B1513="",NOT(ISNUMBER(C1513))),"Needs month/pages","OK")))))</f>
        <v/>
      </c>
      <c r="J1513" s="10">
        <f>IF(I1513="","",IF(I1513="OK",IF(COUNTIFS(H1514:H$3001,H1513,B1514:B$3001,B1513,G1514:G$3001,"")=0,C1513,0),0))</f>
        <v/>
      </c>
    </row>
    <row r="1514">
      <c r="A1514" s="6" t="n"/>
      <c r="B1514" s="9" t="n"/>
      <c r="C1514" s="6" t="n"/>
      <c r="D1514" s="6" t="n"/>
      <c r="E1514" s="6" t="n"/>
      <c r="F1514" s="6" t="n"/>
      <c r="G1514" s="6" t="n"/>
      <c r="H1514" s="10">
        <f>IF(F1514="","",IFERROR(INDEX(Roster!$A$2:$A$600,MATCH(F1514,Roster!$E$2:$E$600,0)),""))</f>
        <v/>
      </c>
      <c r="I1514" s="10">
        <f>IF(AND(D1514="",C1514="",F1514=""),"",IF(G1514&lt;&gt;"","Void",IF(F1514="","Needs child",IF(H1514="","Child not found",IF(OR(B1514="",NOT(ISNUMBER(C1514))),"Needs month/pages","OK")))))</f>
        <v/>
      </c>
      <c r="J1514" s="10">
        <f>IF(I1514="","",IF(I1514="OK",IF(COUNTIFS(H1515:H$3001,H1514,B1515:B$3001,B1514,G1515:G$3001,"")=0,C1514,0),0))</f>
        <v/>
      </c>
    </row>
    <row r="1515">
      <c r="A1515" s="6" t="n"/>
      <c r="B1515" s="9" t="n"/>
      <c r="C1515" s="6" t="n"/>
      <c r="D1515" s="6" t="n"/>
      <c r="E1515" s="6" t="n"/>
      <c r="F1515" s="6" t="n"/>
      <c r="G1515" s="6" t="n"/>
      <c r="H1515" s="10">
        <f>IF(F1515="","",IFERROR(INDEX(Roster!$A$2:$A$600,MATCH(F1515,Roster!$E$2:$E$600,0)),""))</f>
        <v/>
      </c>
      <c r="I1515" s="10">
        <f>IF(AND(D1515="",C1515="",F1515=""),"",IF(G1515&lt;&gt;"","Void",IF(F1515="","Needs child",IF(H1515="","Child not found",IF(OR(B1515="",NOT(ISNUMBER(C1515))),"Needs month/pages","OK")))))</f>
        <v/>
      </c>
      <c r="J1515" s="10">
        <f>IF(I1515="","",IF(I1515="OK",IF(COUNTIFS(H1516:H$3001,H1515,B1516:B$3001,B1515,G1516:G$3001,"")=0,C1515,0),0))</f>
        <v/>
      </c>
    </row>
    <row r="1516">
      <c r="A1516" s="6" t="n"/>
      <c r="B1516" s="9" t="n"/>
      <c r="C1516" s="6" t="n"/>
      <c r="D1516" s="6" t="n"/>
      <c r="E1516" s="6" t="n"/>
      <c r="F1516" s="6" t="n"/>
      <c r="G1516" s="6" t="n"/>
      <c r="H1516" s="10">
        <f>IF(F1516="","",IFERROR(INDEX(Roster!$A$2:$A$600,MATCH(F1516,Roster!$E$2:$E$600,0)),""))</f>
        <v/>
      </c>
      <c r="I1516" s="10">
        <f>IF(AND(D1516="",C1516="",F1516=""),"",IF(G1516&lt;&gt;"","Void",IF(F1516="","Needs child",IF(H1516="","Child not found",IF(OR(B1516="",NOT(ISNUMBER(C1516))),"Needs month/pages","OK")))))</f>
        <v/>
      </c>
      <c r="J1516" s="10">
        <f>IF(I1516="","",IF(I1516="OK",IF(COUNTIFS(H1517:H$3001,H1516,B1517:B$3001,B1516,G1517:G$3001,"")=0,C1516,0),0))</f>
        <v/>
      </c>
    </row>
    <row r="1517">
      <c r="A1517" s="6" t="n"/>
      <c r="B1517" s="9" t="n"/>
      <c r="C1517" s="6" t="n"/>
      <c r="D1517" s="6" t="n"/>
      <c r="E1517" s="6" t="n"/>
      <c r="F1517" s="6" t="n"/>
      <c r="G1517" s="6" t="n"/>
      <c r="H1517" s="10">
        <f>IF(F1517="","",IFERROR(INDEX(Roster!$A$2:$A$600,MATCH(F1517,Roster!$E$2:$E$600,0)),""))</f>
        <v/>
      </c>
      <c r="I1517" s="10">
        <f>IF(AND(D1517="",C1517="",F1517=""),"",IF(G1517&lt;&gt;"","Void",IF(F1517="","Needs child",IF(H1517="","Child not found",IF(OR(B1517="",NOT(ISNUMBER(C1517))),"Needs month/pages","OK")))))</f>
        <v/>
      </c>
      <c r="J1517" s="10">
        <f>IF(I1517="","",IF(I1517="OK",IF(COUNTIFS(H1518:H$3001,H1517,B1518:B$3001,B1517,G1518:G$3001,"")=0,C1517,0),0))</f>
        <v/>
      </c>
    </row>
    <row r="1518">
      <c r="A1518" s="6" t="n"/>
      <c r="B1518" s="9" t="n"/>
      <c r="C1518" s="6" t="n"/>
      <c r="D1518" s="6" t="n"/>
      <c r="E1518" s="6" t="n"/>
      <c r="F1518" s="6" t="n"/>
      <c r="G1518" s="6" t="n"/>
      <c r="H1518" s="10">
        <f>IF(F1518="","",IFERROR(INDEX(Roster!$A$2:$A$600,MATCH(F1518,Roster!$E$2:$E$600,0)),""))</f>
        <v/>
      </c>
      <c r="I1518" s="10">
        <f>IF(AND(D1518="",C1518="",F1518=""),"",IF(G1518&lt;&gt;"","Void",IF(F1518="","Needs child",IF(H1518="","Child not found",IF(OR(B1518="",NOT(ISNUMBER(C1518))),"Needs month/pages","OK")))))</f>
        <v/>
      </c>
      <c r="J1518" s="10">
        <f>IF(I1518="","",IF(I1518="OK",IF(COUNTIFS(H1519:H$3001,H1518,B1519:B$3001,B1518,G1519:G$3001,"")=0,C1518,0),0))</f>
        <v/>
      </c>
    </row>
    <row r="1519">
      <c r="A1519" s="6" t="n"/>
      <c r="B1519" s="9" t="n"/>
      <c r="C1519" s="6" t="n"/>
      <c r="D1519" s="6" t="n"/>
      <c r="E1519" s="6" t="n"/>
      <c r="F1519" s="6" t="n"/>
      <c r="G1519" s="6" t="n"/>
      <c r="H1519" s="10">
        <f>IF(F1519="","",IFERROR(INDEX(Roster!$A$2:$A$600,MATCH(F1519,Roster!$E$2:$E$600,0)),""))</f>
        <v/>
      </c>
      <c r="I1519" s="10">
        <f>IF(AND(D1519="",C1519="",F1519=""),"",IF(G1519&lt;&gt;"","Void",IF(F1519="","Needs child",IF(H1519="","Child not found",IF(OR(B1519="",NOT(ISNUMBER(C1519))),"Needs month/pages","OK")))))</f>
        <v/>
      </c>
      <c r="J1519" s="10">
        <f>IF(I1519="","",IF(I1519="OK",IF(COUNTIFS(H1520:H$3001,H1519,B1520:B$3001,B1519,G1520:G$3001,"")=0,C1519,0),0))</f>
        <v/>
      </c>
    </row>
    <row r="1520">
      <c r="A1520" s="6" t="n"/>
      <c r="B1520" s="9" t="n"/>
      <c r="C1520" s="6" t="n"/>
      <c r="D1520" s="6" t="n"/>
      <c r="E1520" s="6" t="n"/>
      <c r="F1520" s="6" t="n"/>
      <c r="G1520" s="6" t="n"/>
      <c r="H1520" s="10">
        <f>IF(F1520="","",IFERROR(INDEX(Roster!$A$2:$A$600,MATCH(F1520,Roster!$E$2:$E$600,0)),""))</f>
        <v/>
      </c>
      <c r="I1520" s="10">
        <f>IF(AND(D1520="",C1520="",F1520=""),"",IF(G1520&lt;&gt;"","Void",IF(F1520="","Needs child",IF(H1520="","Child not found",IF(OR(B1520="",NOT(ISNUMBER(C1520))),"Needs month/pages","OK")))))</f>
        <v/>
      </c>
      <c r="J1520" s="10">
        <f>IF(I1520="","",IF(I1520="OK",IF(COUNTIFS(H1521:H$3001,H1520,B1521:B$3001,B1520,G1521:G$3001,"")=0,C1520,0),0))</f>
        <v/>
      </c>
    </row>
    <row r="1521">
      <c r="A1521" s="6" t="n"/>
      <c r="B1521" s="9" t="n"/>
      <c r="C1521" s="6" t="n"/>
      <c r="D1521" s="6" t="n"/>
      <c r="E1521" s="6" t="n"/>
      <c r="F1521" s="6" t="n"/>
      <c r="G1521" s="6" t="n"/>
      <c r="H1521" s="10">
        <f>IF(F1521="","",IFERROR(INDEX(Roster!$A$2:$A$600,MATCH(F1521,Roster!$E$2:$E$600,0)),""))</f>
        <v/>
      </c>
      <c r="I1521" s="10">
        <f>IF(AND(D1521="",C1521="",F1521=""),"",IF(G1521&lt;&gt;"","Void",IF(F1521="","Needs child",IF(H1521="","Child not found",IF(OR(B1521="",NOT(ISNUMBER(C1521))),"Needs month/pages","OK")))))</f>
        <v/>
      </c>
      <c r="J1521" s="10">
        <f>IF(I1521="","",IF(I1521="OK",IF(COUNTIFS(H1522:H$3001,H1521,B1522:B$3001,B1521,G1522:G$3001,"")=0,C1521,0),0))</f>
        <v/>
      </c>
    </row>
    <row r="1522">
      <c r="A1522" s="6" t="n"/>
      <c r="B1522" s="9" t="n"/>
      <c r="C1522" s="6" t="n"/>
      <c r="D1522" s="6" t="n"/>
      <c r="E1522" s="6" t="n"/>
      <c r="F1522" s="6" t="n"/>
      <c r="G1522" s="6" t="n"/>
      <c r="H1522" s="10">
        <f>IF(F1522="","",IFERROR(INDEX(Roster!$A$2:$A$600,MATCH(F1522,Roster!$E$2:$E$600,0)),""))</f>
        <v/>
      </c>
      <c r="I1522" s="10">
        <f>IF(AND(D1522="",C1522="",F1522=""),"",IF(G1522&lt;&gt;"","Void",IF(F1522="","Needs child",IF(H1522="","Child not found",IF(OR(B1522="",NOT(ISNUMBER(C1522))),"Needs month/pages","OK")))))</f>
        <v/>
      </c>
      <c r="J1522" s="10">
        <f>IF(I1522="","",IF(I1522="OK",IF(COUNTIFS(H1523:H$3001,H1522,B1523:B$3001,B1522,G1523:G$3001,"")=0,C1522,0),0))</f>
        <v/>
      </c>
    </row>
    <row r="1523">
      <c r="A1523" s="6" t="n"/>
      <c r="B1523" s="9" t="n"/>
      <c r="C1523" s="6" t="n"/>
      <c r="D1523" s="6" t="n"/>
      <c r="E1523" s="6" t="n"/>
      <c r="F1523" s="6" t="n"/>
      <c r="G1523" s="6" t="n"/>
      <c r="H1523" s="10">
        <f>IF(F1523="","",IFERROR(INDEX(Roster!$A$2:$A$600,MATCH(F1523,Roster!$E$2:$E$600,0)),""))</f>
        <v/>
      </c>
      <c r="I1523" s="10">
        <f>IF(AND(D1523="",C1523="",F1523=""),"",IF(G1523&lt;&gt;"","Void",IF(F1523="","Needs child",IF(H1523="","Child not found",IF(OR(B1523="",NOT(ISNUMBER(C1523))),"Needs month/pages","OK")))))</f>
        <v/>
      </c>
      <c r="J1523" s="10">
        <f>IF(I1523="","",IF(I1523="OK",IF(COUNTIFS(H1524:H$3001,H1523,B1524:B$3001,B1523,G1524:G$3001,"")=0,C1523,0),0))</f>
        <v/>
      </c>
    </row>
    <row r="1524">
      <c r="A1524" s="6" t="n"/>
      <c r="B1524" s="9" t="n"/>
      <c r="C1524" s="6" t="n"/>
      <c r="D1524" s="6" t="n"/>
      <c r="E1524" s="6" t="n"/>
      <c r="F1524" s="6" t="n"/>
      <c r="G1524" s="6" t="n"/>
      <c r="H1524" s="10">
        <f>IF(F1524="","",IFERROR(INDEX(Roster!$A$2:$A$600,MATCH(F1524,Roster!$E$2:$E$600,0)),""))</f>
        <v/>
      </c>
      <c r="I1524" s="10">
        <f>IF(AND(D1524="",C1524="",F1524=""),"",IF(G1524&lt;&gt;"","Void",IF(F1524="","Needs child",IF(H1524="","Child not found",IF(OR(B1524="",NOT(ISNUMBER(C1524))),"Needs month/pages","OK")))))</f>
        <v/>
      </c>
      <c r="J1524" s="10">
        <f>IF(I1524="","",IF(I1524="OK",IF(COUNTIFS(H1525:H$3001,H1524,B1525:B$3001,B1524,G1525:G$3001,"")=0,C1524,0),0))</f>
        <v/>
      </c>
    </row>
    <row r="1525">
      <c r="A1525" s="6" t="n"/>
      <c r="B1525" s="9" t="n"/>
      <c r="C1525" s="6" t="n"/>
      <c r="D1525" s="6" t="n"/>
      <c r="E1525" s="6" t="n"/>
      <c r="F1525" s="6" t="n"/>
      <c r="G1525" s="6" t="n"/>
      <c r="H1525" s="10">
        <f>IF(F1525="","",IFERROR(INDEX(Roster!$A$2:$A$600,MATCH(F1525,Roster!$E$2:$E$600,0)),""))</f>
        <v/>
      </c>
      <c r="I1525" s="10">
        <f>IF(AND(D1525="",C1525="",F1525=""),"",IF(G1525&lt;&gt;"","Void",IF(F1525="","Needs child",IF(H1525="","Child not found",IF(OR(B1525="",NOT(ISNUMBER(C1525))),"Needs month/pages","OK")))))</f>
        <v/>
      </c>
      <c r="J1525" s="10">
        <f>IF(I1525="","",IF(I1525="OK",IF(COUNTIFS(H1526:H$3001,H1525,B1526:B$3001,B1525,G1526:G$3001,"")=0,C1525,0),0))</f>
        <v/>
      </c>
    </row>
    <row r="1526">
      <c r="A1526" s="6" t="n"/>
      <c r="B1526" s="9" t="n"/>
      <c r="C1526" s="6" t="n"/>
      <c r="D1526" s="6" t="n"/>
      <c r="E1526" s="6" t="n"/>
      <c r="F1526" s="6" t="n"/>
      <c r="G1526" s="6" t="n"/>
      <c r="H1526" s="10">
        <f>IF(F1526="","",IFERROR(INDEX(Roster!$A$2:$A$600,MATCH(F1526,Roster!$E$2:$E$600,0)),""))</f>
        <v/>
      </c>
      <c r="I1526" s="10">
        <f>IF(AND(D1526="",C1526="",F1526=""),"",IF(G1526&lt;&gt;"","Void",IF(F1526="","Needs child",IF(H1526="","Child not found",IF(OR(B1526="",NOT(ISNUMBER(C1526))),"Needs month/pages","OK")))))</f>
        <v/>
      </c>
      <c r="J1526" s="10">
        <f>IF(I1526="","",IF(I1526="OK",IF(COUNTIFS(H1527:H$3001,H1526,B1527:B$3001,B1526,G1527:G$3001,"")=0,C1526,0),0))</f>
        <v/>
      </c>
    </row>
    <row r="1527">
      <c r="A1527" s="6" t="n"/>
      <c r="B1527" s="9" t="n"/>
      <c r="C1527" s="6" t="n"/>
      <c r="D1527" s="6" t="n"/>
      <c r="E1527" s="6" t="n"/>
      <c r="F1527" s="6" t="n"/>
      <c r="G1527" s="6" t="n"/>
      <c r="H1527" s="10">
        <f>IF(F1527="","",IFERROR(INDEX(Roster!$A$2:$A$600,MATCH(F1527,Roster!$E$2:$E$600,0)),""))</f>
        <v/>
      </c>
      <c r="I1527" s="10">
        <f>IF(AND(D1527="",C1527="",F1527=""),"",IF(G1527&lt;&gt;"","Void",IF(F1527="","Needs child",IF(H1527="","Child not found",IF(OR(B1527="",NOT(ISNUMBER(C1527))),"Needs month/pages","OK")))))</f>
        <v/>
      </c>
      <c r="J1527" s="10">
        <f>IF(I1527="","",IF(I1527="OK",IF(COUNTIFS(H1528:H$3001,H1527,B1528:B$3001,B1527,G1528:G$3001,"")=0,C1527,0),0))</f>
        <v/>
      </c>
    </row>
    <row r="1528">
      <c r="A1528" s="6" t="n"/>
      <c r="B1528" s="9" t="n"/>
      <c r="C1528" s="6" t="n"/>
      <c r="D1528" s="6" t="n"/>
      <c r="E1528" s="6" t="n"/>
      <c r="F1528" s="6" t="n"/>
      <c r="G1528" s="6" t="n"/>
      <c r="H1528" s="10">
        <f>IF(F1528="","",IFERROR(INDEX(Roster!$A$2:$A$600,MATCH(F1528,Roster!$E$2:$E$600,0)),""))</f>
        <v/>
      </c>
      <c r="I1528" s="10">
        <f>IF(AND(D1528="",C1528="",F1528=""),"",IF(G1528&lt;&gt;"","Void",IF(F1528="","Needs child",IF(H1528="","Child not found",IF(OR(B1528="",NOT(ISNUMBER(C1528))),"Needs month/pages","OK")))))</f>
        <v/>
      </c>
      <c r="J1528" s="10">
        <f>IF(I1528="","",IF(I1528="OK",IF(COUNTIFS(H1529:H$3001,H1528,B1529:B$3001,B1528,G1529:G$3001,"")=0,C1528,0),0))</f>
        <v/>
      </c>
    </row>
    <row r="1529">
      <c r="A1529" s="6" t="n"/>
      <c r="B1529" s="9" t="n"/>
      <c r="C1529" s="6" t="n"/>
      <c r="D1529" s="6" t="n"/>
      <c r="E1529" s="6" t="n"/>
      <c r="F1529" s="6" t="n"/>
      <c r="G1529" s="6" t="n"/>
      <c r="H1529" s="10">
        <f>IF(F1529="","",IFERROR(INDEX(Roster!$A$2:$A$600,MATCH(F1529,Roster!$E$2:$E$600,0)),""))</f>
        <v/>
      </c>
      <c r="I1529" s="10">
        <f>IF(AND(D1529="",C1529="",F1529=""),"",IF(G1529&lt;&gt;"","Void",IF(F1529="","Needs child",IF(H1529="","Child not found",IF(OR(B1529="",NOT(ISNUMBER(C1529))),"Needs month/pages","OK")))))</f>
        <v/>
      </c>
      <c r="J1529" s="10">
        <f>IF(I1529="","",IF(I1529="OK",IF(COUNTIFS(H1530:H$3001,H1529,B1530:B$3001,B1529,G1530:G$3001,"")=0,C1529,0),0))</f>
        <v/>
      </c>
    </row>
    <row r="1530">
      <c r="A1530" s="6" t="n"/>
      <c r="B1530" s="9" t="n"/>
      <c r="C1530" s="6" t="n"/>
      <c r="D1530" s="6" t="n"/>
      <c r="E1530" s="6" t="n"/>
      <c r="F1530" s="6" t="n"/>
      <c r="G1530" s="6" t="n"/>
      <c r="H1530" s="10">
        <f>IF(F1530="","",IFERROR(INDEX(Roster!$A$2:$A$600,MATCH(F1530,Roster!$E$2:$E$600,0)),""))</f>
        <v/>
      </c>
      <c r="I1530" s="10">
        <f>IF(AND(D1530="",C1530="",F1530=""),"",IF(G1530&lt;&gt;"","Void",IF(F1530="","Needs child",IF(H1530="","Child not found",IF(OR(B1530="",NOT(ISNUMBER(C1530))),"Needs month/pages","OK")))))</f>
        <v/>
      </c>
      <c r="J1530" s="10">
        <f>IF(I1530="","",IF(I1530="OK",IF(COUNTIFS(H1531:H$3001,H1530,B1531:B$3001,B1530,G1531:G$3001,"")=0,C1530,0),0))</f>
        <v/>
      </c>
    </row>
    <row r="1531">
      <c r="A1531" s="6" t="n"/>
      <c r="B1531" s="9" t="n"/>
      <c r="C1531" s="6" t="n"/>
      <c r="D1531" s="6" t="n"/>
      <c r="E1531" s="6" t="n"/>
      <c r="F1531" s="6" t="n"/>
      <c r="G1531" s="6" t="n"/>
      <c r="H1531" s="10">
        <f>IF(F1531="","",IFERROR(INDEX(Roster!$A$2:$A$600,MATCH(F1531,Roster!$E$2:$E$600,0)),""))</f>
        <v/>
      </c>
      <c r="I1531" s="10">
        <f>IF(AND(D1531="",C1531="",F1531=""),"",IF(G1531&lt;&gt;"","Void",IF(F1531="","Needs child",IF(H1531="","Child not found",IF(OR(B1531="",NOT(ISNUMBER(C1531))),"Needs month/pages","OK")))))</f>
        <v/>
      </c>
      <c r="J1531" s="10">
        <f>IF(I1531="","",IF(I1531="OK",IF(COUNTIFS(H1532:H$3001,H1531,B1532:B$3001,B1531,G1532:G$3001,"")=0,C1531,0),0))</f>
        <v/>
      </c>
    </row>
    <row r="1532">
      <c r="A1532" s="6" t="n"/>
      <c r="B1532" s="9" t="n"/>
      <c r="C1532" s="6" t="n"/>
      <c r="D1532" s="6" t="n"/>
      <c r="E1532" s="6" t="n"/>
      <c r="F1532" s="6" t="n"/>
      <c r="G1532" s="6" t="n"/>
      <c r="H1532" s="10">
        <f>IF(F1532="","",IFERROR(INDEX(Roster!$A$2:$A$600,MATCH(F1532,Roster!$E$2:$E$600,0)),""))</f>
        <v/>
      </c>
      <c r="I1532" s="10">
        <f>IF(AND(D1532="",C1532="",F1532=""),"",IF(G1532&lt;&gt;"","Void",IF(F1532="","Needs child",IF(H1532="","Child not found",IF(OR(B1532="",NOT(ISNUMBER(C1532))),"Needs month/pages","OK")))))</f>
        <v/>
      </c>
      <c r="J1532" s="10">
        <f>IF(I1532="","",IF(I1532="OK",IF(COUNTIFS(H1533:H$3001,H1532,B1533:B$3001,B1532,G1533:G$3001,"")=0,C1532,0),0))</f>
        <v/>
      </c>
    </row>
    <row r="1533">
      <c r="A1533" s="6" t="n"/>
      <c r="B1533" s="9" t="n"/>
      <c r="C1533" s="6" t="n"/>
      <c r="D1533" s="6" t="n"/>
      <c r="E1533" s="6" t="n"/>
      <c r="F1533" s="6" t="n"/>
      <c r="G1533" s="6" t="n"/>
      <c r="H1533" s="10">
        <f>IF(F1533="","",IFERROR(INDEX(Roster!$A$2:$A$600,MATCH(F1533,Roster!$E$2:$E$600,0)),""))</f>
        <v/>
      </c>
      <c r="I1533" s="10">
        <f>IF(AND(D1533="",C1533="",F1533=""),"",IF(G1533&lt;&gt;"","Void",IF(F1533="","Needs child",IF(H1533="","Child not found",IF(OR(B1533="",NOT(ISNUMBER(C1533))),"Needs month/pages","OK")))))</f>
        <v/>
      </c>
      <c r="J1533" s="10">
        <f>IF(I1533="","",IF(I1533="OK",IF(COUNTIFS(H1534:H$3001,H1533,B1534:B$3001,B1533,G1534:G$3001,"")=0,C1533,0),0))</f>
        <v/>
      </c>
    </row>
    <row r="1534">
      <c r="A1534" s="6" t="n"/>
      <c r="B1534" s="9" t="n"/>
      <c r="C1534" s="6" t="n"/>
      <c r="D1534" s="6" t="n"/>
      <c r="E1534" s="6" t="n"/>
      <c r="F1534" s="6" t="n"/>
      <c r="G1534" s="6" t="n"/>
      <c r="H1534" s="10">
        <f>IF(F1534="","",IFERROR(INDEX(Roster!$A$2:$A$600,MATCH(F1534,Roster!$E$2:$E$600,0)),""))</f>
        <v/>
      </c>
      <c r="I1534" s="10">
        <f>IF(AND(D1534="",C1534="",F1534=""),"",IF(G1534&lt;&gt;"","Void",IF(F1534="","Needs child",IF(H1534="","Child not found",IF(OR(B1534="",NOT(ISNUMBER(C1534))),"Needs month/pages","OK")))))</f>
        <v/>
      </c>
      <c r="J1534" s="10">
        <f>IF(I1534="","",IF(I1534="OK",IF(COUNTIFS(H1535:H$3001,H1534,B1535:B$3001,B1534,G1535:G$3001,"")=0,C1534,0),0))</f>
        <v/>
      </c>
    </row>
    <row r="1535">
      <c r="A1535" s="6" t="n"/>
      <c r="B1535" s="9" t="n"/>
      <c r="C1535" s="6" t="n"/>
      <c r="D1535" s="6" t="n"/>
      <c r="E1535" s="6" t="n"/>
      <c r="F1535" s="6" t="n"/>
      <c r="G1535" s="6" t="n"/>
      <c r="H1535" s="10">
        <f>IF(F1535="","",IFERROR(INDEX(Roster!$A$2:$A$600,MATCH(F1535,Roster!$E$2:$E$600,0)),""))</f>
        <v/>
      </c>
      <c r="I1535" s="10">
        <f>IF(AND(D1535="",C1535="",F1535=""),"",IF(G1535&lt;&gt;"","Void",IF(F1535="","Needs child",IF(H1535="","Child not found",IF(OR(B1535="",NOT(ISNUMBER(C1535))),"Needs month/pages","OK")))))</f>
        <v/>
      </c>
      <c r="J1535" s="10">
        <f>IF(I1535="","",IF(I1535="OK",IF(COUNTIFS(H1536:H$3001,H1535,B1536:B$3001,B1535,G1536:G$3001,"")=0,C1535,0),0))</f>
        <v/>
      </c>
    </row>
    <row r="1536">
      <c r="A1536" s="6" t="n"/>
      <c r="B1536" s="9" t="n"/>
      <c r="C1536" s="6" t="n"/>
      <c r="D1536" s="6" t="n"/>
      <c r="E1536" s="6" t="n"/>
      <c r="F1536" s="6" t="n"/>
      <c r="G1536" s="6" t="n"/>
      <c r="H1536" s="10">
        <f>IF(F1536="","",IFERROR(INDEX(Roster!$A$2:$A$600,MATCH(F1536,Roster!$E$2:$E$600,0)),""))</f>
        <v/>
      </c>
      <c r="I1536" s="10">
        <f>IF(AND(D1536="",C1536="",F1536=""),"",IF(G1536&lt;&gt;"","Void",IF(F1536="","Needs child",IF(H1536="","Child not found",IF(OR(B1536="",NOT(ISNUMBER(C1536))),"Needs month/pages","OK")))))</f>
        <v/>
      </c>
      <c r="J1536" s="10">
        <f>IF(I1536="","",IF(I1536="OK",IF(COUNTIFS(H1537:H$3001,H1536,B1537:B$3001,B1536,G1537:G$3001,"")=0,C1536,0),0))</f>
        <v/>
      </c>
    </row>
    <row r="1537">
      <c r="A1537" s="6" t="n"/>
      <c r="B1537" s="9" t="n"/>
      <c r="C1537" s="6" t="n"/>
      <c r="D1537" s="6" t="n"/>
      <c r="E1537" s="6" t="n"/>
      <c r="F1537" s="6" t="n"/>
      <c r="G1537" s="6" t="n"/>
      <c r="H1537" s="10">
        <f>IF(F1537="","",IFERROR(INDEX(Roster!$A$2:$A$600,MATCH(F1537,Roster!$E$2:$E$600,0)),""))</f>
        <v/>
      </c>
      <c r="I1537" s="10">
        <f>IF(AND(D1537="",C1537="",F1537=""),"",IF(G1537&lt;&gt;"","Void",IF(F1537="","Needs child",IF(H1537="","Child not found",IF(OR(B1537="",NOT(ISNUMBER(C1537))),"Needs month/pages","OK")))))</f>
        <v/>
      </c>
      <c r="J1537" s="10">
        <f>IF(I1537="","",IF(I1537="OK",IF(COUNTIFS(H1538:H$3001,H1537,B1538:B$3001,B1537,G1538:G$3001,"")=0,C1537,0),0))</f>
        <v/>
      </c>
    </row>
    <row r="1538">
      <c r="A1538" s="6" t="n"/>
      <c r="B1538" s="9" t="n"/>
      <c r="C1538" s="6" t="n"/>
      <c r="D1538" s="6" t="n"/>
      <c r="E1538" s="6" t="n"/>
      <c r="F1538" s="6" t="n"/>
      <c r="G1538" s="6" t="n"/>
      <c r="H1538" s="10">
        <f>IF(F1538="","",IFERROR(INDEX(Roster!$A$2:$A$600,MATCH(F1538,Roster!$E$2:$E$600,0)),""))</f>
        <v/>
      </c>
      <c r="I1538" s="10">
        <f>IF(AND(D1538="",C1538="",F1538=""),"",IF(G1538&lt;&gt;"","Void",IF(F1538="","Needs child",IF(H1538="","Child not found",IF(OR(B1538="",NOT(ISNUMBER(C1538))),"Needs month/pages","OK")))))</f>
        <v/>
      </c>
      <c r="J1538" s="10">
        <f>IF(I1538="","",IF(I1538="OK",IF(COUNTIFS(H1539:H$3001,H1538,B1539:B$3001,B1538,G1539:G$3001,"")=0,C1538,0),0))</f>
        <v/>
      </c>
    </row>
    <row r="1539">
      <c r="A1539" s="6" t="n"/>
      <c r="B1539" s="9" t="n"/>
      <c r="C1539" s="6" t="n"/>
      <c r="D1539" s="6" t="n"/>
      <c r="E1539" s="6" t="n"/>
      <c r="F1539" s="6" t="n"/>
      <c r="G1539" s="6" t="n"/>
      <c r="H1539" s="10">
        <f>IF(F1539="","",IFERROR(INDEX(Roster!$A$2:$A$600,MATCH(F1539,Roster!$E$2:$E$600,0)),""))</f>
        <v/>
      </c>
      <c r="I1539" s="10">
        <f>IF(AND(D1539="",C1539="",F1539=""),"",IF(G1539&lt;&gt;"","Void",IF(F1539="","Needs child",IF(H1539="","Child not found",IF(OR(B1539="",NOT(ISNUMBER(C1539))),"Needs month/pages","OK")))))</f>
        <v/>
      </c>
      <c r="J1539" s="10">
        <f>IF(I1539="","",IF(I1539="OK",IF(COUNTIFS(H1540:H$3001,H1539,B1540:B$3001,B1539,G1540:G$3001,"")=0,C1539,0),0))</f>
        <v/>
      </c>
    </row>
    <row r="1540">
      <c r="A1540" s="6" t="n"/>
      <c r="B1540" s="9" t="n"/>
      <c r="C1540" s="6" t="n"/>
      <c r="D1540" s="6" t="n"/>
      <c r="E1540" s="6" t="n"/>
      <c r="F1540" s="6" t="n"/>
      <c r="G1540" s="6" t="n"/>
      <c r="H1540" s="10">
        <f>IF(F1540="","",IFERROR(INDEX(Roster!$A$2:$A$600,MATCH(F1540,Roster!$E$2:$E$600,0)),""))</f>
        <v/>
      </c>
      <c r="I1540" s="10">
        <f>IF(AND(D1540="",C1540="",F1540=""),"",IF(G1540&lt;&gt;"","Void",IF(F1540="","Needs child",IF(H1540="","Child not found",IF(OR(B1540="",NOT(ISNUMBER(C1540))),"Needs month/pages","OK")))))</f>
        <v/>
      </c>
      <c r="J1540" s="10">
        <f>IF(I1540="","",IF(I1540="OK",IF(COUNTIFS(H1541:H$3001,H1540,B1541:B$3001,B1540,G1541:G$3001,"")=0,C1540,0),0))</f>
        <v/>
      </c>
    </row>
    <row r="1541">
      <c r="A1541" s="6" t="n"/>
      <c r="B1541" s="9" t="n"/>
      <c r="C1541" s="6" t="n"/>
      <c r="D1541" s="6" t="n"/>
      <c r="E1541" s="6" t="n"/>
      <c r="F1541" s="6" t="n"/>
      <c r="G1541" s="6" t="n"/>
      <c r="H1541" s="10">
        <f>IF(F1541="","",IFERROR(INDEX(Roster!$A$2:$A$600,MATCH(F1541,Roster!$E$2:$E$600,0)),""))</f>
        <v/>
      </c>
      <c r="I1541" s="10">
        <f>IF(AND(D1541="",C1541="",F1541=""),"",IF(G1541&lt;&gt;"","Void",IF(F1541="","Needs child",IF(H1541="","Child not found",IF(OR(B1541="",NOT(ISNUMBER(C1541))),"Needs month/pages","OK")))))</f>
        <v/>
      </c>
      <c r="J1541" s="10">
        <f>IF(I1541="","",IF(I1541="OK",IF(COUNTIFS(H1542:H$3001,H1541,B1542:B$3001,B1541,G1542:G$3001,"")=0,C1541,0),0))</f>
        <v/>
      </c>
    </row>
    <row r="1542">
      <c r="A1542" s="6" t="n"/>
      <c r="B1542" s="9" t="n"/>
      <c r="C1542" s="6" t="n"/>
      <c r="D1542" s="6" t="n"/>
      <c r="E1542" s="6" t="n"/>
      <c r="F1542" s="6" t="n"/>
      <c r="G1542" s="6" t="n"/>
      <c r="H1542" s="10">
        <f>IF(F1542="","",IFERROR(INDEX(Roster!$A$2:$A$600,MATCH(F1542,Roster!$E$2:$E$600,0)),""))</f>
        <v/>
      </c>
      <c r="I1542" s="10">
        <f>IF(AND(D1542="",C1542="",F1542=""),"",IF(G1542&lt;&gt;"","Void",IF(F1542="","Needs child",IF(H1542="","Child not found",IF(OR(B1542="",NOT(ISNUMBER(C1542))),"Needs month/pages","OK")))))</f>
        <v/>
      </c>
      <c r="J1542" s="10">
        <f>IF(I1542="","",IF(I1542="OK",IF(COUNTIFS(H1543:H$3001,H1542,B1543:B$3001,B1542,G1543:G$3001,"")=0,C1542,0),0))</f>
        <v/>
      </c>
    </row>
    <row r="1543">
      <c r="A1543" s="6" t="n"/>
      <c r="B1543" s="9" t="n"/>
      <c r="C1543" s="6" t="n"/>
      <c r="D1543" s="6" t="n"/>
      <c r="E1543" s="6" t="n"/>
      <c r="F1543" s="6" t="n"/>
      <c r="G1543" s="6" t="n"/>
      <c r="H1543" s="10">
        <f>IF(F1543="","",IFERROR(INDEX(Roster!$A$2:$A$600,MATCH(F1543,Roster!$E$2:$E$600,0)),""))</f>
        <v/>
      </c>
      <c r="I1543" s="10">
        <f>IF(AND(D1543="",C1543="",F1543=""),"",IF(G1543&lt;&gt;"","Void",IF(F1543="","Needs child",IF(H1543="","Child not found",IF(OR(B1543="",NOT(ISNUMBER(C1543))),"Needs month/pages","OK")))))</f>
        <v/>
      </c>
      <c r="J1543" s="10">
        <f>IF(I1543="","",IF(I1543="OK",IF(COUNTIFS(H1544:H$3001,H1543,B1544:B$3001,B1543,G1544:G$3001,"")=0,C1543,0),0))</f>
        <v/>
      </c>
    </row>
    <row r="1544">
      <c r="A1544" s="6" t="n"/>
      <c r="B1544" s="9" t="n"/>
      <c r="C1544" s="6" t="n"/>
      <c r="D1544" s="6" t="n"/>
      <c r="E1544" s="6" t="n"/>
      <c r="F1544" s="6" t="n"/>
      <c r="G1544" s="6" t="n"/>
      <c r="H1544" s="10">
        <f>IF(F1544="","",IFERROR(INDEX(Roster!$A$2:$A$600,MATCH(F1544,Roster!$E$2:$E$600,0)),""))</f>
        <v/>
      </c>
      <c r="I1544" s="10">
        <f>IF(AND(D1544="",C1544="",F1544=""),"",IF(G1544&lt;&gt;"","Void",IF(F1544="","Needs child",IF(H1544="","Child not found",IF(OR(B1544="",NOT(ISNUMBER(C1544))),"Needs month/pages","OK")))))</f>
        <v/>
      </c>
      <c r="J1544" s="10">
        <f>IF(I1544="","",IF(I1544="OK",IF(COUNTIFS(H1545:H$3001,H1544,B1545:B$3001,B1544,G1545:G$3001,"")=0,C1544,0),0))</f>
        <v/>
      </c>
    </row>
    <row r="1545">
      <c r="A1545" s="6" t="n"/>
      <c r="B1545" s="9" t="n"/>
      <c r="C1545" s="6" t="n"/>
      <c r="D1545" s="6" t="n"/>
      <c r="E1545" s="6" t="n"/>
      <c r="F1545" s="6" t="n"/>
      <c r="G1545" s="6" t="n"/>
      <c r="H1545" s="10">
        <f>IF(F1545="","",IFERROR(INDEX(Roster!$A$2:$A$600,MATCH(F1545,Roster!$E$2:$E$600,0)),""))</f>
        <v/>
      </c>
      <c r="I1545" s="10">
        <f>IF(AND(D1545="",C1545="",F1545=""),"",IF(G1545&lt;&gt;"","Void",IF(F1545="","Needs child",IF(H1545="","Child not found",IF(OR(B1545="",NOT(ISNUMBER(C1545))),"Needs month/pages","OK")))))</f>
        <v/>
      </c>
      <c r="J1545" s="10">
        <f>IF(I1545="","",IF(I1545="OK",IF(COUNTIFS(H1546:H$3001,H1545,B1546:B$3001,B1545,G1546:G$3001,"")=0,C1545,0),0))</f>
        <v/>
      </c>
    </row>
    <row r="1546">
      <c r="A1546" s="6" t="n"/>
      <c r="B1546" s="9" t="n"/>
      <c r="C1546" s="6" t="n"/>
      <c r="D1546" s="6" t="n"/>
      <c r="E1546" s="6" t="n"/>
      <c r="F1546" s="6" t="n"/>
      <c r="G1546" s="6" t="n"/>
      <c r="H1546" s="10">
        <f>IF(F1546="","",IFERROR(INDEX(Roster!$A$2:$A$600,MATCH(F1546,Roster!$E$2:$E$600,0)),""))</f>
        <v/>
      </c>
      <c r="I1546" s="10">
        <f>IF(AND(D1546="",C1546="",F1546=""),"",IF(G1546&lt;&gt;"","Void",IF(F1546="","Needs child",IF(H1546="","Child not found",IF(OR(B1546="",NOT(ISNUMBER(C1546))),"Needs month/pages","OK")))))</f>
        <v/>
      </c>
      <c r="J1546" s="10">
        <f>IF(I1546="","",IF(I1546="OK",IF(COUNTIFS(H1547:H$3001,H1546,B1547:B$3001,B1546,G1547:G$3001,"")=0,C1546,0),0))</f>
        <v/>
      </c>
    </row>
    <row r="1547">
      <c r="A1547" s="6" t="n"/>
      <c r="B1547" s="9" t="n"/>
      <c r="C1547" s="6" t="n"/>
      <c r="D1547" s="6" t="n"/>
      <c r="E1547" s="6" t="n"/>
      <c r="F1547" s="6" t="n"/>
      <c r="G1547" s="6" t="n"/>
      <c r="H1547" s="10">
        <f>IF(F1547="","",IFERROR(INDEX(Roster!$A$2:$A$600,MATCH(F1547,Roster!$E$2:$E$600,0)),""))</f>
        <v/>
      </c>
      <c r="I1547" s="10">
        <f>IF(AND(D1547="",C1547="",F1547=""),"",IF(G1547&lt;&gt;"","Void",IF(F1547="","Needs child",IF(H1547="","Child not found",IF(OR(B1547="",NOT(ISNUMBER(C1547))),"Needs month/pages","OK")))))</f>
        <v/>
      </c>
      <c r="J1547" s="10">
        <f>IF(I1547="","",IF(I1547="OK",IF(COUNTIFS(H1548:H$3001,H1547,B1548:B$3001,B1547,G1548:G$3001,"")=0,C1547,0),0))</f>
        <v/>
      </c>
    </row>
    <row r="1548">
      <c r="A1548" s="6" t="n"/>
      <c r="B1548" s="9" t="n"/>
      <c r="C1548" s="6" t="n"/>
      <c r="D1548" s="6" t="n"/>
      <c r="E1548" s="6" t="n"/>
      <c r="F1548" s="6" t="n"/>
      <c r="G1548" s="6" t="n"/>
      <c r="H1548" s="10">
        <f>IF(F1548="","",IFERROR(INDEX(Roster!$A$2:$A$600,MATCH(F1548,Roster!$E$2:$E$600,0)),""))</f>
        <v/>
      </c>
      <c r="I1548" s="10">
        <f>IF(AND(D1548="",C1548="",F1548=""),"",IF(G1548&lt;&gt;"","Void",IF(F1548="","Needs child",IF(H1548="","Child not found",IF(OR(B1548="",NOT(ISNUMBER(C1548))),"Needs month/pages","OK")))))</f>
        <v/>
      </c>
      <c r="J1548" s="10">
        <f>IF(I1548="","",IF(I1548="OK",IF(COUNTIFS(H1549:H$3001,H1548,B1549:B$3001,B1548,G1549:G$3001,"")=0,C1548,0),0))</f>
        <v/>
      </c>
    </row>
    <row r="1549">
      <c r="A1549" s="6" t="n"/>
      <c r="B1549" s="9" t="n"/>
      <c r="C1549" s="6" t="n"/>
      <c r="D1549" s="6" t="n"/>
      <c r="E1549" s="6" t="n"/>
      <c r="F1549" s="6" t="n"/>
      <c r="G1549" s="6" t="n"/>
      <c r="H1549" s="10">
        <f>IF(F1549="","",IFERROR(INDEX(Roster!$A$2:$A$600,MATCH(F1549,Roster!$E$2:$E$600,0)),""))</f>
        <v/>
      </c>
      <c r="I1549" s="10">
        <f>IF(AND(D1549="",C1549="",F1549=""),"",IF(G1549&lt;&gt;"","Void",IF(F1549="","Needs child",IF(H1549="","Child not found",IF(OR(B1549="",NOT(ISNUMBER(C1549))),"Needs month/pages","OK")))))</f>
        <v/>
      </c>
      <c r="J1549" s="10">
        <f>IF(I1549="","",IF(I1549="OK",IF(COUNTIFS(H1550:H$3001,H1549,B1550:B$3001,B1549,G1550:G$3001,"")=0,C1549,0),0))</f>
        <v/>
      </c>
    </row>
    <row r="1550">
      <c r="A1550" s="6" t="n"/>
      <c r="B1550" s="9" t="n"/>
      <c r="C1550" s="6" t="n"/>
      <c r="D1550" s="6" t="n"/>
      <c r="E1550" s="6" t="n"/>
      <c r="F1550" s="6" t="n"/>
      <c r="G1550" s="6" t="n"/>
      <c r="H1550" s="10">
        <f>IF(F1550="","",IFERROR(INDEX(Roster!$A$2:$A$600,MATCH(F1550,Roster!$E$2:$E$600,0)),""))</f>
        <v/>
      </c>
      <c r="I1550" s="10">
        <f>IF(AND(D1550="",C1550="",F1550=""),"",IF(G1550&lt;&gt;"","Void",IF(F1550="","Needs child",IF(H1550="","Child not found",IF(OR(B1550="",NOT(ISNUMBER(C1550))),"Needs month/pages","OK")))))</f>
        <v/>
      </c>
      <c r="J1550" s="10">
        <f>IF(I1550="","",IF(I1550="OK",IF(COUNTIFS(H1551:H$3001,H1550,B1551:B$3001,B1550,G1551:G$3001,"")=0,C1550,0),0))</f>
        <v/>
      </c>
    </row>
    <row r="1551">
      <c r="A1551" s="6" t="n"/>
      <c r="B1551" s="9" t="n"/>
      <c r="C1551" s="6" t="n"/>
      <c r="D1551" s="6" t="n"/>
      <c r="E1551" s="6" t="n"/>
      <c r="F1551" s="6" t="n"/>
      <c r="G1551" s="6" t="n"/>
      <c r="H1551" s="10">
        <f>IF(F1551="","",IFERROR(INDEX(Roster!$A$2:$A$600,MATCH(F1551,Roster!$E$2:$E$600,0)),""))</f>
        <v/>
      </c>
      <c r="I1551" s="10">
        <f>IF(AND(D1551="",C1551="",F1551=""),"",IF(G1551&lt;&gt;"","Void",IF(F1551="","Needs child",IF(H1551="","Child not found",IF(OR(B1551="",NOT(ISNUMBER(C1551))),"Needs month/pages","OK")))))</f>
        <v/>
      </c>
      <c r="J1551" s="10">
        <f>IF(I1551="","",IF(I1551="OK",IF(COUNTIFS(H1552:H$3001,H1551,B1552:B$3001,B1551,G1552:G$3001,"")=0,C1551,0),0))</f>
        <v/>
      </c>
    </row>
    <row r="1552">
      <c r="A1552" s="6" t="n"/>
      <c r="B1552" s="9" t="n"/>
      <c r="C1552" s="6" t="n"/>
      <c r="D1552" s="6" t="n"/>
      <c r="E1552" s="6" t="n"/>
      <c r="F1552" s="6" t="n"/>
      <c r="G1552" s="6" t="n"/>
      <c r="H1552" s="10">
        <f>IF(F1552="","",IFERROR(INDEX(Roster!$A$2:$A$600,MATCH(F1552,Roster!$E$2:$E$600,0)),""))</f>
        <v/>
      </c>
      <c r="I1552" s="10">
        <f>IF(AND(D1552="",C1552="",F1552=""),"",IF(G1552&lt;&gt;"","Void",IF(F1552="","Needs child",IF(H1552="","Child not found",IF(OR(B1552="",NOT(ISNUMBER(C1552))),"Needs month/pages","OK")))))</f>
        <v/>
      </c>
      <c r="J1552" s="10">
        <f>IF(I1552="","",IF(I1552="OK",IF(COUNTIFS(H1553:H$3001,H1552,B1553:B$3001,B1552,G1553:G$3001,"")=0,C1552,0),0))</f>
        <v/>
      </c>
    </row>
    <row r="1553">
      <c r="A1553" s="6" t="n"/>
      <c r="B1553" s="9" t="n"/>
      <c r="C1553" s="6" t="n"/>
      <c r="D1553" s="6" t="n"/>
      <c r="E1553" s="6" t="n"/>
      <c r="F1553" s="6" t="n"/>
      <c r="G1553" s="6" t="n"/>
      <c r="H1553" s="10">
        <f>IF(F1553="","",IFERROR(INDEX(Roster!$A$2:$A$600,MATCH(F1553,Roster!$E$2:$E$600,0)),""))</f>
        <v/>
      </c>
      <c r="I1553" s="10">
        <f>IF(AND(D1553="",C1553="",F1553=""),"",IF(G1553&lt;&gt;"","Void",IF(F1553="","Needs child",IF(H1553="","Child not found",IF(OR(B1553="",NOT(ISNUMBER(C1553))),"Needs month/pages","OK")))))</f>
        <v/>
      </c>
      <c r="J1553" s="10">
        <f>IF(I1553="","",IF(I1553="OK",IF(COUNTIFS(H1554:H$3001,H1553,B1554:B$3001,B1553,G1554:G$3001,"")=0,C1553,0),0))</f>
        <v/>
      </c>
    </row>
    <row r="1554">
      <c r="A1554" s="6" t="n"/>
      <c r="B1554" s="9" t="n"/>
      <c r="C1554" s="6" t="n"/>
      <c r="D1554" s="6" t="n"/>
      <c r="E1554" s="6" t="n"/>
      <c r="F1554" s="6" t="n"/>
      <c r="G1554" s="6" t="n"/>
      <c r="H1554" s="10">
        <f>IF(F1554="","",IFERROR(INDEX(Roster!$A$2:$A$600,MATCH(F1554,Roster!$E$2:$E$600,0)),""))</f>
        <v/>
      </c>
      <c r="I1554" s="10">
        <f>IF(AND(D1554="",C1554="",F1554=""),"",IF(G1554&lt;&gt;"","Void",IF(F1554="","Needs child",IF(H1554="","Child not found",IF(OR(B1554="",NOT(ISNUMBER(C1554))),"Needs month/pages","OK")))))</f>
        <v/>
      </c>
      <c r="J1554" s="10">
        <f>IF(I1554="","",IF(I1554="OK",IF(COUNTIFS(H1555:H$3001,H1554,B1555:B$3001,B1554,G1555:G$3001,"")=0,C1554,0),0))</f>
        <v/>
      </c>
    </row>
    <row r="1555">
      <c r="A1555" s="6" t="n"/>
      <c r="B1555" s="9" t="n"/>
      <c r="C1555" s="6" t="n"/>
      <c r="D1555" s="6" t="n"/>
      <c r="E1555" s="6" t="n"/>
      <c r="F1555" s="6" t="n"/>
      <c r="G1555" s="6" t="n"/>
      <c r="H1555" s="10">
        <f>IF(F1555="","",IFERROR(INDEX(Roster!$A$2:$A$600,MATCH(F1555,Roster!$E$2:$E$600,0)),""))</f>
        <v/>
      </c>
      <c r="I1555" s="10">
        <f>IF(AND(D1555="",C1555="",F1555=""),"",IF(G1555&lt;&gt;"","Void",IF(F1555="","Needs child",IF(H1555="","Child not found",IF(OR(B1555="",NOT(ISNUMBER(C1555))),"Needs month/pages","OK")))))</f>
        <v/>
      </c>
      <c r="J1555" s="10">
        <f>IF(I1555="","",IF(I1555="OK",IF(COUNTIFS(H1556:H$3001,H1555,B1556:B$3001,B1555,G1556:G$3001,"")=0,C1555,0),0))</f>
        <v/>
      </c>
    </row>
    <row r="1556">
      <c r="A1556" s="6" t="n"/>
      <c r="B1556" s="9" t="n"/>
      <c r="C1556" s="6" t="n"/>
      <c r="D1556" s="6" t="n"/>
      <c r="E1556" s="6" t="n"/>
      <c r="F1556" s="6" t="n"/>
      <c r="G1556" s="6" t="n"/>
      <c r="H1556" s="10">
        <f>IF(F1556="","",IFERROR(INDEX(Roster!$A$2:$A$600,MATCH(F1556,Roster!$E$2:$E$600,0)),""))</f>
        <v/>
      </c>
      <c r="I1556" s="10">
        <f>IF(AND(D1556="",C1556="",F1556=""),"",IF(G1556&lt;&gt;"","Void",IF(F1556="","Needs child",IF(H1556="","Child not found",IF(OR(B1556="",NOT(ISNUMBER(C1556))),"Needs month/pages","OK")))))</f>
        <v/>
      </c>
      <c r="J1556" s="10">
        <f>IF(I1556="","",IF(I1556="OK",IF(COUNTIFS(H1557:H$3001,H1556,B1557:B$3001,B1556,G1557:G$3001,"")=0,C1556,0),0))</f>
        <v/>
      </c>
    </row>
    <row r="1557">
      <c r="A1557" s="6" t="n"/>
      <c r="B1557" s="9" t="n"/>
      <c r="C1557" s="6" t="n"/>
      <c r="D1557" s="6" t="n"/>
      <c r="E1557" s="6" t="n"/>
      <c r="F1557" s="6" t="n"/>
      <c r="G1557" s="6" t="n"/>
      <c r="H1557" s="10">
        <f>IF(F1557="","",IFERROR(INDEX(Roster!$A$2:$A$600,MATCH(F1557,Roster!$E$2:$E$600,0)),""))</f>
        <v/>
      </c>
      <c r="I1557" s="10">
        <f>IF(AND(D1557="",C1557="",F1557=""),"",IF(G1557&lt;&gt;"","Void",IF(F1557="","Needs child",IF(H1557="","Child not found",IF(OR(B1557="",NOT(ISNUMBER(C1557))),"Needs month/pages","OK")))))</f>
        <v/>
      </c>
      <c r="J1557" s="10">
        <f>IF(I1557="","",IF(I1557="OK",IF(COUNTIFS(H1558:H$3001,H1557,B1558:B$3001,B1557,G1558:G$3001,"")=0,C1557,0),0))</f>
        <v/>
      </c>
    </row>
    <row r="1558">
      <c r="A1558" s="6" t="n"/>
      <c r="B1558" s="9" t="n"/>
      <c r="C1558" s="6" t="n"/>
      <c r="D1558" s="6" t="n"/>
      <c r="E1558" s="6" t="n"/>
      <c r="F1558" s="6" t="n"/>
      <c r="G1558" s="6" t="n"/>
      <c r="H1558" s="10">
        <f>IF(F1558="","",IFERROR(INDEX(Roster!$A$2:$A$600,MATCH(F1558,Roster!$E$2:$E$600,0)),""))</f>
        <v/>
      </c>
      <c r="I1558" s="10">
        <f>IF(AND(D1558="",C1558="",F1558=""),"",IF(G1558&lt;&gt;"","Void",IF(F1558="","Needs child",IF(H1558="","Child not found",IF(OR(B1558="",NOT(ISNUMBER(C1558))),"Needs month/pages","OK")))))</f>
        <v/>
      </c>
      <c r="J1558" s="10">
        <f>IF(I1558="","",IF(I1558="OK",IF(COUNTIFS(H1559:H$3001,H1558,B1559:B$3001,B1558,G1559:G$3001,"")=0,C1558,0),0))</f>
        <v/>
      </c>
    </row>
    <row r="1559">
      <c r="A1559" s="6" t="n"/>
      <c r="B1559" s="9" t="n"/>
      <c r="C1559" s="6" t="n"/>
      <c r="D1559" s="6" t="n"/>
      <c r="E1559" s="6" t="n"/>
      <c r="F1559" s="6" t="n"/>
      <c r="G1559" s="6" t="n"/>
      <c r="H1559" s="10">
        <f>IF(F1559="","",IFERROR(INDEX(Roster!$A$2:$A$600,MATCH(F1559,Roster!$E$2:$E$600,0)),""))</f>
        <v/>
      </c>
      <c r="I1559" s="10">
        <f>IF(AND(D1559="",C1559="",F1559=""),"",IF(G1559&lt;&gt;"","Void",IF(F1559="","Needs child",IF(H1559="","Child not found",IF(OR(B1559="",NOT(ISNUMBER(C1559))),"Needs month/pages","OK")))))</f>
        <v/>
      </c>
      <c r="J1559" s="10">
        <f>IF(I1559="","",IF(I1559="OK",IF(COUNTIFS(H1560:H$3001,H1559,B1560:B$3001,B1559,G1560:G$3001,"")=0,C1559,0),0))</f>
        <v/>
      </c>
    </row>
    <row r="1560">
      <c r="A1560" s="6" t="n"/>
      <c r="B1560" s="9" t="n"/>
      <c r="C1560" s="6" t="n"/>
      <c r="D1560" s="6" t="n"/>
      <c r="E1560" s="6" t="n"/>
      <c r="F1560" s="6" t="n"/>
      <c r="G1560" s="6" t="n"/>
      <c r="H1560" s="10">
        <f>IF(F1560="","",IFERROR(INDEX(Roster!$A$2:$A$600,MATCH(F1560,Roster!$E$2:$E$600,0)),""))</f>
        <v/>
      </c>
      <c r="I1560" s="10">
        <f>IF(AND(D1560="",C1560="",F1560=""),"",IF(G1560&lt;&gt;"","Void",IF(F1560="","Needs child",IF(H1560="","Child not found",IF(OR(B1560="",NOT(ISNUMBER(C1560))),"Needs month/pages","OK")))))</f>
        <v/>
      </c>
      <c r="J1560" s="10">
        <f>IF(I1560="","",IF(I1560="OK",IF(COUNTIFS(H1561:H$3001,H1560,B1561:B$3001,B1560,G1561:G$3001,"")=0,C1560,0),0))</f>
        <v/>
      </c>
    </row>
    <row r="1561">
      <c r="A1561" s="6" t="n"/>
      <c r="B1561" s="9" t="n"/>
      <c r="C1561" s="6" t="n"/>
      <c r="D1561" s="6" t="n"/>
      <c r="E1561" s="6" t="n"/>
      <c r="F1561" s="6" t="n"/>
      <c r="G1561" s="6" t="n"/>
      <c r="H1561" s="10">
        <f>IF(F1561="","",IFERROR(INDEX(Roster!$A$2:$A$600,MATCH(F1561,Roster!$E$2:$E$600,0)),""))</f>
        <v/>
      </c>
      <c r="I1561" s="10">
        <f>IF(AND(D1561="",C1561="",F1561=""),"",IF(G1561&lt;&gt;"","Void",IF(F1561="","Needs child",IF(H1561="","Child not found",IF(OR(B1561="",NOT(ISNUMBER(C1561))),"Needs month/pages","OK")))))</f>
        <v/>
      </c>
      <c r="J1561" s="10">
        <f>IF(I1561="","",IF(I1561="OK",IF(COUNTIFS(H1562:H$3001,H1561,B1562:B$3001,B1561,G1562:G$3001,"")=0,C1561,0),0))</f>
        <v/>
      </c>
    </row>
    <row r="1562">
      <c r="A1562" s="6" t="n"/>
      <c r="B1562" s="9" t="n"/>
      <c r="C1562" s="6" t="n"/>
      <c r="D1562" s="6" t="n"/>
      <c r="E1562" s="6" t="n"/>
      <c r="F1562" s="6" t="n"/>
      <c r="G1562" s="6" t="n"/>
      <c r="H1562" s="10">
        <f>IF(F1562="","",IFERROR(INDEX(Roster!$A$2:$A$600,MATCH(F1562,Roster!$E$2:$E$600,0)),""))</f>
        <v/>
      </c>
      <c r="I1562" s="10">
        <f>IF(AND(D1562="",C1562="",F1562=""),"",IF(G1562&lt;&gt;"","Void",IF(F1562="","Needs child",IF(H1562="","Child not found",IF(OR(B1562="",NOT(ISNUMBER(C1562))),"Needs month/pages","OK")))))</f>
        <v/>
      </c>
      <c r="J1562" s="10">
        <f>IF(I1562="","",IF(I1562="OK",IF(COUNTIFS(H1563:H$3001,H1562,B1563:B$3001,B1562,G1563:G$3001,"")=0,C1562,0),0))</f>
        <v/>
      </c>
    </row>
    <row r="1563">
      <c r="A1563" s="6" t="n"/>
      <c r="B1563" s="9" t="n"/>
      <c r="C1563" s="6" t="n"/>
      <c r="D1563" s="6" t="n"/>
      <c r="E1563" s="6" t="n"/>
      <c r="F1563" s="6" t="n"/>
      <c r="G1563" s="6" t="n"/>
      <c r="H1563" s="10">
        <f>IF(F1563="","",IFERROR(INDEX(Roster!$A$2:$A$600,MATCH(F1563,Roster!$E$2:$E$600,0)),""))</f>
        <v/>
      </c>
      <c r="I1563" s="10">
        <f>IF(AND(D1563="",C1563="",F1563=""),"",IF(G1563&lt;&gt;"","Void",IF(F1563="","Needs child",IF(H1563="","Child not found",IF(OR(B1563="",NOT(ISNUMBER(C1563))),"Needs month/pages","OK")))))</f>
        <v/>
      </c>
      <c r="J1563" s="10">
        <f>IF(I1563="","",IF(I1563="OK",IF(COUNTIFS(H1564:H$3001,H1563,B1564:B$3001,B1563,G1564:G$3001,"")=0,C1563,0),0))</f>
        <v/>
      </c>
    </row>
    <row r="1564">
      <c r="A1564" s="6" t="n"/>
      <c r="B1564" s="9" t="n"/>
      <c r="C1564" s="6" t="n"/>
      <c r="D1564" s="6" t="n"/>
      <c r="E1564" s="6" t="n"/>
      <c r="F1564" s="6" t="n"/>
      <c r="G1564" s="6" t="n"/>
      <c r="H1564" s="10">
        <f>IF(F1564="","",IFERROR(INDEX(Roster!$A$2:$A$600,MATCH(F1564,Roster!$E$2:$E$600,0)),""))</f>
        <v/>
      </c>
      <c r="I1564" s="10">
        <f>IF(AND(D1564="",C1564="",F1564=""),"",IF(G1564&lt;&gt;"","Void",IF(F1564="","Needs child",IF(H1564="","Child not found",IF(OR(B1564="",NOT(ISNUMBER(C1564))),"Needs month/pages","OK")))))</f>
        <v/>
      </c>
      <c r="J1564" s="10">
        <f>IF(I1564="","",IF(I1564="OK",IF(COUNTIFS(H1565:H$3001,H1564,B1565:B$3001,B1564,G1565:G$3001,"")=0,C1564,0),0))</f>
        <v/>
      </c>
    </row>
    <row r="1565">
      <c r="A1565" s="6" t="n"/>
      <c r="B1565" s="9" t="n"/>
      <c r="C1565" s="6" t="n"/>
      <c r="D1565" s="6" t="n"/>
      <c r="E1565" s="6" t="n"/>
      <c r="F1565" s="6" t="n"/>
      <c r="G1565" s="6" t="n"/>
      <c r="H1565" s="10">
        <f>IF(F1565="","",IFERROR(INDEX(Roster!$A$2:$A$600,MATCH(F1565,Roster!$E$2:$E$600,0)),""))</f>
        <v/>
      </c>
      <c r="I1565" s="10">
        <f>IF(AND(D1565="",C1565="",F1565=""),"",IF(G1565&lt;&gt;"","Void",IF(F1565="","Needs child",IF(H1565="","Child not found",IF(OR(B1565="",NOT(ISNUMBER(C1565))),"Needs month/pages","OK")))))</f>
        <v/>
      </c>
      <c r="J1565" s="10">
        <f>IF(I1565="","",IF(I1565="OK",IF(COUNTIFS(H1566:H$3001,H1565,B1566:B$3001,B1565,G1566:G$3001,"")=0,C1565,0),0))</f>
        <v/>
      </c>
    </row>
    <row r="1566">
      <c r="A1566" s="6" t="n"/>
      <c r="B1566" s="9" t="n"/>
      <c r="C1566" s="6" t="n"/>
      <c r="D1566" s="6" t="n"/>
      <c r="E1566" s="6" t="n"/>
      <c r="F1566" s="6" t="n"/>
      <c r="G1566" s="6" t="n"/>
      <c r="H1566" s="10">
        <f>IF(F1566="","",IFERROR(INDEX(Roster!$A$2:$A$600,MATCH(F1566,Roster!$E$2:$E$600,0)),""))</f>
        <v/>
      </c>
      <c r="I1566" s="10">
        <f>IF(AND(D1566="",C1566="",F1566=""),"",IF(G1566&lt;&gt;"","Void",IF(F1566="","Needs child",IF(H1566="","Child not found",IF(OR(B1566="",NOT(ISNUMBER(C1566))),"Needs month/pages","OK")))))</f>
        <v/>
      </c>
      <c r="J1566" s="10">
        <f>IF(I1566="","",IF(I1566="OK",IF(COUNTIFS(H1567:H$3001,H1566,B1567:B$3001,B1566,G1567:G$3001,"")=0,C1566,0),0))</f>
        <v/>
      </c>
    </row>
    <row r="1567">
      <c r="A1567" s="6" t="n"/>
      <c r="B1567" s="9" t="n"/>
      <c r="C1567" s="6" t="n"/>
      <c r="D1567" s="6" t="n"/>
      <c r="E1567" s="6" t="n"/>
      <c r="F1567" s="6" t="n"/>
      <c r="G1567" s="6" t="n"/>
      <c r="H1567" s="10">
        <f>IF(F1567="","",IFERROR(INDEX(Roster!$A$2:$A$600,MATCH(F1567,Roster!$E$2:$E$600,0)),""))</f>
        <v/>
      </c>
      <c r="I1567" s="10">
        <f>IF(AND(D1567="",C1567="",F1567=""),"",IF(G1567&lt;&gt;"","Void",IF(F1567="","Needs child",IF(H1567="","Child not found",IF(OR(B1567="",NOT(ISNUMBER(C1567))),"Needs month/pages","OK")))))</f>
        <v/>
      </c>
      <c r="J1567" s="10">
        <f>IF(I1567="","",IF(I1567="OK",IF(COUNTIFS(H1568:H$3001,H1567,B1568:B$3001,B1567,G1568:G$3001,"")=0,C1567,0),0))</f>
        <v/>
      </c>
    </row>
    <row r="1568">
      <c r="A1568" s="6" t="n"/>
      <c r="B1568" s="9" t="n"/>
      <c r="C1568" s="6" t="n"/>
      <c r="D1568" s="6" t="n"/>
      <c r="E1568" s="6" t="n"/>
      <c r="F1568" s="6" t="n"/>
      <c r="G1568" s="6" t="n"/>
      <c r="H1568" s="10">
        <f>IF(F1568="","",IFERROR(INDEX(Roster!$A$2:$A$600,MATCH(F1568,Roster!$E$2:$E$600,0)),""))</f>
        <v/>
      </c>
      <c r="I1568" s="10">
        <f>IF(AND(D1568="",C1568="",F1568=""),"",IF(G1568&lt;&gt;"","Void",IF(F1568="","Needs child",IF(H1568="","Child not found",IF(OR(B1568="",NOT(ISNUMBER(C1568))),"Needs month/pages","OK")))))</f>
        <v/>
      </c>
      <c r="J1568" s="10">
        <f>IF(I1568="","",IF(I1568="OK",IF(COUNTIFS(H1569:H$3001,H1568,B1569:B$3001,B1568,G1569:G$3001,"")=0,C1568,0),0))</f>
        <v/>
      </c>
    </row>
    <row r="1569">
      <c r="A1569" s="6" t="n"/>
      <c r="B1569" s="9" t="n"/>
      <c r="C1569" s="6" t="n"/>
      <c r="D1569" s="6" t="n"/>
      <c r="E1569" s="6" t="n"/>
      <c r="F1569" s="6" t="n"/>
      <c r="G1569" s="6" t="n"/>
      <c r="H1569" s="10">
        <f>IF(F1569="","",IFERROR(INDEX(Roster!$A$2:$A$600,MATCH(F1569,Roster!$E$2:$E$600,0)),""))</f>
        <v/>
      </c>
      <c r="I1569" s="10">
        <f>IF(AND(D1569="",C1569="",F1569=""),"",IF(G1569&lt;&gt;"","Void",IF(F1569="","Needs child",IF(H1569="","Child not found",IF(OR(B1569="",NOT(ISNUMBER(C1569))),"Needs month/pages","OK")))))</f>
        <v/>
      </c>
      <c r="J1569" s="10">
        <f>IF(I1569="","",IF(I1569="OK",IF(COUNTIFS(H1570:H$3001,H1569,B1570:B$3001,B1569,G1570:G$3001,"")=0,C1569,0),0))</f>
        <v/>
      </c>
    </row>
    <row r="1570">
      <c r="A1570" s="6" t="n"/>
      <c r="B1570" s="9" t="n"/>
      <c r="C1570" s="6" t="n"/>
      <c r="D1570" s="6" t="n"/>
      <c r="E1570" s="6" t="n"/>
      <c r="F1570" s="6" t="n"/>
      <c r="G1570" s="6" t="n"/>
      <c r="H1570" s="10">
        <f>IF(F1570="","",IFERROR(INDEX(Roster!$A$2:$A$600,MATCH(F1570,Roster!$E$2:$E$600,0)),""))</f>
        <v/>
      </c>
      <c r="I1570" s="10">
        <f>IF(AND(D1570="",C1570="",F1570=""),"",IF(G1570&lt;&gt;"","Void",IF(F1570="","Needs child",IF(H1570="","Child not found",IF(OR(B1570="",NOT(ISNUMBER(C1570))),"Needs month/pages","OK")))))</f>
        <v/>
      </c>
      <c r="J1570" s="10">
        <f>IF(I1570="","",IF(I1570="OK",IF(COUNTIFS(H1571:H$3001,H1570,B1571:B$3001,B1570,G1571:G$3001,"")=0,C1570,0),0))</f>
        <v/>
      </c>
    </row>
    <row r="1571">
      <c r="A1571" s="6" t="n"/>
      <c r="B1571" s="9" t="n"/>
      <c r="C1571" s="6" t="n"/>
      <c r="D1571" s="6" t="n"/>
      <c r="E1571" s="6" t="n"/>
      <c r="F1571" s="6" t="n"/>
      <c r="G1571" s="6" t="n"/>
      <c r="H1571" s="10">
        <f>IF(F1571="","",IFERROR(INDEX(Roster!$A$2:$A$600,MATCH(F1571,Roster!$E$2:$E$600,0)),""))</f>
        <v/>
      </c>
      <c r="I1571" s="10">
        <f>IF(AND(D1571="",C1571="",F1571=""),"",IF(G1571&lt;&gt;"","Void",IF(F1571="","Needs child",IF(H1571="","Child not found",IF(OR(B1571="",NOT(ISNUMBER(C1571))),"Needs month/pages","OK")))))</f>
        <v/>
      </c>
      <c r="J1571" s="10">
        <f>IF(I1571="","",IF(I1571="OK",IF(COUNTIFS(H1572:H$3001,H1571,B1572:B$3001,B1571,G1572:G$3001,"")=0,C1571,0),0))</f>
        <v/>
      </c>
    </row>
    <row r="1572">
      <c r="A1572" s="6" t="n"/>
      <c r="B1572" s="9" t="n"/>
      <c r="C1572" s="6" t="n"/>
      <c r="D1572" s="6" t="n"/>
      <c r="E1572" s="6" t="n"/>
      <c r="F1572" s="6" t="n"/>
      <c r="G1572" s="6" t="n"/>
      <c r="H1572" s="10">
        <f>IF(F1572="","",IFERROR(INDEX(Roster!$A$2:$A$600,MATCH(F1572,Roster!$E$2:$E$600,0)),""))</f>
        <v/>
      </c>
      <c r="I1572" s="10">
        <f>IF(AND(D1572="",C1572="",F1572=""),"",IF(G1572&lt;&gt;"","Void",IF(F1572="","Needs child",IF(H1572="","Child not found",IF(OR(B1572="",NOT(ISNUMBER(C1572))),"Needs month/pages","OK")))))</f>
        <v/>
      </c>
      <c r="J1572" s="10">
        <f>IF(I1572="","",IF(I1572="OK",IF(COUNTIFS(H1573:H$3001,H1572,B1573:B$3001,B1572,G1573:G$3001,"")=0,C1572,0),0))</f>
        <v/>
      </c>
    </row>
    <row r="1573">
      <c r="A1573" s="6" t="n"/>
      <c r="B1573" s="9" t="n"/>
      <c r="C1573" s="6" t="n"/>
      <c r="D1573" s="6" t="n"/>
      <c r="E1573" s="6" t="n"/>
      <c r="F1573" s="6" t="n"/>
      <c r="G1573" s="6" t="n"/>
      <c r="H1573" s="10">
        <f>IF(F1573="","",IFERROR(INDEX(Roster!$A$2:$A$600,MATCH(F1573,Roster!$E$2:$E$600,0)),""))</f>
        <v/>
      </c>
      <c r="I1573" s="10">
        <f>IF(AND(D1573="",C1573="",F1573=""),"",IF(G1573&lt;&gt;"","Void",IF(F1573="","Needs child",IF(H1573="","Child not found",IF(OR(B1573="",NOT(ISNUMBER(C1573))),"Needs month/pages","OK")))))</f>
        <v/>
      </c>
      <c r="J1573" s="10">
        <f>IF(I1573="","",IF(I1573="OK",IF(COUNTIFS(H1574:H$3001,H1573,B1574:B$3001,B1573,G1574:G$3001,"")=0,C1573,0),0))</f>
        <v/>
      </c>
    </row>
    <row r="1574">
      <c r="A1574" s="6" t="n"/>
      <c r="B1574" s="9" t="n"/>
      <c r="C1574" s="6" t="n"/>
      <c r="D1574" s="6" t="n"/>
      <c r="E1574" s="6" t="n"/>
      <c r="F1574" s="6" t="n"/>
      <c r="G1574" s="6" t="n"/>
      <c r="H1574" s="10">
        <f>IF(F1574="","",IFERROR(INDEX(Roster!$A$2:$A$600,MATCH(F1574,Roster!$E$2:$E$600,0)),""))</f>
        <v/>
      </c>
      <c r="I1574" s="10">
        <f>IF(AND(D1574="",C1574="",F1574=""),"",IF(G1574&lt;&gt;"","Void",IF(F1574="","Needs child",IF(H1574="","Child not found",IF(OR(B1574="",NOT(ISNUMBER(C1574))),"Needs month/pages","OK")))))</f>
        <v/>
      </c>
      <c r="J1574" s="10">
        <f>IF(I1574="","",IF(I1574="OK",IF(COUNTIFS(H1575:H$3001,H1574,B1575:B$3001,B1574,G1575:G$3001,"")=0,C1574,0),0))</f>
        <v/>
      </c>
    </row>
    <row r="1575">
      <c r="A1575" s="6" t="n"/>
      <c r="B1575" s="9" t="n"/>
      <c r="C1575" s="6" t="n"/>
      <c r="D1575" s="6" t="n"/>
      <c r="E1575" s="6" t="n"/>
      <c r="F1575" s="6" t="n"/>
      <c r="G1575" s="6" t="n"/>
      <c r="H1575" s="10">
        <f>IF(F1575="","",IFERROR(INDEX(Roster!$A$2:$A$600,MATCH(F1575,Roster!$E$2:$E$600,0)),""))</f>
        <v/>
      </c>
      <c r="I1575" s="10">
        <f>IF(AND(D1575="",C1575="",F1575=""),"",IF(G1575&lt;&gt;"","Void",IF(F1575="","Needs child",IF(H1575="","Child not found",IF(OR(B1575="",NOT(ISNUMBER(C1575))),"Needs month/pages","OK")))))</f>
        <v/>
      </c>
      <c r="J1575" s="10">
        <f>IF(I1575="","",IF(I1575="OK",IF(COUNTIFS(H1576:H$3001,H1575,B1576:B$3001,B1575,G1576:G$3001,"")=0,C1575,0),0))</f>
        <v/>
      </c>
    </row>
    <row r="1576">
      <c r="A1576" s="6" t="n"/>
      <c r="B1576" s="9" t="n"/>
      <c r="C1576" s="6" t="n"/>
      <c r="D1576" s="6" t="n"/>
      <c r="E1576" s="6" t="n"/>
      <c r="F1576" s="6" t="n"/>
      <c r="G1576" s="6" t="n"/>
      <c r="H1576" s="10">
        <f>IF(F1576="","",IFERROR(INDEX(Roster!$A$2:$A$600,MATCH(F1576,Roster!$E$2:$E$600,0)),""))</f>
        <v/>
      </c>
      <c r="I1576" s="10">
        <f>IF(AND(D1576="",C1576="",F1576=""),"",IF(G1576&lt;&gt;"","Void",IF(F1576="","Needs child",IF(H1576="","Child not found",IF(OR(B1576="",NOT(ISNUMBER(C1576))),"Needs month/pages","OK")))))</f>
        <v/>
      </c>
      <c r="J1576" s="10">
        <f>IF(I1576="","",IF(I1576="OK",IF(COUNTIFS(H1577:H$3001,H1576,B1577:B$3001,B1576,G1577:G$3001,"")=0,C1576,0),0))</f>
        <v/>
      </c>
    </row>
    <row r="1577">
      <c r="A1577" s="6" t="n"/>
      <c r="B1577" s="9" t="n"/>
      <c r="C1577" s="6" t="n"/>
      <c r="D1577" s="6" t="n"/>
      <c r="E1577" s="6" t="n"/>
      <c r="F1577" s="6" t="n"/>
      <c r="G1577" s="6" t="n"/>
      <c r="H1577" s="10">
        <f>IF(F1577="","",IFERROR(INDEX(Roster!$A$2:$A$600,MATCH(F1577,Roster!$E$2:$E$600,0)),""))</f>
        <v/>
      </c>
      <c r="I1577" s="10">
        <f>IF(AND(D1577="",C1577="",F1577=""),"",IF(G1577&lt;&gt;"","Void",IF(F1577="","Needs child",IF(H1577="","Child not found",IF(OR(B1577="",NOT(ISNUMBER(C1577))),"Needs month/pages","OK")))))</f>
        <v/>
      </c>
      <c r="J1577" s="10">
        <f>IF(I1577="","",IF(I1577="OK",IF(COUNTIFS(H1578:H$3001,H1577,B1578:B$3001,B1577,G1578:G$3001,"")=0,C1577,0),0))</f>
        <v/>
      </c>
    </row>
    <row r="1578">
      <c r="A1578" s="6" t="n"/>
      <c r="B1578" s="9" t="n"/>
      <c r="C1578" s="6" t="n"/>
      <c r="D1578" s="6" t="n"/>
      <c r="E1578" s="6" t="n"/>
      <c r="F1578" s="6" t="n"/>
      <c r="G1578" s="6" t="n"/>
      <c r="H1578" s="10">
        <f>IF(F1578="","",IFERROR(INDEX(Roster!$A$2:$A$600,MATCH(F1578,Roster!$E$2:$E$600,0)),""))</f>
        <v/>
      </c>
      <c r="I1578" s="10">
        <f>IF(AND(D1578="",C1578="",F1578=""),"",IF(G1578&lt;&gt;"","Void",IF(F1578="","Needs child",IF(H1578="","Child not found",IF(OR(B1578="",NOT(ISNUMBER(C1578))),"Needs month/pages","OK")))))</f>
        <v/>
      </c>
      <c r="J1578" s="10">
        <f>IF(I1578="","",IF(I1578="OK",IF(COUNTIFS(H1579:H$3001,H1578,B1579:B$3001,B1578,G1579:G$3001,"")=0,C1578,0),0))</f>
        <v/>
      </c>
    </row>
    <row r="1579">
      <c r="A1579" s="6" t="n"/>
      <c r="B1579" s="9" t="n"/>
      <c r="C1579" s="6" t="n"/>
      <c r="D1579" s="6" t="n"/>
      <c r="E1579" s="6" t="n"/>
      <c r="F1579" s="6" t="n"/>
      <c r="G1579" s="6" t="n"/>
      <c r="H1579" s="10">
        <f>IF(F1579="","",IFERROR(INDEX(Roster!$A$2:$A$600,MATCH(F1579,Roster!$E$2:$E$600,0)),""))</f>
        <v/>
      </c>
      <c r="I1579" s="10">
        <f>IF(AND(D1579="",C1579="",F1579=""),"",IF(G1579&lt;&gt;"","Void",IF(F1579="","Needs child",IF(H1579="","Child not found",IF(OR(B1579="",NOT(ISNUMBER(C1579))),"Needs month/pages","OK")))))</f>
        <v/>
      </c>
      <c r="J1579" s="10">
        <f>IF(I1579="","",IF(I1579="OK",IF(COUNTIFS(H1580:H$3001,H1579,B1580:B$3001,B1579,G1580:G$3001,"")=0,C1579,0),0))</f>
        <v/>
      </c>
    </row>
    <row r="1580">
      <c r="A1580" s="6" t="n"/>
      <c r="B1580" s="9" t="n"/>
      <c r="C1580" s="6" t="n"/>
      <c r="D1580" s="6" t="n"/>
      <c r="E1580" s="6" t="n"/>
      <c r="F1580" s="6" t="n"/>
      <c r="G1580" s="6" t="n"/>
      <c r="H1580" s="10">
        <f>IF(F1580="","",IFERROR(INDEX(Roster!$A$2:$A$600,MATCH(F1580,Roster!$E$2:$E$600,0)),""))</f>
        <v/>
      </c>
      <c r="I1580" s="10">
        <f>IF(AND(D1580="",C1580="",F1580=""),"",IF(G1580&lt;&gt;"","Void",IF(F1580="","Needs child",IF(H1580="","Child not found",IF(OR(B1580="",NOT(ISNUMBER(C1580))),"Needs month/pages","OK")))))</f>
        <v/>
      </c>
      <c r="J1580" s="10">
        <f>IF(I1580="","",IF(I1580="OK",IF(COUNTIFS(H1581:H$3001,H1580,B1581:B$3001,B1580,G1581:G$3001,"")=0,C1580,0),0))</f>
        <v/>
      </c>
    </row>
    <row r="1581">
      <c r="A1581" s="6" t="n"/>
      <c r="B1581" s="9" t="n"/>
      <c r="C1581" s="6" t="n"/>
      <c r="D1581" s="6" t="n"/>
      <c r="E1581" s="6" t="n"/>
      <c r="F1581" s="6" t="n"/>
      <c r="G1581" s="6" t="n"/>
      <c r="H1581" s="10">
        <f>IF(F1581="","",IFERROR(INDEX(Roster!$A$2:$A$600,MATCH(F1581,Roster!$E$2:$E$600,0)),""))</f>
        <v/>
      </c>
      <c r="I1581" s="10">
        <f>IF(AND(D1581="",C1581="",F1581=""),"",IF(G1581&lt;&gt;"","Void",IF(F1581="","Needs child",IF(H1581="","Child not found",IF(OR(B1581="",NOT(ISNUMBER(C1581))),"Needs month/pages","OK")))))</f>
        <v/>
      </c>
      <c r="J1581" s="10">
        <f>IF(I1581="","",IF(I1581="OK",IF(COUNTIFS(H1582:H$3001,H1581,B1582:B$3001,B1581,G1582:G$3001,"")=0,C1581,0),0))</f>
        <v/>
      </c>
    </row>
    <row r="1582">
      <c r="A1582" s="6" t="n"/>
      <c r="B1582" s="9" t="n"/>
      <c r="C1582" s="6" t="n"/>
      <c r="D1582" s="6" t="n"/>
      <c r="E1582" s="6" t="n"/>
      <c r="F1582" s="6" t="n"/>
      <c r="G1582" s="6" t="n"/>
      <c r="H1582" s="10">
        <f>IF(F1582="","",IFERROR(INDEX(Roster!$A$2:$A$600,MATCH(F1582,Roster!$E$2:$E$600,0)),""))</f>
        <v/>
      </c>
      <c r="I1582" s="10">
        <f>IF(AND(D1582="",C1582="",F1582=""),"",IF(G1582&lt;&gt;"","Void",IF(F1582="","Needs child",IF(H1582="","Child not found",IF(OR(B1582="",NOT(ISNUMBER(C1582))),"Needs month/pages","OK")))))</f>
        <v/>
      </c>
      <c r="J1582" s="10">
        <f>IF(I1582="","",IF(I1582="OK",IF(COUNTIFS(H1583:H$3001,H1582,B1583:B$3001,B1582,G1583:G$3001,"")=0,C1582,0),0))</f>
        <v/>
      </c>
    </row>
    <row r="1583">
      <c r="A1583" s="6" t="n"/>
      <c r="B1583" s="9" t="n"/>
      <c r="C1583" s="6" t="n"/>
      <c r="D1583" s="6" t="n"/>
      <c r="E1583" s="6" t="n"/>
      <c r="F1583" s="6" t="n"/>
      <c r="G1583" s="6" t="n"/>
      <c r="H1583" s="10">
        <f>IF(F1583="","",IFERROR(INDEX(Roster!$A$2:$A$600,MATCH(F1583,Roster!$E$2:$E$600,0)),""))</f>
        <v/>
      </c>
      <c r="I1583" s="10">
        <f>IF(AND(D1583="",C1583="",F1583=""),"",IF(G1583&lt;&gt;"","Void",IF(F1583="","Needs child",IF(H1583="","Child not found",IF(OR(B1583="",NOT(ISNUMBER(C1583))),"Needs month/pages","OK")))))</f>
        <v/>
      </c>
      <c r="J1583" s="10">
        <f>IF(I1583="","",IF(I1583="OK",IF(COUNTIFS(H1584:H$3001,H1583,B1584:B$3001,B1583,G1584:G$3001,"")=0,C1583,0),0))</f>
        <v/>
      </c>
    </row>
    <row r="1584">
      <c r="A1584" s="6" t="n"/>
      <c r="B1584" s="9" t="n"/>
      <c r="C1584" s="6" t="n"/>
      <c r="D1584" s="6" t="n"/>
      <c r="E1584" s="6" t="n"/>
      <c r="F1584" s="6" t="n"/>
      <c r="G1584" s="6" t="n"/>
      <c r="H1584" s="10">
        <f>IF(F1584="","",IFERROR(INDEX(Roster!$A$2:$A$600,MATCH(F1584,Roster!$E$2:$E$600,0)),""))</f>
        <v/>
      </c>
      <c r="I1584" s="10">
        <f>IF(AND(D1584="",C1584="",F1584=""),"",IF(G1584&lt;&gt;"","Void",IF(F1584="","Needs child",IF(H1584="","Child not found",IF(OR(B1584="",NOT(ISNUMBER(C1584))),"Needs month/pages","OK")))))</f>
        <v/>
      </c>
      <c r="J1584" s="10">
        <f>IF(I1584="","",IF(I1584="OK",IF(COUNTIFS(H1585:H$3001,H1584,B1585:B$3001,B1584,G1585:G$3001,"")=0,C1584,0),0))</f>
        <v/>
      </c>
    </row>
    <row r="1585">
      <c r="A1585" s="6" t="n"/>
      <c r="B1585" s="9" t="n"/>
      <c r="C1585" s="6" t="n"/>
      <c r="D1585" s="6" t="n"/>
      <c r="E1585" s="6" t="n"/>
      <c r="F1585" s="6" t="n"/>
      <c r="G1585" s="6" t="n"/>
      <c r="H1585" s="10">
        <f>IF(F1585="","",IFERROR(INDEX(Roster!$A$2:$A$600,MATCH(F1585,Roster!$E$2:$E$600,0)),""))</f>
        <v/>
      </c>
      <c r="I1585" s="10">
        <f>IF(AND(D1585="",C1585="",F1585=""),"",IF(G1585&lt;&gt;"","Void",IF(F1585="","Needs child",IF(H1585="","Child not found",IF(OR(B1585="",NOT(ISNUMBER(C1585))),"Needs month/pages","OK")))))</f>
        <v/>
      </c>
      <c r="J1585" s="10">
        <f>IF(I1585="","",IF(I1585="OK",IF(COUNTIFS(H1586:H$3001,H1585,B1586:B$3001,B1585,G1586:G$3001,"")=0,C1585,0),0))</f>
        <v/>
      </c>
    </row>
    <row r="1586">
      <c r="A1586" s="6" t="n"/>
      <c r="B1586" s="9" t="n"/>
      <c r="C1586" s="6" t="n"/>
      <c r="D1586" s="6" t="n"/>
      <c r="E1586" s="6" t="n"/>
      <c r="F1586" s="6" t="n"/>
      <c r="G1586" s="6" t="n"/>
      <c r="H1586" s="10">
        <f>IF(F1586="","",IFERROR(INDEX(Roster!$A$2:$A$600,MATCH(F1586,Roster!$E$2:$E$600,0)),""))</f>
        <v/>
      </c>
      <c r="I1586" s="10">
        <f>IF(AND(D1586="",C1586="",F1586=""),"",IF(G1586&lt;&gt;"","Void",IF(F1586="","Needs child",IF(H1586="","Child not found",IF(OR(B1586="",NOT(ISNUMBER(C1586))),"Needs month/pages","OK")))))</f>
        <v/>
      </c>
      <c r="J1586" s="10">
        <f>IF(I1586="","",IF(I1586="OK",IF(COUNTIFS(H1587:H$3001,H1586,B1587:B$3001,B1586,G1587:G$3001,"")=0,C1586,0),0))</f>
        <v/>
      </c>
    </row>
    <row r="1587">
      <c r="A1587" s="6" t="n"/>
      <c r="B1587" s="9" t="n"/>
      <c r="C1587" s="6" t="n"/>
      <c r="D1587" s="6" t="n"/>
      <c r="E1587" s="6" t="n"/>
      <c r="F1587" s="6" t="n"/>
      <c r="G1587" s="6" t="n"/>
      <c r="H1587" s="10">
        <f>IF(F1587="","",IFERROR(INDEX(Roster!$A$2:$A$600,MATCH(F1587,Roster!$E$2:$E$600,0)),""))</f>
        <v/>
      </c>
      <c r="I1587" s="10">
        <f>IF(AND(D1587="",C1587="",F1587=""),"",IF(G1587&lt;&gt;"","Void",IF(F1587="","Needs child",IF(H1587="","Child not found",IF(OR(B1587="",NOT(ISNUMBER(C1587))),"Needs month/pages","OK")))))</f>
        <v/>
      </c>
      <c r="J1587" s="10">
        <f>IF(I1587="","",IF(I1587="OK",IF(COUNTIFS(H1588:H$3001,H1587,B1588:B$3001,B1587,G1588:G$3001,"")=0,C1587,0),0))</f>
        <v/>
      </c>
    </row>
    <row r="1588">
      <c r="A1588" s="6" t="n"/>
      <c r="B1588" s="9" t="n"/>
      <c r="C1588" s="6" t="n"/>
      <c r="D1588" s="6" t="n"/>
      <c r="E1588" s="6" t="n"/>
      <c r="F1588" s="6" t="n"/>
      <c r="G1588" s="6" t="n"/>
      <c r="H1588" s="10">
        <f>IF(F1588="","",IFERROR(INDEX(Roster!$A$2:$A$600,MATCH(F1588,Roster!$E$2:$E$600,0)),""))</f>
        <v/>
      </c>
      <c r="I1588" s="10">
        <f>IF(AND(D1588="",C1588="",F1588=""),"",IF(G1588&lt;&gt;"","Void",IF(F1588="","Needs child",IF(H1588="","Child not found",IF(OR(B1588="",NOT(ISNUMBER(C1588))),"Needs month/pages","OK")))))</f>
        <v/>
      </c>
      <c r="J1588" s="10">
        <f>IF(I1588="","",IF(I1588="OK",IF(COUNTIFS(H1589:H$3001,H1588,B1589:B$3001,B1588,G1589:G$3001,"")=0,C1588,0),0))</f>
        <v/>
      </c>
    </row>
    <row r="1589">
      <c r="A1589" s="6" t="n"/>
      <c r="B1589" s="9" t="n"/>
      <c r="C1589" s="6" t="n"/>
      <c r="D1589" s="6" t="n"/>
      <c r="E1589" s="6" t="n"/>
      <c r="F1589" s="6" t="n"/>
      <c r="G1589" s="6" t="n"/>
      <c r="H1589" s="10">
        <f>IF(F1589="","",IFERROR(INDEX(Roster!$A$2:$A$600,MATCH(F1589,Roster!$E$2:$E$600,0)),""))</f>
        <v/>
      </c>
      <c r="I1589" s="10">
        <f>IF(AND(D1589="",C1589="",F1589=""),"",IF(G1589&lt;&gt;"","Void",IF(F1589="","Needs child",IF(H1589="","Child not found",IF(OR(B1589="",NOT(ISNUMBER(C1589))),"Needs month/pages","OK")))))</f>
        <v/>
      </c>
      <c r="J1589" s="10">
        <f>IF(I1589="","",IF(I1589="OK",IF(COUNTIFS(H1590:H$3001,H1589,B1590:B$3001,B1589,G1590:G$3001,"")=0,C1589,0),0))</f>
        <v/>
      </c>
    </row>
    <row r="1590">
      <c r="A1590" s="6" t="n"/>
      <c r="B1590" s="9" t="n"/>
      <c r="C1590" s="6" t="n"/>
      <c r="D1590" s="6" t="n"/>
      <c r="E1590" s="6" t="n"/>
      <c r="F1590" s="6" t="n"/>
      <c r="G1590" s="6" t="n"/>
      <c r="H1590" s="10">
        <f>IF(F1590="","",IFERROR(INDEX(Roster!$A$2:$A$600,MATCH(F1590,Roster!$E$2:$E$600,0)),""))</f>
        <v/>
      </c>
      <c r="I1590" s="10">
        <f>IF(AND(D1590="",C1590="",F1590=""),"",IF(G1590&lt;&gt;"","Void",IF(F1590="","Needs child",IF(H1590="","Child not found",IF(OR(B1590="",NOT(ISNUMBER(C1590))),"Needs month/pages","OK")))))</f>
        <v/>
      </c>
      <c r="J1590" s="10">
        <f>IF(I1590="","",IF(I1590="OK",IF(COUNTIFS(H1591:H$3001,H1590,B1591:B$3001,B1590,G1591:G$3001,"")=0,C1590,0),0))</f>
        <v/>
      </c>
    </row>
    <row r="1591">
      <c r="A1591" s="6" t="n"/>
      <c r="B1591" s="9" t="n"/>
      <c r="C1591" s="6" t="n"/>
      <c r="D1591" s="6" t="n"/>
      <c r="E1591" s="6" t="n"/>
      <c r="F1591" s="6" t="n"/>
      <c r="G1591" s="6" t="n"/>
      <c r="H1591" s="10">
        <f>IF(F1591="","",IFERROR(INDEX(Roster!$A$2:$A$600,MATCH(F1591,Roster!$E$2:$E$600,0)),""))</f>
        <v/>
      </c>
      <c r="I1591" s="10">
        <f>IF(AND(D1591="",C1591="",F1591=""),"",IF(G1591&lt;&gt;"","Void",IF(F1591="","Needs child",IF(H1591="","Child not found",IF(OR(B1591="",NOT(ISNUMBER(C1591))),"Needs month/pages","OK")))))</f>
        <v/>
      </c>
      <c r="J1591" s="10">
        <f>IF(I1591="","",IF(I1591="OK",IF(COUNTIFS(H1592:H$3001,H1591,B1592:B$3001,B1591,G1592:G$3001,"")=0,C1591,0),0))</f>
        <v/>
      </c>
    </row>
    <row r="1592">
      <c r="A1592" s="6" t="n"/>
      <c r="B1592" s="9" t="n"/>
      <c r="C1592" s="6" t="n"/>
      <c r="D1592" s="6" t="n"/>
      <c r="E1592" s="6" t="n"/>
      <c r="F1592" s="6" t="n"/>
      <c r="G1592" s="6" t="n"/>
      <c r="H1592" s="10">
        <f>IF(F1592="","",IFERROR(INDEX(Roster!$A$2:$A$600,MATCH(F1592,Roster!$E$2:$E$600,0)),""))</f>
        <v/>
      </c>
      <c r="I1592" s="10">
        <f>IF(AND(D1592="",C1592="",F1592=""),"",IF(G1592&lt;&gt;"","Void",IF(F1592="","Needs child",IF(H1592="","Child not found",IF(OR(B1592="",NOT(ISNUMBER(C1592))),"Needs month/pages","OK")))))</f>
        <v/>
      </c>
      <c r="J1592" s="10">
        <f>IF(I1592="","",IF(I1592="OK",IF(COUNTIFS(H1593:H$3001,H1592,B1593:B$3001,B1592,G1593:G$3001,"")=0,C1592,0),0))</f>
        <v/>
      </c>
    </row>
    <row r="1593">
      <c r="A1593" s="6" t="n"/>
      <c r="B1593" s="9" t="n"/>
      <c r="C1593" s="6" t="n"/>
      <c r="D1593" s="6" t="n"/>
      <c r="E1593" s="6" t="n"/>
      <c r="F1593" s="6" t="n"/>
      <c r="G1593" s="6" t="n"/>
      <c r="H1593" s="10">
        <f>IF(F1593="","",IFERROR(INDEX(Roster!$A$2:$A$600,MATCH(F1593,Roster!$E$2:$E$600,0)),""))</f>
        <v/>
      </c>
      <c r="I1593" s="10">
        <f>IF(AND(D1593="",C1593="",F1593=""),"",IF(G1593&lt;&gt;"","Void",IF(F1593="","Needs child",IF(H1593="","Child not found",IF(OR(B1593="",NOT(ISNUMBER(C1593))),"Needs month/pages","OK")))))</f>
        <v/>
      </c>
      <c r="J1593" s="10">
        <f>IF(I1593="","",IF(I1593="OK",IF(COUNTIFS(H1594:H$3001,H1593,B1594:B$3001,B1593,G1594:G$3001,"")=0,C1593,0),0))</f>
        <v/>
      </c>
    </row>
    <row r="1594">
      <c r="A1594" s="6" t="n"/>
      <c r="B1594" s="9" t="n"/>
      <c r="C1594" s="6" t="n"/>
      <c r="D1594" s="6" t="n"/>
      <c r="E1594" s="6" t="n"/>
      <c r="F1594" s="6" t="n"/>
      <c r="G1594" s="6" t="n"/>
      <c r="H1594" s="10">
        <f>IF(F1594="","",IFERROR(INDEX(Roster!$A$2:$A$600,MATCH(F1594,Roster!$E$2:$E$600,0)),""))</f>
        <v/>
      </c>
      <c r="I1594" s="10">
        <f>IF(AND(D1594="",C1594="",F1594=""),"",IF(G1594&lt;&gt;"","Void",IF(F1594="","Needs child",IF(H1594="","Child not found",IF(OR(B1594="",NOT(ISNUMBER(C1594))),"Needs month/pages","OK")))))</f>
        <v/>
      </c>
      <c r="J1594" s="10">
        <f>IF(I1594="","",IF(I1594="OK",IF(COUNTIFS(H1595:H$3001,H1594,B1595:B$3001,B1594,G1595:G$3001,"")=0,C1594,0),0))</f>
        <v/>
      </c>
    </row>
    <row r="1595">
      <c r="A1595" s="6" t="n"/>
      <c r="B1595" s="9" t="n"/>
      <c r="C1595" s="6" t="n"/>
      <c r="D1595" s="6" t="n"/>
      <c r="E1595" s="6" t="n"/>
      <c r="F1595" s="6" t="n"/>
      <c r="G1595" s="6" t="n"/>
      <c r="H1595" s="10">
        <f>IF(F1595="","",IFERROR(INDEX(Roster!$A$2:$A$600,MATCH(F1595,Roster!$E$2:$E$600,0)),""))</f>
        <v/>
      </c>
      <c r="I1595" s="10">
        <f>IF(AND(D1595="",C1595="",F1595=""),"",IF(G1595&lt;&gt;"","Void",IF(F1595="","Needs child",IF(H1595="","Child not found",IF(OR(B1595="",NOT(ISNUMBER(C1595))),"Needs month/pages","OK")))))</f>
        <v/>
      </c>
      <c r="J1595" s="10">
        <f>IF(I1595="","",IF(I1595="OK",IF(COUNTIFS(H1596:H$3001,H1595,B1596:B$3001,B1595,G1596:G$3001,"")=0,C1595,0),0))</f>
        <v/>
      </c>
    </row>
    <row r="1596">
      <c r="A1596" s="6" t="n"/>
      <c r="B1596" s="9" t="n"/>
      <c r="C1596" s="6" t="n"/>
      <c r="D1596" s="6" t="n"/>
      <c r="E1596" s="6" t="n"/>
      <c r="F1596" s="6" t="n"/>
      <c r="G1596" s="6" t="n"/>
      <c r="H1596" s="10">
        <f>IF(F1596="","",IFERROR(INDEX(Roster!$A$2:$A$600,MATCH(F1596,Roster!$E$2:$E$600,0)),""))</f>
        <v/>
      </c>
      <c r="I1596" s="10">
        <f>IF(AND(D1596="",C1596="",F1596=""),"",IF(G1596&lt;&gt;"","Void",IF(F1596="","Needs child",IF(H1596="","Child not found",IF(OR(B1596="",NOT(ISNUMBER(C1596))),"Needs month/pages","OK")))))</f>
        <v/>
      </c>
      <c r="J1596" s="10">
        <f>IF(I1596="","",IF(I1596="OK",IF(COUNTIFS(H1597:H$3001,H1596,B1597:B$3001,B1596,G1597:G$3001,"")=0,C1596,0),0))</f>
        <v/>
      </c>
    </row>
    <row r="1597">
      <c r="A1597" s="6" t="n"/>
      <c r="B1597" s="9" t="n"/>
      <c r="C1597" s="6" t="n"/>
      <c r="D1597" s="6" t="n"/>
      <c r="E1597" s="6" t="n"/>
      <c r="F1597" s="6" t="n"/>
      <c r="G1597" s="6" t="n"/>
      <c r="H1597" s="10">
        <f>IF(F1597="","",IFERROR(INDEX(Roster!$A$2:$A$600,MATCH(F1597,Roster!$E$2:$E$600,0)),""))</f>
        <v/>
      </c>
      <c r="I1597" s="10">
        <f>IF(AND(D1597="",C1597="",F1597=""),"",IF(G1597&lt;&gt;"","Void",IF(F1597="","Needs child",IF(H1597="","Child not found",IF(OR(B1597="",NOT(ISNUMBER(C1597))),"Needs month/pages","OK")))))</f>
        <v/>
      </c>
      <c r="J1597" s="10">
        <f>IF(I1597="","",IF(I1597="OK",IF(COUNTIFS(H1598:H$3001,H1597,B1598:B$3001,B1597,G1598:G$3001,"")=0,C1597,0),0))</f>
        <v/>
      </c>
    </row>
    <row r="1598">
      <c r="A1598" s="6" t="n"/>
      <c r="B1598" s="9" t="n"/>
      <c r="C1598" s="6" t="n"/>
      <c r="D1598" s="6" t="n"/>
      <c r="E1598" s="6" t="n"/>
      <c r="F1598" s="6" t="n"/>
      <c r="G1598" s="6" t="n"/>
      <c r="H1598" s="10">
        <f>IF(F1598="","",IFERROR(INDEX(Roster!$A$2:$A$600,MATCH(F1598,Roster!$E$2:$E$600,0)),""))</f>
        <v/>
      </c>
      <c r="I1598" s="10">
        <f>IF(AND(D1598="",C1598="",F1598=""),"",IF(G1598&lt;&gt;"","Void",IF(F1598="","Needs child",IF(H1598="","Child not found",IF(OR(B1598="",NOT(ISNUMBER(C1598))),"Needs month/pages","OK")))))</f>
        <v/>
      </c>
      <c r="J1598" s="10">
        <f>IF(I1598="","",IF(I1598="OK",IF(COUNTIFS(H1599:H$3001,H1598,B1599:B$3001,B1598,G1599:G$3001,"")=0,C1598,0),0))</f>
        <v/>
      </c>
    </row>
    <row r="1599">
      <c r="A1599" s="6" t="n"/>
      <c r="B1599" s="9" t="n"/>
      <c r="C1599" s="6" t="n"/>
      <c r="D1599" s="6" t="n"/>
      <c r="E1599" s="6" t="n"/>
      <c r="F1599" s="6" t="n"/>
      <c r="G1599" s="6" t="n"/>
      <c r="H1599" s="10">
        <f>IF(F1599="","",IFERROR(INDEX(Roster!$A$2:$A$600,MATCH(F1599,Roster!$E$2:$E$600,0)),""))</f>
        <v/>
      </c>
      <c r="I1599" s="10">
        <f>IF(AND(D1599="",C1599="",F1599=""),"",IF(G1599&lt;&gt;"","Void",IF(F1599="","Needs child",IF(H1599="","Child not found",IF(OR(B1599="",NOT(ISNUMBER(C1599))),"Needs month/pages","OK")))))</f>
        <v/>
      </c>
      <c r="J1599" s="10">
        <f>IF(I1599="","",IF(I1599="OK",IF(COUNTIFS(H1600:H$3001,H1599,B1600:B$3001,B1599,G1600:G$3001,"")=0,C1599,0),0))</f>
        <v/>
      </c>
    </row>
    <row r="1600">
      <c r="A1600" s="6" t="n"/>
      <c r="B1600" s="9" t="n"/>
      <c r="C1600" s="6" t="n"/>
      <c r="D1600" s="6" t="n"/>
      <c r="E1600" s="6" t="n"/>
      <c r="F1600" s="6" t="n"/>
      <c r="G1600" s="6" t="n"/>
      <c r="H1600" s="10">
        <f>IF(F1600="","",IFERROR(INDEX(Roster!$A$2:$A$600,MATCH(F1600,Roster!$E$2:$E$600,0)),""))</f>
        <v/>
      </c>
      <c r="I1600" s="10">
        <f>IF(AND(D1600="",C1600="",F1600=""),"",IF(G1600&lt;&gt;"","Void",IF(F1600="","Needs child",IF(H1600="","Child not found",IF(OR(B1600="",NOT(ISNUMBER(C1600))),"Needs month/pages","OK")))))</f>
        <v/>
      </c>
      <c r="J1600" s="10">
        <f>IF(I1600="","",IF(I1600="OK",IF(COUNTIFS(H1601:H$3001,H1600,B1601:B$3001,B1600,G1601:G$3001,"")=0,C1600,0),0))</f>
        <v/>
      </c>
    </row>
    <row r="1601">
      <c r="A1601" s="6" t="n"/>
      <c r="B1601" s="9" t="n"/>
      <c r="C1601" s="6" t="n"/>
      <c r="D1601" s="6" t="n"/>
      <c r="E1601" s="6" t="n"/>
      <c r="F1601" s="6" t="n"/>
      <c r="G1601" s="6" t="n"/>
      <c r="H1601" s="10">
        <f>IF(F1601="","",IFERROR(INDEX(Roster!$A$2:$A$600,MATCH(F1601,Roster!$E$2:$E$600,0)),""))</f>
        <v/>
      </c>
      <c r="I1601" s="10">
        <f>IF(AND(D1601="",C1601="",F1601=""),"",IF(G1601&lt;&gt;"","Void",IF(F1601="","Needs child",IF(H1601="","Child not found",IF(OR(B1601="",NOT(ISNUMBER(C1601))),"Needs month/pages","OK")))))</f>
        <v/>
      </c>
      <c r="J1601" s="10">
        <f>IF(I1601="","",IF(I1601="OK",IF(COUNTIFS(H1602:H$3001,H1601,B1602:B$3001,B1601,G1602:G$3001,"")=0,C1601,0),0))</f>
        <v/>
      </c>
    </row>
    <row r="1602">
      <c r="A1602" s="6" t="n"/>
      <c r="B1602" s="9" t="n"/>
      <c r="C1602" s="6" t="n"/>
      <c r="D1602" s="6" t="n"/>
      <c r="E1602" s="6" t="n"/>
      <c r="F1602" s="6" t="n"/>
      <c r="G1602" s="6" t="n"/>
      <c r="H1602" s="10">
        <f>IF(F1602="","",IFERROR(INDEX(Roster!$A$2:$A$600,MATCH(F1602,Roster!$E$2:$E$600,0)),""))</f>
        <v/>
      </c>
      <c r="I1602" s="10">
        <f>IF(AND(D1602="",C1602="",F1602=""),"",IF(G1602&lt;&gt;"","Void",IF(F1602="","Needs child",IF(H1602="","Child not found",IF(OR(B1602="",NOT(ISNUMBER(C1602))),"Needs month/pages","OK")))))</f>
        <v/>
      </c>
      <c r="J1602" s="10">
        <f>IF(I1602="","",IF(I1602="OK",IF(COUNTIFS(H1603:H$3001,H1602,B1603:B$3001,B1602,G1603:G$3001,"")=0,C1602,0),0))</f>
        <v/>
      </c>
    </row>
    <row r="1603">
      <c r="A1603" s="6" t="n"/>
      <c r="B1603" s="9" t="n"/>
      <c r="C1603" s="6" t="n"/>
      <c r="D1603" s="6" t="n"/>
      <c r="E1603" s="6" t="n"/>
      <c r="F1603" s="6" t="n"/>
      <c r="G1603" s="6" t="n"/>
      <c r="H1603" s="10">
        <f>IF(F1603="","",IFERROR(INDEX(Roster!$A$2:$A$600,MATCH(F1603,Roster!$E$2:$E$600,0)),""))</f>
        <v/>
      </c>
      <c r="I1603" s="10">
        <f>IF(AND(D1603="",C1603="",F1603=""),"",IF(G1603&lt;&gt;"","Void",IF(F1603="","Needs child",IF(H1603="","Child not found",IF(OR(B1603="",NOT(ISNUMBER(C1603))),"Needs month/pages","OK")))))</f>
        <v/>
      </c>
      <c r="J1603" s="10">
        <f>IF(I1603="","",IF(I1603="OK",IF(COUNTIFS(H1604:H$3001,H1603,B1604:B$3001,B1603,G1604:G$3001,"")=0,C1603,0),0))</f>
        <v/>
      </c>
    </row>
    <row r="1604">
      <c r="A1604" s="6" t="n"/>
      <c r="B1604" s="9" t="n"/>
      <c r="C1604" s="6" t="n"/>
      <c r="D1604" s="6" t="n"/>
      <c r="E1604" s="6" t="n"/>
      <c r="F1604" s="6" t="n"/>
      <c r="G1604" s="6" t="n"/>
      <c r="H1604" s="10">
        <f>IF(F1604="","",IFERROR(INDEX(Roster!$A$2:$A$600,MATCH(F1604,Roster!$E$2:$E$600,0)),""))</f>
        <v/>
      </c>
      <c r="I1604" s="10">
        <f>IF(AND(D1604="",C1604="",F1604=""),"",IF(G1604&lt;&gt;"","Void",IF(F1604="","Needs child",IF(H1604="","Child not found",IF(OR(B1604="",NOT(ISNUMBER(C1604))),"Needs month/pages","OK")))))</f>
        <v/>
      </c>
      <c r="J1604" s="10">
        <f>IF(I1604="","",IF(I1604="OK",IF(COUNTIFS(H1605:H$3001,H1604,B1605:B$3001,B1604,G1605:G$3001,"")=0,C1604,0),0))</f>
        <v/>
      </c>
    </row>
    <row r="1605">
      <c r="A1605" s="6" t="n"/>
      <c r="B1605" s="9" t="n"/>
      <c r="C1605" s="6" t="n"/>
      <c r="D1605" s="6" t="n"/>
      <c r="E1605" s="6" t="n"/>
      <c r="F1605" s="6" t="n"/>
      <c r="G1605" s="6" t="n"/>
      <c r="H1605" s="10">
        <f>IF(F1605="","",IFERROR(INDEX(Roster!$A$2:$A$600,MATCH(F1605,Roster!$E$2:$E$600,0)),""))</f>
        <v/>
      </c>
      <c r="I1605" s="10">
        <f>IF(AND(D1605="",C1605="",F1605=""),"",IF(G1605&lt;&gt;"","Void",IF(F1605="","Needs child",IF(H1605="","Child not found",IF(OR(B1605="",NOT(ISNUMBER(C1605))),"Needs month/pages","OK")))))</f>
        <v/>
      </c>
      <c r="J1605" s="10">
        <f>IF(I1605="","",IF(I1605="OK",IF(COUNTIFS(H1606:H$3001,H1605,B1606:B$3001,B1605,G1606:G$3001,"")=0,C1605,0),0))</f>
        <v/>
      </c>
    </row>
    <row r="1606">
      <c r="A1606" s="6" t="n"/>
      <c r="B1606" s="9" t="n"/>
      <c r="C1606" s="6" t="n"/>
      <c r="D1606" s="6" t="n"/>
      <c r="E1606" s="6" t="n"/>
      <c r="F1606" s="6" t="n"/>
      <c r="G1606" s="6" t="n"/>
      <c r="H1606" s="10">
        <f>IF(F1606="","",IFERROR(INDEX(Roster!$A$2:$A$600,MATCH(F1606,Roster!$E$2:$E$600,0)),""))</f>
        <v/>
      </c>
      <c r="I1606" s="10">
        <f>IF(AND(D1606="",C1606="",F1606=""),"",IF(G1606&lt;&gt;"","Void",IF(F1606="","Needs child",IF(H1606="","Child not found",IF(OR(B1606="",NOT(ISNUMBER(C1606))),"Needs month/pages","OK")))))</f>
        <v/>
      </c>
      <c r="J1606" s="10">
        <f>IF(I1606="","",IF(I1606="OK",IF(COUNTIFS(H1607:H$3001,H1606,B1607:B$3001,B1606,G1607:G$3001,"")=0,C1606,0),0))</f>
        <v/>
      </c>
    </row>
    <row r="1607">
      <c r="A1607" s="6" t="n"/>
      <c r="B1607" s="9" t="n"/>
      <c r="C1607" s="6" t="n"/>
      <c r="D1607" s="6" t="n"/>
      <c r="E1607" s="6" t="n"/>
      <c r="F1607" s="6" t="n"/>
      <c r="G1607" s="6" t="n"/>
      <c r="H1607" s="10">
        <f>IF(F1607="","",IFERROR(INDEX(Roster!$A$2:$A$600,MATCH(F1607,Roster!$E$2:$E$600,0)),""))</f>
        <v/>
      </c>
      <c r="I1607" s="10">
        <f>IF(AND(D1607="",C1607="",F1607=""),"",IF(G1607&lt;&gt;"","Void",IF(F1607="","Needs child",IF(H1607="","Child not found",IF(OR(B1607="",NOT(ISNUMBER(C1607))),"Needs month/pages","OK")))))</f>
        <v/>
      </c>
      <c r="J1607" s="10">
        <f>IF(I1607="","",IF(I1607="OK",IF(COUNTIFS(H1608:H$3001,H1607,B1608:B$3001,B1607,G1608:G$3001,"")=0,C1607,0),0))</f>
        <v/>
      </c>
    </row>
    <row r="1608">
      <c r="A1608" s="6" t="n"/>
      <c r="B1608" s="9" t="n"/>
      <c r="C1608" s="6" t="n"/>
      <c r="D1608" s="6" t="n"/>
      <c r="E1608" s="6" t="n"/>
      <c r="F1608" s="6" t="n"/>
      <c r="G1608" s="6" t="n"/>
      <c r="H1608" s="10">
        <f>IF(F1608="","",IFERROR(INDEX(Roster!$A$2:$A$600,MATCH(F1608,Roster!$E$2:$E$600,0)),""))</f>
        <v/>
      </c>
      <c r="I1608" s="10">
        <f>IF(AND(D1608="",C1608="",F1608=""),"",IF(G1608&lt;&gt;"","Void",IF(F1608="","Needs child",IF(H1608="","Child not found",IF(OR(B1608="",NOT(ISNUMBER(C1608))),"Needs month/pages","OK")))))</f>
        <v/>
      </c>
      <c r="J1608" s="10">
        <f>IF(I1608="","",IF(I1608="OK",IF(COUNTIFS(H1609:H$3001,H1608,B1609:B$3001,B1608,G1609:G$3001,"")=0,C1608,0),0))</f>
        <v/>
      </c>
    </row>
    <row r="1609">
      <c r="A1609" s="6" t="n"/>
      <c r="B1609" s="9" t="n"/>
      <c r="C1609" s="6" t="n"/>
      <c r="D1609" s="6" t="n"/>
      <c r="E1609" s="6" t="n"/>
      <c r="F1609" s="6" t="n"/>
      <c r="G1609" s="6" t="n"/>
      <c r="H1609" s="10">
        <f>IF(F1609="","",IFERROR(INDEX(Roster!$A$2:$A$600,MATCH(F1609,Roster!$E$2:$E$600,0)),""))</f>
        <v/>
      </c>
      <c r="I1609" s="10">
        <f>IF(AND(D1609="",C1609="",F1609=""),"",IF(G1609&lt;&gt;"","Void",IF(F1609="","Needs child",IF(H1609="","Child not found",IF(OR(B1609="",NOT(ISNUMBER(C1609))),"Needs month/pages","OK")))))</f>
        <v/>
      </c>
      <c r="J1609" s="10">
        <f>IF(I1609="","",IF(I1609="OK",IF(COUNTIFS(H1610:H$3001,H1609,B1610:B$3001,B1609,G1610:G$3001,"")=0,C1609,0),0))</f>
        <v/>
      </c>
    </row>
    <row r="1610">
      <c r="A1610" s="6" t="n"/>
      <c r="B1610" s="9" t="n"/>
      <c r="C1610" s="6" t="n"/>
      <c r="D1610" s="6" t="n"/>
      <c r="E1610" s="6" t="n"/>
      <c r="F1610" s="6" t="n"/>
      <c r="G1610" s="6" t="n"/>
      <c r="H1610" s="10">
        <f>IF(F1610="","",IFERROR(INDEX(Roster!$A$2:$A$600,MATCH(F1610,Roster!$E$2:$E$600,0)),""))</f>
        <v/>
      </c>
      <c r="I1610" s="10">
        <f>IF(AND(D1610="",C1610="",F1610=""),"",IF(G1610&lt;&gt;"","Void",IF(F1610="","Needs child",IF(H1610="","Child not found",IF(OR(B1610="",NOT(ISNUMBER(C1610))),"Needs month/pages","OK")))))</f>
        <v/>
      </c>
      <c r="J1610" s="10">
        <f>IF(I1610="","",IF(I1610="OK",IF(COUNTIFS(H1611:H$3001,H1610,B1611:B$3001,B1610,G1611:G$3001,"")=0,C1610,0),0))</f>
        <v/>
      </c>
    </row>
    <row r="1611">
      <c r="A1611" s="6" t="n"/>
      <c r="B1611" s="9" t="n"/>
      <c r="C1611" s="6" t="n"/>
      <c r="D1611" s="6" t="n"/>
      <c r="E1611" s="6" t="n"/>
      <c r="F1611" s="6" t="n"/>
      <c r="G1611" s="6" t="n"/>
      <c r="H1611" s="10">
        <f>IF(F1611="","",IFERROR(INDEX(Roster!$A$2:$A$600,MATCH(F1611,Roster!$E$2:$E$600,0)),""))</f>
        <v/>
      </c>
      <c r="I1611" s="10">
        <f>IF(AND(D1611="",C1611="",F1611=""),"",IF(G1611&lt;&gt;"","Void",IF(F1611="","Needs child",IF(H1611="","Child not found",IF(OR(B1611="",NOT(ISNUMBER(C1611))),"Needs month/pages","OK")))))</f>
        <v/>
      </c>
      <c r="J1611" s="10">
        <f>IF(I1611="","",IF(I1611="OK",IF(COUNTIFS(H1612:H$3001,H1611,B1612:B$3001,B1611,G1612:G$3001,"")=0,C1611,0),0))</f>
        <v/>
      </c>
    </row>
    <row r="1612">
      <c r="A1612" s="6" t="n"/>
      <c r="B1612" s="9" t="n"/>
      <c r="C1612" s="6" t="n"/>
      <c r="D1612" s="6" t="n"/>
      <c r="E1612" s="6" t="n"/>
      <c r="F1612" s="6" t="n"/>
      <c r="G1612" s="6" t="n"/>
      <c r="H1612" s="10">
        <f>IF(F1612="","",IFERROR(INDEX(Roster!$A$2:$A$600,MATCH(F1612,Roster!$E$2:$E$600,0)),""))</f>
        <v/>
      </c>
      <c r="I1612" s="10">
        <f>IF(AND(D1612="",C1612="",F1612=""),"",IF(G1612&lt;&gt;"","Void",IF(F1612="","Needs child",IF(H1612="","Child not found",IF(OR(B1612="",NOT(ISNUMBER(C1612))),"Needs month/pages","OK")))))</f>
        <v/>
      </c>
      <c r="J1612" s="10">
        <f>IF(I1612="","",IF(I1612="OK",IF(COUNTIFS(H1613:H$3001,H1612,B1613:B$3001,B1612,G1613:G$3001,"")=0,C1612,0),0))</f>
        <v/>
      </c>
    </row>
    <row r="1613">
      <c r="A1613" s="6" t="n"/>
      <c r="B1613" s="9" t="n"/>
      <c r="C1613" s="6" t="n"/>
      <c r="D1613" s="6" t="n"/>
      <c r="E1613" s="6" t="n"/>
      <c r="F1613" s="6" t="n"/>
      <c r="G1613" s="6" t="n"/>
      <c r="H1613" s="10">
        <f>IF(F1613="","",IFERROR(INDEX(Roster!$A$2:$A$600,MATCH(F1613,Roster!$E$2:$E$600,0)),""))</f>
        <v/>
      </c>
      <c r="I1613" s="10">
        <f>IF(AND(D1613="",C1613="",F1613=""),"",IF(G1613&lt;&gt;"","Void",IF(F1613="","Needs child",IF(H1613="","Child not found",IF(OR(B1613="",NOT(ISNUMBER(C1613))),"Needs month/pages","OK")))))</f>
        <v/>
      </c>
      <c r="J1613" s="10">
        <f>IF(I1613="","",IF(I1613="OK",IF(COUNTIFS(H1614:H$3001,H1613,B1614:B$3001,B1613,G1614:G$3001,"")=0,C1613,0),0))</f>
        <v/>
      </c>
    </row>
    <row r="1614">
      <c r="A1614" s="6" t="n"/>
      <c r="B1614" s="9" t="n"/>
      <c r="C1614" s="6" t="n"/>
      <c r="D1614" s="6" t="n"/>
      <c r="E1614" s="6" t="n"/>
      <c r="F1614" s="6" t="n"/>
      <c r="G1614" s="6" t="n"/>
      <c r="H1614" s="10">
        <f>IF(F1614="","",IFERROR(INDEX(Roster!$A$2:$A$600,MATCH(F1614,Roster!$E$2:$E$600,0)),""))</f>
        <v/>
      </c>
      <c r="I1614" s="10">
        <f>IF(AND(D1614="",C1614="",F1614=""),"",IF(G1614&lt;&gt;"","Void",IF(F1614="","Needs child",IF(H1614="","Child not found",IF(OR(B1614="",NOT(ISNUMBER(C1614))),"Needs month/pages","OK")))))</f>
        <v/>
      </c>
      <c r="J1614" s="10">
        <f>IF(I1614="","",IF(I1614="OK",IF(COUNTIFS(H1615:H$3001,H1614,B1615:B$3001,B1614,G1615:G$3001,"")=0,C1614,0),0))</f>
        <v/>
      </c>
    </row>
    <row r="1615">
      <c r="A1615" s="6" t="n"/>
      <c r="B1615" s="9" t="n"/>
      <c r="C1615" s="6" t="n"/>
      <c r="D1615" s="6" t="n"/>
      <c r="E1615" s="6" t="n"/>
      <c r="F1615" s="6" t="n"/>
      <c r="G1615" s="6" t="n"/>
      <c r="H1615" s="10">
        <f>IF(F1615="","",IFERROR(INDEX(Roster!$A$2:$A$600,MATCH(F1615,Roster!$E$2:$E$600,0)),""))</f>
        <v/>
      </c>
      <c r="I1615" s="10">
        <f>IF(AND(D1615="",C1615="",F1615=""),"",IF(G1615&lt;&gt;"","Void",IF(F1615="","Needs child",IF(H1615="","Child not found",IF(OR(B1615="",NOT(ISNUMBER(C1615))),"Needs month/pages","OK")))))</f>
        <v/>
      </c>
      <c r="J1615" s="10">
        <f>IF(I1615="","",IF(I1615="OK",IF(COUNTIFS(H1616:H$3001,H1615,B1616:B$3001,B1615,G1616:G$3001,"")=0,C1615,0),0))</f>
        <v/>
      </c>
    </row>
    <row r="1616">
      <c r="A1616" s="6" t="n"/>
      <c r="B1616" s="9" t="n"/>
      <c r="C1616" s="6" t="n"/>
      <c r="D1616" s="6" t="n"/>
      <c r="E1616" s="6" t="n"/>
      <c r="F1616" s="6" t="n"/>
      <c r="G1616" s="6" t="n"/>
      <c r="H1616" s="10">
        <f>IF(F1616="","",IFERROR(INDEX(Roster!$A$2:$A$600,MATCH(F1616,Roster!$E$2:$E$600,0)),""))</f>
        <v/>
      </c>
      <c r="I1616" s="10">
        <f>IF(AND(D1616="",C1616="",F1616=""),"",IF(G1616&lt;&gt;"","Void",IF(F1616="","Needs child",IF(H1616="","Child not found",IF(OR(B1616="",NOT(ISNUMBER(C1616))),"Needs month/pages","OK")))))</f>
        <v/>
      </c>
      <c r="J1616" s="10">
        <f>IF(I1616="","",IF(I1616="OK",IF(COUNTIFS(H1617:H$3001,H1616,B1617:B$3001,B1616,G1617:G$3001,"")=0,C1616,0),0))</f>
        <v/>
      </c>
    </row>
    <row r="1617">
      <c r="A1617" s="6" t="n"/>
      <c r="B1617" s="9" t="n"/>
      <c r="C1617" s="6" t="n"/>
      <c r="D1617" s="6" t="n"/>
      <c r="E1617" s="6" t="n"/>
      <c r="F1617" s="6" t="n"/>
      <c r="G1617" s="6" t="n"/>
      <c r="H1617" s="10">
        <f>IF(F1617="","",IFERROR(INDEX(Roster!$A$2:$A$600,MATCH(F1617,Roster!$E$2:$E$600,0)),""))</f>
        <v/>
      </c>
      <c r="I1617" s="10">
        <f>IF(AND(D1617="",C1617="",F1617=""),"",IF(G1617&lt;&gt;"","Void",IF(F1617="","Needs child",IF(H1617="","Child not found",IF(OR(B1617="",NOT(ISNUMBER(C1617))),"Needs month/pages","OK")))))</f>
        <v/>
      </c>
      <c r="J1617" s="10">
        <f>IF(I1617="","",IF(I1617="OK",IF(COUNTIFS(H1618:H$3001,H1617,B1618:B$3001,B1617,G1618:G$3001,"")=0,C1617,0),0))</f>
        <v/>
      </c>
    </row>
    <row r="1618">
      <c r="A1618" s="6" t="n"/>
      <c r="B1618" s="9" t="n"/>
      <c r="C1618" s="6" t="n"/>
      <c r="D1618" s="6" t="n"/>
      <c r="E1618" s="6" t="n"/>
      <c r="F1618" s="6" t="n"/>
      <c r="G1618" s="6" t="n"/>
      <c r="H1618" s="10">
        <f>IF(F1618="","",IFERROR(INDEX(Roster!$A$2:$A$600,MATCH(F1618,Roster!$E$2:$E$600,0)),""))</f>
        <v/>
      </c>
      <c r="I1618" s="10">
        <f>IF(AND(D1618="",C1618="",F1618=""),"",IF(G1618&lt;&gt;"","Void",IF(F1618="","Needs child",IF(H1618="","Child not found",IF(OR(B1618="",NOT(ISNUMBER(C1618))),"Needs month/pages","OK")))))</f>
        <v/>
      </c>
      <c r="J1618" s="10">
        <f>IF(I1618="","",IF(I1618="OK",IF(COUNTIFS(H1619:H$3001,H1618,B1619:B$3001,B1618,G1619:G$3001,"")=0,C1618,0),0))</f>
        <v/>
      </c>
    </row>
    <row r="1619">
      <c r="A1619" s="6" t="n"/>
      <c r="B1619" s="9" t="n"/>
      <c r="C1619" s="6" t="n"/>
      <c r="D1619" s="6" t="n"/>
      <c r="E1619" s="6" t="n"/>
      <c r="F1619" s="6" t="n"/>
      <c r="G1619" s="6" t="n"/>
      <c r="H1619" s="10">
        <f>IF(F1619="","",IFERROR(INDEX(Roster!$A$2:$A$600,MATCH(F1619,Roster!$E$2:$E$600,0)),""))</f>
        <v/>
      </c>
      <c r="I1619" s="10">
        <f>IF(AND(D1619="",C1619="",F1619=""),"",IF(G1619&lt;&gt;"","Void",IF(F1619="","Needs child",IF(H1619="","Child not found",IF(OR(B1619="",NOT(ISNUMBER(C1619))),"Needs month/pages","OK")))))</f>
        <v/>
      </c>
      <c r="J1619" s="10">
        <f>IF(I1619="","",IF(I1619="OK",IF(COUNTIFS(H1620:H$3001,H1619,B1620:B$3001,B1619,G1620:G$3001,"")=0,C1619,0),0))</f>
        <v/>
      </c>
    </row>
    <row r="1620">
      <c r="A1620" s="6" t="n"/>
      <c r="B1620" s="9" t="n"/>
      <c r="C1620" s="6" t="n"/>
      <c r="D1620" s="6" t="n"/>
      <c r="E1620" s="6" t="n"/>
      <c r="F1620" s="6" t="n"/>
      <c r="G1620" s="6" t="n"/>
      <c r="H1620" s="10">
        <f>IF(F1620="","",IFERROR(INDEX(Roster!$A$2:$A$600,MATCH(F1620,Roster!$E$2:$E$600,0)),""))</f>
        <v/>
      </c>
      <c r="I1620" s="10">
        <f>IF(AND(D1620="",C1620="",F1620=""),"",IF(G1620&lt;&gt;"","Void",IF(F1620="","Needs child",IF(H1620="","Child not found",IF(OR(B1620="",NOT(ISNUMBER(C1620))),"Needs month/pages","OK")))))</f>
        <v/>
      </c>
      <c r="J1620" s="10">
        <f>IF(I1620="","",IF(I1620="OK",IF(COUNTIFS(H1621:H$3001,H1620,B1621:B$3001,B1620,G1621:G$3001,"")=0,C1620,0),0))</f>
        <v/>
      </c>
    </row>
    <row r="1621">
      <c r="A1621" s="6" t="n"/>
      <c r="B1621" s="9" t="n"/>
      <c r="C1621" s="6" t="n"/>
      <c r="D1621" s="6" t="n"/>
      <c r="E1621" s="6" t="n"/>
      <c r="F1621" s="6" t="n"/>
      <c r="G1621" s="6" t="n"/>
      <c r="H1621" s="10">
        <f>IF(F1621="","",IFERROR(INDEX(Roster!$A$2:$A$600,MATCH(F1621,Roster!$E$2:$E$600,0)),""))</f>
        <v/>
      </c>
      <c r="I1621" s="10">
        <f>IF(AND(D1621="",C1621="",F1621=""),"",IF(G1621&lt;&gt;"","Void",IF(F1621="","Needs child",IF(H1621="","Child not found",IF(OR(B1621="",NOT(ISNUMBER(C1621))),"Needs month/pages","OK")))))</f>
        <v/>
      </c>
      <c r="J1621" s="10">
        <f>IF(I1621="","",IF(I1621="OK",IF(COUNTIFS(H1622:H$3001,H1621,B1622:B$3001,B1621,G1622:G$3001,"")=0,C1621,0),0))</f>
        <v/>
      </c>
    </row>
    <row r="1622">
      <c r="A1622" s="6" t="n"/>
      <c r="B1622" s="9" t="n"/>
      <c r="C1622" s="6" t="n"/>
      <c r="D1622" s="6" t="n"/>
      <c r="E1622" s="6" t="n"/>
      <c r="F1622" s="6" t="n"/>
      <c r="G1622" s="6" t="n"/>
      <c r="H1622" s="10">
        <f>IF(F1622="","",IFERROR(INDEX(Roster!$A$2:$A$600,MATCH(F1622,Roster!$E$2:$E$600,0)),""))</f>
        <v/>
      </c>
      <c r="I1622" s="10">
        <f>IF(AND(D1622="",C1622="",F1622=""),"",IF(G1622&lt;&gt;"","Void",IF(F1622="","Needs child",IF(H1622="","Child not found",IF(OR(B1622="",NOT(ISNUMBER(C1622))),"Needs month/pages","OK")))))</f>
        <v/>
      </c>
      <c r="J1622" s="10">
        <f>IF(I1622="","",IF(I1622="OK",IF(COUNTIFS(H1623:H$3001,H1622,B1623:B$3001,B1622,G1623:G$3001,"")=0,C1622,0),0))</f>
        <v/>
      </c>
    </row>
    <row r="1623">
      <c r="A1623" s="6" t="n"/>
      <c r="B1623" s="9" t="n"/>
      <c r="C1623" s="6" t="n"/>
      <c r="D1623" s="6" t="n"/>
      <c r="E1623" s="6" t="n"/>
      <c r="F1623" s="6" t="n"/>
      <c r="G1623" s="6" t="n"/>
      <c r="H1623" s="10">
        <f>IF(F1623="","",IFERROR(INDEX(Roster!$A$2:$A$600,MATCH(F1623,Roster!$E$2:$E$600,0)),""))</f>
        <v/>
      </c>
      <c r="I1623" s="10">
        <f>IF(AND(D1623="",C1623="",F1623=""),"",IF(G1623&lt;&gt;"","Void",IF(F1623="","Needs child",IF(H1623="","Child not found",IF(OR(B1623="",NOT(ISNUMBER(C1623))),"Needs month/pages","OK")))))</f>
        <v/>
      </c>
      <c r="J1623" s="10">
        <f>IF(I1623="","",IF(I1623="OK",IF(COUNTIFS(H1624:H$3001,H1623,B1624:B$3001,B1623,G1624:G$3001,"")=0,C1623,0),0))</f>
        <v/>
      </c>
    </row>
    <row r="1624">
      <c r="A1624" s="6" t="n"/>
      <c r="B1624" s="9" t="n"/>
      <c r="C1624" s="6" t="n"/>
      <c r="D1624" s="6" t="n"/>
      <c r="E1624" s="6" t="n"/>
      <c r="F1624" s="6" t="n"/>
      <c r="G1624" s="6" t="n"/>
      <c r="H1624" s="10">
        <f>IF(F1624="","",IFERROR(INDEX(Roster!$A$2:$A$600,MATCH(F1624,Roster!$E$2:$E$600,0)),""))</f>
        <v/>
      </c>
      <c r="I1624" s="10">
        <f>IF(AND(D1624="",C1624="",F1624=""),"",IF(G1624&lt;&gt;"","Void",IF(F1624="","Needs child",IF(H1624="","Child not found",IF(OR(B1624="",NOT(ISNUMBER(C1624))),"Needs month/pages","OK")))))</f>
        <v/>
      </c>
      <c r="J1624" s="10">
        <f>IF(I1624="","",IF(I1624="OK",IF(COUNTIFS(H1625:H$3001,H1624,B1625:B$3001,B1624,G1625:G$3001,"")=0,C1624,0),0))</f>
        <v/>
      </c>
    </row>
    <row r="1625">
      <c r="A1625" s="6" t="n"/>
      <c r="B1625" s="9" t="n"/>
      <c r="C1625" s="6" t="n"/>
      <c r="D1625" s="6" t="n"/>
      <c r="E1625" s="6" t="n"/>
      <c r="F1625" s="6" t="n"/>
      <c r="G1625" s="6" t="n"/>
      <c r="H1625" s="10">
        <f>IF(F1625="","",IFERROR(INDEX(Roster!$A$2:$A$600,MATCH(F1625,Roster!$E$2:$E$600,0)),""))</f>
        <v/>
      </c>
      <c r="I1625" s="10">
        <f>IF(AND(D1625="",C1625="",F1625=""),"",IF(G1625&lt;&gt;"","Void",IF(F1625="","Needs child",IF(H1625="","Child not found",IF(OR(B1625="",NOT(ISNUMBER(C1625))),"Needs month/pages","OK")))))</f>
        <v/>
      </c>
      <c r="J1625" s="10">
        <f>IF(I1625="","",IF(I1625="OK",IF(COUNTIFS(H1626:H$3001,H1625,B1626:B$3001,B1625,G1626:G$3001,"")=0,C1625,0),0))</f>
        <v/>
      </c>
    </row>
    <row r="1626">
      <c r="A1626" s="6" t="n"/>
      <c r="B1626" s="9" t="n"/>
      <c r="C1626" s="6" t="n"/>
      <c r="D1626" s="6" t="n"/>
      <c r="E1626" s="6" t="n"/>
      <c r="F1626" s="6" t="n"/>
      <c r="G1626" s="6" t="n"/>
      <c r="H1626" s="10">
        <f>IF(F1626="","",IFERROR(INDEX(Roster!$A$2:$A$600,MATCH(F1626,Roster!$E$2:$E$600,0)),""))</f>
        <v/>
      </c>
      <c r="I1626" s="10">
        <f>IF(AND(D1626="",C1626="",F1626=""),"",IF(G1626&lt;&gt;"","Void",IF(F1626="","Needs child",IF(H1626="","Child not found",IF(OR(B1626="",NOT(ISNUMBER(C1626))),"Needs month/pages","OK")))))</f>
        <v/>
      </c>
      <c r="J1626" s="10">
        <f>IF(I1626="","",IF(I1626="OK",IF(COUNTIFS(H1627:H$3001,H1626,B1627:B$3001,B1626,G1627:G$3001,"")=0,C1626,0),0))</f>
        <v/>
      </c>
    </row>
    <row r="1627">
      <c r="A1627" s="6" t="n"/>
      <c r="B1627" s="9" t="n"/>
      <c r="C1627" s="6" t="n"/>
      <c r="D1627" s="6" t="n"/>
      <c r="E1627" s="6" t="n"/>
      <c r="F1627" s="6" t="n"/>
      <c r="G1627" s="6" t="n"/>
      <c r="H1627" s="10">
        <f>IF(F1627="","",IFERROR(INDEX(Roster!$A$2:$A$600,MATCH(F1627,Roster!$E$2:$E$600,0)),""))</f>
        <v/>
      </c>
      <c r="I1627" s="10">
        <f>IF(AND(D1627="",C1627="",F1627=""),"",IF(G1627&lt;&gt;"","Void",IF(F1627="","Needs child",IF(H1627="","Child not found",IF(OR(B1627="",NOT(ISNUMBER(C1627))),"Needs month/pages","OK")))))</f>
        <v/>
      </c>
      <c r="J1627" s="10">
        <f>IF(I1627="","",IF(I1627="OK",IF(COUNTIFS(H1628:H$3001,H1627,B1628:B$3001,B1627,G1628:G$3001,"")=0,C1627,0),0))</f>
        <v/>
      </c>
    </row>
    <row r="1628">
      <c r="A1628" s="6" t="n"/>
      <c r="B1628" s="9" t="n"/>
      <c r="C1628" s="6" t="n"/>
      <c r="D1628" s="6" t="n"/>
      <c r="E1628" s="6" t="n"/>
      <c r="F1628" s="6" t="n"/>
      <c r="G1628" s="6" t="n"/>
      <c r="H1628" s="10">
        <f>IF(F1628="","",IFERROR(INDEX(Roster!$A$2:$A$600,MATCH(F1628,Roster!$E$2:$E$600,0)),""))</f>
        <v/>
      </c>
      <c r="I1628" s="10">
        <f>IF(AND(D1628="",C1628="",F1628=""),"",IF(G1628&lt;&gt;"","Void",IF(F1628="","Needs child",IF(H1628="","Child not found",IF(OR(B1628="",NOT(ISNUMBER(C1628))),"Needs month/pages","OK")))))</f>
        <v/>
      </c>
      <c r="J1628" s="10">
        <f>IF(I1628="","",IF(I1628="OK",IF(COUNTIFS(H1629:H$3001,H1628,B1629:B$3001,B1628,G1629:G$3001,"")=0,C1628,0),0))</f>
        <v/>
      </c>
    </row>
    <row r="1629">
      <c r="A1629" s="6" t="n"/>
      <c r="B1629" s="9" t="n"/>
      <c r="C1629" s="6" t="n"/>
      <c r="D1629" s="6" t="n"/>
      <c r="E1629" s="6" t="n"/>
      <c r="F1629" s="6" t="n"/>
      <c r="G1629" s="6" t="n"/>
      <c r="H1629" s="10">
        <f>IF(F1629="","",IFERROR(INDEX(Roster!$A$2:$A$600,MATCH(F1629,Roster!$E$2:$E$600,0)),""))</f>
        <v/>
      </c>
      <c r="I1629" s="10">
        <f>IF(AND(D1629="",C1629="",F1629=""),"",IF(G1629&lt;&gt;"","Void",IF(F1629="","Needs child",IF(H1629="","Child not found",IF(OR(B1629="",NOT(ISNUMBER(C1629))),"Needs month/pages","OK")))))</f>
        <v/>
      </c>
      <c r="J1629" s="10">
        <f>IF(I1629="","",IF(I1629="OK",IF(COUNTIFS(H1630:H$3001,H1629,B1630:B$3001,B1629,G1630:G$3001,"")=0,C1629,0),0))</f>
        <v/>
      </c>
    </row>
    <row r="1630">
      <c r="A1630" s="6" t="n"/>
      <c r="B1630" s="9" t="n"/>
      <c r="C1630" s="6" t="n"/>
      <c r="D1630" s="6" t="n"/>
      <c r="E1630" s="6" t="n"/>
      <c r="F1630" s="6" t="n"/>
      <c r="G1630" s="6" t="n"/>
      <c r="H1630" s="10">
        <f>IF(F1630="","",IFERROR(INDEX(Roster!$A$2:$A$600,MATCH(F1630,Roster!$E$2:$E$600,0)),""))</f>
        <v/>
      </c>
      <c r="I1630" s="10">
        <f>IF(AND(D1630="",C1630="",F1630=""),"",IF(G1630&lt;&gt;"","Void",IF(F1630="","Needs child",IF(H1630="","Child not found",IF(OR(B1630="",NOT(ISNUMBER(C1630))),"Needs month/pages","OK")))))</f>
        <v/>
      </c>
      <c r="J1630" s="10">
        <f>IF(I1630="","",IF(I1630="OK",IF(COUNTIFS(H1631:H$3001,H1630,B1631:B$3001,B1630,G1631:G$3001,"")=0,C1630,0),0))</f>
        <v/>
      </c>
    </row>
    <row r="1631">
      <c r="A1631" s="6" t="n"/>
      <c r="B1631" s="9" t="n"/>
      <c r="C1631" s="6" t="n"/>
      <c r="D1631" s="6" t="n"/>
      <c r="E1631" s="6" t="n"/>
      <c r="F1631" s="6" t="n"/>
      <c r="G1631" s="6" t="n"/>
      <c r="H1631" s="10">
        <f>IF(F1631="","",IFERROR(INDEX(Roster!$A$2:$A$600,MATCH(F1631,Roster!$E$2:$E$600,0)),""))</f>
        <v/>
      </c>
      <c r="I1631" s="10">
        <f>IF(AND(D1631="",C1631="",F1631=""),"",IF(G1631&lt;&gt;"","Void",IF(F1631="","Needs child",IF(H1631="","Child not found",IF(OR(B1631="",NOT(ISNUMBER(C1631))),"Needs month/pages","OK")))))</f>
        <v/>
      </c>
      <c r="J1631" s="10">
        <f>IF(I1631="","",IF(I1631="OK",IF(COUNTIFS(H1632:H$3001,H1631,B1632:B$3001,B1631,G1632:G$3001,"")=0,C1631,0),0))</f>
        <v/>
      </c>
    </row>
    <row r="1632">
      <c r="A1632" s="6" t="n"/>
      <c r="B1632" s="9" t="n"/>
      <c r="C1632" s="6" t="n"/>
      <c r="D1632" s="6" t="n"/>
      <c r="E1632" s="6" t="n"/>
      <c r="F1632" s="6" t="n"/>
      <c r="G1632" s="6" t="n"/>
      <c r="H1632" s="10">
        <f>IF(F1632="","",IFERROR(INDEX(Roster!$A$2:$A$600,MATCH(F1632,Roster!$E$2:$E$600,0)),""))</f>
        <v/>
      </c>
      <c r="I1632" s="10">
        <f>IF(AND(D1632="",C1632="",F1632=""),"",IF(G1632&lt;&gt;"","Void",IF(F1632="","Needs child",IF(H1632="","Child not found",IF(OR(B1632="",NOT(ISNUMBER(C1632))),"Needs month/pages","OK")))))</f>
        <v/>
      </c>
      <c r="J1632" s="10">
        <f>IF(I1632="","",IF(I1632="OK",IF(COUNTIFS(H1633:H$3001,H1632,B1633:B$3001,B1632,G1633:G$3001,"")=0,C1632,0),0))</f>
        <v/>
      </c>
    </row>
    <row r="1633">
      <c r="A1633" s="6" t="n"/>
      <c r="B1633" s="9" t="n"/>
      <c r="C1633" s="6" t="n"/>
      <c r="D1633" s="6" t="n"/>
      <c r="E1633" s="6" t="n"/>
      <c r="F1633" s="6" t="n"/>
      <c r="G1633" s="6" t="n"/>
      <c r="H1633" s="10">
        <f>IF(F1633="","",IFERROR(INDEX(Roster!$A$2:$A$600,MATCH(F1633,Roster!$E$2:$E$600,0)),""))</f>
        <v/>
      </c>
      <c r="I1633" s="10">
        <f>IF(AND(D1633="",C1633="",F1633=""),"",IF(G1633&lt;&gt;"","Void",IF(F1633="","Needs child",IF(H1633="","Child not found",IF(OR(B1633="",NOT(ISNUMBER(C1633))),"Needs month/pages","OK")))))</f>
        <v/>
      </c>
      <c r="J1633" s="10">
        <f>IF(I1633="","",IF(I1633="OK",IF(COUNTIFS(H1634:H$3001,H1633,B1634:B$3001,B1633,G1634:G$3001,"")=0,C1633,0),0))</f>
        <v/>
      </c>
    </row>
    <row r="1634">
      <c r="A1634" s="6" t="n"/>
      <c r="B1634" s="9" t="n"/>
      <c r="C1634" s="6" t="n"/>
      <c r="D1634" s="6" t="n"/>
      <c r="E1634" s="6" t="n"/>
      <c r="F1634" s="6" t="n"/>
      <c r="G1634" s="6" t="n"/>
      <c r="H1634" s="10">
        <f>IF(F1634="","",IFERROR(INDEX(Roster!$A$2:$A$600,MATCH(F1634,Roster!$E$2:$E$600,0)),""))</f>
        <v/>
      </c>
      <c r="I1634" s="10">
        <f>IF(AND(D1634="",C1634="",F1634=""),"",IF(G1634&lt;&gt;"","Void",IF(F1634="","Needs child",IF(H1634="","Child not found",IF(OR(B1634="",NOT(ISNUMBER(C1634))),"Needs month/pages","OK")))))</f>
        <v/>
      </c>
      <c r="J1634" s="10">
        <f>IF(I1634="","",IF(I1634="OK",IF(COUNTIFS(H1635:H$3001,H1634,B1635:B$3001,B1634,G1635:G$3001,"")=0,C1634,0),0))</f>
        <v/>
      </c>
    </row>
    <row r="1635">
      <c r="A1635" s="6" t="n"/>
      <c r="B1635" s="9" t="n"/>
      <c r="C1635" s="6" t="n"/>
      <c r="D1635" s="6" t="n"/>
      <c r="E1635" s="6" t="n"/>
      <c r="F1635" s="6" t="n"/>
      <c r="G1635" s="6" t="n"/>
      <c r="H1635" s="10">
        <f>IF(F1635="","",IFERROR(INDEX(Roster!$A$2:$A$600,MATCH(F1635,Roster!$E$2:$E$600,0)),""))</f>
        <v/>
      </c>
      <c r="I1635" s="10">
        <f>IF(AND(D1635="",C1635="",F1635=""),"",IF(G1635&lt;&gt;"","Void",IF(F1635="","Needs child",IF(H1635="","Child not found",IF(OR(B1635="",NOT(ISNUMBER(C1635))),"Needs month/pages","OK")))))</f>
        <v/>
      </c>
      <c r="J1635" s="10">
        <f>IF(I1635="","",IF(I1635="OK",IF(COUNTIFS(H1636:H$3001,H1635,B1636:B$3001,B1635,G1636:G$3001,"")=0,C1635,0),0))</f>
        <v/>
      </c>
    </row>
    <row r="1636">
      <c r="A1636" s="6" t="n"/>
      <c r="B1636" s="9" t="n"/>
      <c r="C1636" s="6" t="n"/>
      <c r="D1636" s="6" t="n"/>
      <c r="E1636" s="6" t="n"/>
      <c r="F1636" s="6" t="n"/>
      <c r="G1636" s="6" t="n"/>
      <c r="H1636" s="10">
        <f>IF(F1636="","",IFERROR(INDEX(Roster!$A$2:$A$600,MATCH(F1636,Roster!$E$2:$E$600,0)),""))</f>
        <v/>
      </c>
      <c r="I1636" s="10">
        <f>IF(AND(D1636="",C1636="",F1636=""),"",IF(G1636&lt;&gt;"","Void",IF(F1636="","Needs child",IF(H1636="","Child not found",IF(OR(B1636="",NOT(ISNUMBER(C1636))),"Needs month/pages","OK")))))</f>
        <v/>
      </c>
      <c r="J1636" s="10">
        <f>IF(I1636="","",IF(I1636="OK",IF(COUNTIFS(H1637:H$3001,H1636,B1637:B$3001,B1636,G1637:G$3001,"")=0,C1636,0),0))</f>
        <v/>
      </c>
    </row>
    <row r="1637">
      <c r="A1637" s="6" t="n"/>
      <c r="B1637" s="9" t="n"/>
      <c r="C1637" s="6" t="n"/>
      <c r="D1637" s="6" t="n"/>
      <c r="E1637" s="6" t="n"/>
      <c r="F1637" s="6" t="n"/>
      <c r="G1637" s="6" t="n"/>
      <c r="H1637" s="10">
        <f>IF(F1637="","",IFERROR(INDEX(Roster!$A$2:$A$600,MATCH(F1637,Roster!$E$2:$E$600,0)),""))</f>
        <v/>
      </c>
      <c r="I1637" s="10">
        <f>IF(AND(D1637="",C1637="",F1637=""),"",IF(G1637&lt;&gt;"","Void",IF(F1637="","Needs child",IF(H1637="","Child not found",IF(OR(B1637="",NOT(ISNUMBER(C1637))),"Needs month/pages","OK")))))</f>
        <v/>
      </c>
      <c r="J1637" s="10">
        <f>IF(I1637="","",IF(I1637="OK",IF(COUNTIFS(H1638:H$3001,H1637,B1638:B$3001,B1637,G1638:G$3001,"")=0,C1637,0),0))</f>
        <v/>
      </c>
    </row>
    <row r="1638">
      <c r="A1638" s="6" t="n"/>
      <c r="B1638" s="9" t="n"/>
      <c r="C1638" s="6" t="n"/>
      <c r="D1638" s="6" t="n"/>
      <c r="E1638" s="6" t="n"/>
      <c r="F1638" s="6" t="n"/>
      <c r="G1638" s="6" t="n"/>
      <c r="H1638" s="10">
        <f>IF(F1638="","",IFERROR(INDEX(Roster!$A$2:$A$600,MATCH(F1638,Roster!$E$2:$E$600,0)),""))</f>
        <v/>
      </c>
      <c r="I1638" s="10">
        <f>IF(AND(D1638="",C1638="",F1638=""),"",IF(G1638&lt;&gt;"","Void",IF(F1638="","Needs child",IF(H1638="","Child not found",IF(OR(B1638="",NOT(ISNUMBER(C1638))),"Needs month/pages","OK")))))</f>
        <v/>
      </c>
      <c r="J1638" s="10">
        <f>IF(I1638="","",IF(I1638="OK",IF(COUNTIFS(H1639:H$3001,H1638,B1639:B$3001,B1638,G1639:G$3001,"")=0,C1638,0),0))</f>
        <v/>
      </c>
    </row>
    <row r="1639">
      <c r="A1639" s="6" t="n"/>
      <c r="B1639" s="9" t="n"/>
      <c r="C1639" s="6" t="n"/>
      <c r="D1639" s="6" t="n"/>
      <c r="E1639" s="6" t="n"/>
      <c r="F1639" s="6" t="n"/>
      <c r="G1639" s="6" t="n"/>
      <c r="H1639" s="10">
        <f>IF(F1639="","",IFERROR(INDEX(Roster!$A$2:$A$600,MATCH(F1639,Roster!$E$2:$E$600,0)),""))</f>
        <v/>
      </c>
      <c r="I1639" s="10">
        <f>IF(AND(D1639="",C1639="",F1639=""),"",IF(G1639&lt;&gt;"","Void",IF(F1639="","Needs child",IF(H1639="","Child not found",IF(OR(B1639="",NOT(ISNUMBER(C1639))),"Needs month/pages","OK")))))</f>
        <v/>
      </c>
      <c r="J1639" s="10">
        <f>IF(I1639="","",IF(I1639="OK",IF(COUNTIFS(H1640:H$3001,H1639,B1640:B$3001,B1639,G1640:G$3001,"")=0,C1639,0),0))</f>
        <v/>
      </c>
    </row>
    <row r="1640">
      <c r="A1640" s="6" t="n"/>
      <c r="B1640" s="9" t="n"/>
      <c r="C1640" s="6" t="n"/>
      <c r="D1640" s="6" t="n"/>
      <c r="E1640" s="6" t="n"/>
      <c r="F1640" s="6" t="n"/>
      <c r="G1640" s="6" t="n"/>
      <c r="H1640" s="10">
        <f>IF(F1640="","",IFERROR(INDEX(Roster!$A$2:$A$600,MATCH(F1640,Roster!$E$2:$E$600,0)),""))</f>
        <v/>
      </c>
      <c r="I1640" s="10">
        <f>IF(AND(D1640="",C1640="",F1640=""),"",IF(G1640&lt;&gt;"","Void",IF(F1640="","Needs child",IF(H1640="","Child not found",IF(OR(B1640="",NOT(ISNUMBER(C1640))),"Needs month/pages","OK")))))</f>
        <v/>
      </c>
      <c r="J1640" s="10">
        <f>IF(I1640="","",IF(I1640="OK",IF(COUNTIFS(H1641:H$3001,H1640,B1641:B$3001,B1640,G1641:G$3001,"")=0,C1640,0),0))</f>
        <v/>
      </c>
    </row>
    <row r="1641">
      <c r="A1641" s="6" t="n"/>
      <c r="B1641" s="9" t="n"/>
      <c r="C1641" s="6" t="n"/>
      <c r="D1641" s="6" t="n"/>
      <c r="E1641" s="6" t="n"/>
      <c r="F1641" s="6" t="n"/>
      <c r="G1641" s="6" t="n"/>
      <c r="H1641" s="10">
        <f>IF(F1641="","",IFERROR(INDEX(Roster!$A$2:$A$600,MATCH(F1641,Roster!$E$2:$E$600,0)),""))</f>
        <v/>
      </c>
      <c r="I1641" s="10">
        <f>IF(AND(D1641="",C1641="",F1641=""),"",IF(G1641&lt;&gt;"","Void",IF(F1641="","Needs child",IF(H1641="","Child not found",IF(OR(B1641="",NOT(ISNUMBER(C1641))),"Needs month/pages","OK")))))</f>
        <v/>
      </c>
      <c r="J1641" s="10">
        <f>IF(I1641="","",IF(I1641="OK",IF(COUNTIFS(H1642:H$3001,H1641,B1642:B$3001,B1641,G1642:G$3001,"")=0,C1641,0),0))</f>
        <v/>
      </c>
    </row>
    <row r="1642">
      <c r="A1642" s="6" t="n"/>
      <c r="B1642" s="9" t="n"/>
      <c r="C1642" s="6" t="n"/>
      <c r="D1642" s="6" t="n"/>
      <c r="E1642" s="6" t="n"/>
      <c r="F1642" s="6" t="n"/>
      <c r="G1642" s="6" t="n"/>
      <c r="H1642" s="10">
        <f>IF(F1642="","",IFERROR(INDEX(Roster!$A$2:$A$600,MATCH(F1642,Roster!$E$2:$E$600,0)),""))</f>
        <v/>
      </c>
      <c r="I1642" s="10">
        <f>IF(AND(D1642="",C1642="",F1642=""),"",IF(G1642&lt;&gt;"","Void",IF(F1642="","Needs child",IF(H1642="","Child not found",IF(OR(B1642="",NOT(ISNUMBER(C1642))),"Needs month/pages","OK")))))</f>
        <v/>
      </c>
      <c r="J1642" s="10">
        <f>IF(I1642="","",IF(I1642="OK",IF(COUNTIFS(H1643:H$3001,H1642,B1643:B$3001,B1642,G1643:G$3001,"")=0,C1642,0),0))</f>
        <v/>
      </c>
    </row>
    <row r="1643">
      <c r="A1643" s="6" t="n"/>
      <c r="B1643" s="9" t="n"/>
      <c r="C1643" s="6" t="n"/>
      <c r="D1643" s="6" t="n"/>
      <c r="E1643" s="6" t="n"/>
      <c r="F1643" s="6" t="n"/>
      <c r="G1643" s="6" t="n"/>
      <c r="H1643" s="10">
        <f>IF(F1643="","",IFERROR(INDEX(Roster!$A$2:$A$600,MATCH(F1643,Roster!$E$2:$E$600,0)),""))</f>
        <v/>
      </c>
      <c r="I1643" s="10">
        <f>IF(AND(D1643="",C1643="",F1643=""),"",IF(G1643&lt;&gt;"","Void",IF(F1643="","Needs child",IF(H1643="","Child not found",IF(OR(B1643="",NOT(ISNUMBER(C1643))),"Needs month/pages","OK")))))</f>
        <v/>
      </c>
      <c r="J1643" s="10">
        <f>IF(I1643="","",IF(I1643="OK",IF(COUNTIFS(H1644:H$3001,H1643,B1644:B$3001,B1643,G1644:G$3001,"")=0,C1643,0),0))</f>
        <v/>
      </c>
    </row>
    <row r="1644">
      <c r="A1644" s="6" t="n"/>
      <c r="B1644" s="9" t="n"/>
      <c r="C1644" s="6" t="n"/>
      <c r="D1644" s="6" t="n"/>
      <c r="E1644" s="6" t="n"/>
      <c r="F1644" s="6" t="n"/>
      <c r="G1644" s="6" t="n"/>
      <c r="H1644" s="10">
        <f>IF(F1644="","",IFERROR(INDEX(Roster!$A$2:$A$600,MATCH(F1644,Roster!$E$2:$E$600,0)),""))</f>
        <v/>
      </c>
      <c r="I1644" s="10">
        <f>IF(AND(D1644="",C1644="",F1644=""),"",IF(G1644&lt;&gt;"","Void",IF(F1644="","Needs child",IF(H1644="","Child not found",IF(OR(B1644="",NOT(ISNUMBER(C1644))),"Needs month/pages","OK")))))</f>
        <v/>
      </c>
      <c r="J1644" s="10">
        <f>IF(I1644="","",IF(I1644="OK",IF(COUNTIFS(H1645:H$3001,H1644,B1645:B$3001,B1644,G1645:G$3001,"")=0,C1644,0),0))</f>
        <v/>
      </c>
    </row>
    <row r="1645">
      <c r="A1645" s="6" t="n"/>
      <c r="B1645" s="9" t="n"/>
      <c r="C1645" s="6" t="n"/>
      <c r="D1645" s="6" t="n"/>
      <c r="E1645" s="6" t="n"/>
      <c r="F1645" s="6" t="n"/>
      <c r="G1645" s="6" t="n"/>
      <c r="H1645" s="10">
        <f>IF(F1645="","",IFERROR(INDEX(Roster!$A$2:$A$600,MATCH(F1645,Roster!$E$2:$E$600,0)),""))</f>
        <v/>
      </c>
      <c r="I1645" s="10">
        <f>IF(AND(D1645="",C1645="",F1645=""),"",IF(G1645&lt;&gt;"","Void",IF(F1645="","Needs child",IF(H1645="","Child not found",IF(OR(B1645="",NOT(ISNUMBER(C1645))),"Needs month/pages","OK")))))</f>
        <v/>
      </c>
      <c r="J1645" s="10">
        <f>IF(I1645="","",IF(I1645="OK",IF(COUNTIFS(H1646:H$3001,H1645,B1646:B$3001,B1645,G1646:G$3001,"")=0,C1645,0),0))</f>
        <v/>
      </c>
    </row>
    <row r="1646">
      <c r="A1646" s="6" t="n"/>
      <c r="B1646" s="9" t="n"/>
      <c r="C1646" s="6" t="n"/>
      <c r="D1646" s="6" t="n"/>
      <c r="E1646" s="6" t="n"/>
      <c r="F1646" s="6" t="n"/>
      <c r="G1646" s="6" t="n"/>
      <c r="H1646" s="10">
        <f>IF(F1646="","",IFERROR(INDEX(Roster!$A$2:$A$600,MATCH(F1646,Roster!$E$2:$E$600,0)),""))</f>
        <v/>
      </c>
      <c r="I1646" s="10">
        <f>IF(AND(D1646="",C1646="",F1646=""),"",IF(G1646&lt;&gt;"","Void",IF(F1646="","Needs child",IF(H1646="","Child not found",IF(OR(B1646="",NOT(ISNUMBER(C1646))),"Needs month/pages","OK")))))</f>
        <v/>
      </c>
      <c r="J1646" s="10">
        <f>IF(I1646="","",IF(I1646="OK",IF(COUNTIFS(H1647:H$3001,H1646,B1647:B$3001,B1646,G1647:G$3001,"")=0,C1646,0),0))</f>
        <v/>
      </c>
    </row>
    <row r="1647">
      <c r="A1647" s="6" t="n"/>
      <c r="B1647" s="9" t="n"/>
      <c r="C1647" s="6" t="n"/>
      <c r="D1647" s="6" t="n"/>
      <c r="E1647" s="6" t="n"/>
      <c r="F1647" s="6" t="n"/>
      <c r="G1647" s="6" t="n"/>
      <c r="H1647" s="10">
        <f>IF(F1647="","",IFERROR(INDEX(Roster!$A$2:$A$600,MATCH(F1647,Roster!$E$2:$E$600,0)),""))</f>
        <v/>
      </c>
      <c r="I1647" s="10">
        <f>IF(AND(D1647="",C1647="",F1647=""),"",IF(G1647&lt;&gt;"","Void",IF(F1647="","Needs child",IF(H1647="","Child not found",IF(OR(B1647="",NOT(ISNUMBER(C1647))),"Needs month/pages","OK")))))</f>
        <v/>
      </c>
      <c r="J1647" s="10">
        <f>IF(I1647="","",IF(I1647="OK",IF(COUNTIFS(H1648:H$3001,H1647,B1648:B$3001,B1647,G1648:G$3001,"")=0,C1647,0),0))</f>
        <v/>
      </c>
    </row>
    <row r="1648">
      <c r="A1648" s="6" t="n"/>
      <c r="B1648" s="9" t="n"/>
      <c r="C1648" s="6" t="n"/>
      <c r="D1648" s="6" t="n"/>
      <c r="E1648" s="6" t="n"/>
      <c r="F1648" s="6" t="n"/>
      <c r="G1648" s="6" t="n"/>
      <c r="H1648" s="10">
        <f>IF(F1648="","",IFERROR(INDEX(Roster!$A$2:$A$600,MATCH(F1648,Roster!$E$2:$E$600,0)),""))</f>
        <v/>
      </c>
      <c r="I1648" s="10">
        <f>IF(AND(D1648="",C1648="",F1648=""),"",IF(G1648&lt;&gt;"","Void",IF(F1648="","Needs child",IF(H1648="","Child not found",IF(OR(B1648="",NOT(ISNUMBER(C1648))),"Needs month/pages","OK")))))</f>
        <v/>
      </c>
      <c r="J1648" s="10">
        <f>IF(I1648="","",IF(I1648="OK",IF(COUNTIFS(H1649:H$3001,H1648,B1649:B$3001,B1648,G1649:G$3001,"")=0,C1648,0),0))</f>
        <v/>
      </c>
    </row>
    <row r="1649">
      <c r="A1649" s="6" t="n"/>
      <c r="B1649" s="9" t="n"/>
      <c r="C1649" s="6" t="n"/>
      <c r="D1649" s="6" t="n"/>
      <c r="E1649" s="6" t="n"/>
      <c r="F1649" s="6" t="n"/>
      <c r="G1649" s="6" t="n"/>
      <c r="H1649" s="10">
        <f>IF(F1649="","",IFERROR(INDEX(Roster!$A$2:$A$600,MATCH(F1649,Roster!$E$2:$E$600,0)),""))</f>
        <v/>
      </c>
      <c r="I1649" s="10">
        <f>IF(AND(D1649="",C1649="",F1649=""),"",IF(G1649&lt;&gt;"","Void",IF(F1649="","Needs child",IF(H1649="","Child not found",IF(OR(B1649="",NOT(ISNUMBER(C1649))),"Needs month/pages","OK")))))</f>
        <v/>
      </c>
      <c r="J1649" s="10">
        <f>IF(I1649="","",IF(I1649="OK",IF(COUNTIFS(H1650:H$3001,H1649,B1650:B$3001,B1649,G1650:G$3001,"")=0,C1649,0),0))</f>
        <v/>
      </c>
    </row>
    <row r="1650">
      <c r="A1650" s="6" t="n"/>
      <c r="B1650" s="9" t="n"/>
      <c r="C1650" s="6" t="n"/>
      <c r="D1650" s="6" t="n"/>
      <c r="E1650" s="6" t="n"/>
      <c r="F1650" s="6" t="n"/>
      <c r="G1650" s="6" t="n"/>
      <c r="H1650" s="10">
        <f>IF(F1650="","",IFERROR(INDEX(Roster!$A$2:$A$600,MATCH(F1650,Roster!$E$2:$E$600,0)),""))</f>
        <v/>
      </c>
      <c r="I1650" s="10">
        <f>IF(AND(D1650="",C1650="",F1650=""),"",IF(G1650&lt;&gt;"","Void",IF(F1650="","Needs child",IF(H1650="","Child not found",IF(OR(B1650="",NOT(ISNUMBER(C1650))),"Needs month/pages","OK")))))</f>
        <v/>
      </c>
      <c r="J1650" s="10">
        <f>IF(I1650="","",IF(I1650="OK",IF(COUNTIFS(H1651:H$3001,H1650,B1651:B$3001,B1650,G1651:G$3001,"")=0,C1650,0),0))</f>
        <v/>
      </c>
    </row>
    <row r="1651">
      <c r="A1651" s="6" t="n"/>
      <c r="B1651" s="9" t="n"/>
      <c r="C1651" s="6" t="n"/>
      <c r="D1651" s="6" t="n"/>
      <c r="E1651" s="6" t="n"/>
      <c r="F1651" s="6" t="n"/>
      <c r="G1651" s="6" t="n"/>
      <c r="H1651" s="10">
        <f>IF(F1651="","",IFERROR(INDEX(Roster!$A$2:$A$600,MATCH(F1651,Roster!$E$2:$E$600,0)),""))</f>
        <v/>
      </c>
      <c r="I1651" s="10">
        <f>IF(AND(D1651="",C1651="",F1651=""),"",IF(G1651&lt;&gt;"","Void",IF(F1651="","Needs child",IF(H1651="","Child not found",IF(OR(B1651="",NOT(ISNUMBER(C1651))),"Needs month/pages","OK")))))</f>
        <v/>
      </c>
      <c r="J1651" s="10">
        <f>IF(I1651="","",IF(I1651="OK",IF(COUNTIFS(H1652:H$3001,H1651,B1652:B$3001,B1651,G1652:G$3001,"")=0,C1651,0),0))</f>
        <v/>
      </c>
    </row>
    <row r="1652">
      <c r="A1652" s="6" t="n"/>
      <c r="B1652" s="9" t="n"/>
      <c r="C1652" s="6" t="n"/>
      <c r="D1652" s="6" t="n"/>
      <c r="E1652" s="6" t="n"/>
      <c r="F1652" s="6" t="n"/>
      <c r="G1652" s="6" t="n"/>
      <c r="H1652" s="10">
        <f>IF(F1652="","",IFERROR(INDEX(Roster!$A$2:$A$600,MATCH(F1652,Roster!$E$2:$E$600,0)),""))</f>
        <v/>
      </c>
      <c r="I1652" s="10">
        <f>IF(AND(D1652="",C1652="",F1652=""),"",IF(G1652&lt;&gt;"","Void",IF(F1652="","Needs child",IF(H1652="","Child not found",IF(OR(B1652="",NOT(ISNUMBER(C1652))),"Needs month/pages","OK")))))</f>
        <v/>
      </c>
      <c r="J1652" s="10">
        <f>IF(I1652="","",IF(I1652="OK",IF(COUNTIFS(H1653:H$3001,H1652,B1653:B$3001,B1652,G1653:G$3001,"")=0,C1652,0),0))</f>
        <v/>
      </c>
    </row>
    <row r="1653">
      <c r="A1653" s="6" t="n"/>
      <c r="B1653" s="9" t="n"/>
      <c r="C1653" s="6" t="n"/>
      <c r="D1653" s="6" t="n"/>
      <c r="E1653" s="6" t="n"/>
      <c r="F1653" s="6" t="n"/>
      <c r="G1653" s="6" t="n"/>
      <c r="H1653" s="10">
        <f>IF(F1653="","",IFERROR(INDEX(Roster!$A$2:$A$600,MATCH(F1653,Roster!$E$2:$E$600,0)),""))</f>
        <v/>
      </c>
      <c r="I1653" s="10">
        <f>IF(AND(D1653="",C1653="",F1653=""),"",IF(G1653&lt;&gt;"","Void",IF(F1653="","Needs child",IF(H1653="","Child not found",IF(OR(B1653="",NOT(ISNUMBER(C1653))),"Needs month/pages","OK")))))</f>
        <v/>
      </c>
      <c r="J1653" s="10">
        <f>IF(I1653="","",IF(I1653="OK",IF(COUNTIFS(H1654:H$3001,H1653,B1654:B$3001,B1653,G1654:G$3001,"")=0,C1653,0),0))</f>
        <v/>
      </c>
    </row>
    <row r="1654">
      <c r="A1654" s="6" t="n"/>
      <c r="B1654" s="9" t="n"/>
      <c r="C1654" s="6" t="n"/>
      <c r="D1654" s="6" t="n"/>
      <c r="E1654" s="6" t="n"/>
      <c r="F1654" s="6" t="n"/>
      <c r="G1654" s="6" t="n"/>
      <c r="H1654" s="10">
        <f>IF(F1654="","",IFERROR(INDEX(Roster!$A$2:$A$600,MATCH(F1654,Roster!$E$2:$E$600,0)),""))</f>
        <v/>
      </c>
      <c r="I1654" s="10">
        <f>IF(AND(D1654="",C1654="",F1654=""),"",IF(G1654&lt;&gt;"","Void",IF(F1654="","Needs child",IF(H1654="","Child not found",IF(OR(B1654="",NOT(ISNUMBER(C1654))),"Needs month/pages","OK")))))</f>
        <v/>
      </c>
      <c r="J1654" s="10">
        <f>IF(I1654="","",IF(I1654="OK",IF(COUNTIFS(H1655:H$3001,H1654,B1655:B$3001,B1654,G1655:G$3001,"")=0,C1654,0),0))</f>
        <v/>
      </c>
    </row>
    <row r="1655">
      <c r="A1655" s="6" t="n"/>
      <c r="B1655" s="9" t="n"/>
      <c r="C1655" s="6" t="n"/>
      <c r="D1655" s="6" t="n"/>
      <c r="E1655" s="6" t="n"/>
      <c r="F1655" s="6" t="n"/>
      <c r="G1655" s="6" t="n"/>
      <c r="H1655" s="10">
        <f>IF(F1655="","",IFERROR(INDEX(Roster!$A$2:$A$600,MATCH(F1655,Roster!$E$2:$E$600,0)),""))</f>
        <v/>
      </c>
      <c r="I1655" s="10">
        <f>IF(AND(D1655="",C1655="",F1655=""),"",IF(G1655&lt;&gt;"","Void",IF(F1655="","Needs child",IF(H1655="","Child not found",IF(OR(B1655="",NOT(ISNUMBER(C1655))),"Needs month/pages","OK")))))</f>
        <v/>
      </c>
      <c r="J1655" s="10">
        <f>IF(I1655="","",IF(I1655="OK",IF(COUNTIFS(H1656:H$3001,H1655,B1656:B$3001,B1655,G1656:G$3001,"")=0,C1655,0),0))</f>
        <v/>
      </c>
    </row>
    <row r="1656">
      <c r="A1656" s="6" t="n"/>
      <c r="B1656" s="9" t="n"/>
      <c r="C1656" s="6" t="n"/>
      <c r="D1656" s="6" t="n"/>
      <c r="E1656" s="6" t="n"/>
      <c r="F1656" s="6" t="n"/>
      <c r="G1656" s="6" t="n"/>
      <c r="H1656" s="10">
        <f>IF(F1656="","",IFERROR(INDEX(Roster!$A$2:$A$600,MATCH(F1656,Roster!$E$2:$E$600,0)),""))</f>
        <v/>
      </c>
      <c r="I1656" s="10">
        <f>IF(AND(D1656="",C1656="",F1656=""),"",IF(G1656&lt;&gt;"","Void",IF(F1656="","Needs child",IF(H1656="","Child not found",IF(OR(B1656="",NOT(ISNUMBER(C1656))),"Needs month/pages","OK")))))</f>
        <v/>
      </c>
      <c r="J1656" s="10">
        <f>IF(I1656="","",IF(I1656="OK",IF(COUNTIFS(H1657:H$3001,H1656,B1657:B$3001,B1656,G1657:G$3001,"")=0,C1656,0),0))</f>
        <v/>
      </c>
    </row>
    <row r="1657">
      <c r="A1657" s="6" t="n"/>
      <c r="B1657" s="9" t="n"/>
      <c r="C1657" s="6" t="n"/>
      <c r="D1657" s="6" t="n"/>
      <c r="E1657" s="6" t="n"/>
      <c r="F1657" s="6" t="n"/>
      <c r="G1657" s="6" t="n"/>
      <c r="H1657" s="10">
        <f>IF(F1657="","",IFERROR(INDEX(Roster!$A$2:$A$600,MATCH(F1657,Roster!$E$2:$E$600,0)),""))</f>
        <v/>
      </c>
      <c r="I1657" s="10">
        <f>IF(AND(D1657="",C1657="",F1657=""),"",IF(G1657&lt;&gt;"","Void",IF(F1657="","Needs child",IF(H1657="","Child not found",IF(OR(B1657="",NOT(ISNUMBER(C1657))),"Needs month/pages","OK")))))</f>
        <v/>
      </c>
      <c r="J1657" s="10">
        <f>IF(I1657="","",IF(I1657="OK",IF(COUNTIFS(H1658:H$3001,H1657,B1658:B$3001,B1657,G1658:G$3001,"")=0,C1657,0),0))</f>
        <v/>
      </c>
    </row>
    <row r="1658">
      <c r="A1658" s="6" t="n"/>
      <c r="B1658" s="9" t="n"/>
      <c r="C1658" s="6" t="n"/>
      <c r="D1658" s="6" t="n"/>
      <c r="E1658" s="6" t="n"/>
      <c r="F1658" s="6" t="n"/>
      <c r="G1658" s="6" t="n"/>
      <c r="H1658" s="10">
        <f>IF(F1658="","",IFERROR(INDEX(Roster!$A$2:$A$600,MATCH(F1658,Roster!$E$2:$E$600,0)),""))</f>
        <v/>
      </c>
      <c r="I1658" s="10">
        <f>IF(AND(D1658="",C1658="",F1658=""),"",IF(G1658&lt;&gt;"","Void",IF(F1658="","Needs child",IF(H1658="","Child not found",IF(OR(B1658="",NOT(ISNUMBER(C1658))),"Needs month/pages","OK")))))</f>
        <v/>
      </c>
      <c r="J1658" s="10">
        <f>IF(I1658="","",IF(I1658="OK",IF(COUNTIFS(H1659:H$3001,H1658,B1659:B$3001,B1658,G1659:G$3001,"")=0,C1658,0),0))</f>
        <v/>
      </c>
    </row>
    <row r="1659">
      <c r="A1659" s="6" t="n"/>
      <c r="B1659" s="9" t="n"/>
      <c r="C1659" s="6" t="n"/>
      <c r="D1659" s="6" t="n"/>
      <c r="E1659" s="6" t="n"/>
      <c r="F1659" s="6" t="n"/>
      <c r="G1659" s="6" t="n"/>
      <c r="H1659" s="10">
        <f>IF(F1659="","",IFERROR(INDEX(Roster!$A$2:$A$600,MATCH(F1659,Roster!$E$2:$E$600,0)),""))</f>
        <v/>
      </c>
      <c r="I1659" s="10">
        <f>IF(AND(D1659="",C1659="",F1659=""),"",IF(G1659&lt;&gt;"","Void",IF(F1659="","Needs child",IF(H1659="","Child not found",IF(OR(B1659="",NOT(ISNUMBER(C1659))),"Needs month/pages","OK")))))</f>
        <v/>
      </c>
      <c r="J1659" s="10">
        <f>IF(I1659="","",IF(I1659="OK",IF(COUNTIFS(H1660:H$3001,H1659,B1660:B$3001,B1659,G1660:G$3001,"")=0,C1659,0),0))</f>
        <v/>
      </c>
    </row>
    <row r="1660">
      <c r="A1660" s="6" t="n"/>
      <c r="B1660" s="9" t="n"/>
      <c r="C1660" s="6" t="n"/>
      <c r="D1660" s="6" t="n"/>
      <c r="E1660" s="6" t="n"/>
      <c r="F1660" s="6" t="n"/>
      <c r="G1660" s="6" t="n"/>
      <c r="H1660" s="10">
        <f>IF(F1660="","",IFERROR(INDEX(Roster!$A$2:$A$600,MATCH(F1660,Roster!$E$2:$E$600,0)),""))</f>
        <v/>
      </c>
      <c r="I1660" s="10">
        <f>IF(AND(D1660="",C1660="",F1660=""),"",IF(G1660&lt;&gt;"","Void",IF(F1660="","Needs child",IF(H1660="","Child not found",IF(OR(B1660="",NOT(ISNUMBER(C1660))),"Needs month/pages","OK")))))</f>
        <v/>
      </c>
      <c r="J1660" s="10">
        <f>IF(I1660="","",IF(I1660="OK",IF(COUNTIFS(H1661:H$3001,H1660,B1661:B$3001,B1660,G1661:G$3001,"")=0,C1660,0),0))</f>
        <v/>
      </c>
    </row>
    <row r="1661">
      <c r="A1661" s="6" t="n"/>
      <c r="B1661" s="9" t="n"/>
      <c r="C1661" s="6" t="n"/>
      <c r="D1661" s="6" t="n"/>
      <c r="E1661" s="6" t="n"/>
      <c r="F1661" s="6" t="n"/>
      <c r="G1661" s="6" t="n"/>
      <c r="H1661" s="10">
        <f>IF(F1661="","",IFERROR(INDEX(Roster!$A$2:$A$600,MATCH(F1661,Roster!$E$2:$E$600,0)),""))</f>
        <v/>
      </c>
      <c r="I1661" s="10">
        <f>IF(AND(D1661="",C1661="",F1661=""),"",IF(G1661&lt;&gt;"","Void",IF(F1661="","Needs child",IF(H1661="","Child not found",IF(OR(B1661="",NOT(ISNUMBER(C1661))),"Needs month/pages","OK")))))</f>
        <v/>
      </c>
      <c r="J1661" s="10">
        <f>IF(I1661="","",IF(I1661="OK",IF(COUNTIFS(H1662:H$3001,H1661,B1662:B$3001,B1661,G1662:G$3001,"")=0,C1661,0),0))</f>
        <v/>
      </c>
    </row>
    <row r="1662">
      <c r="A1662" s="6" t="n"/>
      <c r="B1662" s="9" t="n"/>
      <c r="C1662" s="6" t="n"/>
      <c r="D1662" s="6" t="n"/>
      <c r="E1662" s="6" t="n"/>
      <c r="F1662" s="6" t="n"/>
      <c r="G1662" s="6" t="n"/>
      <c r="H1662" s="10">
        <f>IF(F1662="","",IFERROR(INDEX(Roster!$A$2:$A$600,MATCH(F1662,Roster!$E$2:$E$600,0)),""))</f>
        <v/>
      </c>
      <c r="I1662" s="10">
        <f>IF(AND(D1662="",C1662="",F1662=""),"",IF(G1662&lt;&gt;"","Void",IF(F1662="","Needs child",IF(H1662="","Child not found",IF(OR(B1662="",NOT(ISNUMBER(C1662))),"Needs month/pages","OK")))))</f>
        <v/>
      </c>
      <c r="J1662" s="10">
        <f>IF(I1662="","",IF(I1662="OK",IF(COUNTIFS(H1663:H$3001,H1662,B1663:B$3001,B1662,G1663:G$3001,"")=0,C1662,0),0))</f>
        <v/>
      </c>
    </row>
    <row r="1663">
      <c r="A1663" s="6" t="n"/>
      <c r="B1663" s="9" t="n"/>
      <c r="C1663" s="6" t="n"/>
      <c r="D1663" s="6" t="n"/>
      <c r="E1663" s="6" t="n"/>
      <c r="F1663" s="6" t="n"/>
      <c r="G1663" s="6" t="n"/>
      <c r="H1663" s="10">
        <f>IF(F1663="","",IFERROR(INDEX(Roster!$A$2:$A$600,MATCH(F1663,Roster!$E$2:$E$600,0)),""))</f>
        <v/>
      </c>
      <c r="I1663" s="10">
        <f>IF(AND(D1663="",C1663="",F1663=""),"",IF(G1663&lt;&gt;"","Void",IF(F1663="","Needs child",IF(H1663="","Child not found",IF(OR(B1663="",NOT(ISNUMBER(C1663))),"Needs month/pages","OK")))))</f>
        <v/>
      </c>
      <c r="J1663" s="10">
        <f>IF(I1663="","",IF(I1663="OK",IF(COUNTIFS(H1664:H$3001,H1663,B1664:B$3001,B1663,G1664:G$3001,"")=0,C1663,0),0))</f>
        <v/>
      </c>
    </row>
    <row r="1664">
      <c r="A1664" s="6" t="n"/>
      <c r="B1664" s="9" t="n"/>
      <c r="C1664" s="6" t="n"/>
      <c r="D1664" s="6" t="n"/>
      <c r="E1664" s="6" t="n"/>
      <c r="F1664" s="6" t="n"/>
      <c r="G1664" s="6" t="n"/>
      <c r="H1664" s="10">
        <f>IF(F1664="","",IFERROR(INDEX(Roster!$A$2:$A$600,MATCH(F1664,Roster!$E$2:$E$600,0)),""))</f>
        <v/>
      </c>
      <c r="I1664" s="10">
        <f>IF(AND(D1664="",C1664="",F1664=""),"",IF(G1664&lt;&gt;"","Void",IF(F1664="","Needs child",IF(H1664="","Child not found",IF(OR(B1664="",NOT(ISNUMBER(C1664))),"Needs month/pages","OK")))))</f>
        <v/>
      </c>
      <c r="J1664" s="10">
        <f>IF(I1664="","",IF(I1664="OK",IF(COUNTIFS(H1665:H$3001,H1664,B1665:B$3001,B1664,G1665:G$3001,"")=0,C1664,0),0))</f>
        <v/>
      </c>
    </row>
    <row r="1665">
      <c r="A1665" s="6" t="n"/>
      <c r="B1665" s="9" t="n"/>
      <c r="C1665" s="6" t="n"/>
      <c r="D1665" s="6" t="n"/>
      <c r="E1665" s="6" t="n"/>
      <c r="F1665" s="6" t="n"/>
      <c r="G1665" s="6" t="n"/>
      <c r="H1665" s="10">
        <f>IF(F1665="","",IFERROR(INDEX(Roster!$A$2:$A$600,MATCH(F1665,Roster!$E$2:$E$600,0)),""))</f>
        <v/>
      </c>
      <c r="I1665" s="10">
        <f>IF(AND(D1665="",C1665="",F1665=""),"",IF(G1665&lt;&gt;"","Void",IF(F1665="","Needs child",IF(H1665="","Child not found",IF(OR(B1665="",NOT(ISNUMBER(C1665))),"Needs month/pages","OK")))))</f>
        <v/>
      </c>
      <c r="J1665" s="10">
        <f>IF(I1665="","",IF(I1665="OK",IF(COUNTIFS(H1666:H$3001,H1665,B1666:B$3001,B1665,G1666:G$3001,"")=0,C1665,0),0))</f>
        <v/>
      </c>
    </row>
    <row r="1666">
      <c r="A1666" s="6" t="n"/>
      <c r="B1666" s="9" t="n"/>
      <c r="C1666" s="6" t="n"/>
      <c r="D1666" s="6" t="n"/>
      <c r="E1666" s="6" t="n"/>
      <c r="F1666" s="6" t="n"/>
      <c r="G1666" s="6" t="n"/>
      <c r="H1666" s="10">
        <f>IF(F1666="","",IFERROR(INDEX(Roster!$A$2:$A$600,MATCH(F1666,Roster!$E$2:$E$600,0)),""))</f>
        <v/>
      </c>
      <c r="I1666" s="10">
        <f>IF(AND(D1666="",C1666="",F1666=""),"",IF(G1666&lt;&gt;"","Void",IF(F1666="","Needs child",IF(H1666="","Child not found",IF(OR(B1666="",NOT(ISNUMBER(C1666))),"Needs month/pages","OK")))))</f>
        <v/>
      </c>
      <c r="J1666" s="10">
        <f>IF(I1666="","",IF(I1666="OK",IF(COUNTIFS(H1667:H$3001,H1666,B1667:B$3001,B1666,G1667:G$3001,"")=0,C1666,0),0))</f>
        <v/>
      </c>
    </row>
    <row r="1667">
      <c r="A1667" s="6" t="n"/>
      <c r="B1667" s="9" t="n"/>
      <c r="C1667" s="6" t="n"/>
      <c r="D1667" s="6" t="n"/>
      <c r="E1667" s="6" t="n"/>
      <c r="F1667" s="6" t="n"/>
      <c r="G1667" s="6" t="n"/>
      <c r="H1667" s="10">
        <f>IF(F1667="","",IFERROR(INDEX(Roster!$A$2:$A$600,MATCH(F1667,Roster!$E$2:$E$600,0)),""))</f>
        <v/>
      </c>
      <c r="I1667" s="10">
        <f>IF(AND(D1667="",C1667="",F1667=""),"",IF(G1667&lt;&gt;"","Void",IF(F1667="","Needs child",IF(H1667="","Child not found",IF(OR(B1667="",NOT(ISNUMBER(C1667))),"Needs month/pages","OK")))))</f>
        <v/>
      </c>
      <c r="J1667" s="10">
        <f>IF(I1667="","",IF(I1667="OK",IF(COUNTIFS(H1668:H$3001,H1667,B1668:B$3001,B1667,G1668:G$3001,"")=0,C1667,0),0))</f>
        <v/>
      </c>
    </row>
    <row r="1668">
      <c r="A1668" s="6" t="n"/>
      <c r="B1668" s="9" t="n"/>
      <c r="C1668" s="6" t="n"/>
      <c r="D1668" s="6" t="n"/>
      <c r="E1668" s="6" t="n"/>
      <c r="F1668" s="6" t="n"/>
      <c r="G1668" s="6" t="n"/>
      <c r="H1668" s="10">
        <f>IF(F1668="","",IFERROR(INDEX(Roster!$A$2:$A$600,MATCH(F1668,Roster!$E$2:$E$600,0)),""))</f>
        <v/>
      </c>
      <c r="I1668" s="10">
        <f>IF(AND(D1668="",C1668="",F1668=""),"",IF(G1668&lt;&gt;"","Void",IF(F1668="","Needs child",IF(H1668="","Child not found",IF(OR(B1668="",NOT(ISNUMBER(C1668))),"Needs month/pages","OK")))))</f>
        <v/>
      </c>
      <c r="J1668" s="10">
        <f>IF(I1668="","",IF(I1668="OK",IF(COUNTIFS(H1669:H$3001,H1668,B1669:B$3001,B1668,G1669:G$3001,"")=0,C1668,0),0))</f>
        <v/>
      </c>
    </row>
    <row r="1669">
      <c r="A1669" s="6" t="n"/>
      <c r="B1669" s="9" t="n"/>
      <c r="C1669" s="6" t="n"/>
      <c r="D1669" s="6" t="n"/>
      <c r="E1669" s="6" t="n"/>
      <c r="F1669" s="6" t="n"/>
      <c r="G1669" s="6" t="n"/>
      <c r="H1669" s="10">
        <f>IF(F1669="","",IFERROR(INDEX(Roster!$A$2:$A$600,MATCH(F1669,Roster!$E$2:$E$600,0)),""))</f>
        <v/>
      </c>
      <c r="I1669" s="10">
        <f>IF(AND(D1669="",C1669="",F1669=""),"",IF(G1669&lt;&gt;"","Void",IF(F1669="","Needs child",IF(H1669="","Child not found",IF(OR(B1669="",NOT(ISNUMBER(C1669))),"Needs month/pages","OK")))))</f>
        <v/>
      </c>
      <c r="J1669" s="10">
        <f>IF(I1669="","",IF(I1669="OK",IF(COUNTIFS(H1670:H$3001,H1669,B1670:B$3001,B1669,G1670:G$3001,"")=0,C1669,0),0))</f>
        <v/>
      </c>
    </row>
    <row r="1670">
      <c r="A1670" s="6" t="n"/>
      <c r="B1670" s="9" t="n"/>
      <c r="C1670" s="6" t="n"/>
      <c r="D1670" s="6" t="n"/>
      <c r="E1670" s="6" t="n"/>
      <c r="F1670" s="6" t="n"/>
      <c r="G1670" s="6" t="n"/>
      <c r="H1670" s="10">
        <f>IF(F1670="","",IFERROR(INDEX(Roster!$A$2:$A$600,MATCH(F1670,Roster!$E$2:$E$600,0)),""))</f>
        <v/>
      </c>
      <c r="I1670" s="10">
        <f>IF(AND(D1670="",C1670="",F1670=""),"",IF(G1670&lt;&gt;"","Void",IF(F1670="","Needs child",IF(H1670="","Child not found",IF(OR(B1670="",NOT(ISNUMBER(C1670))),"Needs month/pages","OK")))))</f>
        <v/>
      </c>
      <c r="J1670" s="10">
        <f>IF(I1670="","",IF(I1670="OK",IF(COUNTIFS(H1671:H$3001,H1670,B1671:B$3001,B1670,G1671:G$3001,"")=0,C1670,0),0))</f>
        <v/>
      </c>
    </row>
    <row r="1671">
      <c r="A1671" s="6" t="n"/>
      <c r="B1671" s="9" t="n"/>
      <c r="C1671" s="6" t="n"/>
      <c r="D1671" s="6" t="n"/>
      <c r="E1671" s="6" t="n"/>
      <c r="F1671" s="6" t="n"/>
      <c r="G1671" s="6" t="n"/>
      <c r="H1671" s="10">
        <f>IF(F1671="","",IFERROR(INDEX(Roster!$A$2:$A$600,MATCH(F1671,Roster!$E$2:$E$600,0)),""))</f>
        <v/>
      </c>
      <c r="I1671" s="10">
        <f>IF(AND(D1671="",C1671="",F1671=""),"",IF(G1671&lt;&gt;"","Void",IF(F1671="","Needs child",IF(H1671="","Child not found",IF(OR(B1671="",NOT(ISNUMBER(C1671))),"Needs month/pages","OK")))))</f>
        <v/>
      </c>
      <c r="J1671" s="10">
        <f>IF(I1671="","",IF(I1671="OK",IF(COUNTIFS(H1672:H$3001,H1671,B1672:B$3001,B1671,G1672:G$3001,"")=0,C1671,0),0))</f>
        <v/>
      </c>
    </row>
    <row r="1672">
      <c r="A1672" s="6" t="n"/>
      <c r="B1672" s="9" t="n"/>
      <c r="C1672" s="6" t="n"/>
      <c r="D1672" s="6" t="n"/>
      <c r="E1672" s="6" t="n"/>
      <c r="F1672" s="6" t="n"/>
      <c r="G1672" s="6" t="n"/>
      <c r="H1672" s="10">
        <f>IF(F1672="","",IFERROR(INDEX(Roster!$A$2:$A$600,MATCH(F1672,Roster!$E$2:$E$600,0)),""))</f>
        <v/>
      </c>
      <c r="I1672" s="10">
        <f>IF(AND(D1672="",C1672="",F1672=""),"",IF(G1672&lt;&gt;"","Void",IF(F1672="","Needs child",IF(H1672="","Child not found",IF(OR(B1672="",NOT(ISNUMBER(C1672))),"Needs month/pages","OK")))))</f>
        <v/>
      </c>
      <c r="J1672" s="10">
        <f>IF(I1672="","",IF(I1672="OK",IF(COUNTIFS(H1673:H$3001,H1672,B1673:B$3001,B1672,G1673:G$3001,"")=0,C1672,0),0))</f>
        <v/>
      </c>
    </row>
    <row r="1673">
      <c r="A1673" s="6" t="n"/>
      <c r="B1673" s="9" t="n"/>
      <c r="C1673" s="6" t="n"/>
      <c r="D1673" s="6" t="n"/>
      <c r="E1673" s="6" t="n"/>
      <c r="F1673" s="6" t="n"/>
      <c r="G1673" s="6" t="n"/>
      <c r="H1673" s="10">
        <f>IF(F1673="","",IFERROR(INDEX(Roster!$A$2:$A$600,MATCH(F1673,Roster!$E$2:$E$600,0)),""))</f>
        <v/>
      </c>
      <c r="I1673" s="10">
        <f>IF(AND(D1673="",C1673="",F1673=""),"",IF(G1673&lt;&gt;"","Void",IF(F1673="","Needs child",IF(H1673="","Child not found",IF(OR(B1673="",NOT(ISNUMBER(C1673))),"Needs month/pages","OK")))))</f>
        <v/>
      </c>
      <c r="J1673" s="10">
        <f>IF(I1673="","",IF(I1673="OK",IF(COUNTIFS(H1674:H$3001,H1673,B1674:B$3001,B1673,G1674:G$3001,"")=0,C1673,0),0))</f>
        <v/>
      </c>
    </row>
    <row r="1674">
      <c r="A1674" s="6" t="n"/>
      <c r="B1674" s="9" t="n"/>
      <c r="C1674" s="6" t="n"/>
      <c r="D1674" s="6" t="n"/>
      <c r="E1674" s="6" t="n"/>
      <c r="F1674" s="6" t="n"/>
      <c r="G1674" s="6" t="n"/>
      <c r="H1674" s="10">
        <f>IF(F1674="","",IFERROR(INDEX(Roster!$A$2:$A$600,MATCH(F1674,Roster!$E$2:$E$600,0)),""))</f>
        <v/>
      </c>
      <c r="I1674" s="10">
        <f>IF(AND(D1674="",C1674="",F1674=""),"",IF(G1674&lt;&gt;"","Void",IF(F1674="","Needs child",IF(H1674="","Child not found",IF(OR(B1674="",NOT(ISNUMBER(C1674))),"Needs month/pages","OK")))))</f>
        <v/>
      </c>
      <c r="J1674" s="10">
        <f>IF(I1674="","",IF(I1674="OK",IF(COUNTIFS(H1675:H$3001,H1674,B1675:B$3001,B1674,G1675:G$3001,"")=0,C1674,0),0))</f>
        <v/>
      </c>
    </row>
    <row r="1675">
      <c r="A1675" s="6" t="n"/>
      <c r="B1675" s="9" t="n"/>
      <c r="C1675" s="6" t="n"/>
      <c r="D1675" s="6" t="n"/>
      <c r="E1675" s="6" t="n"/>
      <c r="F1675" s="6" t="n"/>
      <c r="G1675" s="6" t="n"/>
      <c r="H1675" s="10">
        <f>IF(F1675="","",IFERROR(INDEX(Roster!$A$2:$A$600,MATCH(F1675,Roster!$E$2:$E$600,0)),""))</f>
        <v/>
      </c>
      <c r="I1675" s="10">
        <f>IF(AND(D1675="",C1675="",F1675=""),"",IF(G1675&lt;&gt;"","Void",IF(F1675="","Needs child",IF(H1675="","Child not found",IF(OR(B1675="",NOT(ISNUMBER(C1675))),"Needs month/pages","OK")))))</f>
        <v/>
      </c>
      <c r="J1675" s="10">
        <f>IF(I1675="","",IF(I1675="OK",IF(COUNTIFS(H1676:H$3001,H1675,B1676:B$3001,B1675,G1676:G$3001,"")=0,C1675,0),0))</f>
        <v/>
      </c>
    </row>
    <row r="1676">
      <c r="A1676" s="6" t="n"/>
      <c r="B1676" s="9" t="n"/>
      <c r="C1676" s="6" t="n"/>
      <c r="D1676" s="6" t="n"/>
      <c r="E1676" s="6" t="n"/>
      <c r="F1676" s="6" t="n"/>
      <c r="G1676" s="6" t="n"/>
      <c r="H1676" s="10">
        <f>IF(F1676="","",IFERROR(INDEX(Roster!$A$2:$A$600,MATCH(F1676,Roster!$E$2:$E$600,0)),""))</f>
        <v/>
      </c>
      <c r="I1676" s="10">
        <f>IF(AND(D1676="",C1676="",F1676=""),"",IF(G1676&lt;&gt;"","Void",IF(F1676="","Needs child",IF(H1676="","Child not found",IF(OR(B1676="",NOT(ISNUMBER(C1676))),"Needs month/pages","OK")))))</f>
        <v/>
      </c>
      <c r="J1676" s="10">
        <f>IF(I1676="","",IF(I1676="OK",IF(COUNTIFS(H1677:H$3001,H1676,B1677:B$3001,B1676,G1677:G$3001,"")=0,C1676,0),0))</f>
        <v/>
      </c>
    </row>
    <row r="1677">
      <c r="A1677" s="6" t="n"/>
      <c r="B1677" s="9" t="n"/>
      <c r="C1677" s="6" t="n"/>
      <c r="D1677" s="6" t="n"/>
      <c r="E1677" s="6" t="n"/>
      <c r="F1677" s="6" t="n"/>
      <c r="G1677" s="6" t="n"/>
      <c r="H1677" s="10">
        <f>IF(F1677="","",IFERROR(INDEX(Roster!$A$2:$A$600,MATCH(F1677,Roster!$E$2:$E$600,0)),""))</f>
        <v/>
      </c>
      <c r="I1677" s="10">
        <f>IF(AND(D1677="",C1677="",F1677=""),"",IF(G1677&lt;&gt;"","Void",IF(F1677="","Needs child",IF(H1677="","Child not found",IF(OR(B1677="",NOT(ISNUMBER(C1677))),"Needs month/pages","OK")))))</f>
        <v/>
      </c>
      <c r="J1677" s="10">
        <f>IF(I1677="","",IF(I1677="OK",IF(COUNTIFS(H1678:H$3001,H1677,B1678:B$3001,B1677,G1678:G$3001,"")=0,C1677,0),0))</f>
        <v/>
      </c>
    </row>
    <row r="1678">
      <c r="A1678" s="6" t="n"/>
      <c r="B1678" s="9" t="n"/>
      <c r="C1678" s="6" t="n"/>
      <c r="D1678" s="6" t="n"/>
      <c r="E1678" s="6" t="n"/>
      <c r="F1678" s="6" t="n"/>
      <c r="G1678" s="6" t="n"/>
      <c r="H1678" s="10">
        <f>IF(F1678="","",IFERROR(INDEX(Roster!$A$2:$A$600,MATCH(F1678,Roster!$E$2:$E$600,0)),""))</f>
        <v/>
      </c>
      <c r="I1678" s="10">
        <f>IF(AND(D1678="",C1678="",F1678=""),"",IF(G1678&lt;&gt;"","Void",IF(F1678="","Needs child",IF(H1678="","Child not found",IF(OR(B1678="",NOT(ISNUMBER(C1678))),"Needs month/pages","OK")))))</f>
        <v/>
      </c>
      <c r="J1678" s="10">
        <f>IF(I1678="","",IF(I1678="OK",IF(COUNTIFS(H1679:H$3001,H1678,B1679:B$3001,B1678,G1679:G$3001,"")=0,C1678,0),0))</f>
        <v/>
      </c>
    </row>
    <row r="1679">
      <c r="A1679" s="6" t="n"/>
      <c r="B1679" s="9" t="n"/>
      <c r="C1679" s="6" t="n"/>
      <c r="D1679" s="6" t="n"/>
      <c r="E1679" s="6" t="n"/>
      <c r="F1679" s="6" t="n"/>
      <c r="G1679" s="6" t="n"/>
      <c r="H1679" s="10">
        <f>IF(F1679="","",IFERROR(INDEX(Roster!$A$2:$A$600,MATCH(F1679,Roster!$E$2:$E$600,0)),""))</f>
        <v/>
      </c>
      <c r="I1679" s="10">
        <f>IF(AND(D1679="",C1679="",F1679=""),"",IF(G1679&lt;&gt;"","Void",IF(F1679="","Needs child",IF(H1679="","Child not found",IF(OR(B1679="",NOT(ISNUMBER(C1679))),"Needs month/pages","OK")))))</f>
        <v/>
      </c>
      <c r="J1679" s="10">
        <f>IF(I1679="","",IF(I1679="OK",IF(COUNTIFS(H1680:H$3001,H1679,B1680:B$3001,B1679,G1680:G$3001,"")=0,C1679,0),0))</f>
        <v/>
      </c>
    </row>
    <row r="1680">
      <c r="A1680" s="6" t="n"/>
      <c r="B1680" s="9" t="n"/>
      <c r="C1680" s="6" t="n"/>
      <c r="D1680" s="6" t="n"/>
      <c r="E1680" s="6" t="n"/>
      <c r="F1680" s="6" t="n"/>
      <c r="G1680" s="6" t="n"/>
      <c r="H1680" s="10">
        <f>IF(F1680="","",IFERROR(INDEX(Roster!$A$2:$A$600,MATCH(F1680,Roster!$E$2:$E$600,0)),""))</f>
        <v/>
      </c>
      <c r="I1680" s="10">
        <f>IF(AND(D1680="",C1680="",F1680=""),"",IF(G1680&lt;&gt;"","Void",IF(F1680="","Needs child",IF(H1680="","Child not found",IF(OR(B1680="",NOT(ISNUMBER(C1680))),"Needs month/pages","OK")))))</f>
        <v/>
      </c>
      <c r="J1680" s="10">
        <f>IF(I1680="","",IF(I1680="OK",IF(COUNTIFS(H1681:H$3001,H1680,B1681:B$3001,B1680,G1681:G$3001,"")=0,C1680,0),0))</f>
        <v/>
      </c>
    </row>
    <row r="1681">
      <c r="A1681" s="6" t="n"/>
      <c r="B1681" s="9" t="n"/>
      <c r="C1681" s="6" t="n"/>
      <c r="D1681" s="6" t="n"/>
      <c r="E1681" s="6" t="n"/>
      <c r="F1681" s="6" t="n"/>
      <c r="G1681" s="6" t="n"/>
      <c r="H1681" s="10">
        <f>IF(F1681="","",IFERROR(INDEX(Roster!$A$2:$A$600,MATCH(F1681,Roster!$E$2:$E$600,0)),""))</f>
        <v/>
      </c>
      <c r="I1681" s="10">
        <f>IF(AND(D1681="",C1681="",F1681=""),"",IF(G1681&lt;&gt;"","Void",IF(F1681="","Needs child",IF(H1681="","Child not found",IF(OR(B1681="",NOT(ISNUMBER(C1681))),"Needs month/pages","OK")))))</f>
        <v/>
      </c>
      <c r="J1681" s="10">
        <f>IF(I1681="","",IF(I1681="OK",IF(COUNTIFS(H1682:H$3001,H1681,B1682:B$3001,B1681,G1682:G$3001,"")=0,C1681,0),0))</f>
        <v/>
      </c>
    </row>
    <row r="1682">
      <c r="A1682" s="6" t="n"/>
      <c r="B1682" s="9" t="n"/>
      <c r="C1682" s="6" t="n"/>
      <c r="D1682" s="6" t="n"/>
      <c r="E1682" s="6" t="n"/>
      <c r="F1682" s="6" t="n"/>
      <c r="G1682" s="6" t="n"/>
      <c r="H1682" s="10">
        <f>IF(F1682="","",IFERROR(INDEX(Roster!$A$2:$A$600,MATCH(F1682,Roster!$E$2:$E$600,0)),""))</f>
        <v/>
      </c>
      <c r="I1682" s="10">
        <f>IF(AND(D1682="",C1682="",F1682=""),"",IF(G1682&lt;&gt;"","Void",IF(F1682="","Needs child",IF(H1682="","Child not found",IF(OR(B1682="",NOT(ISNUMBER(C1682))),"Needs month/pages","OK")))))</f>
        <v/>
      </c>
      <c r="J1682" s="10">
        <f>IF(I1682="","",IF(I1682="OK",IF(COUNTIFS(H1683:H$3001,H1682,B1683:B$3001,B1682,G1683:G$3001,"")=0,C1682,0),0))</f>
        <v/>
      </c>
    </row>
    <row r="1683">
      <c r="A1683" s="6" t="n"/>
      <c r="B1683" s="9" t="n"/>
      <c r="C1683" s="6" t="n"/>
      <c r="D1683" s="6" t="n"/>
      <c r="E1683" s="6" t="n"/>
      <c r="F1683" s="6" t="n"/>
      <c r="G1683" s="6" t="n"/>
      <c r="H1683" s="10">
        <f>IF(F1683="","",IFERROR(INDEX(Roster!$A$2:$A$600,MATCH(F1683,Roster!$E$2:$E$600,0)),""))</f>
        <v/>
      </c>
      <c r="I1683" s="10">
        <f>IF(AND(D1683="",C1683="",F1683=""),"",IF(G1683&lt;&gt;"","Void",IF(F1683="","Needs child",IF(H1683="","Child not found",IF(OR(B1683="",NOT(ISNUMBER(C1683))),"Needs month/pages","OK")))))</f>
        <v/>
      </c>
      <c r="J1683" s="10">
        <f>IF(I1683="","",IF(I1683="OK",IF(COUNTIFS(H1684:H$3001,H1683,B1684:B$3001,B1683,G1684:G$3001,"")=0,C1683,0),0))</f>
        <v/>
      </c>
    </row>
    <row r="1684">
      <c r="A1684" s="6" t="n"/>
      <c r="B1684" s="9" t="n"/>
      <c r="C1684" s="6" t="n"/>
      <c r="D1684" s="6" t="n"/>
      <c r="E1684" s="6" t="n"/>
      <c r="F1684" s="6" t="n"/>
      <c r="G1684" s="6" t="n"/>
      <c r="H1684" s="10">
        <f>IF(F1684="","",IFERROR(INDEX(Roster!$A$2:$A$600,MATCH(F1684,Roster!$E$2:$E$600,0)),""))</f>
        <v/>
      </c>
      <c r="I1684" s="10">
        <f>IF(AND(D1684="",C1684="",F1684=""),"",IF(G1684&lt;&gt;"","Void",IF(F1684="","Needs child",IF(H1684="","Child not found",IF(OR(B1684="",NOT(ISNUMBER(C1684))),"Needs month/pages","OK")))))</f>
        <v/>
      </c>
      <c r="J1684" s="10">
        <f>IF(I1684="","",IF(I1684="OK",IF(COUNTIFS(H1685:H$3001,H1684,B1685:B$3001,B1684,G1685:G$3001,"")=0,C1684,0),0))</f>
        <v/>
      </c>
    </row>
    <row r="1685">
      <c r="A1685" s="6" t="n"/>
      <c r="B1685" s="9" t="n"/>
      <c r="C1685" s="6" t="n"/>
      <c r="D1685" s="6" t="n"/>
      <c r="E1685" s="6" t="n"/>
      <c r="F1685" s="6" t="n"/>
      <c r="G1685" s="6" t="n"/>
      <c r="H1685" s="10">
        <f>IF(F1685="","",IFERROR(INDEX(Roster!$A$2:$A$600,MATCH(F1685,Roster!$E$2:$E$600,0)),""))</f>
        <v/>
      </c>
      <c r="I1685" s="10">
        <f>IF(AND(D1685="",C1685="",F1685=""),"",IF(G1685&lt;&gt;"","Void",IF(F1685="","Needs child",IF(H1685="","Child not found",IF(OR(B1685="",NOT(ISNUMBER(C1685))),"Needs month/pages","OK")))))</f>
        <v/>
      </c>
      <c r="J1685" s="10">
        <f>IF(I1685="","",IF(I1685="OK",IF(COUNTIFS(H1686:H$3001,H1685,B1686:B$3001,B1685,G1686:G$3001,"")=0,C1685,0),0))</f>
        <v/>
      </c>
    </row>
    <row r="1686">
      <c r="A1686" s="6" t="n"/>
      <c r="B1686" s="9" t="n"/>
      <c r="C1686" s="6" t="n"/>
      <c r="D1686" s="6" t="n"/>
      <c r="E1686" s="6" t="n"/>
      <c r="F1686" s="6" t="n"/>
      <c r="G1686" s="6" t="n"/>
      <c r="H1686" s="10">
        <f>IF(F1686="","",IFERROR(INDEX(Roster!$A$2:$A$600,MATCH(F1686,Roster!$E$2:$E$600,0)),""))</f>
        <v/>
      </c>
      <c r="I1686" s="10">
        <f>IF(AND(D1686="",C1686="",F1686=""),"",IF(G1686&lt;&gt;"","Void",IF(F1686="","Needs child",IF(H1686="","Child not found",IF(OR(B1686="",NOT(ISNUMBER(C1686))),"Needs month/pages","OK")))))</f>
        <v/>
      </c>
      <c r="J1686" s="10">
        <f>IF(I1686="","",IF(I1686="OK",IF(COUNTIFS(H1687:H$3001,H1686,B1687:B$3001,B1686,G1687:G$3001,"")=0,C1686,0),0))</f>
        <v/>
      </c>
    </row>
    <row r="1687">
      <c r="A1687" s="6" t="n"/>
      <c r="B1687" s="9" t="n"/>
      <c r="C1687" s="6" t="n"/>
      <c r="D1687" s="6" t="n"/>
      <c r="E1687" s="6" t="n"/>
      <c r="F1687" s="6" t="n"/>
      <c r="G1687" s="6" t="n"/>
      <c r="H1687" s="10">
        <f>IF(F1687="","",IFERROR(INDEX(Roster!$A$2:$A$600,MATCH(F1687,Roster!$E$2:$E$600,0)),""))</f>
        <v/>
      </c>
      <c r="I1687" s="10">
        <f>IF(AND(D1687="",C1687="",F1687=""),"",IF(G1687&lt;&gt;"","Void",IF(F1687="","Needs child",IF(H1687="","Child not found",IF(OR(B1687="",NOT(ISNUMBER(C1687))),"Needs month/pages","OK")))))</f>
        <v/>
      </c>
      <c r="J1687" s="10">
        <f>IF(I1687="","",IF(I1687="OK",IF(COUNTIFS(H1688:H$3001,H1687,B1688:B$3001,B1687,G1688:G$3001,"")=0,C1687,0),0))</f>
        <v/>
      </c>
    </row>
    <row r="1688">
      <c r="A1688" s="6" t="n"/>
      <c r="B1688" s="9" t="n"/>
      <c r="C1688" s="6" t="n"/>
      <c r="D1688" s="6" t="n"/>
      <c r="E1688" s="6" t="n"/>
      <c r="F1688" s="6" t="n"/>
      <c r="G1688" s="6" t="n"/>
      <c r="H1688" s="10">
        <f>IF(F1688="","",IFERROR(INDEX(Roster!$A$2:$A$600,MATCH(F1688,Roster!$E$2:$E$600,0)),""))</f>
        <v/>
      </c>
      <c r="I1688" s="10">
        <f>IF(AND(D1688="",C1688="",F1688=""),"",IF(G1688&lt;&gt;"","Void",IF(F1688="","Needs child",IF(H1688="","Child not found",IF(OR(B1688="",NOT(ISNUMBER(C1688))),"Needs month/pages","OK")))))</f>
        <v/>
      </c>
      <c r="J1688" s="10">
        <f>IF(I1688="","",IF(I1688="OK",IF(COUNTIFS(H1689:H$3001,H1688,B1689:B$3001,B1688,G1689:G$3001,"")=0,C1688,0),0))</f>
        <v/>
      </c>
    </row>
    <row r="1689">
      <c r="A1689" s="6" t="n"/>
      <c r="B1689" s="9" t="n"/>
      <c r="C1689" s="6" t="n"/>
      <c r="D1689" s="6" t="n"/>
      <c r="E1689" s="6" t="n"/>
      <c r="F1689" s="6" t="n"/>
      <c r="G1689" s="6" t="n"/>
      <c r="H1689" s="10">
        <f>IF(F1689="","",IFERROR(INDEX(Roster!$A$2:$A$600,MATCH(F1689,Roster!$E$2:$E$600,0)),""))</f>
        <v/>
      </c>
      <c r="I1689" s="10">
        <f>IF(AND(D1689="",C1689="",F1689=""),"",IF(G1689&lt;&gt;"","Void",IF(F1689="","Needs child",IF(H1689="","Child not found",IF(OR(B1689="",NOT(ISNUMBER(C1689))),"Needs month/pages","OK")))))</f>
        <v/>
      </c>
      <c r="J1689" s="10">
        <f>IF(I1689="","",IF(I1689="OK",IF(COUNTIFS(H1690:H$3001,H1689,B1690:B$3001,B1689,G1690:G$3001,"")=0,C1689,0),0))</f>
        <v/>
      </c>
    </row>
    <row r="1690">
      <c r="A1690" s="6" t="n"/>
      <c r="B1690" s="9" t="n"/>
      <c r="C1690" s="6" t="n"/>
      <c r="D1690" s="6" t="n"/>
      <c r="E1690" s="6" t="n"/>
      <c r="F1690" s="6" t="n"/>
      <c r="G1690" s="6" t="n"/>
      <c r="H1690" s="10">
        <f>IF(F1690="","",IFERROR(INDEX(Roster!$A$2:$A$600,MATCH(F1690,Roster!$E$2:$E$600,0)),""))</f>
        <v/>
      </c>
      <c r="I1690" s="10">
        <f>IF(AND(D1690="",C1690="",F1690=""),"",IF(G1690&lt;&gt;"","Void",IF(F1690="","Needs child",IF(H1690="","Child not found",IF(OR(B1690="",NOT(ISNUMBER(C1690))),"Needs month/pages","OK")))))</f>
        <v/>
      </c>
      <c r="J1690" s="10">
        <f>IF(I1690="","",IF(I1690="OK",IF(COUNTIFS(H1691:H$3001,H1690,B1691:B$3001,B1690,G1691:G$3001,"")=0,C1690,0),0))</f>
        <v/>
      </c>
    </row>
    <row r="1691">
      <c r="A1691" s="6" t="n"/>
      <c r="B1691" s="9" t="n"/>
      <c r="C1691" s="6" t="n"/>
      <c r="D1691" s="6" t="n"/>
      <c r="E1691" s="6" t="n"/>
      <c r="F1691" s="6" t="n"/>
      <c r="G1691" s="6" t="n"/>
      <c r="H1691" s="10">
        <f>IF(F1691="","",IFERROR(INDEX(Roster!$A$2:$A$600,MATCH(F1691,Roster!$E$2:$E$600,0)),""))</f>
        <v/>
      </c>
      <c r="I1691" s="10">
        <f>IF(AND(D1691="",C1691="",F1691=""),"",IF(G1691&lt;&gt;"","Void",IF(F1691="","Needs child",IF(H1691="","Child not found",IF(OR(B1691="",NOT(ISNUMBER(C1691))),"Needs month/pages","OK")))))</f>
        <v/>
      </c>
      <c r="J1691" s="10">
        <f>IF(I1691="","",IF(I1691="OK",IF(COUNTIFS(H1692:H$3001,H1691,B1692:B$3001,B1691,G1692:G$3001,"")=0,C1691,0),0))</f>
        <v/>
      </c>
    </row>
    <row r="1692">
      <c r="A1692" s="6" t="n"/>
      <c r="B1692" s="9" t="n"/>
      <c r="C1692" s="6" t="n"/>
      <c r="D1692" s="6" t="n"/>
      <c r="E1692" s="6" t="n"/>
      <c r="F1692" s="6" t="n"/>
      <c r="G1692" s="6" t="n"/>
      <c r="H1692" s="10">
        <f>IF(F1692="","",IFERROR(INDEX(Roster!$A$2:$A$600,MATCH(F1692,Roster!$E$2:$E$600,0)),""))</f>
        <v/>
      </c>
      <c r="I1692" s="10">
        <f>IF(AND(D1692="",C1692="",F1692=""),"",IF(G1692&lt;&gt;"","Void",IF(F1692="","Needs child",IF(H1692="","Child not found",IF(OR(B1692="",NOT(ISNUMBER(C1692))),"Needs month/pages","OK")))))</f>
        <v/>
      </c>
      <c r="J1692" s="10">
        <f>IF(I1692="","",IF(I1692="OK",IF(COUNTIFS(H1693:H$3001,H1692,B1693:B$3001,B1692,G1693:G$3001,"")=0,C1692,0),0))</f>
        <v/>
      </c>
    </row>
    <row r="1693">
      <c r="A1693" s="6" t="n"/>
      <c r="B1693" s="9" t="n"/>
      <c r="C1693" s="6" t="n"/>
      <c r="D1693" s="6" t="n"/>
      <c r="E1693" s="6" t="n"/>
      <c r="F1693" s="6" t="n"/>
      <c r="G1693" s="6" t="n"/>
      <c r="H1693" s="10">
        <f>IF(F1693="","",IFERROR(INDEX(Roster!$A$2:$A$600,MATCH(F1693,Roster!$E$2:$E$600,0)),""))</f>
        <v/>
      </c>
      <c r="I1693" s="10">
        <f>IF(AND(D1693="",C1693="",F1693=""),"",IF(G1693&lt;&gt;"","Void",IF(F1693="","Needs child",IF(H1693="","Child not found",IF(OR(B1693="",NOT(ISNUMBER(C1693))),"Needs month/pages","OK")))))</f>
        <v/>
      </c>
      <c r="J1693" s="10">
        <f>IF(I1693="","",IF(I1693="OK",IF(COUNTIFS(H1694:H$3001,H1693,B1694:B$3001,B1693,G1694:G$3001,"")=0,C1693,0),0))</f>
        <v/>
      </c>
    </row>
    <row r="1694">
      <c r="A1694" s="6" t="n"/>
      <c r="B1694" s="9" t="n"/>
      <c r="C1694" s="6" t="n"/>
      <c r="D1694" s="6" t="n"/>
      <c r="E1694" s="6" t="n"/>
      <c r="F1694" s="6" t="n"/>
      <c r="G1694" s="6" t="n"/>
      <c r="H1694" s="10">
        <f>IF(F1694="","",IFERROR(INDEX(Roster!$A$2:$A$600,MATCH(F1694,Roster!$E$2:$E$600,0)),""))</f>
        <v/>
      </c>
      <c r="I1694" s="10">
        <f>IF(AND(D1694="",C1694="",F1694=""),"",IF(G1694&lt;&gt;"","Void",IF(F1694="","Needs child",IF(H1694="","Child not found",IF(OR(B1694="",NOT(ISNUMBER(C1694))),"Needs month/pages","OK")))))</f>
        <v/>
      </c>
      <c r="J1694" s="10">
        <f>IF(I1694="","",IF(I1694="OK",IF(COUNTIFS(H1695:H$3001,H1694,B1695:B$3001,B1694,G1695:G$3001,"")=0,C1694,0),0))</f>
        <v/>
      </c>
    </row>
    <row r="1695">
      <c r="A1695" s="6" t="n"/>
      <c r="B1695" s="9" t="n"/>
      <c r="C1695" s="6" t="n"/>
      <c r="D1695" s="6" t="n"/>
      <c r="E1695" s="6" t="n"/>
      <c r="F1695" s="6" t="n"/>
      <c r="G1695" s="6" t="n"/>
      <c r="H1695" s="10">
        <f>IF(F1695="","",IFERROR(INDEX(Roster!$A$2:$A$600,MATCH(F1695,Roster!$E$2:$E$600,0)),""))</f>
        <v/>
      </c>
      <c r="I1695" s="10">
        <f>IF(AND(D1695="",C1695="",F1695=""),"",IF(G1695&lt;&gt;"","Void",IF(F1695="","Needs child",IF(H1695="","Child not found",IF(OR(B1695="",NOT(ISNUMBER(C1695))),"Needs month/pages","OK")))))</f>
        <v/>
      </c>
      <c r="J1695" s="10">
        <f>IF(I1695="","",IF(I1695="OK",IF(COUNTIFS(H1696:H$3001,H1695,B1696:B$3001,B1695,G1696:G$3001,"")=0,C1695,0),0))</f>
        <v/>
      </c>
    </row>
    <row r="1696">
      <c r="A1696" s="6" t="n"/>
      <c r="B1696" s="9" t="n"/>
      <c r="C1696" s="6" t="n"/>
      <c r="D1696" s="6" t="n"/>
      <c r="E1696" s="6" t="n"/>
      <c r="F1696" s="6" t="n"/>
      <c r="G1696" s="6" t="n"/>
      <c r="H1696" s="10">
        <f>IF(F1696="","",IFERROR(INDEX(Roster!$A$2:$A$600,MATCH(F1696,Roster!$E$2:$E$600,0)),""))</f>
        <v/>
      </c>
      <c r="I1696" s="10">
        <f>IF(AND(D1696="",C1696="",F1696=""),"",IF(G1696&lt;&gt;"","Void",IF(F1696="","Needs child",IF(H1696="","Child not found",IF(OR(B1696="",NOT(ISNUMBER(C1696))),"Needs month/pages","OK")))))</f>
        <v/>
      </c>
      <c r="J1696" s="10">
        <f>IF(I1696="","",IF(I1696="OK",IF(COUNTIFS(H1697:H$3001,H1696,B1697:B$3001,B1696,G1697:G$3001,"")=0,C1696,0),0))</f>
        <v/>
      </c>
    </row>
    <row r="1697">
      <c r="A1697" s="6" t="n"/>
      <c r="B1697" s="9" t="n"/>
      <c r="C1697" s="6" t="n"/>
      <c r="D1697" s="6" t="n"/>
      <c r="E1697" s="6" t="n"/>
      <c r="F1697" s="6" t="n"/>
      <c r="G1697" s="6" t="n"/>
      <c r="H1697" s="10">
        <f>IF(F1697="","",IFERROR(INDEX(Roster!$A$2:$A$600,MATCH(F1697,Roster!$E$2:$E$600,0)),""))</f>
        <v/>
      </c>
      <c r="I1697" s="10">
        <f>IF(AND(D1697="",C1697="",F1697=""),"",IF(G1697&lt;&gt;"","Void",IF(F1697="","Needs child",IF(H1697="","Child not found",IF(OR(B1697="",NOT(ISNUMBER(C1697))),"Needs month/pages","OK")))))</f>
        <v/>
      </c>
      <c r="J1697" s="10">
        <f>IF(I1697="","",IF(I1697="OK",IF(COUNTIFS(H1698:H$3001,H1697,B1698:B$3001,B1697,G1698:G$3001,"")=0,C1697,0),0))</f>
        <v/>
      </c>
    </row>
    <row r="1698">
      <c r="A1698" s="6" t="n"/>
      <c r="B1698" s="9" t="n"/>
      <c r="C1698" s="6" t="n"/>
      <c r="D1698" s="6" t="n"/>
      <c r="E1698" s="6" t="n"/>
      <c r="F1698" s="6" t="n"/>
      <c r="G1698" s="6" t="n"/>
      <c r="H1698" s="10">
        <f>IF(F1698="","",IFERROR(INDEX(Roster!$A$2:$A$600,MATCH(F1698,Roster!$E$2:$E$600,0)),""))</f>
        <v/>
      </c>
      <c r="I1698" s="10">
        <f>IF(AND(D1698="",C1698="",F1698=""),"",IF(G1698&lt;&gt;"","Void",IF(F1698="","Needs child",IF(H1698="","Child not found",IF(OR(B1698="",NOT(ISNUMBER(C1698))),"Needs month/pages","OK")))))</f>
        <v/>
      </c>
      <c r="J1698" s="10">
        <f>IF(I1698="","",IF(I1698="OK",IF(COUNTIFS(H1699:H$3001,H1698,B1699:B$3001,B1698,G1699:G$3001,"")=0,C1698,0),0))</f>
        <v/>
      </c>
    </row>
    <row r="1699">
      <c r="A1699" s="6" t="n"/>
      <c r="B1699" s="9" t="n"/>
      <c r="C1699" s="6" t="n"/>
      <c r="D1699" s="6" t="n"/>
      <c r="E1699" s="6" t="n"/>
      <c r="F1699" s="6" t="n"/>
      <c r="G1699" s="6" t="n"/>
      <c r="H1699" s="10">
        <f>IF(F1699="","",IFERROR(INDEX(Roster!$A$2:$A$600,MATCH(F1699,Roster!$E$2:$E$600,0)),""))</f>
        <v/>
      </c>
      <c r="I1699" s="10">
        <f>IF(AND(D1699="",C1699="",F1699=""),"",IF(G1699&lt;&gt;"","Void",IF(F1699="","Needs child",IF(H1699="","Child not found",IF(OR(B1699="",NOT(ISNUMBER(C1699))),"Needs month/pages","OK")))))</f>
        <v/>
      </c>
      <c r="J1699" s="10">
        <f>IF(I1699="","",IF(I1699="OK",IF(COUNTIFS(H1700:H$3001,H1699,B1700:B$3001,B1699,G1700:G$3001,"")=0,C1699,0),0))</f>
        <v/>
      </c>
    </row>
    <row r="1700">
      <c r="A1700" s="6" t="n"/>
      <c r="B1700" s="9" t="n"/>
      <c r="C1700" s="6" t="n"/>
      <c r="D1700" s="6" t="n"/>
      <c r="E1700" s="6" t="n"/>
      <c r="F1700" s="6" t="n"/>
      <c r="G1700" s="6" t="n"/>
      <c r="H1700" s="10">
        <f>IF(F1700="","",IFERROR(INDEX(Roster!$A$2:$A$600,MATCH(F1700,Roster!$E$2:$E$600,0)),""))</f>
        <v/>
      </c>
      <c r="I1700" s="10">
        <f>IF(AND(D1700="",C1700="",F1700=""),"",IF(G1700&lt;&gt;"","Void",IF(F1700="","Needs child",IF(H1700="","Child not found",IF(OR(B1700="",NOT(ISNUMBER(C1700))),"Needs month/pages","OK")))))</f>
        <v/>
      </c>
      <c r="J1700" s="10">
        <f>IF(I1700="","",IF(I1700="OK",IF(COUNTIFS(H1701:H$3001,H1700,B1701:B$3001,B1700,G1701:G$3001,"")=0,C1700,0),0))</f>
        <v/>
      </c>
    </row>
    <row r="1701">
      <c r="A1701" s="6" t="n"/>
      <c r="B1701" s="9" t="n"/>
      <c r="C1701" s="6" t="n"/>
      <c r="D1701" s="6" t="n"/>
      <c r="E1701" s="6" t="n"/>
      <c r="F1701" s="6" t="n"/>
      <c r="G1701" s="6" t="n"/>
      <c r="H1701" s="10">
        <f>IF(F1701="","",IFERROR(INDEX(Roster!$A$2:$A$600,MATCH(F1701,Roster!$E$2:$E$600,0)),""))</f>
        <v/>
      </c>
      <c r="I1701" s="10">
        <f>IF(AND(D1701="",C1701="",F1701=""),"",IF(G1701&lt;&gt;"","Void",IF(F1701="","Needs child",IF(H1701="","Child not found",IF(OR(B1701="",NOT(ISNUMBER(C1701))),"Needs month/pages","OK")))))</f>
        <v/>
      </c>
      <c r="J1701" s="10">
        <f>IF(I1701="","",IF(I1701="OK",IF(COUNTIFS(H1702:H$3001,H1701,B1702:B$3001,B1701,G1702:G$3001,"")=0,C1701,0),0))</f>
        <v/>
      </c>
    </row>
    <row r="1702">
      <c r="A1702" s="6" t="n"/>
      <c r="B1702" s="9" t="n"/>
      <c r="C1702" s="6" t="n"/>
      <c r="D1702" s="6" t="n"/>
      <c r="E1702" s="6" t="n"/>
      <c r="F1702" s="6" t="n"/>
      <c r="G1702" s="6" t="n"/>
      <c r="H1702" s="10">
        <f>IF(F1702="","",IFERROR(INDEX(Roster!$A$2:$A$600,MATCH(F1702,Roster!$E$2:$E$600,0)),""))</f>
        <v/>
      </c>
      <c r="I1702" s="10">
        <f>IF(AND(D1702="",C1702="",F1702=""),"",IF(G1702&lt;&gt;"","Void",IF(F1702="","Needs child",IF(H1702="","Child not found",IF(OR(B1702="",NOT(ISNUMBER(C1702))),"Needs month/pages","OK")))))</f>
        <v/>
      </c>
      <c r="J1702" s="10">
        <f>IF(I1702="","",IF(I1702="OK",IF(COUNTIFS(H1703:H$3001,H1702,B1703:B$3001,B1702,G1703:G$3001,"")=0,C1702,0),0))</f>
        <v/>
      </c>
    </row>
    <row r="1703">
      <c r="A1703" s="6" t="n"/>
      <c r="B1703" s="9" t="n"/>
      <c r="C1703" s="6" t="n"/>
      <c r="D1703" s="6" t="n"/>
      <c r="E1703" s="6" t="n"/>
      <c r="F1703" s="6" t="n"/>
      <c r="G1703" s="6" t="n"/>
      <c r="H1703" s="10">
        <f>IF(F1703="","",IFERROR(INDEX(Roster!$A$2:$A$600,MATCH(F1703,Roster!$E$2:$E$600,0)),""))</f>
        <v/>
      </c>
      <c r="I1703" s="10">
        <f>IF(AND(D1703="",C1703="",F1703=""),"",IF(G1703&lt;&gt;"","Void",IF(F1703="","Needs child",IF(H1703="","Child not found",IF(OR(B1703="",NOT(ISNUMBER(C1703))),"Needs month/pages","OK")))))</f>
        <v/>
      </c>
      <c r="J1703" s="10">
        <f>IF(I1703="","",IF(I1703="OK",IF(COUNTIFS(H1704:H$3001,H1703,B1704:B$3001,B1703,G1704:G$3001,"")=0,C1703,0),0))</f>
        <v/>
      </c>
    </row>
    <row r="1704">
      <c r="A1704" s="6" t="n"/>
      <c r="B1704" s="9" t="n"/>
      <c r="C1704" s="6" t="n"/>
      <c r="D1704" s="6" t="n"/>
      <c r="E1704" s="6" t="n"/>
      <c r="F1704" s="6" t="n"/>
      <c r="G1704" s="6" t="n"/>
      <c r="H1704" s="10">
        <f>IF(F1704="","",IFERROR(INDEX(Roster!$A$2:$A$600,MATCH(F1704,Roster!$E$2:$E$600,0)),""))</f>
        <v/>
      </c>
      <c r="I1704" s="10">
        <f>IF(AND(D1704="",C1704="",F1704=""),"",IF(G1704&lt;&gt;"","Void",IF(F1704="","Needs child",IF(H1704="","Child not found",IF(OR(B1704="",NOT(ISNUMBER(C1704))),"Needs month/pages","OK")))))</f>
        <v/>
      </c>
      <c r="J1704" s="10">
        <f>IF(I1704="","",IF(I1704="OK",IF(COUNTIFS(H1705:H$3001,H1704,B1705:B$3001,B1704,G1705:G$3001,"")=0,C1704,0),0))</f>
        <v/>
      </c>
    </row>
    <row r="1705">
      <c r="A1705" s="6" t="n"/>
      <c r="B1705" s="9" t="n"/>
      <c r="C1705" s="6" t="n"/>
      <c r="D1705" s="6" t="n"/>
      <c r="E1705" s="6" t="n"/>
      <c r="F1705" s="6" t="n"/>
      <c r="G1705" s="6" t="n"/>
      <c r="H1705" s="10">
        <f>IF(F1705="","",IFERROR(INDEX(Roster!$A$2:$A$600,MATCH(F1705,Roster!$E$2:$E$600,0)),""))</f>
        <v/>
      </c>
      <c r="I1705" s="10">
        <f>IF(AND(D1705="",C1705="",F1705=""),"",IF(G1705&lt;&gt;"","Void",IF(F1705="","Needs child",IF(H1705="","Child not found",IF(OR(B1705="",NOT(ISNUMBER(C1705))),"Needs month/pages","OK")))))</f>
        <v/>
      </c>
      <c r="J1705" s="10">
        <f>IF(I1705="","",IF(I1705="OK",IF(COUNTIFS(H1706:H$3001,H1705,B1706:B$3001,B1705,G1706:G$3001,"")=0,C1705,0),0))</f>
        <v/>
      </c>
    </row>
    <row r="1706">
      <c r="A1706" s="6" t="n"/>
      <c r="B1706" s="9" t="n"/>
      <c r="C1706" s="6" t="n"/>
      <c r="D1706" s="6" t="n"/>
      <c r="E1706" s="6" t="n"/>
      <c r="F1706" s="6" t="n"/>
      <c r="G1706" s="6" t="n"/>
      <c r="H1706" s="10">
        <f>IF(F1706="","",IFERROR(INDEX(Roster!$A$2:$A$600,MATCH(F1706,Roster!$E$2:$E$600,0)),""))</f>
        <v/>
      </c>
      <c r="I1706" s="10">
        <f>IF(AND(D1706="",C1706="",F1706=""),"",IF(G1706&lt;&gt;"","Void",IF(F1706="","Needs child",IF(H1706="","Child not found",IF(OR(B1706="",NOT(ISNUMBER(C1706))),"Needs month/pages","OK")))))</f>
        <v/>
      </c>
      <c r="J1706" s="10">
        <f>IF(I1706="","",IF(I1706="OK",IF(COUNTIFS(H1707:H$3001,H1706,B1707:B$3001,B1706,G1707:G$3001,"")=0,C1706,0),0))</f>
        <v/>
      </c>
    </row>
    <row r="1707">
      <c r="A1707" s="6" t="n"/>
      <c r="B1707" s="9" t="n"/>
      <c r="C1707" s="6" t="n"/>
      <c r="D1707" s="6" t="n"/>
      <c r="E1707" s="6" t="n"/>
      <c r="F1707" s="6" t="n"/>
      <c r="G1707" s="6" t="n"/>
      <c r="H1707" s="10">
        <f>IF(F1707="","",IFERROR(INDEX(Roster!$A$2:$A$600,MATCH(F1707,Roster!$E$2:$E$600,0)),""))</f>
        <v/>
      </c>
      <c r="I1707" s="10">
        <f>IF(AND(D1707="",C1707="",F1707=""),"",IF(G1707&lt;&gt;"","Void",IF(F1707="","Needs child",IF(H1707="","Child not found",IF(OR(B1707="",NOT(ISNUMBER(C1707))),"Needs month/pages","OK")))))</f>
        <v/>
      </c>
      <c r="J1707" s="10">
        <f>IF(I1707="","",IF(I1707="OK",IF(COUNTIFS(H1708:H$3001,H1707,B1708:B$3001,B1707,G1708:G$3001,"")=0,C1707,0),0))</f>
        <v/>
      </c>
    </row>
    <row r="1708">
      <c r="A1708" s="6" t="n"/>
      <c r="B1708" s="9" t="n"/>
      <c r="C1708" s="6" t="n"/>
      <c r="D1708" s="6" t="n"/>
      <c r="E1708" s="6" t="n"/>
      <c r="F1708" s="6" t="n"/>
      <c r="G1708" s="6" t="n"/>
      <c r="H1708" s="10">
        <f>IF(F1708="","",IFERROR(INDEX(Roster!$A$2:$A$600,MATCH(F1708,Roster!$E$2:$E$600,0)),""))</f>
        <v/>
      </c>
      <c r="I1708" s="10">
        <f>IF(AND(D1708="",C1708="",F1708=""),"",IF(G1708&lt;&gt;"","Void",IF(F1708="","Needs child",IF(H1708="","Child not found",IF(OR(B1708="",NOT(ISNUMBER(C1708))),"Needs month/pages","OK")))))</f>
        <v/>
      </c>
      <c r="J1708" s="10">
        <f>IF(I1708="","",IF(I1708="OK",IF(COUNTIFS(H1709:H$3001,H1708,B1709:B$3001,B1708,G1709:G$3001,"")=0,C1708,0),0))</f>
        <v/>
      </c>
    </row>
    <row r="1709">
      <c r="A1709" s="6" t="n"/>
      <c r="B1709" s="9" t="n"/>
      <c r="C1709" s="6" t="n"/>
      <c r="D1709" s="6" t="n"/>
      <c r="E1709" s="6" t="n"/>
      <c r="F1709" s="6" t="n"/>
      <c r="G1709" s="6" t="n"/>
      <c r="H1709" s="10">
        <f>IF(F1709="","",IFERROR(INDEX(Roster!$A$2:$A$600,MATCH(F1709,Roster!$E$2:$E$600,0)),""))</f>
        <v/>
      </c>
      <c r="I1709" s="10">
        <f>IF(AND(D1709="",C1709="",F1709=""),"",IF(G1709&lt;&gt;"","Void",IF(F1709="","Needs child",IF(H1709="","Child not found",IF(OR(B1709="",NOT(ISNUMBER(C1709))),"Needs month/pages","OK")))))</f>
        <v/>
      </c>
      <c r="J1709" s="10">
        <f>IF(I1709="","",IF(I1709="OK",IF(COUNTIFS(H1710:H$3001,H1709,B1710:B$3001,B1709,G1710:G$3001,"")=0,C1709,0),0))</f>
        <v/>
      </c>
    </row>
    <row r="1710">
      <c r="A1710" s="6" t="n"/>
      <c r="B1710" s="9" t="n"/>
      <c r="C1710" s="6" t="n"/>
      <c r="D1710" s="6" t="n"/>
      <c r="E1710" s="6" t="n"/>
      <c r="F1710" s="6" t="n"/>
      <c r="G1710" s="6" t="n"/>
      <c r="H1710" s="10">
        <f>IF(F1710="","",IFERROR(INDEX(Roster!$A$2:$A$600,MATCH(F1710,Roster!$E$2:$E$600,0)),""))</f>
        <v/>
      </c>
      <c r="I1710" s="10">
        <f>IF(AND(D1710="",C1710="",F1710=""),"",IF(G1710&lt;&gt;"","Void",IF(F1710="","Needs child",IF(H1710="","Child not found",IF(OR(B1710="",NOT(ISNUMBER(C1710))),"Needs month/pages","OK")))))</f>
        <v/>
      </c>
      <c r="J1710" s="10">
        <f>IF(I1710="","",IF(I1710="OK",IF(COUNTIFS(H1711:H$3001,H1710,B1711:B$3001,B1710,G1711:G$3001,"")=0,C1710,0),0))</f>
        <v/>
      </c>
    </row>
    <row r="1711">
      <c r="A1711" s="6" t="n"/>
      <c r="B1711" s="9" t="n"/>
      <c r="C1711" s="6" t="n"/>
      <c r="D1711" s="6" t="n"/>
      <c r="E1711" s="6" t="n"/>
      <c r="F1711" s="6" t="n"/>
      <c r="G1711" s="6" t="n"/>
      <c r="H1711" s="10">
        <f>IF(F1711="","",IFERROR(INDEX(Roster!$A$2:$A$600,MATCH(F1711,Roster!$E$2:$E$600,0)),""))</f>
        <v/>
      </c>
      <c r="I1711" s="10">
        <f>IF(AND(D1711="",C1711="",F1711=""),"",IF(G1711&lt;&gt;"","Void",IF(F1711="","Needs child",IF(H1711="","Child not found",IF(OR(B1711="",NOT(ISNUMBER(C1711))),"Needs month/pages","OK")))))</f>
        <v/>
      </c>
      <c r="J1711" s="10">
        <f>IF(I1711="","",IF(I1711="OK",IF(COUNTIFS(H1712:H$3001,H1711,B1712:B$3001,B1711,G1712:G$3001,"")=0,C1711,0),0))</f>
        <v/>
      </c>
    </row>
    <row r="1712">
      <c r="A1712" s="6" t="n"/>
      <c r="B1712" s="9" t="n"/>
      <c r="C1712" s="6" t="n"/>
      <c r="D1712" s="6" t="n"/>
      <c r="E1712" s="6" t="n"/>
      <c r="F1712" s="6" t="n"/>
      <c r="G1712" s="6" t="n"/>
      <c r="H1712" s="10">
        <f>IF(F1712="","",IFERROR(INDEX(Roster!$A$2:$A$600,MATCH(F1712,Roster!$E$2:$E$600,0)),""))</f>
        <v/>
      </c>
      <c r="I1712" s="10">
        <f>IF(AND(D1712="",C1712="",F1712=""),"",IF(G1712&lt;&gt;"","Void",IF(F1712="","Needs child",IF(H1712="","Child not found",IF(OR(B1712="",NOT(ISNUMBER(C1712))),"Needs month/pages","OK")))))</f>
        <v/>
      </c>
      <c r="J1712" s="10">
        <f>IF(I1712="","",IF(I1712="OK",IF(COUNTIFS(H1713:H$3001,H1712,B1713:B$3001,B1712,G1713:G$3001,"")=0,C1712,0),0))</f>
        <v/>
      </c>
    </row>
    <row r="1713">
      <c r="A1713" s="6" t="n"/>
      <c r="B1713" s="9" t="n"/>
      <c r="C1713" s="6" t="n"/>
      <c r="D1713" s="6" t="n"/>
      <c r="E1713" s="6" t="n"/>
      <c r="F1713" s="6" t="n"/>
      <c r="G1713" s="6" t="n"/>
      <c r="H1713" s="10">
        <f>IF(F1713="","",IFERROR(INDEX(Roster!$A$2:$A$600,MATCH(F1713,Roster!$E$2:$E$600,0)),""))</f>
        <v/>
      </c>
      <c r="I1713" s="10">
        <f>IF(AND(D1713="",C1713="",F1713=""),"",IF(G1713&lt;&gt;"","Void",IF(F1713="","Needs child",IF(H1713="","Child not found",IF(OR(B1713="",NOT(ISNUMBER(C1713))),"Needs month/pages","OK")))))</f>
        <v/>
      </c>
      <c r="J1713" s="10">
        <f>IF(I1713="","",IF(I1713="OK",IF(COUNTIFS(H1714:H$3001,H1713,B1714:B$3001,B1713,G1714:G$3001,"")=0,C1713,0),0))</f>
        <v/>
      </c>
    </row>
    <row r="1714">
      <c r="A1714" s="6" t="n"/>
      <c r="B1714" s="9" t="n"/>
      <c r="C1714" s="6" t="n"/>
      <c r="D1714" s="6" t="n"/>
      <c r="E1714" s="6" t="n"/>
      <c r="F1714" s="6" t="n"/>
      <c r="G1714" s="6" t="n"/>
      <c r="H1714" s="10">
        <f>IF(F1714="","",IFERROR(INDEX(Roster!$A$2:$A$600,MATCH(F1714,Roster!$E$2:$E$600,0)),""))</f>
        <v/>
      </c>
      <c r="I1714" s="10">
        <f>IF(AND(D1714="",C1714="",F1714=""),"",IF(G1714&lt;&gt;"","Void",IF(F1714="","Needs child",IF(H1714="","Child not found",IF(OR(B1714="",NOT(ISNUMBER(C1714))),"Needs month/pages","OK")))))</f>
        <v/>
      </c>
      <c r="J1714" s="10">
        <f>IF(I1714="","",IF(I1714="OK",IF(COUNTIFS(H1715:H$3001,H1714,B1715:B$3001,B1714,G1715:G$3001,"")=0,C1714,0),0))</f>
        <v/>
      </c>
    </row>
    <row r="1715">
      <c r="A1715" s="6" t="n"/>
      <c r="B1715" s="9" t="n"/>
      <c r="C1715" s="6" t="n"/>
      <c r="D1715" s="6" t="n"/>
      <c r="E1715" s="6" t="n"/>
      <c r="F1715" s="6" t="n"/>
      <c r="G1715" s="6" t="n"/>
      <c r="H1715" s="10">
        <f>IF(F1715="","",IFERROR(INDEX(Roster!$A$2:$A$600,MATCH(F1715,Roster!$E$2:$E$600,0)),""))</f>
        <v/>
      </c>
      <c r="I1715" s="10">
        <f>IF(AND(D1715="",C1715="",F1715=""),"",IF(G1715&lt;&gt;"","Void",IF(F1715="","Needs child",IF(H1715="","Child not found",IF(OR(B1715="",NOT(ISNUMBER(C1715))),"Needs month/pages","OK")))))</f>
        <v/>
      </c>
      <c r="J1715" s="10">
        <f>IF(I1715="","",IF(I1715="OK",IF(COUNTIFS(H1716:H$3001,H1715,B1716:B$3001,B1715,G1716:G$3001,"")=0,C1715,0),0))</f>
        <v/>
      </c>
    </row>
    <row r="1716">
      <c r="A1716" s="6" t="n"/>
      <c r="B1716" s="9" t="n"/>
      <c r="C1716" s="6" t="n"/>
      <c r="D1716" s="6" t="n"/>
      <c r="E1716" s="6" t="n"/>
      <c r="F1716" s="6" t="n"/>
      <c r="G1716" s="6" t="n"/>
      <c r="H1716" s="10">
        <f>IF(F1716="","",IFERROR(INDEX(Roster!$A$2:$A$600,MATCH(F1716,Roster!$E$2:$E$600,0)),""))</f>
        <v/>
      </c>
      <c r="I1716" s="10">
        <f>IF(AND(D1716="",C1716="",F1716=""),"",IF(G1716&lt;&gt;"","Void",IF(F1716="","Needs child",IF(H1716="","Child not found",IF(OR(B1716="",NOT(ISNUMBER(C1716))),"Needs month/pages","OK")))))</f>
        <v/>
      </c>
      <c r="J1716" s="10">
        <f>IF(I1716="","",IF(I1716="OK",IF(COUNTIFS(H1717:H$3001,H1716,B1717:B$3001,B1716,G1717:G$3001,"")=0,C1716,0),0))</f>
        <v/>
      </c>
    </row>
    <row r="1717">
      <c r="A1717" s="6" t="n"/>
      <c r="B1717" s="9" t="n"/>
      <c r="C1717" s="6" t="n"/>
      <c r="D1717" s="6" t="n"/>
      <c r="E1717" s="6" t="n"/>
      <c r="F1717" s="6" t="n"/>
      <c r="G1717" s="6" t="n"/>
      <c r="H1717" s="10">
        <f>IF(F1717="","",IFERROR(INDEX(Roster!$A$2:$A$600,MATCH(F1717,Roster!$E$2:$E$600,0)),""))</f>
        <v/>
      </c>
      <c r="I1717" s="10">
        <f>IF(AND(D1717="",C1717="",F1717=""),"",IF(G1717&lt;&gt;"","Void",IF(F1717="","Needs child",IF(H1717="","Child not found",IF(OR(B1717="",NOT(ISNUMBER(C1717))),"Needs month/pages","OK")))))</f>
        <v/>
      </c>
      <c r="J1717" s="10">
        <f>IF(I1717="","",IF(I1717="OK",IF(COUNTIFS(H1718:H$3001,H1717,B1718:B$3001,B1717,G1718:G$3001,"")=0,C1717,0),0))</f>
        <v/>
      </c>
    </row>
    <row r="1718">
      <c r="A1718" s="6" t="n"/>
      <c r="B1718" s="9" t="n"/>
      <c r="C1718" s="6" t="n"/>
      <c r="D1718" s="6" t="n"/>
      <c r="E1718" s="6" t="n"/>
      <c r="F1718" s="6" t="n"/>
      <c r="G1718" s="6" t="n"/>
      <c r="H1718" s="10">
        <f>IF(F1718="","",IFERROR(INDEX(Roster!$A$2:$A$600,MATCH(F1718,Roster!$E$2:$E$600,0)),""))</f>
        <v/>
      </c>
      <c r="I1718" s="10">
        <f>IF(AND(D1718="",C1718="",F1718=""),"",IF(G1718&lt;&gt;"","Void",IF(F1718="","Needs child",IF(H1718="","Child not found",IF(OR(B1718="",NOT(ISNUMBER(C1718))),"Needs month/pages","OK")))))</f>
        <v/>
      </c>
      <c r="J1718" s="10">
        <f>IF(I1718="","",IF(I1718="OK",IF(COUNTIFS(H1719:H$3001,H1718,B1719:B$3001,B1718,G1719:G$3001,"")=0,C1718,0),0))</f>
        <v/>
      </c>
    </row>
    <row r="1719">
      <c r="A1719" s="6" t="n"/>
      <c r="B1719" s="9" t="n"/>
      <c r="C1719" s="6" t="n"/>
      <c r="D1719" s="6" t="n"/>
      <c r="E1719" s="6" t="n"/>
      <c r="F1719" s="6" t="n"/>
      <c r="G1719" s="6" t="n"/>
      <c r="H1719" s="10">
        <f>IF(F1719="","",IFERROR(INDEX(Roster!$A$2:$A$600,MATCH(F1719,Roster!$E$2:$E$600,0)),""))</f>
        <v/>
      </c>
      <c r="I1719" s="10">
        <f>IF(AND(D1719="",C1719="",F1719=""),"",IF(G1719&lt;&gt;"","Void",IF(F1719="","Needs child",IF(H1719="","Child not found",IF(OR(B1719="",NOT(ISNUMBER(C1719))),"Needs month/pages","OK")))))</f>
        <v/>
      </c>
      <c r="J1719" s="10">
        <f>IF(I1719="","",IF(I1719="OK",IF(COUNTIFS(H1720:H$3001,H1719,B1720:B$3001,B1719,G1720:G$3001,"")=0,C1719,0),0))</f>
        <v/>
      </c>
    </row>
    <row r="1720">
      <c r="A1720" s="6" t="n"/>
      <c r="B1720" s="9" t="n"/>
      <c r="C1720" s="6" t="n"/>
      <c r="D1720" s="6" t="n"/>
      <c r="E1720" s="6" t="n"/>
      <c r="F1720" s="6" t="n"/>
      <c r="G1720" s="6" t="n"/>
      <c r="H1720" s="10">
        <f>IF(F1720="","",IFERROR(INDEX(Roster!$A$2:$A$600,MATCH(F1720,Roster!$E$2:$E$600,0)),""))</f>
        <v/>
      </c>
      <c r="I1720" s="10">
        <f>IF(AND(D1720="",C1720="",F1720=""),"",IF(G1720&lt;&gt;"","Void",IF(F1720="","Needs child",IF(H1720="","Child not found",IF(OR(B1720="",NOT(ISNUMBER(C1720))),"Needs month/pages","OK")))))</f>
        <v/>
      </c>
      <c r="J1720" s="10">
        <f>IF(I1720="","",IF(I1720="OK",IF(COUNTIFS(H1721:H$3001,H1720,B1721:B$3001,B1720,G1721:G$3001,"")=0,C1720,0),0))</f>
        <v/>
      </c>
    </row>
    <row r="1721">
      <c r="A1721" s="6" t="n"/>
      <c r="B1721" s="9" t="n"/>
      <c r="C1721" s="6" t="n"/>
      <c r="D1721" s="6" t="n"/>
      <c r="E1721" s="6" t="n"/>
      <c r="F1721" s="6" t="n"/>
      <c r="G1721" s="6" t="n"/>
      <c r="H1721" s="10">
        <f>IF(F1721="","",IFERROR(INDEX(Roster!$A$2:$A$600,MATCH(F1721,Roster!$E$2:$E$600,0)),""))</f>
        <v/>
      </c>
      <c r="I1721" s="10">
        <f>IF(AND(D1721="",C1721="",F1721=""),"",IF(G1721&lt;&gt;"","Void",IF(F1721="","Needs child",IF(H1721="","Child not found",IF(OR(B1721="",NOT(ISNUMBER(C1721))),"Needs month/pages","OK")))))</f>
        <v/>
      </c>
      <c r="J1721" s="10">
        <f>IF(I1721="","",IF(I1721="OK",IF(COUNTIFS(H1722:H$3001,H1721,B1722:B$3001,B1721,G1722:G$3001,"")=0,C1721,0),0))</f>
        <v/>
      </c>
    </row>
    <row r="1722">
      <c r="A1722" s="6" t="n"/>
      <c r="B1722" s="9" t="n"/>
      <c r="C1722" s="6" t="n"/>
      <c r="D1722" s="6" t="n"/>
      <c r="E1722" s="6" t="n"/>
      <c r="F1722" s="6" t="n"/>
      <c r="G1722" s="6" t="n"/>
      <c r="H1722" s="10">
        <f>IF(F1722="","",IFERROR(INDEX(Roster!$A$2:$A$600,MATCH(F1722,Roster!$E$2:$E$600,0)),""))</f>
        <v/>
      </c>
      <c r="I1722" s="10">
        <f>IF(AND(D1722="",C1722="",F1722=""),"",IF(G1722&lt;&gt;"","Void",IF(F1722="","Needs child",IF(H1722="","Child not found",IF(OR(B1722="",NOT(ISNUMBER(C1722))),"Needs month/pages","OK")))))</f>
        <v/>
      </c>
      <c r="J1722" s="10">
        <f>IF(I1722="","",IF(I1722="OK",IF(COUNTIFS(H1723:H$3001,H1722,B1723:B$3001,B1722,G1723:G$3001,"")=0,C1722,0),0))</f>
        <v/>
      </c>
    </row>
    <row r="1723">
      <c r="A1723" s="6" t="n"/>
      <c r="B1723" s="9" t="n"/>
      <c r="C1723" s="6" t="n"/>
      <c r="D1723" s="6" t="n"/>
      <c r="E1723" s="6" t="n"/>
      <c r="F1723" s="6" t="n"/>
      <c r="G1723" s="6" t="n"/>
      <c r="H1723" s="10">
        <f>IF(F1723="","",IFERROR(INDEX(Roster!$A$2:$A$600,MATCH(F1723,Roster!$E$2:$E$600,0)),""))</f>
        <v/>
      </c>
      <c r="I1723" s="10">
        <f>IF(AND(D1723="",C1723="",F1723=""),"",IF(G1723&lt;&gt;"","Void",IF(F1723="","Needs child",IF(H1723="","Child not found",IF(OR(B1723="",NOT(ISNUMBER(C1723))),"Needs month/pages","OK")))))</f>
        <v/>
      </c>
      <c r="J1723" s="10">
        <f>IF(I1723="","",IF(I1723="OK",IF(COUNTIFS(H1724:H$3001,H1723,B1724:B$3001,B1723,G1724:G$3001,"")=0,C1723,0),0))</f>
        <v/>
      </c>
    </row>
    <row r="1724">
      <c r="A1724" s="6" t="n"/>
      <c r="B1724" s="9" t="n"/>
      <c r="C1724" s="6" t="n"/>
      <c r="D1724" s="6" t="n"/>
      <c r="E1724" s="6" t="n"/>
      <c r="F1724" s="6" t="n"/>
      <c r="G1724" s="6" t="n"/>
      <c r="H1724" s="10">
        <f>IF(F1724="","",IFERROR(INDEX(Roster!$A$2:$A$600,MATCH(F1724,Roster!$E$2:$E$600,0)),""))</f>
        <v/>
      </c>
      <c r="I1724" s="10">
        <f>IF(AND(D1724="",C1724="",F1724=""),"",IF(G1724&lt;&gt;"","Void",IF(F1724="","Needs child",IF(H1724="","Child not found",IF(OR(B1724="",NOT(ISNUMBER(C1724))),"Needs month/pages","OK")))))</f>
        <v/>
      </c>
      <c r="J1724" s="10">
        <f>IF(I1724="","",IF(I1724="OK",IF(COUNTIFS(H1725:H$3001,H1724,B1725:B$3001,B1724,G1725:G$3001,"")=0,C1724,0),0))</f>
        <v/>
      </c>
    </row>
    <row r="1725">
      <c r="A1725" s="6" t="n"/>
      <c r="B1725" s="9" t="n"/>
      <c r="C1725" s="6" t="n"/>
      <c r="D1725" s="6" t="n"/>
      <c r="E1725" s="6" t="n"/>
      <c r="F1725" s="6" t="n"/>
      <c r="G1725" s="6" t="n"/>
      <c r="H1725" s="10">
        <f>IF(F1725="","",IFERROR(INDEX(Roster!$A$2:$A$600,MATCH(F1725,Roster!$E$2:$E$600,0)),""))</f>
        <v/>
      </c>
      <c r="I1725" s="10">
        <f>IF(AND(D1725="",C1725="",F1725=""),"",IF(G1725&lt;&gt;"","Void",IF(F1725="","Needs child",IF(H1725="","Child not found",IF(OR(B1725="",NOT(ISNUMBER(C1725))),"Needs month/pages","OK")))))</f>
        <v/>
      </c>
      <c r="J1725" s="10">
        <f>IF(I1725="","",IF(I1725="OK",IF(COUNTIFS(H1726:H$3001,H1725,B1726:B$3001,B1725,G1726:G$3001,"")=0,C1725,0),0))</f>
        <v/>
      </c>
    </row>
    <row r="1726">
      <c r="A1726" s="6" t="n"/>
      <c r="B1726" s="9" t="n"/>
      <c r="C1726" s="6" t="n"/>
      <c r="D1726" s="6" t="n"/>
      <c r="E1726" s="6" t="n"/>
      <c r="F1726" s="6" t="n"/>
      <c r="G1726" s="6" t="n"/>
      <c r="H1726" s="10">
        <f>IF(F1726="","",IFERROR(INDEX(Roster!$A$2:$A$600,MATCH(F1726,Roster!$E$2:$E$600,0)),""))</f>
        <v/>
      </c>
      <c r="I1726" s="10">
        <f>IF(AND(D1726="",C1726="",F1726=""),"",IF(G1726&lt;&gt;"","Void",IF(F1726="","Needs child",IF(H1726="","Child not found",IF(OR(B1726="",NOT(ISNUMBER(C1726))),"Needs month/pages","OK")))))</f>
        <v/>
      </c>
      <c r="J1726" s="10">
        <f>IF(I1726="","",IF(I1726="OK",IF(COUNTIFS(H1727:H$3001,H1726,B1727:B$3001,B1726,G1727:G$3001,"")=0,C1726,0),0))</f>
        <v/>
      </c>
    </row>
    <row r="1727">
      <c r="A1727" s="6" t="n"/>
      <c r="B1727" s="9" t="n"/>
      <c r="C1727" s="6" t="n"/>
      <c r="D1727" s="6" t="n"/>
      <c r="E1727" s="6" t="n"/>
      <c r="F1727" s="6" t="n"/>
      <c r="G1727" s="6" t="n"/>
      <c r="H1727" s="10">
        <f>IF(F1727="","",IFERROR(INDEX(Roster!$A$2:$A$600,MATCH(F1727,Roster!$E$2:$E$600,0)),""))</f>
        <v/>
      </c>
      <c r="I1727" s="10">
        <f>IF(AND(D1727="",C1727="",F1727=""),"",IF(G1727&lt;&gt;"","Void",IF(F1727="","Needs child",IF(H1727="","Child not found",IF(OR(B1727="",NOT(ISNUMBER(C1727))),"Needs month/pages","OK")))))</f>
        <v/>
      </c>
      <c r="J1727" s="10">
        <f>IF(I1727="","",IF(I1727="OK",IF(COUNTIFS(H1728:H$3001,H1727,B1728:B$3001,B1727,G1728:G$3001,"")=0,C1727,0),0))</f>
        <v/>
      </c>
    </row>
    <row r="1728">
      <c r="A1728" s="6" t="n"/>
      <c r="B1728" s="9" t="n"/>
      <c r="C1728" s="6" t="n"/>
      <c r="D1728" s="6" t="n"/>
      <c r="E1728" s="6" t="n"/>
      <c r="F1728" s="6" t="n"/>
      <c r="G1728" s="6" t="n"/>
      <c r="H1728" s="10">
        <f>IF(F1728="","",IFERROR(INDEX(Roster!$A$2:$A$600,MATCH(F1728,Roster!$E$2:$E$600,0)),""))</f>
        <v/>
      </c>
      <c r="I1728" s="10">
        <f>IF(AND(D1728="",C1728="",F1728=""),"",IF(G1728&lt;&gt;"","Void",IF(F1728="","Needs child",IF(H1728="","Child not found",IF(OR(B1728="",NOT(ISNUMBER(C1728))),"Needs month/pages","OK")))))</f>
        <v/>
      </c>
      <c r="J1728" s="10">
        <f>IF(I1728="","",IF(I1728="OK",IF(COUNTIFS(H1729:H$3001,H1728,B1729:B$3001,B1728,G1729:G$3001,"")=0,C1728,0),0))</f>
        <v/>
      </c>
    </row>
    <row r="1729">
      <c r="A1729" s="6" t="n"/>
      <c r="B1729" s="9" t="n"/>
      <c r="C1729" s="6" t="n"/>
      <c r="D1729" s="6" t="n"/>
      <c r="E1729" s="6" t="n"/>
      <c r="F1729" s="6" t="n"/>
      <c r="G1729" s="6" t="n"/>
      <c r="H1729" s="10">
        <f>IF(F1729="","",IFERROR(INDEX(Roster!$A$2:$A$600,MATCH(F1729,Roster!$E$2:$E$600,0)),""))</f>
        <v/>
      </c>
      <c r="I1729" s="10">
        <f>IF(AND(D1729="",C1729="",F1729=""),"",IF(G1729&lt;&gt;"","Void",IF(F1729="","Needs child",IF(H1729="","Child not found",IF(OR(B1729="",NOT(ISNUMBER(C1729))),"Needs month/pages","OK")))))</f>
        <v/>
      </c>
      <c r="J1729" s="10">
        <f>IF(I1729="","",IF(I1729="OK",IF(COUNTIFS(H1730:H$3001,H1729,B1730:B$3001,B1729,G1730:G$3001,"")=0,C1729,0),0))</f>
        <v/>
      </c>
    </row>
    <row r="1730">
      <c r="A1730" s="6" t="n"/>
      <c r="B1730" s="9" t="n"/>
      <c r="C1730" s="6" t="n"/>
      <c r="D1730" s="6" t="n"/>
      <c r="E1730" s="6" t="n"/>
      <c r="F1730" s="6" t="n"/>
      <c r="G1730" s="6" t="n"/>
      <c r="H1730" s="10">
        <f>IF(F1730="","",IFERROR(INDEX(Roster!$A$2:$A$600,MATCH(F1730,Roster!$E$2:$E$600,0)),""))</f>
        <v/>
      </c>
      <c r="I1730" s="10">
        <f>IF(AND(D1730="",C1730="",F1730=""),"",IF(G1730&lt;&gt;"","Void",IF(F1730="","Needs child",IF(H1730="","Child not found",IF(OR(B1730="",NOT(ISNUMBER(C1730))),"Needs month/pages","OK")))))</f>
        <v/>
      </c>
      <c r="J1730" s="10">
        <f>IF(I1730="","",IF(I1730="OK",IF(COUNTIFS(H1731:H$3001,H1730,B1731:B$3001,B1730,G1731:G$3001,"")=0,C1730,0),0))</f>
        <v/>
      </c>
    </row>
    <row r="1731">
      <c r="A1731" s="6" t="n"/>
      <c r="B1731" s="9" t="n"/>
      <c r="C1731" s="6" t="n"/>
      <c r="D1731" s="6" t="n"/>
      <c r="E1731" s="6" t="n"/>
      <c r="F1731" s="6" t="n"/>
      <c r="G1731" s="6" t="n"/>
      <c r="H1731" s="10">
        <f>IF(F1731="","",IFERROR(INDEX(Roster!$A$2:$A$600,MATCH(F1731,Roster!$E$2:$E$600,0)),""))</f>
        <v/>
      </c>
      <c r="I1731" s="10">
        <f>IF(AND(D1731="",C1731="",F1731=""),"",IF(G1731&lt;&gt;"","Void",IF(F1731="","Needs child",IF(H1731="","Child not found",IF(OR(B1731="",NOT(ISNUMBER(C1731))),"Needs month/pages","OK")))))</f>
        <v/>
      </c>
      <c r="J1731" s="10">
        <f>IF(I1731="","",IF(I1731="OK",IF(COUNTIFS(H1732:H$3001,H1731,B1732:B$3001,B1731,G1732:G$3001,"")=0,C1731,0),0))</f>
        <v/>
      </c>
    </row>
    <row r="1732">
      <c r="A1732" s="6" t="n"/>
      <c r="B1732" s="9" t="n"/>
      <c r="C1732" s="6" t="n"/>
      <c r="D1732" s="6" t="n"/>
      <c r="E1732" s="6" t="n"/>
      <c r="F1732" s="6" t="n"/>
      <c r="G1732" s="6" t="n"/>
      <c r="H1732" s="10">
        <f>IF(F1732="","",IFERROR(INDEX(Roster!$A$2:$A$600,MATCH(F1732,Roster!$E$2:$E$600,0)),""))</f>
        <v/>
      </c>
      <c r="I1732" s="10">
        <f>IF(AND(D1732="",C1732="",F1732=""),"",IF(G1732&lt;&gt;"","Void",IF(F1732="","Needs child",IF(H1732="","Child not found",IF(OR(B1732="",NOT(ISNUMBER(C1732))),"Needs month/pages","OK")))))</f>
        <v/>
      </c>
      <c r="J1732" s="10">
        <f>IF(I1732="","",IF(I1732="OK",IF(COUNTIFS(H1733:H$3001,H1732,B1733:B$3001,B1732,G1733:G$3001,"")=0,C1732,0),0))</f>
        <v/>
      </c>
    </row>
    <row r="1733">
      <c r="A1733" s="6" t="n"/>
      <c r="B1733" s="9" t="n"/>
      <c r="C1733" s="6" t="n"/>
      <c r="D1733" s="6" t="n"/>
      <c r="E1733" s="6" t="n"/>
      <c r="F1733" s="6" t="n"/>
      <c r="G1733" s="6" t="n"/>
      <c r="H1733" s="10">
        <f>IF(F1733="","",IFERROR(INDEX(Roster!$A$2:$A$600,MATCH(F1733,Roster!$E$2:$E$600,0)),""))</f>
        <v/>
      </c>
      <c r="I1733" s="10">
        <f>IF(AND(D1733="",C1733="",F1733=""),"",IF(G1733&lt;&gt;"","Void",IF(F1733="","Needs child",IF(H1733="","Child not found",IF(OR(B1733="",NOT(ISNUMBER(C1733))),"Needs month/pages","OK")))))</f>
        <v/>
      </c>
      <c r="J1733" s="10">
        <f>IF(I1733="","",IF(I1733="OK",IF(COUNTIFS(H1734:H$3001,H1733,B1734:B$3001,B1733,G1734:G$3001,"")=0,C1733,0),0))</f>
        <v/>
      </c>
    </row>
    <row r="1734">
      <c r="A1734" s="6" t="n"/>
      <c r="B1734" s="9" t="n"/>
      <c r="C1734" s="6" t="n"/>
      <c r="D1734" s="6" t="n"/>
      <c r="E1734" s="6" t="n"/>
      <c r="F1734" s="6" t="n"/>
      <c r="G1734" s="6" t="n"/>
      <c r="H1734" s="10">
        <f>IF(F1734="","",IFERROR(INDEX(Roster!$A$2:$A$600,MATCH(F1734,Roster!$E$2:$E$600,0)),""))</f>
        <v/>
      </c>
      <c r="I1734" s="10">
        <f>IF(AND(D1734="",C1734="",F1734=""),"",IF(G1734&lt;&gt;"","Void",IF(F1734="","Needs child",IF(H1734="","Child not found",IF(OR(B1734="",NOT(ISNUMBER(C1734))),"Needs month/pages","OK")))))</f>
        <v/>
      </c>
      <c r="J1734" s="10">
        <f>IF(I1734="","",IF(I1734="OK",IF(COUNTIFS(H1735:H$3001,H1734,B1735:B$3001,B1734,G1735:G$3001,"")=0,C1734,0),0))</f>
        <v/>
      </c>
    </row>
    <row r="1735">
      <c r="A1735" s="6" t="n"/>
      <c r="B1735" s="9" t="n"/>
      <c r="C1735" s="6" t="n"/>
      <c r="D1735" s="6" t="n"/>
      <c r="E1735" s="6" t="n"/>
      <c r="F1735" s="6" t="n"/>
      <c r="G1735" s="6" t="n"/>
      <c r="H1735" s="10">
        <f>IF(F1735="","",IFERROR(INDEX(Roster!$A$2:$A$600,MATCH(F1735,Roster!$E$2:$E$600,0)),""))</f>
        <v/>
      </c>
      <c r="I1735" s="10">
        <f>IF(AND(D1735="",C1735="",F1735=""),"",IF(G1735&lt;&gt;"","Void",IF(F1735="","Needs child",IF(H1735="","Child not found",IF(OR(B1735="",NOT(ISNUMBER(C1735))),"Needs month/pages","OK")))))</f>
        <v/>
      </c>
      <c r="J1735" s="10">
        <f>IF(I1735="","",IF(I1735="OK",IF(COUNTIFS(H1736:H$3001,H1735,B1736:B$3001,B1735,G1736:G$3001,"")=0,C1735,0),0))</f>
        <v/>
      </c>
    </row>
    <row r="1736">
      <c r="A1736" s="6" t="n"/>
      <c r="B1736" s="9" t="n"/>
      <c r="C1736" s="6" t="n"/>
      <c r="D1736" s="6" t="n"/>
      <c r="E1736" s="6" t="n"/>
      <c r="F1736" s="6" t="n"/>
      <c r="G1736" s="6" t="n"/>
      <c r="H1736" s="10">
        <f>IF(F1736="","",IFERROR(INDEX(Roster!$A$2:$A$600,MATCH(F1736,Roster!$E$2:$E$600,0)),""))</f>
        <v/>
      </c>
      <c r="I1736" s="10">
        <f>IF(AND(D1736="",C1736="",F1736=""),"",IF(G1736&lt;&gt;"","Void",IF(F1736="","Needs child",IF(H1736="","Child not found",IF(OR(B1736="",NOT(ISNUMBER(C1736))),"Needs month/pages","OK")))))</f>
        <v/>
      </c>
      <c r="J1736" s="10">
        <f>IF(I1736="","",IF(I1736="OK",IF(COUNTIFS(H1737:H$3001,H1736,B1737:B$3001,B1736,G1737:G$3001,"")=0,C1736,0),0))</f>
        <v/>
      </c>
    </row>
    <row r="1737">
      <c r="A1737" s="6" t="n"/>
      <c r="B1737" s="9" t="n"/>
      <c r="C1737" s="6" t="n"/>
      <c r="D1737" s="6" t="n"/>
      <c r="E1737" s="6" t="n"/>
      <c r="F1737" s="6" t="n"/>
      <c r="G1737" s="6" t="n"/>
      <c r="H1737" s="10">
        <f>IF(F1737="","",IFERROR(INDEX(Roster!$A$2:$A$600,MATCH(F1737,Roster!$E$2:$E$600,0)),""))</f>
        <v/>
      </c>
      <c r="I1737" s="10">
        <f>IF(AND(D1737="",C1737="",F1737=""),"",IF(G1737&lt;&gt;"","Void",IF(F1737="","Needs child",IF(H1737="","Child not found",IF(OR(B1737="",NOT(ISNUMBER(C1737))),"Needs month/pages","OK")))))</f>
        <v/>
      </c>
      <c r="J1737" s="10">
        <f>IF(I1737="","",IF(I1737="OK",IF(COUNTIFS(H1738:H$3001,H1737,B1738:B$3001,B1737,G1738:G$3001,"")=0,C1737,0),0))</f>
        <v/>
      </c>
    </row>
    <row r="1738">
      <c r="A1738" s="6" t="n"/>
      <c r="B1738" s="9" t="n"/>
      <c r="C1738" s="6" t="n"/>
      <c r="D1738" s="6" t="n"/>
      <c r="E1738" s="6" t="n"/>
      <c r="F1738" s="6" t="n"/>
      <c r="G1738" s="6" t="n"/>
      <c r="H1738" s="10">
        <f>IF(F1738="","",IFERROR(INDEX(Roster!$A$2:$A$600,MATCH(F1738,Roster!$E$2:$E$600,0)),""))</f>
        <v/>
      </c>
      <c r="I1738" s="10">
        <f>IF(AND(D1738="",C1738="",F1738=""),"",IF(G1738&lt;&gt;"","Void",IF(F1738="","Needs child",IF(H1738="","Child not found",IF(OR(B1738="",NOT(ISNUMBER(C1738))),"Needs month/pages","OK")))))</f>
        <v/>
      </c>
      <c r="J1738" s="10">
        <f>IF(I1738="","",IF(I1738="OK",IF(COUNTIFS(H1739:H$3001,H1738,B1739:B$3001,B1738,G1739:G$3001,"")=0,C1738,0),0))</f>
        <v/>
      </c>
    </row>
    <row r="1739">
      <c r="A1739" s="6" t="n"/>
      <c r="B1739" s="9" t="n"/>
      <c r="C1739" s="6" t="n"/>
      <c r="D1739" s="6" t="n"/>
      <c r="E1739" s="6" t="n"/>
      <c r="F1739" s="6" t="n"/>
      <c r="G1739" s="6" t="n"/>
      <c r="H1739" s="10">
        <f>IF(F1739="","",IFERROR(INDEX(Roster!$A$2:$A$600,MATCH(F1739,Roster!$E$2:$E$600,0)),""))</f>
        <v/>
      </c>
      <c r="I1739" s="10">
        <f>IF(AND(D1739="",C1739="",F1739=""),"",IF(G1739&lt;&gt;"","Void",IF(F1739="","Needs child",IF(H1739="","Child not found",IF(OR(B1739="",NOT(ISNUMBER(C1739))),"Needs month/pages","OK")))))</f>
        <v/>
      </c>
      <c r="J1739" s="10">
        <f>IF(I1739="","",IF(I1739="OK",IF(COUNTIFS(H1740:H$3001,H1739,B1740:B$3001,B1739,G1740:G$3001,"")=0,C1739,0),0))</f>
        <v/>
      </c>
    </row>
    <row r="1740">
      <c r="A1740" s="6" t="n"/>
      <c r="B1740" s="9" t="n"/>
      <c r="C1740" s="6" t="n"/>
      <c r="D1740" s="6" t="n"/>
      <c r="E1740" s="6" t="n"/>
      <c r="F1740" s="6" t="n"/>
      <c r="G1740" s="6" t="n"/>
      <c r="H1740" s="10">
        <f>IF(F1740="","",IFERROR(INDEX(Roster!$A$2:$A$600,MATCH(F1740,Roster!$E$2:$E$600,0)),""))</f>
        <v/>
      </c>
      <c r="I1740" s="10">
        <f>IF(AND(D1740="",C1740="",F1740=""),"",IF(G1740&lt;&gt;"","Void",IF(F1740="","Needs child",IF(H1740="","Child not found",IF(OR(B1740="",NOT(ISNUMBER(C1740))),"Needs month/pages","OK")))))</f>
        <v/>
      </c>
      <c r="J1740" s="10">
        <f>IF(I1740="","",IF(I1740="OK",IF(COUNTIFS(H1741:H$3001,H1740,B1741:B$3001,B1740,G1741:G$3001,"")=0,C1740,0),0))</f>
        <v/>
      </c>
    </row>
    <row r="1741">
      <c r="A1741" s="6" t="n"/>
      <c r="B1741" s="9" t="n"/>
      <c r="C1741" s="6" t="n"/>
      <c r="D1741" s="6" t="n"/>
      <c r="E1741" s="6" t="n"/>
      <c r="F1741" s="6" t="n"/>
      <c r="G1741" s="6" t="n"/>
      <c r="H1741" s="10">
        <f>IF(F1741="","",IFERROR(INDEX(Roster!$A$2:$A$600,MATCH(F1741,Roster!$E$2:$E$600,0)),""))</f>
        <v/>
      </c>
      <c r="I1741" s="10">
        <f>IF(AND(D1741="",C1741="",F1741=""),"",IF(G1741&lt;&gt;"","Void",IF(F1741="","Needs child",IF(H1741="","Child not found",IF(OR(B1741="",NOT(ISNUMBER(C1741))),"Needs month/pages","OK")))))</f>
        <v/>
      </c>
      <c r="J1741" s="10">
        <f>IF(I1741="","",IF(I1741="OK",IF(COUNTIFS(H1742:H$3001,H1741,B1742:B$3001,B1741,G1742:G$3001,"")=0,C1741,0),0))</f>
        <v/>
      </c>
    </row>
    <row r="1742">
      <c r="A1742" s="6" t="n"/>
      <c r="B1742" s="9" t="n"/>
      <c r="C1742" s="6" t="n"/>
      <c r="D1742" s="6" t="n"/>
      <c r="E1742" s="6" t="n"/>
      <c r="F1742" s="6" t="n"/>
      <c r="G1742" s="6" t="n"/>
      <c r="H1742" s="10">
        <f>IF(F1742="","",IFERROR(INDEX(Roster!$A$2:$A$600,MATCH(F1742,Roster!$E$2:$E$600,0)),""))</f>
        <v/>
      </c>
      <c r="I1742" s="10">
        <f>IF(AND(D1742="",C1742="",F1742=""),"",IF(G1742&lt;&gt;"","Void",IF(F1742="","Needs child",IF(H1742="","Child not found",IF(OR(B1742="",NOT(ISNUMBER(C1742))),"Needs month/pages","OK")))))</f>
        <v/>
      </c>
      <c r="J1742" s="10">
        <f>IF(I1742="","",IF(I1742="OK",IF(COUNTIFS(H1743:H$3001,H1742,B1743:B$3001,B1742,G1743:G$3001,"")=0,C1742,0),0))</f>
        <v/>
      </c>
    </row>
    <row r="1743">
      <c r="A1743" s="6" t="n"/>
      <c r="B1743" s="9" t="n"/>
      <c r="C1743" s="6" t="n"/>
      <c r="D1743" s="6" t="n"/>
      <c r="E1743" s="6" t="n"/>
      <c r="F1743" s="6" t="n"/>
      <c r="G1743" s="6" t="n"/>
      <c r="H1743" s="10">
        <f>IF(F1743="","",IFERROR(INDEX(Roster!$A$2:$A$600,MATCH(F1743,Roster!$E$2:$E$600,0)),""))</f>
        <v/>
      </c>
      <c r="I1743" s="10">
        <f>IF(AND(D1743="",C1743="",F1743=""),"",IF(G1743&lt;&gt;"","Void",IF(F1743="","Needs child",IF(H1743="","Child not found",IF(OR(B1743="",NOT(ISNUMBER(C1743))),"Needs month/pages","OK")))))</f>
        <v/>
      </c>
      <c r="J1743" s="10">
        <f>IF(I1743="","",IF(I1743="OK",IF(COUNTIFS(H1744:H$3001,H1743,B1744:B$3001,B1743,G1744:G$3001,"")=0,C1743,0),0))</f>
        <v/>
      </c>
    </row>
    <row r="1744">
      <c r="A1744" s="6" t="n"/>
      <c r="B1744" s="9" t="n"/>
      <c r="C1744" s="6" t="n"/>
      <c r="D1744" s="6" t="n"/>
      <c r="E1744" s="6" t="n"/>
      <c r="F1744" s="6" t="n"/>
      <c r="G1744" s="6" t="n"/>
      <c r="H1744" s="10">
        <f>IF(F1744="","",IFERROR(INDEX(Roster!$A$2:$A$600,MATCH(F1744,Roster!$E$2:$E$600,0)),""))</f>
        <v/>
      </c>
      <c r="I1744" s="10">
        <f>IF(AND(D1744="",C1744="",F1744=""),"",IF(G1744&lt;&gt;"","Void",IF(F1744="","Needs child",IF(H1744="","Child not found",IF(OR(B1744="",NOT(ISNUMBER(C1744))),"Needs month/pages","OK")))))</f>
        <v/>
      </c>
      <c r="J1744" s="10">
        <f>IF(I1744="","",IF(I1744="OK",IF(COUNTIFS(H1745:H$3001,H1744,B1745:B$3001,B1744,G1745:G$3001,"")=0,C1744,0),0))</f>
        <v/>
      </c>
    </row>
    <row r="1745">
      <c r="A1745" s="6" t="n"/>
      <c r="B1745" s="9" t="n"/>
      <c r="C1745" s="6" t="n"/>
      <c r="D1745" s="6" t="n"/>
      <c r="E1745" s="6" t="n"/>
      <c r="F1745" s="6" t="n"/>
      <c r="G1745" s="6" t="n"/>
      <c r="H1745" s="10">
        <f>IF(F1745="","",IFERROR(INDEX(Roster!$A$2:$A$600,MATCH(F1745,Roster!$E$2:$E$600,0)),""))</f>
        <v/>
      </c>
      <c r="I1745" s="10">
        <f>IF(AND(D1745="",C1745="",F1745=""),"",IF(G1745&lt;&gt;"","Void",IF(F1745="","Needs child",IF(H1745="","Child not found",IF(OR(B1745="",NOT(ISNUMBER(C1745))),"Needs month/pages","OK")))))</f>
        <v/>
      </c>
      <c r="J1745" s="10">
        <f>IF(I1745="","",IF(I1745="OK",IF(COUNTIFS(H1746:H$3001,H1745,B1746:B$3001,B1745,G1746:G$3001,"")=0,C1745,0),0))</f>
        <v/>
      </c>
    </row>
    <row r="1746">
      <c r="A1746" s="6" t="n"/>
      <c r="B1746" s="9" t="n"/>
      <c r="C1746" s="6" t="n"/>
      <c r="D1746" s="6" t="n"/>
      <c r="E1746" s="6" t="n"/>
      <c r="F1746" s="6" t="n"/>
      <c r="G1746" s="6" t="n"/>
      <c r="H1746" s="10">
        <f>IF(F1746="","",IFERROR(INDEX(Roster!$A$2:$A$600,MATCH(F1746,Roster!$E$2:$E$600,0)),""))</f>
        <v/>
      </c>
      <c r="I1746" s="10">
        <f>IF(AND(D1746="",C1746="",F1746=""),"",IF(G1746&lt;&gt;"","Void",IF(F1746="","Needs child",IF(H1746="","Child not found",IF(OR(B1746="",NOT(ISNUMBER(C1746))),"Needs month/pages","OK")))))</f>
        <v/>
      </c>
      <c r="J1746" s="10">
        <f>IF(I1746="","",IF(I1746="OK",IF(COUNTIFS(H1747:H$3001,H1746,B1747:B$3001,B1746,G1747:G$3001,"")=0,C1746,0),0))</f>
        <v/>
      </c>
    </row>
    <row r="1747">
      <c r="A1747" s="6" t="n"/>
      <c r="B1747" s="9" t="n"/>
      <c r="C1747" s="6" t="n"/>
      <c r="D1747" s="6" t="n"/>
      <c r="E1747" s="6" t="n"/>
      <c r="F1747" s="6" t="n"/>
      <c r="G1747" s="6" t="n"/>
      <c r="H1747" s="10">
        <f>IF(F1747="","",IFERROR(INDEX(Roster!$A$2:$A$600,MATCH(F1747,Roster!$E$2:$E$600,0)),""))</f>
        <v/>
      </c>
      <c r="I1747" s="10">
        <f>IF(AND(D1747="",C1747="",F1747=""),"",IF(G1747&lt;&gt;"","Void",IF(F1747="","Needs child",IF(H1747="","Child not found",IF(OR(B1747="",NOT(ISNUMBER(C1747))),"Needs month/pages","OK")))))</f>
        <v/>
      </c>
      <c r="J1747" s="10">
        <f>IF(I1747="","",IF(I1747="OK",IF(COUNTIFS(H1748:H$3001,H1747,B1748:B$3001,B1747,G1748:G$3001,"")=0,C1747,0),0))</f>
        <v/>
      </c>
    </row>
    <row r="1748">
      <c r="A1748" s="6" t="n"/>
      <c r="B1748" s="9" t="n"/>
      <c r="C1748" s="6" t="n"/>
      <c r="D1748" s="6" t="n"/>
      <c r="E1748" s="6" t="n"/>
      <c r="F1748" s="6" t="n"/>
      <c r="G1748" s="6" t="n"/>
      <c r="H1748" s="10">
        <f>IF(F1748="","",IFERROR(INDEX(Roster!$A$2:$A$600,MATCH(F1748,Roster!$E$2:$E$600,0)),""))</f>
        <v/>
      </c>
      <c r="I1748" s="10">
        <f>IF(AND(D1748="",C1748="",F1748=""),"",IF(G1748&lt;&gt;"","Void",IF(F1748="","Needs child",IF(H1748="","Child not found",IF(OR(B1748="",NOT(ISNUMBER(C1748))),"Needs month/pages","OK")))))</f>
        <v/>
      </c>
      <c r="J1748" s="10">
        <f>IF(I1748="","",IF(I1748="OK",IF(COUNTIFS(H1749:H$3001,H1748,B1749:B$3001,B1748,G1749:G$3001,"")=0,C1748,0),0))</f>
        <v/>
      </c>
    </row>
    <row r="1749">
      <c r="A1749" s="6" t="n"/>
      <c r="B1749" s="9" t="n"/>
      <c r="C1749" s="6" t="n"/>
      <c r="D1749" s="6" t="n"/>
      <c r="E1749" s="6" t="n"/>
      <c r="F1749" s="6" t="n"/>
      <c r="G1749" s="6" t="n"/>
      <c r="H1749" s="10">
        <f>IF(F1749="","",IFERROR(INDEX(Roster!$A$2:$A$600,MATCH(F1749,Roster!$E$2:$E$600,0)),""))</f>
        <v/>
      </c>
      <c r="I1749" s="10">
        <f>IF(AND(D1749="",C1749="",F1749=""),"",IF(G1749&lt;&gt;"","Void",IF(F1749="","Needs child",IF(H1749="","Child not found",IF(OR(B1749="",NOT(ISNUMBER(C1749))),"Needs month/pages","OK")))))</f>
        <v/>
      </c>
      <c r="J1749" s="10">
        <f>IF(I1749="","",IF(I1749="OK",IF(COUNTIFS(H1750:H$3001,H1749,B1750:B$3001,B1749,G1750:G$3001,"")=0,C1749,0),0))</f>
        <v/>
      </c>
    </row>
    <row r="1750">
      <c r="A1750" s="6" t="n"/>
      <c r="B1750" s="9" t="n"/>
      <c r="C1750" s="6" t="n"/>
      <c r="D1750" s="6" t="n"/>
      <c r="E1750" s="6" t="n"/>
      <c r="F1750" s="6" t="n"/>
      <c r="G1750" s="6" t="n"/>
      <c r="H1750" s="10">
        <f>IF(F1750="","",IFERROR(INDEX(Roster!$A$2:$A$600,MATCH(F1750,Roster!$E$2:$E$600,0)),""))</f>
        <v/>
      </c>
      <c r="I1750" s="10">
        <f>IF(AND(D1750="",C1750="",F1750=""),"",IF(G1750&lt;&gt;"","Void",IF(F1750="","Needs child",IF(H1750="","Child not found",IF(OR(B1750="",NOT(ISNUMBER(C1750))),"Needs month/pages","OK")))))</f>
        <v/>
      </c>
      <c r="J1750" s="10">
        <f>IF(I1750="","",IF(I1750="OK",IF(COUNTIFS(H1751:H$3001,H1750,B1751:B$3001,B1750,G1751:G$3001,"")=0,C1750,0),0))</f>
        <v/>
      </c>
    </row>
    <row r="1751">
      <c r="A1751" s="6" t="n"/>
      <c r="B1751" s="9" t="n"/>
      <c r="C1751" s="6" t="n"/>
      <c r="D1751" s="6" t="n"/>
      <c r="E1751" s="6" t="n"/>
      <c r="F1751" s="6" t="n"/>
      <c r="G1751" s="6" t="n"/>
      <c r="H1751" s="10">
        <f>IF(F1751="","",IFERROR(INDEX(Roster!$A$2:$A$600,MATCH(F1751,Roster!$E$2:$E$600,0)),""))</f>
        <v/>
      </c>
      <c r="I1751" s="10">
        <f>IF(AND(D1751="",C1751="",F1751=""),"",IF(G1751&lt;&gt;"","Void",IF(F1751="","Needs child",IF(H1751="","Child not found",IF(OR(B1751="",NOT(ISNUMBER(C1751))),"Needs month/pages","OK")))))</f>
        <v/>
      </c>
      <c r="J1751" s="10">
        <f>IF(I1751="","",IF(I1751="OK",IF(COUNTIFS(H1752:H$3001,H1751,B1752:B$3001,B1751,G1752:G$3001,"")=0,C1751,0),0))</f>
        <v/>
      </c>
    </row>
    <row r="1752">
      <c r="A1752" s="6" t="n"/>
      <c r="B1752" s="9" t="n"/>
      <c r="C1752" s="6" t="n"/>
      <c r="D1752" s="6" t="n"/>
      <c r="E1752" s="6" t="n"/>
      <c r="F1752" s="6" t="n"/>
      <c r="G1752" s="6" t="n"/>
      <c r="H1752" s="10">
        <f>IF(F1752="","",IFERROR(INDEX(Roster!$A$2:$A$600,MATCH(F1752,Roster!$E$2:$E$600,0)),""))</f>
        <v/>
      </c>
      <c r="I1752" s="10">
        <f>IF(AND(D1752="",C1752="",F1752=""),"",IF(G1752&lt;&gt;"","Void",IF(F1752="","Needs child",IF(H1752="","Child not found",IF(OR(B1752="",NOT(ISNUMBER(C1752))),"Needs month/pages","OK")))))</f>
        <v/>
      </c>
      <c r="J1752" s="10">
        <f>IF(I1752="","",IF(I1752="OK",IF(COUNTIFS(H1753:H$3001,H1752,B1753:B$3001,B1752,G1753:G$3001,"")=0,C1752,0),0))</f>
        <v/>
      </c>
    </row>
    <row r="1753">
      <c r="A1753" s="6" t="n"/>
      <c r="B1753" s="9" t="n"/>
      <c r="C1753" s="6" t="n"/>
      <c r="D1753" s="6" t="n"/>
      <c r="E1753" s="6" t="n"/>
      <c r="F1753" s="6" t="n"/>
      <c r="G1753" s="6" t="n"/>
      <c r="H1753" s="10">
        <f>IF(F1753="","",IFERROR(INDEX(Roster!$A$2:$A$600,MATCH(F1753,Roster!$E$2:$E$600,0)),""))</f>
        <v/>
      </c>
      <c r="I1753" s="10">
        <f>IF(AND(D1753="",C1753="",F1753=""),"",IF(G1753&lt;&gt;"","Void",IF(F1753="","Needs child",IF(H1753="","Child not found",IF(OR(B1753="",NOT(ISNUMBER(C1753))),"Needs month/pages","OK")))))</f>
        <v/>
      </c>
      <c r="J1753" s="10">
        <f>IF(I1753="","",IF(I1753="OK",IF(COUNTIFS(H1754:H$3001,H1753,B1754:B$3001,B1753,G1754:G$3001,"")=0,C1753,0),0))</f>
        <v/>
      </c>
    </row>
    <row r="1754">
      <c r="A1754" s="6" t="n"/>
      <c r="B1754" s="9" t="n"/>
      <c r="C1754" s="6" t="n"/>
      <c r="D1754" s="6" t="n"/>
      <c r="E1754" s="6" t="n"/>
      <c r="F1754" s="6" t="n"/>
      <c r="G1754" s="6" t="n"/>
      <c r="H1754" s="10">
        <f>IF(F1754="","",IFERROR(INDEX(Roster!$A$2:$A$600,MATCH(F1754,Roster!$E$2:$E$600,0)),""))</f>
        <v/>
      </c>
      <c r="I1754" s="10">
        <f>IF(AND(D1754="",C1754="",F1754=""),"",IF(G1754&lt;&gt;"","Void",IF(F1754="","Needs child",IF(H1754="","Child not found",IF(OR(B1754="",NOT(ISNUMBER(C1754))),"Needs month/pages","OK")))))</f>
        <v/>
      </c>
      <c r="J1754" s="10">
        <f>IF(I1754="","",IF(I1754="OK",IF(COUNTIFS(H1755:H$3001,H1754,B1755:B$3001,B1754,G1755:G$3001,"")=0,C1754,0),0))</f>
        <v/>
      </c>
    </row>
    <row r="1755">
      <c r="A1755" s="6" t="n"/>
      <c r="B1755" s="9" t="n"/>
      <c r="C1755" s="6" t="n"/>
      <c r="D1755" s="6" t="n"/>
      <c r="E1755" s="6" t="n"/>
      <c r="F1755" s="6" t="n"/>
      <c r="G1755" s="6" t="n"/>
      <c r="H1755" s="10">
        <f>IF(F1755="","",IFERROR(INDEX(Roster!$A$2:$A$600,MATCH(F1755,Roster!$E$2:$E$600,0)),""))</f>
        <v/>
      </c>
      <c r="I1755" s="10">
        <f>IF(AND(D1755="",C1755="",F1755=""),"",IF(G1755&lt;&gt;"","Void",IF(F1755="","Needs child",IF(H1755="","Child not found",IF(OR(B1755="",NOT(ISNUMBER(C1755))),"Needs month/pages","OK")))))</f>
        <v/>
      </c>
      <c r="J1755" s="10">
        <f>IF(I1755="","",IF(I1755="OK",IF(COUNTIFS(H1756:H$3001,H1755,B1756:B$3001,B1755,G1756:G$3001,"")=0,C1755,0),0))</f>
        <v/>
      </c>
    </row>
    <row r="1756">
      <c r="A1756" s="6" t="n"/>
      <c r="B1756" s="9" t="n"/>
      <c r="C1756" s="6" t="n"/>
      <c r="D1756" s="6" t="n"/>
      <c r="E1756" s="6" t="n"/>
      <c r="F1756" s="6" t="n"/>
      <c r="G1756" s="6" t="n"/>
      <c r="H1756" s="10">
        <f>IF(F1756="","",IFERROR(INDEX(Roster!$A$2:$A$600,MATCH(F1756,Roster!$E$2:$E$600,0)),""))</f>
        <v/>
      </c>
      <c r="I1756" s="10">
        <f>IF(AND(D1756="",C1756="",F1756=""),"",IF(G1756&lt;&gt;"","Void",IF(F1756="","Needs child",IF(H1756="","Child not found",IF(OR(B1756="",NOT(ISNUMBER(C1756))),"Needs month/pages","OK")))))</f>
        <v/>
      </c>
      <c r="J1756" s="10">
        <f>IF(I1756="","",IF(I1756="OK",IF(COUNTIFS(H1757:H$3001,H1756,B1757:B$3001,B1756,G1757:G$3001,"")=0,C1756,0),0))</f>
        <v/>
      </c>
    </row>
    <row r="1757">
      <c r="A1757" s="6" t="n"/>
      <c r="B1757" s="9" t="n"/>
      <c r="C1757" s="6" t="n"/>
      <c r="D1757" s="6" t="n"/>
      <c r="E1757" s="6" t="n"/>
      <c r="F1757" s="6" t="n"/>
      <c r="G1757" s="6" t="n"/>
      <c r="H1757" s="10">
        <f>IF(F1757="","",IFERROR(INDEX(Roster!$A$2:$A$600,MATCH(F1757,Roster!$E$2:$E$600,0)),""))</f>
        <v/>
      </c>
      <c r="I1757" s="10">
        <f>IF(AND(D1757="",C1757="",F1757=""),"",IF(G1757&lt;&gt;"","Void",IF(F1757="","Needs child",IF(H1757="","Child not found",IF(OR(B1757="",NOT(ISNUMBER(C1757))),"Needs month/pages","OK")))))</f>
        <v/>
      </c>
      <c r="J1757" s="10">
        <f>IF(I1757="","",IF(I1757="OK",IF(COUNTIFS(H1758:H$3001,H1757,B1758:B$3001,B1757,G1758:G$3001,"")=0,C1757,0),0))</f>
        <v/>
      </c>
    </row>
    <row r="1758">
      <c r="A1758" s="6" t="n"/>
      <c r="B1758" s="9" t="n"/>
      <c r="C1758" s="6" t="n"/>
      <c r="D1758" s="6" t="n"/>
      <c r="E1758" s="6" t="n"/>
      <c r="F1758" s="6" t="n"/>
      <c r="G1758" s="6" t="n"/>
      <c r="H1758" s="10">
        <f>IF(F1758="","",IFERROR(INDEX(Roster!$A$2:$A$600,MATCH(F1758,Roster!$E$2:$E$600,0)),""))</f>
        <v/>
      </c>
      <c r="I1758" s="10">
        <f>IF(AND(D1758="",C1758="",F1758=""),"",IF(G1758&lt;&gt;"","Void",IF(F1758="","Needs child",IF(H1758="","Child not found",IF(OR(B1758="",NOT(ISNUMBER(C1758))),"Needs month/pages","OK")))))</f>
        <v/>
      </c>
      <c r="J1758" s="10">
        <f>IF(I1758="","",IF(I1758="OK",IF(COUNTIFS(H1759:H$3001,H1758,B1759:B$3001,B1758,G1759:G$3001,"")=0,C1758,0),0))</f>
        <v/>
      </c>
    </row>
    <row r="1759">
      <c r="A1759" s="6" t="n"/>
      <c r="B1759" s="9" t="n"/>
      <c r="C1759" s="6" t="n"/>
      <c r="D1759" s="6" t="n"/>
      <c r="E1759" s="6" t="n"/>
      <c r="F1759" s="6" t="n"/>
      <c r="G1759" s="6" t="n"/>
      <c r="H1759" s="10">
        <f>IF(F1759="","",IFERROR(INDEX(Roster!$A$2:$A$600,MATCH(F1759,Roster!$E$2:$E$600,0)),""))</f>
        <v/>
      </c>
      <c r="I1759" s="10">
        <f>IF(AND(D1759="",C1759="",F1759=""),"",IF(G1759&lt;&gt;"","Void",IF(F1759="","Needs child",IF(H1759="","Child not found",IF(OR(B1759="",NOT(ISNUMBER(C1759))),"Needs month/pages","OK")))))</f>
        <v/>
      </c>
      <c r="J1759" s="10">
        <f>IF(I1759="","",IF(I1759="OK",IF(COUNTIFS(H1760:H$3001,H1759,B1760:B$3001,B1759,G1760:G$3001,"")=0,C1759,0),0))</f>
        <v/>
      </c>
    </row>
    <row r="1760">
      <c r="A1760" s="6" t="n"/>
      <c r="B1760" s="9" t="n"/>
      <c r="C1760" s="6" t="n"/>
      <c r="D1760" s="6" t="n"/>
      <c r="E1760" s="6" t="n"/>
      <c r="F1760" s="6" t="n"/>
      <c r="G1760" s="6" t="n"/>
      <c r="H1760" s="10">
        <f>IF(F1760="","",IFERROR(INDEX(Roster!$A$2:$A$600,MATCH(F1760,Roster!$E$2:$E$600,0)),""))</f>
        <v/>
      </c>
      <c r="I1760" s="10">
        <f>IF(AND(D1760="",C1760="",F1760=""),"",IF(G1760&lt;&gt;"","Void",IF(F1760="","Needs child",IF(H1760="","Child not found",IF(OR(B1760="",NOT(ISNUMBER(C1760))),"Needs month/pages","OK")))))</f>
        <v/>
      </c>
      <c r="J1760" s="10">
        <f>IF(I1760="","",IF(I1760="OK",IF(COUNTIFS(H1761:H$3001,H1760,B1761:B$3001,B1760,G1761:G$3001,"")=0,C1760,0),0))</f>
        <v/>
      </c>
    </row>
    <row r="1761">
      <c r="A1761" s="6" t="n"/>
      <c r="B1761" s="9" t="n"/>
      <c r="C1761" s="6" t="n"/>
      <c r="D1761" s="6" t="n"/>
      <c r="E1761" s="6" t="n"/>
      <c r="F1761" s="6" t="n"/>
      <c r="G1761" s="6" t="n"/>
      <c r="H1761" s="10">
        <f>IF(F1761="","",IFERROR(INDEX(Roster!$A$2:$A$600,MATCH(F1761,Roster!$E$2:$E$600,0)),""))</f>
        <v/>
      </c>
      <c r="I1761" s="10">
        <f>IF(AND(D1761="",C1761="",F1761=""),"",IF(G1761&lt;&gt;"","Void",IF(F1761="","Needs child",IF(H1761="","Child not found",IF(OR(B1761="",NOT(ISNUMBER(C1761))),"Needs month/pages","OK")))))</f>
        <v/>
      </c>
      <c r="J1761" s="10">
        <f>IF(I1761="","",IF(I1761="OK",IF(COUNTIFS(H1762:H$3001,H1761,B1762:B$3001,B1761,G1762:G$3001,"")=0,C1761,0),0))</f>
        <v/>
      </c>
    </row>
    <row r="1762">
      <c r="A1762" s="6" t="n"/>
      <c r="B1762" s="9" t="n"/>
      <c r="C1762" s="6" t="n"/>
      <c r="D1762" s="6" t="n"/>
      <c r="E1762" s="6" t="n"/>
      <c r="F1762" s="6" t="n"/>
      <c r="G1762" s="6" t="n"/>
      <c r="H1762" s="10">
        <f>IF(F1762="","",IFERROR(INDEX(Roster!$A$2:$A$600,MATCH(F1762,Roster!$E$2:$E$600,0)),""))</f>
        <v/>
      </c>
      <c r="I1762" s="10">
        <f>IF(AND(D1762="",C1762="",F1762=""),"",IF(G1762&lt;&gt;"","Void",IF(F1762="","Needs child",IF(H1762="","Child not found",IF(OR(B1762="",NOT(ISNUMBER(C1762))),"Needs month/pages","OK")))))</f>
        <v/>
      </c>
      <c r="J1762" s="10">
        <f>IF(I1762="","",IF(I1762="OK",IF(COUNTIFS(H1763:H$3001,H1762,B1763:B$3001,B1762,G1763:G$3001,"")=0,C1762,0),0))</f>
        <v/>
      </c>
    </row>
    <row r="1763">
      <c r="A1763" s="6" t="n"/>
      <c r="B1763" s="9" t="n"/>
      <c r="C1763" s="6" t="n"/>
      <c r="D1763" s="6" t="n"/>
      <c r="E1763" s="6" t="n"/>
      <c r="F1763" s="6" t="n"/>
      <c r="G1763" s="6" t="n"/>
      <c r="H1763" s="10">
        <f>IF(F1763="","",IFERROR(INDEX(Roster!$A$2:$A$600,MATCH(F1763,Roster!$E$2:$E$600,0)),""))</f>
        <v/>
      </c>
      <c r="I1763" s="10">
        <f>IF(AND(D1763="",C1763="",F1763=""),"",IF(G1763&lt;&gt;"","Void",IF(F1763="","Needs child",IF(H1763="","Child not found",IF(OR(B1763="",NOT(ISNUMBER(C1763))),"Needs month/pages","OK")))))</f>
        <v/>
      </c>
      <c r="J1763" s="10">
        <f>IF(I1763="","",IF(I1763="OK",IF(COUNTIFS(H1764:H$3001,H1763,B1764:B$3001,B1763,G1764:G$3001,"")=0,C1763,0),0))</f>
        <v/>
      </c>
    </row>
    <row r="1764">
      <c r="A1764" s="6" t="n"/>
      <c r="B1764" s="9" t="n"/>
      <c r="C1764" s="6" t="n"/>
      <c r="D1764" s="6" t="n"/>
      <c r="E1764" s="6" t="n"/>
      <c r="F1764" s="6" t="n"/>
      <c r="G1764" s="6" t="n"/>
      <c r="H1764" s="10">
        <f>IF(F1764="","",IFERROR(INDEX(Roster!$A$2:$A$600,MATCH(F1764,Roster!$E$2:$E$600,0)),""))</f>
        <v/>
      </c>
      <c r="I1764" s="10">
        <f>IF(AND(D1764="",C1764="",F1764=""),"",IF(G1764&lt;&gt;"","Void",IF(F1764="","Needs child",IF(H1764="","Child not found",IF(OR(B1764="",NOT(ISNUMBER(C1764))),"Needs month/pages","OK")))))</f>
        <v/>
      </c>
      <c r="J1764" s="10">
        <f>IF(I1764="","",IF(I1764="OK",IF(COUNTIFS(H1765:H$3001,H1764,B1765:B$3001,B1764,G1765:G$3001,"")=0,C1764,0),0))</f>
        <v/>
      </c>
    </row>
    <row r="1765">
      <c r="A1765" s="6" t="n"/>
      <c r="B1765" s="9" t="n"/>
      <c r="C1765" s="6" t="n"/>
      <c r="D1765" s="6" t="n"/>
      <c r="E1765" s="6" t="n"/>
      <c r="F1765" s="6" t="n"/>
      <c r="G1765" s="6" t="n"/>
      <c r="H1765" s="10">
        <f>IF(F1765="","",IFERROR(INDEX(Roster!$A$2:$A$600,MATCH(F1765,Roster!$E$2:$E$600,0)),""))</f>
        <v/>
      </c>
      <c r="I1765" s="10">
        <f>IF(AND(D1765="",C1765="",F1765=""),"",IF(G1765&lt;&gt;"","Void",IF(F1765="","Needs child",IF(H1765="","Child not found",IF(OR(B1765="",NOT(ISNUMBER(C1765))),"Needs month/pages","OK")))))</f>
        <v/>
      </c>
      <c r="J1765" s="10">
        <f>IF(I1765="","",IF(I1765="OK",IF(COUNTIFS(H1766:H$3001,H1765,B1766:B$3001,B1765,G1766:G$3001,"")=0,C1765,0),0))</f>
        <v/>
      </c>
    </row>
    <row r="1766">
      <c r="A1766" s="6" t="n"/>
      <c r="B1766" s="9" t="n"/>
      <c r="C1766" s="6" t="n"/>
      <c r="D1766" s="6" t="n"/>
      <c r="E1766" s="6" t="n"/>
      <c r="F1766" s="6" t="n"/>
      <c r="G1766" s="6" t="n"/>
      <c r="H1766" s="10">
        <f>IF(F1766="","",IFERROR(INDEX(Roster!$A$2:$A$600,MATCH(F1766,Roster!$E$2:$E$600,0)),""))</f>
        <v/>
      </c>
      <c r="I1766" s="10">
        <f>IF(AND(D1766="",C1766="",F1766=""),"",IF(G1766&lt;&gt;"","Void",IF(F1766="","Needs child",IF(H1766="","Child not found",IF(OR(B1766="",NOT(ISNUMBER(C1766))),"Needs month/pages","OK")))))</f>
        <v/>
      </c>
      <c r="J1766" s="10">
        <f>IF(I1766="","",IF(I1766="OK",IF(COUNTIFS(H1767:H$3001,H1766,B1767:B$3001,B1766,G1767:G$3001,"")=0,C1766,0),0))</f>
        <v/>
      </c>
    </row>
    <row r="1767">
      <c r="A1767" s="6" t="n"/>
      <c r="B1767" s="9" t="n"/>
      <c r="C1767" s="6" t="n"/>
      <c r="D1767" s="6" t="n"/>
      <c r="E1767" s="6" t="n"/>
      <c r="F1767" s="6" t="n"/>
      <c r="G1767" s="6" t="n"/>
      <c r="H1767" s="10">
        <f>IF(F1767="","",IFERROR(INDEX(Roster!$A$2:$A$600,MATCH(F1767,Roster!$E$2:$E$600,0)),""))</f>
        <v/>
      </c>
      <c r="I1767" s="10">
        <f>IF(AND(D1767="",C1767="",F1767=""),"",IF(G1767&lt;&gt;"","Void",IF(F1767="","Needs child",IF(H1767="","Child not found",IF(OR(B1767="",NOT(ISNUMBER(C1767))),"Needs month/pages","OK")))))</f>
        <v/>
      </c>
      <c r="J1767" s="10">
        <f>IF(I1767="","",IF(I1767="OK",IF(COUNTIFS(H1768:H$3001,H1767,B1768:B$3001,B1767,G1768:G$3001,"")=0,C1767,0),0))</f>
        <v/>
      </c>
    </row>
    <row r="1768">
      <c r="A1768" s="6" t="n"/>
      <c r="B1768" s="9" t="n"/>
      <c r="C1768" s="6" t="n"/>
      <c r="D1768" s="6" t="n"/>
      <c r="E1768" s="6" t="n"/>
      <c r="F1768" s="6" t="n"/>
      <c r="G1768" s="6" t="n"/>
      <c r="H1768" s="10">
        <f>IF(F1768="","",IFERROR(INDEX(Roster!$A$2:$A$600,MATCH(F1768,Roster!$E$2:$E$600,0)),""))</f>
        <v/>
      </c>
      <c r="I1768" s="10">
        <f>IF(AND(D1768="",C1768="",F1768=""),"",IF(G1768&lt;&gt;"","Void",IF(F1768="","Needs child",IF(H1768="","Child not found",IF(OR(B1768="",NOT(ISNUMBER(C1768))),"Needs month/pages","OK")))))</f>
        <v/>
      </c>
      <c r="J1768" s="10">
        <f>IF(I1768="","",IF(I1768="OK",IF(COUNTIFS(H1769:H$3001,H1768,B1769:B$3001,B1768,G1769:G$3001,"")=0,C1768,0),0))</f>
        <v/>
      </c>
    </row>
    <row r="1769">
      <c r="A1769" s="6" t="n"/>
      <c r="B1769" s="9" t="n"/>
      <c r="C1769" s="6" t="n"/>
      <c r="D1769" s="6" t="n"/>
      <c r="E1769" s="6" t="n"/>
      <c r="F1769" s="6" t="n"/>
      <c r="G1769" s="6" t="n"/>
      <c r="H1769" s="10">
        <f>IF(F1769="","",IFERROR(INDEX(Roster!$A$2:$A$600,MATCH(F1769,Roster!$E$2:$E$600,0)),""))</f>
        <v/>
      </c>
      <c r="I1769" s="10">
        <f>IF(AND(D1769="",C1769="",F1769=""),"",IF(G1769&lt;&gt;"","Void",IF(F1769="","Needs child",IF(H1769="","Child not found",IF(OR(B1769="",NOT(ISNUMBER(C1769))),"Needs month/pages","OK")))))</f>
        <v/>
      </c>
      <c r="J1769" s="10">
        <f>IF(I1769="","",IF(I1769="OK",IF(COUNTIFS(H1770:H$3001,H1769,B1770:B$3001,B1769,G1770:G$3001,"")=0,C1769,0),0))</f>
        <v/>
      </c>
    </row>
    <row r="1770">
      <c r="A1770" s="6" t="n"/>
      <c r="B1770" s="9" t="n"/>
      <c r="C1770" s="6" t="n"/>
      <c r="D1770" s="6" t="n"/>
      <c r="E1770" s="6" t="n"/>
      <c r="F1770" s="6" t="n"/>
      <c r="G1770" s="6" t="n"/>
      <c r="H1770" s="10">
        <f>IF(F1770="","",IFERROR(INDEX(Roster!$A$2:$A$600,MATCH(F1770,Roster!$E$2:$E$600,0)),""))</f>
        <v/>
      </c>
      <c r="I1770" s="10">
        <f>IF(AND(D1770="",C1770="",F1770=""),"",IF(G1770&lt;&gt;"","Void",IF(F1770="","Needs child",IF(H1770="","Child not found",IF(OR(B1770="",NOT(ISNUMBER(C1770))),"Needs month/pages","OK")))))</f>
        <v/>
      </c>
      <c r="J1770" s="10">
        <f>IF(I1770="","",IF(I1770="OK",IF(COUNTIFS(H1771:H$3001,H1770,B1771:B$3001,B1770,G1771:G$3001,"")=0,C1770,0),0))</f>
        <v/>
      </c>
    </row>
    <row r="1771">
      <c r="A1771" s="6" t="n"/>
      <c r="B1771" s="9" t="n"/>
      <c r="C1771" s="6" t="n"/>
      <c r="D1771" s="6" t="n"/>
      <c r="E1771" s="6" t="n"/>
      <c r="F1771" s="6" t="n"/>
      <c r="G1771" s="6" t="n"/>
      <c r="H1771" s="10">
        <f>IF(F1771="","",IFERROR(INDEX(Roster!$A$2:$A$600,MATCH(F1771,Roster!$E$2:$E$600,0)),""))</f>
        <v/>
      </c>
      <c r="I1771" s="10">
        <f>IF(AND(D1771="",C1771="",F1771=""),"",IF(G1771&lt;&gt;"","Void",IF(F1771="","Needs child",IF(H1771="","Child not found",IF(OR(B1771="",NOT(ISNUMBER(C1771))),"Needs month/pages","OK")))))</f>
        <v/>
      </c>
      <c r="J1771" s="10">
        <f>IF(I1771="","",IF(I1771="OK",IF(COUNTIFS(H1772:H$3001,H1771,B1772:B$3001,B1771,G1772:G$3001,"")=0,C1771,0),0))</f>
        <v/>
      </c>
    </row>
    <row r="1772">
      <c r="A1772" s="6" t="n"/>
      <c r="B1772" s="9" t="n"/>
      <c r="C1772" s="6" t="n"/>
      <c r="D1772" s="6" t="n"/>
      <c r="E1772" s="6" t="n"/>
      <c r="F1772" s="6" t="n"/>
      <c r="G1772" s="6" t="n"/>
      <c r="H1772" s="10">
        <f>IF(F1772="","",IFERROR(INDEX(Roster!$A$2:$A$600,MATCH(F1772,Roster!$E$2:$E$600,0)),""))</f>
        <v/>
      </c>
      <c r="I1772" s="10">
        <f>IF(AND(D1772="",C1772="",F1772=""),"",IF(G1772&lt;&gt;"","Void",IF(F1772="","Needs child",IF(H1772="","Child not found",IF(OR(B1772="",NOT(ISNUMBER(C1772))),"Needs month/pages","OK")))))</f>
        <v/>
      </c>
      <c r="J1772" s="10">
        <f>IF(I1772="","",IF(I1772="OK",IF(COUNTIFS(H1773:H$3001,H1772,B1773:B$3001,B1772,G1773:G$3001,"")=0,C1772,0),0))</f>
        <v/>
      </c>
    </row>
    <row r="1773">
      <c r="A1773" s="6" t="n"/>
      <c r="B1773" s="9" t="n"/>
      <c r="C1773" s="6" t="n"/>
      <c r="D1773" s="6" t="n"/>
      <c r="E1773" s="6" t="n"/>
      <c r="F1773" s="6" t="n"/>
      <c r="G1773" s="6" t="n"/>
      <c r="H1773" s="10">
        <f>IF(F1773="","",IFERROR(INDEX(Roster!$A$2:$A$600,MATCH(F1773,Roster!$E$2:$E$600,0)),""))</f>
        <v/>
      </c>
      <c r="I1773" s="10">
        <f>IF(AND(D1773="",C1773="",F1773=""),"",IF(G1773&lt;&gt;"","Void",IF(F1773="","Needs child",IF(H1773="","Child not found",IF(OR(B1773="",NOT(ISNUMBER(C1773))),"Needs month/pages","OK")))))</f>
        <v/>
      </c>
      <c r="J1773" s="10">
        <f>IF(I1773="","",IF(I1773="OK",IF(COUNTIFS(H1774:H$3001,H1773,B1774:B$3001,B1773,G1774:G$3001,"")=0,C1773,0),0))</f>
        <v/>
      </c>
    </row>
    <row r="1774">
      <c r="A1774" s="6" t="n"/>
      <c r="B1774" s="9" t="n"/>
      <c r="C1774" s="6" t="n"/>
      <c r="D1774" s="6" t="n"/>
      <c r="E1774" s="6" t="n"/>
      <c r="F1774" s="6" t="n"/>
      <c r="G1774" s="6" t="n"/>
      <c r="H1774" s="10">
        <f>IF(F1774="","",IFERROR(INDEX(Roster!$A$2:$A$600,MATCH(F1774,Roster!$E$2:$E$600,0)),""))</f>
        <v/>
      </c>
      <c r="I1774" s="10">
        <f>IF(AND(D1774="",C1774="",F1774=""),"",IF(G1774&lt;&gt;"","Void",IF(F1774="","Needs child",IF(H1774="","Child not found",IF(OR(B1774="",NOT(ISNUMBER(C1774))),"Needs month/pages","OK")))))</f>
        <v/>
      </c>
      <c r="J1774" s="10">
        <f>IF(I1774="","",IF(I1774="OK",IF(COUNTIFS(H1775:H$3001,H1774,B1775:B$3001,B1774,G1775:G$3001,"")=0,C1774,0),0))</f>
        <v/>
      </c>
    </row>
    <row r="1775">
      <c r="A1775" s="6" t="n"/>
      <c r="B1775" s="9" t="n"/>
      <c r="C1775" s="6" t="n"/>
      <c r="D1775" s="6" t="n"/>
      <c r="E1775" s="6" t="n"/>
      <c r="F1775" s="6" t="n"/>
      <c r="G1775" s="6" t="n"/>
      <c r="H1775" s="10">
        <f>IF(F1775="","",IFERROR(INDEX(Roster!$A$2:$A$600,MATCH(F1775,Roster!$E$2:$E$600,0)),""))</f>
        <v/>
      </c>
      <c r="I1775" s="10">
        <f>IF(AND(D1775="",C1775="",F1775=""),"",IF(G1775&lt;&gt;"","Void",IF(F1775="","Needs child",IF(H1775="","Child not found",IF(OR(B1775="",NOT(ISNUMBER(C1775))),"Needs month/pages","OK")))))</f>
        <v/>
      </c>
      <c r="J1775" s="10">
        <f>IF(I1775="","",IF(I1775="OK",IF(COUNTIFS(H1776:H$3001,H1775,B1776:B$3001,B1775,G1776:G$3001,"")=0,C1775,0),0))</f>
        <v/>
      </c>
    </row>
    <row r="1776">
      <c r="A1776" s="6" t="n"/>
      <c r="B1776" s="9" t="n"/>
      <c r="C1776" s="6" t="n"/>
      <c r="D1776" s="6" t="n"/>
      <c r="E1776" s="6" t="n"/>
      <c r="F1776" s="6" t="n"/>
      <c r="G1776" s="6" t="n"/>
      <c r="H1776" s="10">
        <f>IF(F1776="","",IFERROR(INDEX(Roster!$A$2:$A$600,MATCH(F1776,Roster!$E$2:$E$600,0)),""))</f>
        <v/>
      </c>
      <c r="I1776" s="10">
        <f>IF(AND(D1776="",C1776="",F1776=""),"",IF(G1776&lt;&gt;"","Void",IF(F1776="","Needs child",IF(H1776="","Child not found",IF(OR(B1776="",NOT(ISNUMBER(C1776))),"Needs month/pages","OK")))))</f>
        <v/>
      </c>
      <c r="J1776" s="10">
        <f>IF(I1776="","",IF(I1776="OK",IF(COUNTIFS(H1777:H$3001,H1776,B1777:B$3001,B1776,G1777:G$3001,"")=0,C1776,0),0))</f>
        <v/>
      </c>
    </row>
    <row r="1777">
      <c r="A1777" s="6" t="n"/>
      <c r="B1777" s="9" t="n"/>
      <c r="C1777" s="6" t="n"/>
      <c r="D1777" s="6" t="n"/>
      <c r="E1777" s="6" t="n"/>
      <c r="F1777" s="6" t="n"/>
      <c r="G1777" s="6" t="n"/>
      <c r="H1777" s="10">
        <f>IF(F1777="","",IFERROR(INDEX(Roster!$A$2:$A$600,MATCH(F1777,Roster!$E$2:$E$600,0)),""))</f>
        <v/>
      </c>
      <c r="I1777" s="10">
        <f>IF(AND(D1777="",C1777="",F1777=""),"",IF(G1777&lt;&gt;"","Void",IF(F1777="","Needs child",IF(H1777="","Child not found",IF(OR(B1777="",NOT(ISNUMBER(C1777))),"Needs month/pages","OK")))))</f>
        <v/>
      </c>
      <c r="J1777" s="10">
        <f>IF(I1777="","",IF(I1777="OK",IF(COUNTIFS(H1778:H$3001,H1777,B1778:B$3001,B1777,G1778:G$3001,"")=0,C1777,0),0))</f>
        <v/>
      </c>
    </row>
    <row r="1778">
      <c r="A1778" s="6" t="n"/>
      <c r="B1778" s="9" t="n"/>
      <c r="C1778" s="6" t="n"/>
      <c r="D1778" s="6" t="n"/>
      <c r="E1778" s="6" t="n"/>
      <c r="F1778" s="6" t="n"/>
      <c r="G1778" s="6" t="n"/>
      <c r="H1778" s="10">
        <f>IF(F1778="","",IFERROR(INDEX(Roster!$A$2:$A$600,MATCH(F1778,Roster!$E$2:$E$600,0)),""))</f>
        <v/>
      </c>
      <c r="I1778" s="10">
        <f>IF(AND(D1778="",C1778="",F1778=""),"",IF(G1778&lt;&gt;"","Void",IF(F1778="","Needs child",IF(H1778="","Child not found",IF(OR(B1778="",NOT(ISNUMBER(C1778))),"Needs month/pages","OK")))))</f>
        <v/>
      </c>
      <c r="J1778" s="10">
        <f>IF(I1778="","",IF(I1778="OK",IF(COUNTIFS(H1779:H$3001,H1778,B1779:B$3001,B1778,G1779:G$3001,"")=0,C1778,0),0))</f>
        <v/>
      </c>
    </row>
    <row r="1779">
      <c r="A1779" s="6" t="n"/>
      <c r="B1779" s="9" t="n"/>
      <c r="C1779" s="6" t="n"/>
      <c r="D1779" s="6" t="n"/>
      <c r="E1779" s="6" t="n"/>
      <c r="F1779" s="6" t="n"/>
      <c r="G1779" s="6" t="n"/>
      <c r="H1779" s="10">
        <f>IF(F1779="","",IFERROR(INDEX(Roster!$A$2:$A$600,MATCH(F1779,Roster!$E$2:$E$600,0)),""))</f>
        <v/>
      </c>
      <c r="I1779" s="10">
        <f>IF(AND(D1779="",C1779="",F1779=""),"",IF(G1779&lt;&gt;"","Void",IF(F1779="","Needs child",IF(H1779="","Child not found",IF(OR(B1779="",NOT(ISNUMBER(C1779))),"Needs month/pages","OK")))))</f>
        <v/>
      </c>
      <c r="J1779" s="10">
        <f>IF(I1779="","",IF(I1779="OK",IF(COUNTIFS(H1780:H$3001,H1779,B1780:B$3001,B1779,G1780:G$3001,"")=0,C1779,0),0))</f>
        <v/>
      </c>
    </row>
    <row r="1780">
      <c r="A1780" s="6" t="n"/>
      <c r="B1780" s="9" t="n"/>
      <c r="C1780" s="6" t="n"/>
      <c r="D1780" s="6" t="n"/>
      <c r="E1780" s="6" t="n"/>
      <c r="F1780" s="6" t="n"/>
      <c r="G1780" s="6" t="n"/>
      <c r="H1780" s="10">
        <f>IF(F1780="","",IFERROR(INDEX(Roster!$A$2:$A$600,MATCH(F1780,Roster!$E$2:$E$600,0)),""))</f>
        <v/>
      </c>
      <c r="I1780" s="10">
        <f>IF(AND(D1780="",C1780="",F1780=""),"",IF(G1780&lt;&gt;"","Void",IF(F1780="","Needs child",IF(H1780="","Child not found",IF(OR(B1780="",NOT(ISNUMBER(C1780))),"Needs month/pages","OK")))))</f>
        <v/>
      </c>
      <c r="J1780" s="10">
        <f>IF(I1780="","",IF(I1780="OK",IF(COUNTIFS(H1781:H$3001,H1780,B1781:B$3001,B1780,G1781:G$3001,"")=0,C1780,0),0))</f>
        <v/>
      </c>
    </row>
    <row r="1781">
      <c r="A1781" s="6" t="n"/>
      <c r="B1781" s="9" t="n"/>
      <c r="C1781" s="6" t="n"/>
      <c r="D1781" s="6" t="n"/>
      <c r="E1781" s="6" t="n"/>
      <c r="F1781" s="6" t="n"/>
      <c r="G1781" s="6" t="n"/>
      <c r="H1781" s="10">
        <f>IF(F1781="","",IFERROR(INDEX(Roster!$A$2:$A$600,MATCH(F1781,Roster!$E$2:$E$600,0)),""))</f>
        <v/>
      </c>
      <c r="I1781" s="10">
        <f>IF(AND(D1781="",C1781="",F1781=""),"",IF(G1781&lt;&gt;"","Void",IF(F1781="","Needs child",IF(H1781="","Child not found",IF(OR(B1781="",NOT(ISNUMBER(C1781))),"Needs month/pages","OK")))))</f>
        <v/>
      </c>
      <c r="J1781" s="10">
        <f>IF(I1781="","",IF(I1781="OK",IF(COUNTIFS(H1782:H$3001,H1781,B1782:B$3001,B1781,G1782:G$3001,"")=0,C1781,0),0))</f>
        <v/>
      </c>
    </row>
    <row r="1782">
      <c r="A1782" s="6" t="n"/>
      <c r="B1782" s="9" t="n"/>
      <c r="C1782" s="6" t="n"/>
      <c r="D1782" s="6" t="n"/>
      <c r="E1782" s="6" t="n"/>
      <c r="F1782" s="6" t="n"/>
      <c r="G1782" s="6" t="n"/>
      <c r="H1782" s="10">
        <f>IF(F1782="","",IFERROR(INDEX(Roster!$A$2:$A$600,MATCH(F1782,Roster!$E$2:$E$600,0)),""))</f>
        <v/>
      </c>
      <c r="I1782" s="10">
        <f>IF(AND(D1782="",C1782="",F1782=""),"",IF(G1782&lt;&gt;"","Void",IF(F1782="","Needs child",IF(H1782="","Child not found",IF(OR(B1782="",NOT(ISNUMBER(C1782))),"Needs month/pages","OK")))))</f>
        <v/>
      </c>
      <c r="J1782" s="10">
        <f>IF(I1782="","",IF(I1782="OK",IF(COUNTIFS(H1783:H$3001,H1782,B1783:B$3001,B1782,G1783:G$3001,"")=0,C1782,0),0))</f>
        <v/>
      </c>
    </row>
    <row r="1783">
      <c r="A1783" s="6" t="n"/>
      <c r="B1783" s="9" t="n"/>
      <c r="C1783" s="6" t="n"/>
      <c r="D1783" s="6" t="n"/>
      <c r="E1783" s="6" t="n"/>
      <c r="F1783" s="6" t="n"/>
      <c r="G1783" s="6" t="n"/>
      <c r="H1783" s="10">
        <f>IF(F1783="","",IFERROR(INDEX(Roster!$A$2:$A$600,MATCH(F1783,Roster!$E$2:$E$600,0)),""))</f>
        <v/>
      </c>
      <c r="I1783" s="10">
        <f>IF(AND(D1783="",C1783="",F1783=""),"",IF(G1783&lt;&gt;"","Void",IF(F1783="","Needs child",IF(H1783="","Child not found",IF(OR(B1783="",NOT(ISNUMBER(C1783))),"Needs month/pages","OK")))))</f>
        <v/>
      </c>
      <c r="J1783" s="10">
        <f>IF(I1783="","",IF(I1783="OK",IF(COUNTIFS(H1784:H$3001,H1783,B1784:B$3001,B1783,G1784:G$3001,"")=0,C1783,0),0))</f>
        <v/>
      </c>
    </row>
    <row r="1784">
      <c r="A1784" s="6" t="n"/>
      <c r="B1784" s="9" t="n"/>
      <c r="C1784" s="6" t="n"/>
      <c r="D1784" s="6" t="n"/>
      <c r="E1784" s="6" t="n"/>
      <c r="F1784" s="6" t="n"/>
      <c r="G1784" s="6" t="n"/>
      <c r="H1784" s="10">
        <f>IF(F1784="","",IFERROR(INDEX(Roster!$A$2:$A$600,MATCH(F1784,Roster!$E$2:$E$600,0)),""))</f>
        <v/>
      </c>
      <c r="I1784" s="10">
        <f>IF(AND(D1784="",C1784="",F1784=""),"",IF(G1784&lt;&gt;"","Void",IF(F1784="","Needs child",IF(H1784="","Child not found",IF(OR(B1784="",NOT(ISNUMBER(C1784))),"Needs month/pages","OK")))))</f>
        <v/>
      </c>
      <c r="J1784" s="10">
        <f>IF(I1784="","",IF(I1784="OK",IF(COUNTIFS(H1785:H$3001,H1784,B1785:B$3001,B1784,G1785:G$3001,"")=0,C1784,0),0))</f>
        <v/>
      </c>
    </row>
    <row r="1785">
      <c r="A1785" s="6" t="n"/>
      <c r="B1785" s="9" t="n"/>
      <c r="C1785" s="6" t="n"/>
      <c r="D1785" s="6" t="n"/>
      <c r="E1785" s="6" t="n"/>
      <c r="F1785" s="6" t="n"/>
      <c r="G1785" s="6" t="n"/>
      <c r="H1785" s="10">
        <f>IF(F1785="","",IFERROR(INDEX(Roster!$A$2:$A$600,MATCH(F1785,Roster!$E$2:$E$600,0)),""))</f>
        <v/>
      </c>
      <c r="I1785" s="10">
        <f>IF(AND(D1785="",C1785="",F1785=""),"",IF(G1785&lt;&gt;"","Void",IF(F1785="","Needs child",IF(H1785="","Child not found",IF(OR(B1785="",NOT(ISNUMBER(C1785))),"Needs month/pages","OK")))))</f>
        <v/>
      </c>
      <c r="J1785" s="10">
        <f>IF(I1785="","",IF(I1785="OK",IF(COUNTIFS(H1786:H$3001,H1785,B1786:B$3001,B1785,G1786:G$3001,"")=0,C1785,0),0))</f>
        <v/>
      </c>
    </row>
    <row r="1786">
      <c r="A1786" s="6" t="n"/>
      <c r="B1786" s="9" t="n"/>
      <c r="C1786" s="6" t="n"/>
      <c r="D1786" s="6" t="n"/>
      <c r="E1786" s="6" t="n"/>
      <c r="F1786" s="6" t="n"/>
      <c r="G1786" s="6" t="n"/>
      <c r="H1786" s="10">
        <f>IF(F1786="","",IFERROR(INDEX(Roster!$A$2:$A$600,MATCH(F1786,Roster!$E$2:$E$600,0)),""))</f>
        <v/>
      </c>
      <c r="I1786" s="10">
        <f>IF(AND(D1786="",C1786="",F1786=""),"",IF(G1786&lt;&gt;"","Void",IF(F1786="","Needs child",IF(H1786="","Child not found",IF(OR(B1786="",NOT(ISNUMBER(C1786))),"Needs month/pages","OK")))))</f>
        <v/>
      </c>
      <c r="J1786" s="10">
        <f>IF(I1786="","",IF(I1786="OK",IF(COUNTIFS(H1787:H$3001,H1786,B1787:B$3001,B1786,G1787:G$3001,"")=0,C1786,0),0))</f>
        <v/>
      </c>
    </row>
    <row r="1787">
      <c r="A1787" s="6" t="n"/>
      <c r="B1787" s="9" t="n"/>
      <c r="C1787" s="6" t="n"/>
      <c r="D1787" s="6" t="n"/>
      <c r="E1787" s="6" t="n"/>
      <c r="F1787" s="6" t="n"/>
      <c r="G1787" s="6" t="n"/>
      <c r="H1787" s="10">
        <f>IF(F1787="","",IFERROR(INDEX(Roster!$A$2:$A$600,MATCH(F1787,Roster!$E$2:$E$600,0)),""))</f>
        <v/>
      </c>
      <c r="I1787" s="10">
        <f>IF(AND(D1787="",C1787="",F1787=""),"",IF(G1787&lt;&gt;"","Void",IF(F1787="","Needs child",IF(H1787="","Child not found",IF(OR(B1787="",NOT(ISNUMBER(C1787))),"Needs month/pages","OK")))))</f>
        <v/>
      </c>
      <c r="J1787" s="10">
        <f>IF(I1787="","",IF(I1787="OK",IF(COUNTIFS(H1788:H$3001,H1787,B1788:B$3001,B1787,G1788:G$3001,"")=0,C1787,0),0))</f>
        <v/>
      </c>
    </row>
    <row r="1788">
      <c r="A1788" s="6" t="n"/>
      <c r="B1788" s="9" t="n"/>
      <c r="C1788" s="6" t="n"/>
      <c r="D1788" s="6" t="n"/>
      <c r="E1788" s="6" t="n"/>
      <c r="F1788" s="6" t="n"/>
      <c r="G1788" s="6" t="n"/>
      <c r="H1788" s="10">
        <f>IF(F1788="","",IFERROR(INDEX(Roster!$A$2:$A$600,MATCH(F1788,Roster!$E$2:$E$600,0)),""))</f>
        <v/>
      </c>
      <c r="I1788" s="10">
        <f>IF(AND(D1788="",C1788="",F1788=""),"",IF(G1788&lt;&gt;"","Void",IF(F1788="","Needs child",IF(H1788="","Child not found",IF(OR(B1788="",NOT(ISNUMBER(C1788))),"Needs month/pages","OK")))))</f>
        <v/>
      </c>
      <c r="J1788" s="10">
        <f>IF(I1788="","",IF(I1788="OK",IF(COUNTIFS(H1789:H$3001,H1788,B1789:B$3001,B1788,G1789:G$3001,"")=0,C1788,0),0))</f>
        <v/>
      </c>
    </row>
    <row r="1789">
      <c r="A1789" s="6" t="n"/>
      <c r="B1789" s="9" t="n"/>
      <c r="C1789" s="6" t="n"/>
      <c r="D1789" s="6" t="n"/>
      <c r="E1789" s="6" t="n"/>
      <c r="F1789" s="6" t="n"/>
      <c r="G1789" s="6" t="n"/>
      <c r="H1789" s="10">
        <f>IF(F1789="","",IFERROR(INDEX(Roster!$A$2:$A$600,MATCH(F1789,Roster!$E$2:$E$600,0)),""))</f>
        <v/>
      </c>
      <c r="I1789" s="10">
        <f>IF(AND(D1789="",C1789="",F1789=""),"",IF(G1789&lt;&gt;"","Void",IF(F1789="","Needs child",IF(H1789="","Child not found",IF(OR(B1789="",NOT(ISNUMBER(C1789))),"Needs month/pages","OK")))))</f>
        <v/>
      </c>
      <c r="J1789" s="10">
        <f>IF(I1789="","",IF(I1789="OK",IF(COUNTIFS(H1790:H$3001,H1789,B1790:B$3001,B1789,G1790:G$3001,"")=0,C1789,0),0))</f>
        <v/>
      </c>
    </row>
    <row r="1790">
      <c r="A1790" s="6" t="n"/>
      <c r="B1790" s="9" t="n"/>
      <c r="C1790" s="6" t="n"/>
      <c r="D1790" s="6" t="n"/>
      <c r="E1790" s="6" t="n"/>
      <c r="F1790" s="6" t="n"/>
      <c r="G1790" s="6" t="n"/>
      <c r="H1790" s="10">
        <f>IF(F1790="","",IFERROR(INDEX(Roster!$A$2:$A$600,MATCH(F1790,Roster!$E$2:$E$600,0)),""))</f>
        <v/>
      </c>
      <c r="I1790" s="10">
        <f>IF(AND(D1790="",C1790="",F1790=""),"",IF(G1790&lt;&gt;"","Void",IF(F1790="","Needs child",IF(H1790="","Child not found",IF(OR(B1790="",NOT(ISNUMBER(C1790))),"Needs month/pages","OK")))))</f>
        <v/>
      </c>
      <c r="J1790" s="10">
        <f>IF(I1790="","",IF(I1790="OK",IF(COUNTIFS(H1791:H$3001,H1790,B1791:B$3001,B1790,G1791:G$3001,"")=0,C1790,0),0))</f>
        <v/>
      </c>
    </row>
    <row r="1791">
      <c r="A1791" s="6" t="n"/>
      <c r="B1791" s="9" t="n"/>
      <c r="C1791" s="6" t="n"/>
      <c r="D1791" s="6" t="n"/>
      <c r="E1791" s="6" t="n"/>
      <c r="F1791" s="6" t="n"/>
      <c r="G1791" s="6" t="n"/>
      <c r="H1791" s="10">
        <f>IF(F1791="","",IFERROR(INDEX(Roster!$A$2:$A$600,MATCH(F1791,Roster!$E$2:$E$600,0)),""))</f>
        <v/>
      </c>
      <c r="I1791" s="10">
        <f>IF(AND(D1791="",C1791="",F1791=""),"",IF(G1791&lt;&gt;"","Void",IF(F1791="","Needs child",IF(H1791="","Child not found",IF(OR(B1791="",NOT(ISNUMBER(C1791))),"Needs month/pages","OK")))))</f>
        <v/>
      </c>
      <c r="J1791" s="10">
        <f>IF(I1791="","",IF(I1791="OK",IF(COUNTIFS(H1792:H$3001,H1791,B1792:B$3001,B1791,G1792:G$3001,"")=0,C1791,0),0))</f>
        <v/>
      </c>
    </row>
    <row r="1792">
      <c r="A1792" s="6" t="n"/>
      <c r="B1792" s="9" t="n"/>
      <c r="C1792" s="6" t="n"/>
      <c r="D1792" s="6" t="n"/>
      <c r="E1792" s="6" t="n"/>
      <c r="F1792" s="6" t="n"/>
      <c r="G1792" s="6" t="n"/>
      <c r="H1792" s="10">
        <f>IF(F1792="","",IFERROR(INDEX(Roster!$A$2:$A$600,MATCH(F1792,Roster!$E$2:$E$600,0)),""))</f>
        <v/>
      </c>
      <c r="I1792" s="10">
        <f>IF(AND(D1792="",C1792="",F1792=""),"",IF(G1792&lt;&gt;"","Void",IF(F1792="","Needs child",IF(H1792="","Child not found",IF(OR(B1792="",NOT(ISNUMBER(C1792))),"Needs month/pages","OK")))))</f>
        <v/>
      </c>
      <c r="J1792" s="10">
        <f>IF(I1792="","",IF(I1792="OK",IF(COUNTIFS(H1793:H$3001,H1792,B1793:B$3001,B1792,G1793:G$3001,"")=0,C1792,0),0))</f>
        <v/>
      </c>
    </row>
    <row r="1793">
      <c r="A1793" s="6" t="n"/>
      <c r="B1793" s="9" t="n"/>
      <c r="C1793" s="6" t="n"/>
      <c r="D1793" s="6" t="n"/>
      <c r="E1793" s="6" t="n"/>
      <c r="F1793" s="6" t="n"/>
      <c r="G1793" s="6" t="n"/>
      <c r="H1793" s="10">
        <f>IF(F1793="","",IFERROR(INDEX(Roster!$A$2:$A$600,MATCH(F1793,Roster!$E$2:$E$600,0)),""))</f>
        <v/>
      </c>
      <c r="I1793" s="10">
        <f>IF(AND(D1793="",C1793="",F1793=""),"",IF(G1793&lt;&gt;"","Void",IF(F1793="","Needs child",IF(H1793="","Child not found",IF(OR(B1793="",NOT(ISNUMBER(C1793))),"Needs month/pages","OK")))))</f>
        <v/>
      </c>
      <c r="J1793" s="10">
        <f>IF(I1793="","",IF(I1793="OK",IF(COUNTIFS(H1794:H$3001,H1793,B1794:B$3001,B1793,G1794:G$3001,"")=0,C1793,0),0))</f>
        <v/>
      </c>
    </row>
    <row r="1794">
      <c r="A1794" s="6" t="n"/>
      <c r="B1794" s="9" t="n"/>
      <c r="C1794" s="6" t="n"/>
      <c r="D1794" s="6" t="n"/>
      <c r="E1794" s="6" t="n"/>
      <c r="F1794" s="6" t="n"/>
      <c r="G1794" s="6" t="n"/>
      <c r="H1794" s="10">
        <f>IF(F1794="","",IFERROR(INDEX(Roster!$A$2:$A$600,MATCH(F1794,Roster!$E$2:$E$600,0)),""))</f>
        <v/>
      </c>
      <c r="I1794" s="10">
        <f>IF(AND(D1794="",C1794="",F1794=""),"",IF(G1794&lt;&gt;"","Void",IF(F1794="","Needs child",IF(H1794="","Child not found",IF(OR(B1794="",NOT(ISNUMBER(C1794))),"Needs month/pages","OK")))))</f>
        <v/>
      </c>
      <c r="J1794" s="10">
        <f>IF(I1794="","",IF(I1794="OK",IF(COUNTIFS(H1795:H$3001,H1794,B1795:B$3001,B1794,G1795:G$3001,"")=0,C1794,0),0))</f>
        <v/>
      </c>
    </row>
    <row r="1795">
      <c r="A1795" s="6" t="n"/>
      <c r="B1795" s="9" t="n"/>
      <c r="C1795" s="6" t="n"/>
      <c r="D1795" s="6" t="n"/>
      <c r="E1795" s="6" t="n"/>
      <c r="F1795" s="6" t="n"/>
      <c r="G1795" s="6" t="n"/>
      <c r="H1795" s="10">
        <f>IF(F1795="","",IFERROR(INDEX(Roster!$A$2:$A$600,MATCH(F1795,Roster!$E$2:$E$600,0)),""))</f>
        <v/>
      </c>
      <c r="I1795" s="10">
        <f>IF(AND(D1795="",C1795="",F1795=""),"",IF(G1795&lt;&gt;"","Void",IF(F1795="","Needs child",IF(H1795="","Child not found",IF(OR(B1795="",NOT(ISNUMBER(C1795))),"Needs month/pages","OK")))))</f>
        <v/>
      </c>
      <c r="J1795" s="10">
        <f>IF(I1795="","",IF(I1795="OK",IF(COUNTIFS(H1796:H$3001,H1795,B1796:B$3001,B1795,G1796:G$3001,"")=0,C1795,0),0))</f>
        <v/>
      </c>
    </row>
    <row r="1796">
      <c r="A1796" s="6" t="n"/>
      <c r="B1796" s="9" t="n"/>
      <c r="C1796" s="6" t="n"/>
      <c r="D1796" s="6" t="n"/>
      <c r="E1796" s="6" t="n"/>
      <c r="F1796" s="6" t="n"/>
      <c r="G1796" s="6" t="n"/>
      <c r="H1796" s="10">
        <f>IF(F1796="","",IFERROR(INDEX(Roster!$A$2:$A$600,MATCH(F1796,Roster!$E$2:$E$600,0)),""))</f>
        <v/>
      </c>
      <c r="I1796" s="10">
        <f>IF(AND(D1796="",C1796="",F1796=""),"",IF(G1796&lt;&gt;"","Void",IF(F1796="","Needs child",IF(H1796="","Child not found",IF(OR(B1796="",NOT(ISNUMBER(C1796))),"Needs month/pages","OK")))))</f>
        <v/>
      </c>
      <c r="J1796" s="10">
        <f>IF(I1796="","",IF(I1796="OK",IF(COUNTIFS(H1797:H$3001,H1796,B1797:B$3001,B1796,G1797:G$3001,"")=0,C1796,0),0))</f>
        <v/>
      </c>
    </row>
    <row r="1797">
      <c r="A1797" s="6" t="n"/>
      <c r="B1797" s="9" t="n"/>
      <c r="C1797" s="6" t="n"/>
      <c r="D1797" s="6" t="n"/>
      <c r="E1797" s="6" t="n"/>
      <c r="F1797" s="6" t="n"/>
      <c r="G1797" s="6" t="n"/>
      <c r="H1797" s="10">
        <f>IF(F1797="","",IFERROR(INDEX(Roster!$A$2:$A$600,MATCH(F1797,Roster!$E$2:$E$600,0)),""))</f>
        <v/>
      </c>
      <c r="I1797" s="10">
        <f>IF(AND(D1797="",C1797="",F1797=""),"",IF(G1797&lt;&gt;"","Void",IF(F1797="","Needs child",IF(H1797="","Child not found",IF(OR(B1797="",NOT(ISNUMBER(C1797))),"Needs month/pages","OK")))))</f>
        <v/>
      </c>
      <c r="J1797" s="10">
        <f>IF(I1797="","",IF(I1797="OK",IF(COUNTIFS(H1798:H$3001,H1797,B1798:B$3001,B1797,G1798:G$3001,"")=0,C1797,0),0))</f>
        <v/>
      </c>
    </row>
    <row r="1798">
      <c r="A1798" s="6" t="n"/>
      <c r="B1798" s="9" t="n"/>
      <c r="C1798" s="6" t="n"/>
      <c r="D1798" s="6" t="n"/>
      <c r="E1798" s="6" t="n"/>
      <c r="F1798" s="6" t="n"/>
      <c r="G1798" s="6" t="n"/>
      <c r="H1798" s="10">
        <f>IF(F1798="","",IFERROR(INDEX(Roster!$A$2:$A$600,MATCH(F1798,Roster!$E$2:$E$600,0)),""))</f>
        <v/>
      </c>
      <c r="I1798" s="10">
        <f>IF(AND(D1798="",C1798="",F1798=""),"",IF(G1798&lt;&gt;"","Void",IF(F1798="","Needs child",IF(H1798="","Child not found",IF(OR(B1798="",NOT(ISNUMBER(C1798))),"Needs month/pages","OK")))))</f>
        <v/>
      </c>
      <c r="J1798" s="10">
        <f>IF(I1798="","",IF(I1798="OK",IF(COUNTIFS(H1799:H$3001,H1798,B1799:B$3001,B1798,G1799:G$3001,"")=0,C1798,0),0))</f>
        <v/>
      </c>
    </row>
    <row r="1799">
      <c r="A1799" s="6" t="n"/>
      <c r="B1799" s="9" t="n"/>
      <c r="C1799" s="6" t="n"/>
      <c r="D1799" s="6" t="n"/>
      <c r="E1799" s="6" t="n"/>
      <c r="F1799" s="6" t="n"/>
      <c r="G1799" s="6" t="n"/>
      <c r="H1799" s="10">
        <f>IF(F1799="","",IFERROR(INDEX(Roster!$A$2:$A$600,MATCH(F1799,Roster!$E$2:$E$600,0)),""))</f>
        <v/>
      </c>
      <c r="I1799" s="10">
        <f>IF(AND(D1799="",C1799="",F1799=""),"",IF(G1799&lt;&gt;"","Void",IF(F1799="","Needs child",IF(H1799="","Child not found",IF(OR(B1799="",NOT(ISNUMBER(C1799))),"Needs month/pages","OK")))))</f>
        <v/>
      </c>
      <c r="J1799" s="10">
        <f>IF(I1799="","",IF(I1799="OK",IF(COUNTIFS(H1800:H$3001,H1799,B1800:B$3001,B1799,G1800:G$3001,"")=0,C1799,0),0))</f>
        <v/>
      </c>
    </row>
    <row r="1800">
      <c r="A1800" s="6" t="n"/>
      <c r="B1800" s="9" t="n"/>
      <c r="C1800" s="6" t="n"/>
      <c r="D1800" s="6" t="n"/>
      <c r="E1800" s="6" t="n"/>
      <c r="F1800" s="6" t="n"/>
      <c r="G1800" s="6" t="n"/>
      <c r="H1800" s="10">
        <f>IF(F1800="","",IFERROR(INDEX(Roster!$A$2:$A$600,MATCH(F1800,Roster!$E$2:$E$600,0)),""))</f>
        <v/>
      </c>
      <c r="I1800" s="10">
        <f>IF(AND(D1800="",C1800="",F1800=""),"",IF(G1800&lt;&gt;"","Void",IF(F1800="","Needs child",IF(H1800="","Child not found",IF(OR(B1800="",NOT(ISNUMBER(C1800))),"Needs month/pages","OK")))))</f>
        <v/>
      </c>
      <c r="J1800" s="10">
        <f>IF(I1800="","",IF(I1800="OK",IF(COUNTIFS(H1801:H$3001,H1800,B1801:B$3001,B1800,G1801:G$3001,"")=0,C1800,0),0))</f>
        <v/>
      </c>
    </row>
    <row r="1801">
      <c r="A1801" s="6" t="n"/>
      <c r="B1801" s="9" t="n"/>
      <c r="C1801" s="6" t="n"/>
      <c r="D1801" s="6" t="n"/>
      <c r="E1801" s="6" t="n"/>
      <c r="F1801" s="6" t="n"/>
      <c r="G1801" s="6" t="n"/>
      <c r="H1801" s="10">
        <f>IF(F1801="","",IFERROR(INDEX(Roster!$A$2:$A$600,MATCH(F1801,Roster!$E$2:$E$600,0)),""))</f>
        <v/>
      </c>
      <c r="I1801" s="10">
        <f>IF(AND(D1801="",C1801="",F1801=""),"",IF(G1801&lt;&gt;"","Void",IF(F1801="","Needs child",IF(H1801="","Child not found",IF(OR(B1801="",NOT(ISNUMBER(C1801))),"Needs month/pages","OK")))))</f>
        <v/>
      </c>
      <c r="J1801" s="10">
        <f>IF(I1801="","",IF(I1801="OK",IF(COUNTIFS(H1802:H$3001,H1801,B1802:B$3001,B1801,G1802:G$3001,"")=0,C1801,0),0))</f>
        <v/>
      </c>
    </row>
    <row r="1802">
      <c r="A1802" s="6" t="n"/>
      <c r="B1802" s="9" t="n"/>
      <c r="C1802" s="6" t="n"/>
      <c r="D1802" s="6" t="n"/>
      <c r="E1802" s="6" t="n"/>
      <c r="F1802" s="6" t="n"/>
      <c r="G1802" s="6" t="n"/>
      <c r="H1802" s="10">
        <f>IF(F1802="","",IFERROR(INDEX(Roster!$A$2:$A$600,MATCH(F1802,Roster!$E$2:$E$600,0)),""))</f>
        <v/>
      </c>
      <c r="I1802" s="10">
        <f>IF(AND(D1802="",C1802="",F1802=""),"",IF(G1802&lt;&gt;"","Void",IF(F1802="","Needs child",IF(H1802="","Child not found",IF(OR(B1802="",NOT(ISNUMBER(C1802))),"Needs month/pages","OK")))))</f>
        <v/>
      </c>
      <c r="J1802" s="10">
        <f>IF(I1802="","",IF(I1802="OK",IF(COUNTIFS(H1803:H$3001,H1802,B1803:B$3001,B1802,G1803:G$3001,"")=0,C1802,0),0))</f>
        <v/>
      </c>
    </row>
    <row r="1803">
      <c r="A1803" s="6" t="n"/>
      <c r="B1803" s="9" t="n"/>
      <c r="C1803" s="6" t="n"/>
      <c r="D1803" s="6" t="n"/>
      <c r="E1803" s="6" t="n"/>
      <c r="F1803" s="6" t="n"/>
      <c r="G1803" s="6" t="n"/>
      <c r="H1803" s="10">
        <f>IF(F1803="","",IFERROR(INDEX(Roster!$A$2:$A$600,MATCH(F1803,Roster!$E$2:$E$600,0)),""))</f>
        <v/>
      </c>
      <c r="I1803" s="10">
        <f>IF(AND(D1803="",C1803="",F1803=""),"",IF(G1803&lt;&gt;"","Void",IF(F1803="","Needs child",IF(H1803="","Child not found",IF(OR(B1803="",NOT(ISNUMBER(C1803))),"Needs month/pages","OK")))))</f>
        <v/>
      </c>
      <c r="J1803" s="10">
        <f>IF(I1803="","",IF(I1803="OK",IF(COUNTIFS(H1804:H$3001,H1803,B1804:B$3001,B1803,G1804:G$3001,"")=0,C1803,0),0))</f>
        <v/>
      </c>
    </row>
    <row r="1804">
      <c r="A1804" s="6" t="n"/>
      <c r="B1804" s="9" t="n"/>
      <c r="C1804" s="6" t="n"/>
      <c r="D1804" s="6" t="n"/>
      <c r="E1804" s="6" t="n"/>
      <c r="F1804" s="6" t="n"/>
      <c r="G1804" s="6" t="n"/>
      <c r="H1804" s="10">
        <f>IF(F1804="","",IFERROR(INDEX(Roster!$A$2:$A$600,MATCH(F1804,Roster!$E$2:$E$600,0)),""))</f>
        <v/>
      </c>
      <c r="I1804" s="10">
        <f>IF(AND(D1804="",C1804="",F1804=""),"",IF(G1804&lt;&gt;"","Void",IF(F1804="","Needs child",IF(H1804="","Child not found",IF(OR(B1804="",NOT(ISNUMBER(C1804))),"Needs month/pages","OK")))))</f>
        <v/>
      </c>
      <c r="J1804" s="10">
        <f>IF(I1804="","",IF(I1804="OK",IF(COUNTIFS(H1805:H$3001,H1804,B1805:B$3001,B1804,G1805:G$3001,"")=0,C1804,0),0))</f>
        <v/>
      </c>
    </row>
    <row r="1805">
      <c r="A1805" s="6" t="n"/>
      <c r="B1805" s="9" t="n"/>
      <c r="C1805" s="6" t="n"/>
      <c r="D1805" s="6" t="n"/>
      <c r="E1805" s="6" t="n"/>
      <c r="F1805" s="6" t="n"/>
      <c r="G1805" s="6" t="n"/>
      <c r="H1805" s="10">
        <f>IF(F1805="","",IFERROR(INDEX(Roster!$A$2:$A$600,MATCH(F1805,Roster!$E$2:$E$600,0)),""))</f>
        <v/>
      </c>
      <c r="I1805" s="10">
        <f>IF(AND(D1805="",C1805="",F1805=""),"",IF(G1805&lt;&gt;"","Void",IF(F1805="","Needs child",IF(H1805="","Child not found",IF(OR(B1805="",NOT(ISNUMBER(C1805))),"Needs month/pages","OK")))))</f>
        <v/>
      </c>
      <c r="J1805" s="10">
        <f>IF(I1805="","",IF(I1805="OK",IF(COUNTIFS(H1806:H$3001,H1805,B1806:B$3001,B1805,G1806:G$3001,"")=0,C1805,0),0))</f>
        <v/>
      </c>
    </row>
    <row r="1806">
      <c r="A1806" s="6" t="n"/>
      <c r="B1806" s="9" t="n"/>
      <c r="C1806" s="6" t="n"/>
      <c r="D1806" s="6" t="n"/>
      <c r="E1806" s="6" t="n"/>
      <c r="F1806" s="6" t="n"/>
      <c r="G1806" s="6" t="n"/>
      <c r="H1806" s="10">
        <f>IF(F1806="","",IFERROR(INDEX(Roster!$A$2:$A$600,MATCH(F1806,Roster!$E$2:$E$600,0)),""))</f>
        <v/>
      </c>
      <c r="I1806" s="10">
        <f>IF(AND(D1806="",C1806="",F1806=""),"",IF(G1806&lt;&gt;"","Void",IF(F1806="","Needs child",IF(H1806="","Child not found",IF(OR(B1806="",NOT(ISNUMBER(C1806))),"Needs month/pages","OK")))))</f>
        <v/>
      </c>
      <c r="J1806" s="10">
        <f>IF(I1806="","",IF(I1806="OK",IF(COUNTIFS(H1807:H$3001,H1806,B1807:B$3001,B1806,G1807:G$3001,"")=0,C1806,0),0))</f>
        <v/>
      </c>
    </row>
    <row r="1807">
      <c r="A1807" s="6" t="n"/>
      <c r="B1807" s="9" t="n"/>
      <c r="C1807" s="6" t="n"/>
      <c r="D1807" s="6" t="n"/>
      <c r="E1807" s="6" t="n"/>
      <c r="F1807" s="6" t="n"/>
      <c r="G1807" s="6" t="n"/>
      <c r="H1807" s="10">
        <f>IF(F1807="","",IFERROR(INDEX(Roster!$A$2:$A$600,MATCH(F1807,Roster!$E$2:$E$600,0)),""))</f>
        <v/>
      </c>
      <c r="I1807" s="10">
        <f>IF(AND(D1807="",C1807="",F1807=""),"",IF(G1807&lt;&gt;"","Void",IF(F1807="","Needs child",IF(H1807="","Child not found",IF(OR(B1807="",NOT(ISNUMBER(C1807))),"Needs month/pages","OK")))))</f>
        <v/>
      </c>
      <c r="J1807" s="10">
        <f>IF(I1807="","",IF(I1807="OK",IF(COUNTIFS(H1808:H$3001,H1807,B1808:B$3001,B1807,G1808:G$3001,"")=0,C1807,0),0))</f>
        <v/>
      </c>
    </row>
    <row r="1808">
      <c r="A1808" s="6" t="n"/>
      <c r="B1808" s="9" t="n"/>
      <c r="C1808" s="6" t="n"/>
      <c r="D1808" s="6" t="n"/>
      <c r="E1808" s="6" t="n"/>
      <c r="F1808" s="6" t="n"/>
      <c r="G1808" s="6" t="n"/>
      <c r="H1808" s="10">
        <f>IF(F1808="","",IFERROR(INDEX(Roster!$A$2:$A$600,MATCH(F1808,Roster!$E$2:$E$600,0)),""))</f>
        <v/>
      </c>
      <c r="I1808" s="10">
        <f>IF(AND(D1808="",C1808="",F1808=""),"",IF(G1808&lt;&gt;"","Void",IF(F1808="","Needs child",IF(H1808="","Child not found",IF(OR(B1808="",NOT(ISNUMBER(C1808))),"Needs month/pages","OK")))))</f>
        <v/>
      </c>
      <c r="J1808" s="10">
        <f>IF(I1808="","",IF(I1808="OK",IF(COUNTIFS(H1809:H$3001,H1808,B1809:B$3001,B1808,G1809:G$3001,"")=0,C1808,0),0))</f>
        <v/>
      </c>
    </row>
    <row r="1809">
      <c r="A1809" s="6" t="n"/>
      <c r="B1809" s="9" t="n"/>
      <c r="C1809" s="6" t="n"/>
      <c r="D1809" s="6" t="n"/>
      <c r="E1809" s="6" t="n"/>
      <c r="F1809" s="6" t="n"/>
      <c r="G1809" s="6" t="n"/>
      <c r="H1809" s="10">
        <f>IF(F1809="","",IFERROR(INDEX(Roster!$A$2:$A$600,MATCH(F1809,Roster!$E$2:$E$600,0)),""))</f>
        <v/>
      </c>
      <c r="I1809" s="10">
        <f>IF(AND(D1809="",C1809="",F1809=""),"",IF(G1809&lt;&gt;"","Void",IF(F1809="","Needs child",IF(H1809="","Child not found",IF(OR(B1809="",NOT(ISNUMBER(C1809))),"Needs month/pages","OK")))))</f>
        <v/>
      </c>
      <c r="J1809" s="10">
        <f>IF(I1809="","",IF(I1809="OK",IF(COUNTIFS(H1810:H$3001,H1809,B1810:B$3001,B1809,G1810:G$3001,"")=0,C1809,0),0))</f>
        <v/>
      </c>
    </row>
    <row r="1810">
      <c r="A1810" s="6" t="n"/>
      <c r="B1810" s="9" t="n"/>
      <c r="C1810" s="6" t="n"/>
      <c r="D1810" s="6" t="n"/>
      <c r="E1810" s="6" t="n"/>
      <c r="F1810" s="6" t="n"/>
      <c r="G1810" s="6" t="n"/>
      <c r="H1810" s="10">
        <f>IF(F1810="","",IFERROR(INDEX(Roster!$A$2:$A$600,MATCH(F1810,Roster!$E$2:$E$600,0)),""))</f>
        <v/>
      </c>
      <c r="I1810" s="10">
        <f>IF(AND(D1810="",C1810="",F1810=""),"",IF(G1810&lt;&gt;"","Void",IF(F1810="","Needs child",IF(H1810="","Child not found",IF(OR(B1810="",NOT(ISNUMBER(C1810))),"Needs month/pages","OK")))))</f>
        <v/>
      </c>
      <c r="J1810" s="10">
        <f>IF(I1810="","",IF(I1810="OK",IF(COUNTIFS(H1811:H$3001,H1810,B1811:B$3001,B1810,G1811:G$3001,"")=0,C1810,0),0))</f>
        <v/>
      </c>
    </row>
    <row r="1811">
      <c r="A1811" s="6" t="n"/>
      <c r="B1811" s="9" t="n"/>
      <c r="C1811" s="6" t="n"/>
      <c r="D1811" s="6" t="n"/>
      <c r="E1811" s="6" t="n"/>
      <c r="F1811" s="6" t="n"/>
      <c r="G1811" s="6" t="n"/>
      <c r="H1811" s="10">
        <f>IF(F1811="","",IFERROR(INDEX(Roster!$A$2:$A$600,MATCH(F1811,Roster!$E$2:$E$600,0)),""))</f>
        <v/>
      </c>
      <c r="I1811" s="10">
        <f>IF(AND(D1811="",C1811="",F1811=""),"",IF(G1811&lt;&gt;"","Void",IF(F1811="","Needs child",IF(H1811="","Child not found",IF(OR(B1811="",NOT(ISNUMBER(C1811))),"Needs month/pages","OK")))))</f>
        <v/>
      </c>
      <c r="J1811" s="10">
        <f>IF(I1811="","",IF(I1811="OK",IF(COUNTIFS(H1812:H$3001,H1811,B1812:B$3001,B1811,G1812:G$3001,"")=0,C1811,0),0))</f>
        <v/>
      </c>
    </row>
    <row r="1812">
      <c r="A1812" s="6" t="n"/>
      <c r="B1812" s="9" t="n"/>
      <c r="C1812" s="6" t="n"/>
      <c r="D1812" s="6" t="n"/>
      <c r="E1812" s="6" t="n"/>
      <c r="F1812" s="6" t="n"/>
      <c r="G1812" s="6" t="n"/>
      <c r="H1812" s="10">
        <f>IF(F1812="","",IFERROR(INDEX(Roster!$A$2:$A$600,MATCH(F1812,Roster!$E$2:$E$600,0)),""))</f>
        <v/>
      </c>
      <c r="I1812" s="10">
        <f>IF(AND(D1812="",C1812="",F1812=""),"",IF(G1812&lt;&gt;"","Void",IF(F1812="","Needs child",IF(H1812="","Child not found",IF(OR(B1812="",NOT(ISNUMBER(C1812))),"Needs month/pages","OK")))))</f>
        <v/>
      </c>
      <c r="J1812" s="10">
        <f>IF(I1812="","",IF(I1812="OK",IF(COUNTIFS(H1813:H$3001,H1812,B1813:B$3001,B1812,G1813:G$3001,"")=0,C1812,0),0))</f>
        <v/>
      </c>
    </row>
    <row r="1813">
      <c r="A1813" s="6" t="n"/>
      <c r="B1813" s="9" t="n"/>
      <c r="C1813" s="6" t="n"/>
      <c r="D1813" s="6" t="n"/>
      <c r="E1813" s="6" t="n"/>
      <c r="F1813" s="6" t="n"/>
      <c r="G1813" s="6" t="n"/>
      <c r="H1813" s="10">
        <f>IF(F1813="","",IFERROR(INDEX(Roster!$A$2:$A$600,MATCH(F1813,Roster!$E$2:$E$600,0)),""))</f>
        <v/>
      </c>
      <c r="I1813" s="10">
        <f>IF(AND(D1813="",C1813="",F1813=""),"",IF(G1813&lt;&gt;"","Void",IF(F1813="","Needs child",IF(H1813="","Child not found",IF(OR(B1813="",NOT(ISNUMBER(C1813))),"Needs month/pages","OK")))))</f>
        <v/>
      </c>
      <c r="J1813" s="10">
        <f>IF(I1813="","",IF(I1813="OK",IF(COUNTIFS(H1814:H$3001,H1813,B1814:B$3001,B1813,G1814:G$3001,"")=0,C1813,0),0))</f>
        <v/>
      </c>
    </row>
    <row r="1814">
      <c r="A1814" s="6" t="n"/>
      <c r="B1814" s="9" t="n"/>
      <c r="C1814" s="6" t="n"/>
      <c r="D1814" s="6" t="n"/>
      <c r="E1814" s="6" t="n"/>
      <c r="F1814" s="6" t="n"/>
      <c r="G1814" s="6" t="n"/>
      <c r="H1814" s="10">
        <f>IF(F1814="","",IFERROR(INDEX(Roster!$A$2:$A$600,MATCH(F1814,Roster!$E$2:$E$600,0)),""))</f>
        <v/>
      </c>
      <c r="I1814" s="10">
        <f>IF(AND(D1814="",C1814="",F1814=""),"",IF(G1814&lt;&gt;"","Void",IF(F1814="","Needs child",IF(H1814="","Child not found",IF(OR(B1814="",NOT(ISNUMBER(C1814))),"Needs month/pages","OK")))))</f>
        <v/>
      </c>
      <c r="J1814" s="10">
        <f>IF(I1814="","",IF(I1814="OK",IF(COUNTIFS(H1815:H$3001,H1814,B1815:B$3001,B1814,G1815:G$3001,"")=0,C1814,0),0))</f>
        <v/>
      </c>
    </row>
    <row r="1815">
      <c r="A1815" s="6" t="n"/>
      <c r="B1815" s="9" t="n"/>
      <c r="C1815" s="6" t="n"/>
      <c r="D1815" s="6" t="n"/>
      <c r="E1815" s="6" t="n"/>
      <c r="F1815" s="6" t="n"/>
      <c r="G1815" s="6" t="n"/>
      <c r="H1815" s="10">
        <f>IF(F1815="","",IFERROR(INDEX(Roster!$A$2:$A$600,MATCH(F1815,Roster!$E$2:$E$600,0)),""))</f>
        <v/>
      </c>
      <c r="I1815" s="10">
        <f>IF(AND(D1815="",C1815="",F1815=""),"",IF(G1815&lt;&gt;"","Void",IF(F1815="","Needs child",IF(H1815="","Child not found",IF(OR(B1815="",NOT(ISNUMBER(C1815))),"Needs month/pages","OK")))))</f>
        <v/>
      </c>
      <c r="J1815" s="10">
        <f>IF(I1815="","",IF(I1815="OK",IF(COUNTIFS(H1816:H$3001,H1815,B1816:B$3001,B1815,G1816:G$3001,"")=0,C1815,0),0))</f>
        <v/>
      </c>
    </row>
    <row r="1816">
      <c r="A1816" s="6" t="n"/>
      <c r="B1816" s="9" t="n"/>
      <c r="C1816" s="6" t="n"/>
      <c r="D1816" s="6" t="n"/>
      <c r="E1816" s="6" t="n"/>
      <c r="F1816" s="6" t="n"/>
      <c r="G1816" s="6" t="n"/>
      <c r="H1816" s="10">
        <f>IF(F1816="","",IFERROR(INDEX(Roster!$A$2:$A$600,MATCH(F1816,Roster!$E$2:$E$600,0)),""))</f>
        <v/>
      </c>
      <c r="I1816" s="10">
        <f>IF(AND(D1816="",C1816="",F1816=""),"",IF(G1816&lt;&gt;"","Void",IF(F1816="","Needs child",IF(H1816="","Child not found",IF(OR(B1816="",NOT(ISNUMBER(C1816))),"Needs month/pages","OK")))))</f>
        <v/>
      </c>
      <c r="J1816" s="10">
        <f>IF(I1816="","",IF(I1816="OK",IF(COUNTIFS(H1817:H$3001,H1816,B1817:B$3001,B1816,G1817:G$3001,"")=0,C1816,0),0))</f>
        <v/>
      </c>
    </row>
    <row r="1817">
      <c r="A1817" s="6" t="n"/>
      <c r="B1817" s="9" t="n"/>
      <c r="C1817" s="6" t="n"/>
      <c r="D1817" s="6" t="n"/>
      <c r="E1817" s="6" t="n"/>
      <c r="F1817" s="6" t="n"/>
      <c r="G1817" s="6" t="n"/>
      <c r="H1817" s="10">
        <f>IF(F1817="","",IFERROR(INDEX(Roster!$A$2:$A$600,MATCH(F1817,Roster!$E$2:$E$600,0)),""))</f>
        <v/>
      </c>
      <c r="I1817" s="10">
        <f>IF(AND(D1817="",C1817="",F1817=""),"",IF(G1817&lt;&gt;"","Void",IF(F1817="","Needs child",IF(H1817="","Child not found",IF(OR(B1817="",NOT(ISNUMBER(C1817))),"Needs month/pages","OK")))))</f>
        <v/>
      </c>
      <c r="J1817" s="10">
        <f>IF(I1817="","",IF(I1817="OK",IF(COUNTIFS(H1818:H$3001,H1817,B1818:B$3001,B1817,G1818:G$3001,"")=0,C1817,0),0))</f>
        <v/>
      </c>
    </row>
    <row r="1818">
      <c r="A1818" s="6" t="n"/>
      <c r="B1818" s="9" t="n"/>
      <c r="C1818" s="6" t="n"/>
      <c r="D1818" s="6" t="n"/>
      <c r="E1818" s="6" t="n"/>
      <c r="F1818" s="6" t="n"/>
      <c r="G1818" s="6" t="n"/>
      <c r="H1818" s="10">
        <f>IF(F1818="","",IFERROR(INDEX(Roster!$A$2:$A$600,MATCH(F1818,Roster!$E$2:$E$600,0)),""))</f>
        <v/>
      </c>
      <c r="I1818" s="10">
        <f>IF(AND(D1818="",C1818="",F1818=""),"",IF(G1818&lt;&gt;"","Void",IF(F1818="","Needs child",IF(H1818="","Child not found",IF(OR(B1818="",NOT(ISNUMBER(C1818))),"Needs month/pages","OK")))))</f>
        <v/>
      </c>
      <c r="J1818" s="10">
        <f>IF(I1818="","",IF(I1818="OK",IF(COUNTIFS(H1819:H$3001,H1818,B1819:B$3001,B1818,G1819:G$3001,"")=0,C1818,0),0))</f>
        <v/>
      </c>
    </row>
    <row r="1819">
      <c r="A1819" s="6" t="n"/>
      <c r="B1819" s="9" t="n"/>
      <c r="C1819" s="6" t="n"/>
      <c r="D1819" s="6" t="n"/>
      <c r="E1819" s="6" t="n"/>
      <c r="F1819" s="6" t="n"/>
      <c r="G1819" s="6" t="n"/>
      <c r="H1819" s="10">
        <f>IF(F1819="","",IFERROR(INDEX(Roster!$A$2:$A$600,MATCH(F1819,Roster!$E$2:$E$600,0)),""))</f>
        <v/>
      </c>
      <c r="I1819" s="10">
        <f>IF(AND(D1819="",C1819="",F1819=""),"",IF(G1819&lt;&gt;"","Void",IF(F1819="","Needs child",IF(H1819="","Child not found",IF(OR(B1819="",NOT(ISNUMBER(C1819))),"Needs month/pages","OK")))))</f>
        <v/>
      </c>
      <c r="J1819" s="10">
        <f>IF(I1819="","",IF(I1819="OK",IF(COUNTIFS(H1820:H$3001,H1819,B1820:B$3001,B1819,G1820:G$3001,"")=0,C1819,0),0))</f>
        <v/>
      </c>
    </row>
    <row r="1820">
      <c r="A1820" s="6" t="n"/>
      <c r="B1820" s="9" t="n"/>
      <c r="C1820" s="6" t="n"/>
      <c r="D1820" s="6" t="n"/>
      <c r="E1820" s="6" t="n"/>
      <c r="F1820" s="6" t="n"/>
      <c r="G1820" s="6" t="n"/>
      <c r="H1820" s="10">
        <f>IF(F1820="","",IFERROR(INDEX(Roster!$A$2:$A$600,MATCH(F1820,Roster!$E$2:$E$600,0)),""))</f>
        <v/>
      </c>
      <c r="I1820" s="10">
        <f>IF(AND(D1820="",C1820="",F1820=""),"",IF(G1820&lt;&gt;"","Void",IF(F1820="","Needs child",IF(H1820="","Child not found",IF(OR(B1820="",NOT(ISNUMBER(C1820))),"Needs month/pages","OK")))))</f>
        <v/>
      </c>
      <c r="J1820" s="10">
        <f>IF(I1820="","",IF(I1820="OK",IF(COUNTIFS(H1821:H$3001,H1820,B1821:B$3001,B1820,G1821:G$3001,"")=0,C1820,0),0))</f>
        <v/>
      </c>
    </row>
    <row r="1821">
      <c r="A1821" s="6" t="n"/>
      <c r="B1821" s="9" t="n"/>
      <c r="C1821" s="6" t="n"/>
      <c r="D1821" s="6" t="n"/>
      <c r="E1821" s="6" t="n"/>
      <c r="F1821" s="6" t="n"/>
      <c r="G1821" s="6" t="n"/>
      <c r="H1821" s="10">
        <f>IF(F1821="","",IFERROR(INDEX(Roster!$A$2:$A$600,MATCH(F1821,Roster!$E$2:$E$600,0)),""))</f>
        <v/>
      </c>
      <c r="I1821" s="10">
        <f>IF(AND(D1821="",C1821="",F1821=""),"",IF(G1821&lt;&gt;"","Void",IF(F1821="","Needs child",IF(H1821="","Child not found",IF(OR(B1821="",NOT(ISNUMBER(C1821))),"Needs month/pages","OK")))))</f>
        <v/>
      </c>
      <c r="J1821" s="10">
        <f>IF(I1821="","",IF(I1821="OK",IF(COUNTIFS(H1822:H$3001,H1821,B1822:B$3001,B1821,G1822:G$3001,"")=0,C1821,0),0))</f>
        <v/>
      </c>
    </row>
    <row r="1822">
      <c r="A1822" s="6" t="n"/>
      <c r="B1822" s="9" t="n"/>
      <c r="C1822" s="6" t="n"/>
      <c r="D1822" s="6" t="n"/>
      <c r="E1822" s="6" t="n"/>
      <c r="F1822" s="6" t="n"/>
      <c r="G1822" s="6" t="n"/>
      <c r="H1822" s="10">
        <f>IF(F1822="","",IFERROR(INDEX(Roster!$A$2:$A$600,MATCH(F1822,Roster!$E$2:$E$600,0)),""))</f>
        <v/>
      </c>
      <c r="I1822" s="10">
        <f>IF(AND(D1822="",C1822="",F1822=""),"",IF(G1822&lt;&gt;"","Void",IF(F1822="","Needs child",IF(H1822="","Child not found",IF(OR(B1822="",NOT(ISNUMBER(C1822))),"Needs month/pages","OK")))))</f>
        <v/>
      </c>
      <c r="J1822" s="10">
        <f>IF(I1822="","",IF(I1822="OK",IF(COUNTIFS(H1823:H$3001,H1822,B1823:B$3001,B1822,G1823:G$3001,"")=0,C1822,0),0))</f>
        <v/>
      </c>
    </row>
    <row r="1823">
      <c r="A1823" s="6" t="n"/>
      <c r="B1823" s="9" t="n"/>
      <c r="C1823" s="6" t="n"/>
      <c r="D1823" s="6" t="n"/>
      <c r="E1823" s="6" t="n"/>
      <c r="F1823" s="6" t="n"/>
      <c r="G1823" s="6" t="n"/>
      <c r="H1823" s="10">
        <f>IF(F1823="","",IFERROR(INDEX(Roster!$A$2:$A$600,MATCH(F1823,Roster!$E$2:$E$600,0)),""))</f>
        <v/>
      </c>
      <c r="I1823" s="10">
        <f>IF(AND(D1823="",C1823="",F1823=""),"",IF(G1823&lt;&gt;"","Void",IF(F1823="","Needs child",IF(H1823="","Child not found",IF(OR(B1823="",NOT(ISNUMBER(C1823))),"Needs month/pages","OK")))))</f>
        <v/>
      </c>
      <c r="J1823" s="10">
        <f>IF(I1823="","",IF(I1823="OK",IF(COUNTIFS(H1824:H$3001,H1823,B1824:B$3001,B1823,G1824:G$3001,"")=0,C1823,0),0))</f>
        <v/>
      </c>
    </row>
    <row r="1824">
      <c r="A1824" s="6" t="n"/>
      <c r="B1824" s="9" t="n"/>
      <c r="C1824" s="6" t="n"/>
      <c r="D1824" s="6" t="n"/>
      <c r="E1824" s="6" t="n"/>
      <c r="F1824" s="6" t="n"/>
      <c r="G1824" s="6" t="n"/>
      <c r="H1824" s="10">
        <f>IF(F1824="","",IFERROR(INDEX(Roster!$A$2:$A$600,MATCH(F1824,Roster!$E$2:$E$600,0)),""))</f>
        <v/>
      </c>
      <c r="I1824" s="10">
        <f>IF(AND(D1824="",C1824="",F1824=""),"",IF(G1824&lt;&gt;"","Void",IF(F1824="","Needs child",IF(H1824="","Child not found",IF(OR(B1824="",NOT(ISNUMBER(C1824))),"Needs month/pages","OK")))))</f>
        <v/>
      </c>
      <c r="J1824" s="10">
        <f>IF(I1824="","",IF(I1824="OK",IF(COUNTIFS(H1825:H$3001,H1824,B1825:B$3001,B1824,G1825:G$3001,"")=0,C1824,0),0))</f>
        <v/>
      </c>
    </row>
    <row r="1825">
      <c r="A1825" s="6" t="n"/>
      <c r="B1825" s="9" t="n"/>
      <c r="C1825" s="6" t="n"/>
      <c r="D1825" s="6" t="n"/>
      <c r="E1825" s="6" t="n"/>
      <c r="F1825" s="6" t="n"/>
      <c r="G1825" s="6" t="n"/>
      <c r="H1825" s="10">
        <f>IF(F1825="","",IFERROR(INDEX(Roster!$A$2:$A$600,MATCH(F1825,Roster!$E$2:$E$600,0)),""))</f>
        <v/>
      </c>
      <c r="I1825" s="10">
        <f>IF(AND(D1825="",C1825="",F1825=""),"",IF(G1825&lt;&gt;"","Void",IF(F1825="","Needs child",IF(H1825="","Child not found",IF(OR(B1825="",NOT(ISNUMBER(C1825))),"Needs month/pages","OK")))))</f>
        <v/>
      </c>
      <c r="J1825" s="10">
        <f>IF(I1825="","",IF(I1825="OK",IF(COUNTIFS(H1826:H$3001,H1825,B1826:B$3001,B1825,G1826:G$3001,"")=0,C1825,0),0))</f>
        <v/>
      </c>
    </row>
    <row r="1826">
      <c r="A1826" s="6" t="n"/>
      <c r="B1826" s="9" t="n"/>
      <c r="C1826" s="6" t="n"/>
      <c r="D1826" s="6" t="n"/>
      <c r="E1826" s="6" t="n"/>
      <c r="F1826" s="6" t="n"/>
      <c r="G1826" s="6" t="n"/>
      <c r="H1826" s="10">
        <f>IF(F1826="","",IFERROR(INDEX(Roster!$A$2:$A$600,MATCH(F1826,Roster!$E$2:$E$600,0)),""))</f>
        <v/>
      </c>
      <c r="I1826" s="10">
        <f>IF(AND(D1826="",C1826="",F1826=""),"",IF(G1826&lt;&gt;"","Void",IF(F1826="","Needs child",IF(H1826="","Child not found",IF(OR(B1826="",NOT(ISNUMBER(C1826))),"Needs month/pages","OK")))))</f>
        <v/>
      </c>
      <c r="J1826" s="10">
        <f>IF(I1826="","",IF(I1826="OK",IF(COUNTIFS(H1827:H$3001,H1826,B1827:B$3001,B1826,G1827:G$3001,"")=0,C1826,0),0))</f>
        <v/>
      </c>
    </row>
    <row r="1827">
      <c r="A1827" s="6" t="n"/>
      <c r="B1827" s="9" t="n"/>
      <c r="C1827" s="6" t="n"/>
      <c r="D1827" s="6" t="n"/>
      <c r="E1827" s="6" t="n"/>
      <c r="F1827" s="6" t="n"/>
      <c r="G1827" s="6" t="n"/>
      <c r="H1827" s="10">
        <f>IF(F1827="","",IFERROR(INDEX(Roster!$A$2:$A$600,MATCH(F1827,Roster!$E$2:$E$600,0)),""))</f>
        <v/>
      </c>
      <c r="I1827" s="10">
        <f>IF(AND(D1827="",C1827="",F1827=""),"",IF(G1827&lt;&gt;"","Void",IF(F1827="","Needs child",IF(H1827="","Child not found",IF(OR(B1827="",NOT(ISNUMBER(C1827))),"Needs month/pages","OK")))))</f>
        <v/>
      </c>
      <c r="J1827" s="10">
        <f>IF(I1827="","",IF(I1827="OK",IF(COUNTIFS(H1828:H$3001,H1827,B1828:B$3001,B1827,G1828:G$3001,"")=0,C1827,0),0))</f>
        <v/>
      </c>
    </row>
    <row r="1828">
      <c r="A1828" s="6" t="n"/>
      <c r="B1828" s="9" t="n"/>
      <c r="C1828" s="6" t="n"/>
      <c r="D1828" s="6" t="n"/>
      <c r="E1828" s="6" t="n"/>
      <c r="F1828" s="6" t="n"/>
      <c r="G1828" s="6" t="n"/>
      <c r="H1828" s="10">
        <f>IF(F1828="","",IFERROR(INDEX(Roster!$A$2:$A$600,MATCH(F1828,Roster!$E$2:$E$600,0)),""))</f>
        <v/>
      </c>
      <c r="I1828" s="10">
        <f>IF(AND(D1828="",C1828="",F1828=""),"",IF(G1828&lt;&gt;"","Void",IF(F1828="","Needs child",IF(H1828="","Child not found",IF(OR(B1828="",NOT(ISNUMBER(C1828))),"Needs month/pages","OK")))))</f>
        <v/>
      </c>
      <c r="J1828" s="10">
        <f>IF(I1828="","",IF(I1828="OK",IF(COUNTIFS(H1829:H$3001,H1828,B1829:B$3001,B1828,G1829:G$3001,"")=0,C1828,0),0))</f>
        <v/>
      </c>
    </row>
    <row r="1829">
      <c r="A1829" s="6" t="n"/>
      <c r="B1829" s="9" t="n"/>
      <c r="C1829" s="6" t="n"/>
      <c r="D1829" s="6" t="n"/>
      <c r="E1829" s="6" t="n"/>
      <c r="F1829" s="6" t="n"/>
      <c r="G1829" s="6" t="n"/>
      <c r="H1829" s="10">
        <f>IF(F1829="","",IFERROR(INDEX(Roster!$A$2:$A$600,MATCH(F1829,Roster!$E$2:$E$600,0)),""))</f>
        <v/>
      </c>
      <c r="I1829" s="10">
        <f>IF(AND(D1829="",C1829="",F1829=""),"",IF(G1829&lt;&gt;"","Void",IF(F1829="","Needs child",IF(H1829="","Child not found",IF(OR(B1829="",NOT(ISNUMBER(C1829))),"Needs month/pages","OK")))))</f>
        <v/>
      </c>
      <c r="J1829" s="10">
        <f>IF(I1829="","",IF(I1829="OK",IF(COUNTIFS(H1830:H$3001,H1829,B1830:B$3001,B1829,G1830:G$3001,"")=0,C1829,0),0))</f>
        <v/>
      </c>
    </row>
    <row r="1830">
      <c r="A1830" s="6" t="n"/>
      <c r="B1830" s="9" t="n"/>
      <c r="C1830" s="6" t="n"/>
      <c r="D1830" s="6" t="n"/>
      <c r="E1830" s="6" t="n"/>
      <c r="F1830" s="6" t="n"/>
      <c r="G1830" s="6" t="n"/>
      <c r="H1830" s="10">
        <f>IF(F1830="","",IFERROR(INDEX(Roster!$A$2:$A$600,MATCH(F1830,Roster!$E$2:$E$600,0)),""))</f>
        <v/>
      </c>
      <c r="I1830" s="10">
        <f>IF(AND(D1830="",C1830="",F1830=""),"",IF(G1830&lt;&gt;"","Void",IF(F1830="","Needs child",IF(H1830="","Child not found",IF(OR(B1830="",NOT(ISNUMBER(C1830))),"Needs month/pages","OK")))))</f>
        <v/>
      </c>
      <c r="J1830" s="10">
        <f>IF(I1830="","",IF(I1830="OK",IF(COUNTIFS(H1831:H$3001,H1830,B1831:B$3001,B1830,G1831:G$3001,"")=0,C1830,0),0))</f>
        <v/>
      </c>
    </row>
    <row r="1831">
      <c r="A1831" s="6" t="n"/>
      <c r="B1831" s="9" t="n"/>
      <c r="C1831" s="6" t="n"/>
      <c r="D1831" s="6" t="n"/>
      <c r="E1831" s="6" t="n"/>
      <c r="F1831" s="6" t="n"/>
      <c r="G1831" s="6" t="n"/>
      <c r="H1831" s="10">
        <f>IF(F1831="","",IFERROR(INDEX(Roster!$A$2:$A$600,MATCH(F1831,Roster!$E$2:$E$600,0)),""))</f>
        <v/>
      </c>
      <c r="I1831" s="10">
        <f>IF(AND(D1831="",C1831="",F1831=""),"",IF(G1831&lt;&gt;"","Void",IF(F1831="","Needs child",IF(H1831="","Child not found",IF(OR(B1831="",NOT(ISNUMBER(C1831))),"Needs month/pages","OK")))))</f>
        <v/>
      </c>
      <c r="J1831" s="10">
        <f>IF(I1831="","",IF(I1831="OK",IF(COUNTIFS(H1832:H$3001,H1831,B1832:B$3001,B1831,G1832:G$3001,"")=0,C1831,0),0))</f>
        <v/>
      </c>
    </row>
    <row r="1832">
      <c r="A1832" s="6" t="n"/>
      <c r="B1832" s="9" t="n"/>
      <c r="C1832" s="6" t="n"/>
      <c r="D1832" s="6" t="n"/>
      <c r="E1832" s="6" t="n"/>
      <c r="F1832" s="6" t="n"/>
      <c r="G1832" s="6" t="n"/>
      <c r="H1832" s="10">
        <f>IF(F1832="","",IFERROR(INDEX(Roster!$A$2:$A$600,MATCH(F1832,Roster!$E$2:$E$600,0)),""))</f>
        <v/>
      </c>
      <c r="I1832" s="10">
        <f>IF(AND(D1832="",C1832="",F1832=""),"",IF(G1832&lt;&gt;"","Void",IF(F1832="","Needs child",IF(H1832="","Child not found",IF(OR(B1832="",NOT(ISNUMBER(C1832))),"Needs month/pages","OK")))))</f>
        <v/>
      </c>
      <c r="J1832" s="10">
        <f>IF(I1832="","",IF(I1832="OK",IF(COUNTIFS(H1833:H$3001,H1832,B1833:B$3001,B1832,G1833:G$3001,"")=0,C1832,0),0))</f>
        <v/>
      </c>
    </row>
    <row r="1833">
      <c r="A1833" s="6" t="n"/>
      <c r="B1833" s="9" t="n"/>
      <c r="C1833" s="6" t="n"/>
      <c r="D1833" s="6" t="n"/>
      <c r="E1833" s="6" t="n"/>
      <c r="F1833" s="6" t="n"/>
      <c r="G1833" s="6" t="n"/>
      <c r="H1833" s="10">
        <f>IF(F1833="","",IFERROR(INDEX(Roster!$A$2:$A$600,MATCH(F1833,Roster!$E$2:$E$600,0)),""))</f>
        <v/>
      </c>
      <c r="I1833" s="10">
        <f>IF(AND(D1833="",C1833="",F1833=""),"",IF(G1833&lt;&gt;"","Void",IF(F1833="","Needs child",IF(H1833="","Child not found",IF(OR(B1833="",NOT(ISNUMBER(C1833))),"Needs month/pages","OK")))))</f>
        <v/>
      </c>
      <c r="J1833" s="10">
        <f>IF(I1833="","",IF(I1833="OK",IF(COUNTIFS(H1834:H$3001,H1833,B1834:B$3001,B1833,G1834:G$3001,"")=0,C1833,0),0))</f>
        <v/>
      </c>
    </row>
    <row r="1834">
      <c r="A1834" s="6" t="n"/>
      <c r="B1834" s="9" t="n"/>
      <c r="C1834" s="6" t="n"/>
      <c r="D1834" s="6" t="n"/>
      <c r="E1834" s="6" t="n"/>
      <c r="F1834" s="6" t="n"/>
      <c r="G1834" s="6" t="n"/>
      <c r="H1834" s="10">
        <f>IF(F1834="","",IFERROR(INDEX(Roster!$A$2:$A$600,MATCH(F1834,Roster!$E$2:$E$600,0)),""))</f>
        <v/>
      </c>
      <c r="I1834" s="10">
        <f>IF(AND(D1834="",C1834="",F1834=""),"",IF(G1834&lt;&gt;"","Void",IF(F1834="","Needs child",IF(H1834="","Child not found",IF(OR(B1834="",NOT(ISNUMBER(C1834))),"Needs month/pages","OK")))))</f>
        <v/>
      </c>
      <c r="J1834" s="10">
        <f>IF(I1834="","",IF(I1834="OK",IF(COUNTIFS(H1835:H$3001,H1834,B1835:B$3001,B1834,G1835:G$3001,"")=0,C1834,0),0))</f>
        <v/>
      </c>
    </row>
    <row r="1835">
      <c r="A1835" s="6" t="n"/>
      <c r="B1835" s="9" t="n"/>
      <c r="C1835" s="6" t="n"/>
      <c r="D1835" s="6" t="n"/>
      <c r="E1835" s="6" t="n"/>
      <c r="F1835" s="6" t="n"/>
      <c r="G1835" s="6" t="n"/>
      <c r="H1835" s="10">
        <f>IF(F1835="","",IFERROR(INDEX(Roster!$A$2:$A$600,MATCH(F1835,Roster!$E$2:$E$600,0)),""))</f>
        <v/>
      </c>
      <c r="I1835" s="10">
        <f>IF(AND(D1835="",C1835="",F1835=""),"",IF(G1835&lt;&gt;"","Void",IF(F1835="","Needs child",IF(H1835="","Child not found",IF(OR(B1835="",NOT(ISNUMBER(C1835))),"Needs month/pages","OK")))))</f>
        <v/>
      </c>
      <c r="J1835" s="10">
        <f>IF(I1835="","",IF(I1835="OK",IF(COUNTIFS(H1836:H$3001,H1835,B1836:B$3001,B1835,G1836:G$3001,"")=0,C1835,0),0))</f>
        <v/>
      </c>
    </row>
    <row r="1836">
      <c r="A1836" s="6" t="n"/>
      <c r="B1836" s="9" t="n"/>
      <c r="C1836" s="6" t="n"/>
      <c r="D1836" s="6" t="n"/>
      <c r="E1836" s="6" t="n"/>
      <c r="F1836" s="6" t="n"/>
      <c r="G1836" s="6" t="n"/>
      <c r="H1836" s="10">
        <f>IF(F1836="","",IFERROR(INDEX(Roster!$A$2:$A$600,MATCH(F1836,Roster!$E$2:$E$600,0)),""))</f>
        <v/>
      </c>
      <c r="I1836" s="10">
        <f>IF(AND(D1836="",C1836="",F1836=""),"",IF(G1836&lt;&gt;"","Void",IF(F1836="","Needs child",IF(H1836="","Child not found",IF(OR(B1836="",NOT(ISNUMBER(C1836))),"Needs month/pages","OK")))))</f>
        <v/>
      </c>
      <c r="J1836" s="10">
        <f>IF(I1836="","",IF(I1836="OK",IF(COUNTIFS(H1837:H$3001,H1836,B1837:B$3001,B1836,G1837:G$3001,"")=0,C1836,0),0))</f>
        <v/>
      </c>
    </row>
    <row r="1837">
      <c r="A1837" s="6" t="n"/>
      <c r="B1837" s="9" t="n"/>
      <c r="C1837" s="6" t="n"/>
      <c r="D1837" s="6" t="n"/>
      <c r="E1837" s="6" t="n"/>
      <c r="F1837" s="6" t="n"/>
      <c r="G1837" s="6" t="n"/>
      <c r="H1837" s="10">
        <f>IF(F1837="","",IFERROR(INDEX(Roster!$A$2:$A$600,MATCH(F1837,Roster!$E$2:$E$600,0)),""))</f>
        <v/>
      </c>
      <c r="I1837" s="10">
        <f>IF(AND(D1837="",C1837="",F1837=""),"",IF(G1837&lt;&gt;"","Void",IF(F1837="","Needs child",IF(H1837="","Child not found",IF(OR(B1837="",NOT(ISNUMBER(C1837))),"Needs month/pages","OK")))))</f>
        <v/>
      </c>
      <c r="J1837" s="10">
        <f>IF(I1837="","",IF(I1837="OK",IF(COUNTIFS(H1838:H$3001,H1837,B1838:B$3001,B1837,G1838:G$3001,"")=0,C1837,0),0))</f>
        <v/>
      </c>
    </row>
    <row r="1838">
      <c r="A1838" s="6" t="n"/>
      <c r="B1838" s="9" t="n"/>
      <c r="C1838" s="6" t="n"/>
      <c r="D1838" s="6" t="n"/>
      <c r="E1838" s="6" t="n"/>
      <c r="F1838" s="6" t="n"/>
      <c r="G1838" s="6" t="n"/>
      <c r="H1838" s="10">
        <f>IF(F1838="","",IFERROR(INDEX(Roster!$A$2:$A$600,MATCH(F1838,Roster!$E$2:$E$600,0)),""))</f>
        <v/>
      </c>
      <c r="I1838" s="10">
        <f>IF(AND(D1838="",C1838="",F1838=""),"",IF(G1838&lt;&gt;"","Void",IF(F1838="","Needs child",IF(H1838="","Child not found",IF(OR(B1838="",NOT(ISNUMBER(C1838))),"Needs month/pages","OK")))))</f>
        <v/>
      </c>
      <c r="J1838" s="10">
        <f>IF(I1838="","",IF(I1838="OK",IF(COUNTIFS(H1839:H$3001,H1838,B1839:B$3001,B1838,G1839:G$3001,"")=0,C1838,0),0))</f>
        <v/>
      </c>
    </row>
    <row r="1839">
      <c r="A1839" s="6" t="n"/>
      <c r="B1839" s="9" t="n"/>
      <c r="C1839" s="6" t="n"/>
      <c r="D1839" s="6" t="n"/>
      <c r="E1839" s="6" t="n"/>
      <c r="F1839" s="6" t="n"/>
      <c r="G1839" s="6" t="n"/>
      <c r="H1839" s="10">
        <f>IF(F1839="","",IFERROR(INDEX(Roster!$A$2:$A$600,MATCH(F1839,Roster!$E$2:$E$600,0)),""))</f>
        <v/>
      </c>
      <c r="I1839" s="10">
        <f>IF(AND(D1839="",C1839="",F1839=""),"",IF(G1839&lt;&gt;"","Void",IF(F1839="","Needs child",IF(H1839="","Child not found",IF(OR(B1839="",NOT(ISNUMBER(C1839))),"Needs month/pages","OK")))))</f>
        <v/>
      </c>
      <c r="J1839" s="10">
        <f>IF(I1839="","",IF(I1839="OK",IF(COUNTIFS(H1840:H$3001,H1839,B1840:B$3001,B1839,G1840:G$3001,"")=0,C1839,0),0))</f>
        <v/>
      </c>
    </row>
    <row r="1840">
      <c r="A1840" s="6" t="n"/>
      <c r="B1840" s="9" t="n"/>
      <c r="C1840" s="6" t="n"/>
      <c r="D1840" s="6" t="n"/>
      <c r="E1840" s="6" t="n"/>
      <c r="F1840" s="6" t="n"/>
      <c r="G1840" s="6" t="n"/>
      <c r="H1840" s="10">
        <f>IF(F1840="","",IFERROR(INDEX(Roster!$A$2:$A$600,MATCH(F1840,Roster!$E$2:$E$600,0)),""))</f>
        <v/>
      </c>
      <c r="I1840" s="10">
        <f>IF(AND(D1840="",C1840="",F1840=""),"",IF(G1840&lt;&gt;"","Void",IF(F1840="","Needs child",IF(H1840="","Child not found",IF(OR(B1840="",NOT(ISNUMBER(C1840))),"Needs month/pages","OK")))))</f>
        <v/>
      </c>
      <c r="J1840" s="10">
        <f>IF(I1840="","",IF(I1840="OK",IF(COUNTIFS(H1841:H$3001,H1840,B1841:B$3001,B1840,G1841:G$3001,"")=0,C1840,0),0))</f>
        <v/>
      </c>
    </row>
    <row r="1841">
      <c r="A1841" s="6" t="n"/>
      <c r="B1841" s="9" t="n"/>
      <c r="C1841" s="6" t="n"/>
      <c r="D1841" s="6" t="n"/>
      <c r="E1841" s="6" t="n"/>
      <c r="F1841" s="6" t="n"/>
      <c r="G1841" s="6" t="n"/>
      <c r="H1841" s="10">
        <f>IF(F1841="","",IFERROR(INDEX(Roster!$A$2:$A$600,MATCH(F1841,Roster!$E$2:$E$600,0)),""))</f>
        <v/>
      </c>
      <c r="I1841" s="10">
        <f>IF(AND(D1841="",C1841="",F1841=""),"",IF(G1841&lt;&gt;"","Void",IF(F1841="","Needs child",IF(H1841="","Child not found",IF(OR(B1841="",NOT(ISNUMBER(C1841))),"Needs month/pages","OK")))))</f>
        <v/>
      </c>
      <c r="J1841" s="10">
        <f>IF(I1841="","",IF(I1841="OK",IF(COUNTIFS(H1842:H$3001,H1841,B1842:B$3001,B1841,G1842:G$3001,"")=0,C1841,0),0))</f>
        <v/>
      </c>
    </row>
    <row r="1842">
      <c r="A1842" s="6" t="n"/>
      <c r="B1842" s="9" t="n"/>
      <c r="C1842" s="6" t="n"/>
      <c r="D1842" s="6" t="n"/>
      <c r="E1842" s="6" t="n"/>
      <c r="F1842" s="6" t="n"/>
      <c r="G1842" s="6" t="n"/>
      <c r="H1842" s="10">
        <f>IF(F1842="","",IFERROR(INDEX(Roster!$A$2:$A$600,MATCH(F1842,Roster!$E$2:$E$600,0)),""))</f>
        <v/>
      </c>
      <c r="I1842" s="10">
        <f>IF(AND(D1842="",C1842="",F1842=""),"",IF(G1842&lt;&gt;"","Void",IF(F1842="","Needs child",IF(H1842="","Child not found",IF(OR(B1842="",NOT(ISNUMBER(C1842))),"Needs month/pages","OK")))))</f>
        <v/>
      </c>
      <c r="J1842" s="10">
        <f>IF(I1842="","",IF(I1842="OK",IF(COUNTIFS(H1843:H$3001,H1842,B1843:B$3001,B1842,G1843:G$3001,"")=0,C1842,0),0))</f>
        <v/>
      </c>
    </row>
    <row r="1843">
      <c r="A1843" s="6" t="n"/>
      <c r="B1843" s="9" t="n"/>
      <c r="C1843" s="6" t="n"/>
      <c r="D1843" s="6" t="n"/>
      <c r="E1843" s="6" t="n"/>
      <c r="F1843" s="6" t="n"/>
      <c r="G1843" s="6" t="n"/>
      <c r="H1843" s="10">
        <f>IF(F1843="","",IFERROR(INDEX(Roster!$A$2:$A$600,MATCH(F1843,Roster!$E$2:$E$600,0)),""))</f>
        <v/>
      </c>
      <c r="I1843" s="10">
        <f>IF(AND(D1843="",C1843="",F1843=""),"",IF(G1843&lt;&gt;"","Void",IF(F1843="","Needs child",IF(H1843="","Child not found",IF(OR(B1843="",NOT(ISNUMBER(C1843))),"Needs month/pages","OK")))))</f>
        <v/>
      </c>
      <c r="J1843" s="10">
        <f>IF(I1843="","",IF(I1843="OK",IF(COUNTIFS(H1844:H$3001,H1843,B1844:B$3001,B1843,G1844:G$3001,"")=0,C1843,0),0))</f>
        <v/>
      </c>
    </row>
    <row r="1844">
      <c r="A1844" s="6" t="n"/>
      <c r="B1844" s="9" t="n"/>
      <c r="C1844" s="6" t="n"/>
      <c r="D1844" s="6" t="n"/>
      <c r="E1844" s="6" t="n"/>
      <c r="F1844" s="6" t="n"/>
      <c r="G1844" s="6" t="n"/>
      <c r="H1844" s="10">
        <f>IF(F1844="","",IFERROR(INDEX(Roster!$A$2:$A$600,MATCH(F1844,Roster!$E$2:$E$600,0)),""))</f>
        <v/>
      </c>
      <c r="I1844" s="10">
        <f>IF(AND(D1844="",C1844="",F1844=""),"",IF(G1844&lt;&gt;"","Void",IF(F1844="","Needs child",IF(H1844="","Child not found",IF(OR(B1844="",NOT(ISNUMBER(C1844))),"Needs month/pages","OK")))))</f>
        <v/>
      </c>
      <c r="J1844" s="10">
        <f>IF(I1844="","",IF(I1844="OK",IF(COUNTIFS(H1845:H$3001,H1844,B1845:B$3001,B1844,G1845:G$3001,"")=0,C1844,0),0))</f>
        <v/>
      </c>
    </row>
    <row r="1845">
      <c r="A1845" s="6" t="n"/>
      <c r="B1845" s="9" t="n"/>
      <c r="C1845" s="6" t="n"/>
      <c r="D1845" s="6" t="n"/>
      <c r="E1845" s="6" t="n"/>
      <c r="F1845" s="6" t="n"/>
      <c r="G1845" s="6" t="n"/>
      <c r="H1845" s="10">
        <f>IF(F1845="","",IFERROR(INDEX(Roster!$A$2:$A$600,MATCH(F1845,Roster!$E$2:$E$600,0)),""))</f>
        <v/>
      </c>
      <c r="I1845" s="10">
        <f>IF(AND(D1845="",C1845="",F1845=""),"",IF(G1845&lt;&gt;"","Void",IF(F1845="","Needs child",IF(H1845="","Child not found",IF(OR(B1845="",NOT(ISNUMBER(C1845))),"Needs month/pages","OK")))))</f>
        <v/>
      </c>
      <c r="J1845" s="10">
        <f>IF(I1845="","",IF(I1845="OK",IF(COUNTIFS(H1846:H$3001,H1845,B1846:B$3001,B1845,G1846:G$3001,"")=0,C1845,0),0))</f>
        <v/>
      </c>
    </row>
    <row r="1846">
      <c r="A1846" s="6" t="n"/>
      <c r="B1846" s="9" t="n"/>
      <c r="C1846" s="6" t="n"/>
      <c r="D1846" s="6" t="n"/>
      <c r="E1846" s="6" t="n"/>
      <c r="F1846" s="6" t="n"/>
      <c r="G1846" s="6" t="n"/>
      <c r="H1846" s="10">
        <f>IF(F1846="","",IFERROR(INDEX(Roster!$A$2:$A$600,MATCH(F1846,Roster!$E$2:$E$600,0)),""))</f>
        <v/>
      </c>
      <c r="I1846" s="10">
        <f>IF(AND(D1846="",C1846="",F1846=""),"",IF(G1846&lt;&gt;"","Void",IF(F1846="","Needs child",IF(H1846="","Child not found",IF(OR(B1846="",NOT(ISNUMBER(C1846))),"Needs month/pages","OK")))))</f>
        <v/>
      </c>
      <c r="J1846" s="10">
        <f>IF(I1846="","",IF(I1846="OK",IF(COUNTIFS(H1847:H$3001,H1846,B1847:B$3001,B1846,G1847:G$3001,"")=0,C1846,0),0))</f>
        <v/>
      </c>
    </row>
    <row r="1847">
      <c r="A1847" s="6" t="n"/>
      <c r="B1847" s="9" t="n"/>
      <c r="C1847" s="6" t="n"/>
      <c r="D1847" s="6" t="n"/>
      <c r="E1847" s="6" t="n"/>
      <c r="F1847" s="6" t="n"/>
      <c r="G1847" s="6" t="n"/>
      <c r="H1847" s="10">
        <f>IF(F1847="","",IFERROR(INDEX(Roster!$A$2:$A$600,MATCH(F1847,Roster!$E$2:$E$600,0)),""))</f>
        <v/>
      </c>
      <c r="I1847" s="10">
        <f>IF(AND(D1847="",C1847="",F1847=""),"",IF(G1847&lt;&gt;"","Void",IF(F1847="","Needs child",IF(H1847="","Child not found",IF(OR(B1847="",NOT(ISNUMBER(C1847))),"Needs month/pages","OK")))))</f>
        <v/>
      </c>
      <c r="J1847" s="10">
        <f>IF(I1847="","",IF(I1847="OK",IF(COUNTIFS(H1848:H$3001,H1847,B1848:B$3001,B1847,G1848:G$3001,"")=0,C1847,0),0))</f>
        <v/>
      </c>
    </row>
    <row r="1848">
      <c r="A1848" s="6" t="n"/>
      <c r="B1848" s="9" t="n"/>
      <c r="C1848" s="6" t="n"/>
      <c r="D1848" s="6" t="n"/>
      <c r="E1848" s="6" t="n"/>
      <c r="F1848" s="6" t="n"/>
      <c r="G1848" s="6" t="n"/>
      <c r="H1848" s="10">
        <f>IF(F1848="","",IFERROR(INDEX(Roster!$A$2:$A$600,MATCH(F1848,Roster!$E$2:$E$600,0)),""))</f>
        <v/>
      </c>
      <c r="I1848" s="10">
        <f>IF(AND(D1848="",C1848="",F1848=""),"",IF(G1848&lt;&gt;"","Void",IF(F1848="","Needs child",IF(H1848="","Child not found",IF(OR(B1848="",NOT(ISNUMBER(C1848))),"Needs month/pages","OK")))))</f>
        <v/>
      </c>
      <c r="J1848" s="10">
        <f>IF(I1848="","",IF(I1848="OK",IF(COUNTIFS(H1849:H$3001,H1848,B1849:B$3001,B1848,G1849:G$3001,"")=0,C1848,0),0))</f>
        <v/>
      </c>
    </row>
    <row r="1849">
      <c r="A1849" s="6" t="n"/>
      <c r="B1849" s="9" t="n"/>
      <c r="C1849" s="6" t="n"/>
      <c r="D1849" s="6" t="n"/>
      <c r="E1849" s="6" t="n"/>
      <c r="F1849" s="6" t="n"/>
      <c r="G1849" s="6" t="n"/>
      <c r="H1849" s="10">
        <f>IF(F1849="","",IFERROR(INDEX(Roster!$A$2:$A$600,MATCH(F1849,Roster!$E$2:$E$600,0)),""))</f>
        <v/>
      </c>
      <c r="I1849" s="10">
        <f>IF(AND(D1849="",C1849="",F1849=""),"",IF(G1849&lt;&gt;"","Void",IF(F1849="","Needs child",IF(H1849="","Child not found",IF(OR(B1849="",NOT(ISNUMBER(C1849))),"Needs month/pages","OK")))))</f>
        <v/>
      </c>
      <c r="J1849" s="10">
        <f>IF(I1849="","",IF(I1849="OK",IF(COUNTIFS(H1850:H$3001,H1849,B1850:B$3001,B1849,G1850:G$3001,"")=0,C1849,0),0))</f>
        <v/>
      </c>
    </row>
    <row r="1850">
      <c r="A1850" s="6" t="n"/>
      <c r="B1850" s="9" t="n"/>
      <c r="C1850" s="6" t="n"/>
      <c r="D1850" s="6" t="n"/>
      <c r="E1850" s="6" t="n"/>
      <c r="F1850" s="6" t="n"/>
      <c r="G1850" s="6" t="n"/>
      <c r="H1850" s="10">
        <f>IF(F1850="","",IFERROR(INDEX(Roster!$A$2:$A$600,MATCH(F1850,Roster!$E$2:$E$600,0)),""))</f>
        <v/>
      </c>
      <c r="I1850" s="10">
        <f>IF(AND(D1850="",C1850="",F1850=""),"",IF(G1850&lt;&gt;"","Void",IF(F1850="","Needs child",IF(H1850="","Child not found",IF(OR(B1850="",NOT(ISNUMBER(C1850))),"Needs month/pages","OK")))))</f>
        <v/>
      </c>
      <c r="J1850" s="10">
        <f>IF(I1850="","",IF(I1850="OK",IF(COUNTIFS(H1851:H$3001,H1850,B1851:B$3001,B1850,G1851:G$3001,"")=0,C1850,0),0))</f>
        <v/>
      </c>
    </row>
    <row r="1851">
      <c r="A1851" s="6" t="n"/>
      <c r="B1851" s="9" t="n"/>
      <c r="C1851" s="6" t="n"/>
      <c r="D1851" s="6" t="n"/>
      <c r="E1851" s="6" t="n"/>
      <c r="F1851" s="6" t="n"/>
      <c r="G1851" s="6" t="n"/>
      <c r="H1851" s="10">
        <f>IF(F1851="","",IFERROR(INDEX(Roster!$A$2:$A$600,MATCH(F1851,Roster!$E$2:$E$600,0)),""))</f>
        <v/>
      </c>
      <c r="I1851" s="10">
        <f>IF(AND(D1851="",C1851="",F1851=""),"",IF(G1851&lt;&gt;"","Void",IF(F1851="","Needs child",IF(H1851="","Child not found",IF(OR(B1851="",NOT(ISNUMBER(C1851))),"Needs month/pages","OK")))))</f>
        <v/>
      </c>
      <c r="J1851" s="10">
        <f>IF(I1851="","",IF(I1851="OK",IF(COUNTIFS(H1852:H$3001,H1851,B1852:B$3001,B1851,G1852:G$3001,"")=0,C1851,0),0))</f>
        <v/>
      </c>
    </row>
    <row r="1852">
      <c r="A1852" s="6" t="n"/>
      <c r="B1852" s="9" t="n"/>
      <c r="C1852" s="6" t="n"/>
      <c r="D1852" s="6" t="n"/>
      <c r="E1852" s="6" t="n"/>
      <c r="F1852" s="6" t="n"/>
      <c r="G1852" s="6" t="n"/>
      <c r="H1852" s="10">
        <f>IF(F1852="","",IFERROR(INDEX(Roster!$A$2:$A$600,MATCH(F1852,Roster!$E$2:$E$600,0)),""))</f>
        <v/>
      </c>
      <c r="I1852" s="10">
        <f>IF(AND(D1852="",C1852="",F1852=""),"",IF(G1852&lt;&gt;"","Void",IF(F1852="","Needs child",IF(H1852="","Child not found",IF(OR(B1852="",NOT(ISNUMBER(C1852))),"Needs month/pages","OK")))))</f>
        <v/>
      </c>
      <c r="J1852" s="10">
        <f>IF(I1852="","",IF(I1852="OK",IF(COUNTIFS(H1853:H$3001,H1852,B1853:B$3001,B1852,G1853:G$3001,"")=0,C1852,0),0))</f>
        <v/>
      </c>
    </row>
    <row r="1853">
      <c r="A1853" s="6" t="n"/>
      <c r="B1853" s="9" t="n"/>
      <c r="C1853" s="6" t="n"/>
      <c r="D1853" s="6" t="n"/>
      <c r="E1853" s="6" t="n"/>
      <c r="F1853" s="6" t="n"/>
      <c r="G1853" s="6" t="n"/>
      <c r="H1853" s="10">
        <f>IF(F1853="","",IFERROR(INDEX(Roster!$A$2:$A$600,MATCH(F1853,Roster!$E$2:$E$600,0)),""))</f>
        <v/>
      </c>
      <c r="I1853" s="10">
        <f>IF(AND(D1853="",C1853="",F1853=""),"",IF(G1853&lt;&gt;"","Void",IF(F1853="","Needs child",IF(H1853="","Child not found",IF(OR(B1853="",NOT(ISNUMBER(C1853))),"Needs month/pages","OK")))))</f>
        <v/>
      </c>
      <c r="J1853" s="10">
        <f>IF(I1853="","",IF(I1853="OK",IF(COUNTIFS(H1854:H$3001,H1853,B1854:B$3001,B1853,G1854:G$3001,"")=0,C1853,0),0))</f>
        <v/>
      </c>
    </row>
    <row r="1854">
      <c r="A1854" s="6" t="n"/>
      <c r="B1854" s="9" t="n"/>
      <c r="C1854" s="6" t="n"/>
      <c r="D1854" s="6" t="n"/>
      <c r="E1854" s="6" t="n"/>
      <c r="F1854" s="6" t="n"/>
      <c r="G1854" s="6" t="n"/>
      <c r="H1854" s="10">
        <f>IF(F1854="","",IFERROR(INDEX(Roster!$A$2:$A$600,MATCH(F1854,Roster!$E$2:$E$600,0)),""))</f>
        <v/>
      </c>
      <c r="I1854" s="10">
        <f>IF(AND(D1854="",C1854="",F1854=""),"",IF(G1854&lt;&gt;"","Void",IF(F1854="","Needs child",IF(H1854="","Child not found",IF(OR(B1854="",NOT(ISNUMBER(C1854))),"Needs month/pages","OK")))))</f>
        <v/>
      </c>
      <c r="J1854" s="10">
        <f>IF(I1854="","",IF(I1854="OK",IF(COUNTIFS(H1855:H$3001,H1854,B1855:B$3001,B1854,G1855:G$3001,"")=0,C1854,0),0))</f>
        <v/>
      </c>
    </row>
    <row r="1855">
      <c r="A1855" s="6" t="n"/>
      <c r="B1855" s="9" t="n"/>
      <c r="C1855" s="6" t="n"/>
      <c r="D1855" s="6" t="n"/>
      <c r="E1855" s="6" t="n"/>
      <c r="F1855" s="6" t="n"/>
      <c r="G1855" s="6" t="n"/>
      <c r="H1855" s="10">
        <f>IF(F1855="","",IFERROR(INDEX(Roster!$A$2:$A$600,MATCH(F1855,Roster!$E$2:$E$600,0)),""))</f>
        <v/>
      </c>
      <c r="I1855" s="10">
        <f>IF(AND(D1855="",C1855="",F1855=""),"",IF(G1855&lt;&gt;"","Void",IF(F1855="","Needs child",IF(H1855="","Child not found",IF(OR(B1855="",NOT(ISNUMBER(C1855))),"Needs month/pages","OK")))))</f>
        <v/>
      </c>
      <c r="J1855" s="10">
        <f>IF(I1855="","",IF(I1855="OK",IF(COUNTIFS(H1856:H$3001,H1855,B1856:B$3001,B1855,G1856:G$3001,"")=0,C1855,0),0))</f>
        <v/>
      </c>
    </row>
    <row r="1856">
      <c r="A1856" s="6" t="n"/>
      <c r="B1856" s="9" t="n"/>
      <c r="C1856" s="6" t="n"/>
      <c r="D1856" s="6" t="n"/>
      <c r="E1856" s="6" t="n"/>
      <c r="F1856" s="6" t="n"/>
      <c r="G1856" s="6" t="n"/>
      <c r="H1856" s="10">
        <f>IF(F1856="","",IFERROR(INDEX(Roster!$A$2:$A$600,MATCH(F1856,Roster!$E$2:$E$600,0)),""))</f>
        <v/>
      </c>
      <c r="I1856" s="10">
        <f>IF(AND(D1856="",C1856="",F1856=""),"",IF(G1856&lt;&gt;"","Void",IF(F1856="","Needs child",IF(H1856="","Child not found",IF(OR(B1856="",NOT(ISNUMBER(C1856))),"Needs month/pages","OK")))))</f>
        <v/>
      </c>
      <c r="J1856" s="10">
        <f>IF(I1856="","",IF(I1856="OK",IF(COUNTIFS(H1857:H$3001,H1856,B1857:B$3001,B1856,G1857:G$3001,"")=0,C1856,0),0))</f>
        <v/>
      </c>
    </row>
    <row r="1857">
      <c r="A1857" s="6" t="n"/>
      <c r="B1857" s="9" t="n"/>
      <c r="C1857" s="6" t="n"/>
      <c r="D1857" s="6" t="n"/>
      <c r="E1857" s="6" t="n"/>
      <c r="F1857" s="6" t="n"/>
      <c r="G1857" s="6" t="n"/>
      <c r="H1857" s="10">
        <f>IF(F1857="","",IFERROR(INDEX(Roster!$A$2:$A$600,MATCH(F1857,Roster!$E$2:$E$600,0)),""))</f>
        <v/>
      </c>
      <c r="I1857" s="10">
        <f>IF(AND(D1857="",C1857="",F1857=""),"",IF(G1857&lt;&gt;"","Void",IF(F1857="","Needs child",IF(H1857="","Child not found",IF(OR(B1857="",NOT(ISNUMBER(C1857))),"Needs month/pages","OK")))))</f>
        <v/>
      </c>
      <c r="J1857" s="10">
        <f>IF(I1857="","",IF(I1857="OK",IF(COUNTIFS(H1858:H$3001,H1857,B1858:B$3001,B1857,G1858:G$3001,"")=0,C1857,0),0))</f>
        <v/>
      </c>
    </row>
    <row r="1858">
      <c r="A1858" s="6" t="n"/>
      <c r="B1858" s="9" t="n"/>
      <c r="C1858" s="6" t="n"/>
      <c r="D1858" s="6" t="n"/>
      <c r="E1858" s="6" t="n"/>
      <c r="F1858" s="6" t="n"/>
      <c r="G1858" s="6" t="n"/>
      <c r="H1858" s="10">
        <f>IF(F1858="","",IFERROR(INDEX(Roster!$A$2:$A$600,MATCH(F1858,Roster!$E$2:$E$600,0)),""))</f>
        <v/>
      </c>
      <c r="I1858" s="10">
        <f>IF(AND(D1858="",C1858="",F1858=""),"",IF(G1858&lt;&gt;"","Void",IF(F1858="","Needs child",IF(H1858="","Child not found",IF(OR(B1858="",NOT(ISNUMBER(C1858))),"Needs month/pages","OK")))))</f>
        <v/>
      </c>
      <c r="J1858" s="10">
        <f>IF(I1858="","",IF(I1858="OK",IF(COUNTIFS(H1859:H$3001,H1858,B1859:B$3001,B1858,G1859:G$3001,"")=0,C1858,0),0))</f>
        <v/>
      </c>
    </row>
    <row r="1859">
      <c r="A1859" s="6" t="n"/>
      <c r="B1859" s="9" t="n"/>
      <c r="C1859" s="6" t="n"/>
      <c r="D1859" s="6" t="n"/>
      <c r="E1859" s="6" t="n"/>
      <c r="F1859" s="6" t="n"/>
      <c r="G1859" s="6" t="n"/>
      <c r="H1859" s="10">
        <f>IF(F1859="","",IFERROR(INDEX(Roster!$A$2:$A$600,MATCH(F1859,Roster!$E$2:$E$600,0)),""))</f>
        <v/>
      </c>
      <c r="I1859" s="10">
        <f>IF(AND(D1859="",C1859="",F1859=""),"",IF(G1859&lt;&gt;"","Void",IF(F1859="","Needs child",IF(H1859="","Child not found",IF(OR(B1859="",NOT(ISNUMBER(C1859))),"Needs month/pages","OK")))))</f>
        <v/>
      </c>
      <c r="J1859" s="10">
        <f>IF(I1859="","",IF(I1859="OK",IF(COUNTIFS(H1860:H$3001,H1859,B1860:B$3001,B1859,G1860:G$3001,"")=0,C1859,0),0))</f>
        <v/>
      </c>
    </row>
    <row r="1860">
      <c r="A1860" s="6" t="n"/>
      <c r="B1860" s="9" t="n"/>
      <c r="C1860" s="6" t="n"/>
      <c r="D1860" s="6" t="n"/>
      <c r="E1860" s="6" t="n"/>
      <c r="F1860" s="6" t="n"/>
      <c r="G1860" s="6" t="n"/>
      <c r="H1860" s="10">
        <f>IF(F1860="","",IFERROR(INDEX(Roster!$A$2:$A$600,MATCH(F1860,Roster!$E$2:$E$600,0)),""))</f>
        <v/>
      </c>
      <c r="I1860" s="10">
        <f>IF(AND(D1860="",C1860="",F1860=""),"",IF(G1860&lt;&gt;"","Void",IF(F1860="","Needs child",IF(H1860="","Child not found",IF(OR(B1860="",NOT(ISNUMBER(C1860))),"Needs month/pages","OK")))))</f>
        <v/>
      </c>
      <c r="J1860" s="10">
        <f>IF(I1860="","",IF(I1860="OK",IF(COUNTIFS(H1861:H$3001,H1860,B1861:B$3001,B1860,G1861:G$3001,"")=0,C1860,0),0))</f>
        <v/>
      </c>
    </row>
    <row r="1861">
      <c r="A1861" s="6" t="n"/>
      <c r="B1861" s="9" t="n"/>
      <c r="C1861" s="6" t="n"/>
      <c r="D1861" s="6" t="n"/>
      <c r="E1861" s="6" t="n"/>
      <c r="F1861" s="6" t="n"/>
      <c r="G1861" s="6" t="n"/>
      <c r="H1861" s="10">
        <f>IF(F1861="","",IFERROR(INDEX(Roster!$A$2:$A$600,MATCH(F1861,Roster!$E$2:$E$600,0)),""))</f>
        <v/>
      </c>
      <c r="I1861" s="10">
        <f>IF(AND(D1861="",C1861="",F1861=""),"",IF(G1861&lt;&gt;"","Void",IF(F1861="","Needs child",IF(H1861="","Child not found",IF(OR(B1861="",NOT(ISNUMBER(C1861))),"Needs month/pages","OK")))))</f>
        <v/>
      </c>
      <c r="J1861" s="10">
        <f>IF(I1861="","",IF(I1861="OK",IF(COUNTIFS(H1862:H$3001,H1861,B1862:B$3001,B1861,G1862:G$3001,"")=0,C1861,0),0))</f>
        <v/>
      </c>
    </row>
    <row r="1862">
      <c r="A1862" s="6" t="n"/>
      <c r="B1862" s="9" t="n"/>
      <c r="C1862" s="6" t="n"/>
      <c r="D1862" s="6" t="n"/>
      <c r="E1862" s="6" t="n"/>
      <c r="F1862" s="6" t="n"/>
      <c r="G1862" s="6" t="n"/>
      <c r="H1862" s="10">
        <f>IF(F1862="","",IFERROR(INDEX(Roster!$A$2:$A$600,MATCH(F1862,Roster!$E$2:$E$600,0)),""))</f>
        <v/>
      </c>
      <c r="I1862" s="10">
        <f>IF(AND(D1862="",C1862="",F1862=""),"",IF(G1862&lt;&gt;"","Void",IF(F1862="","Needs child",IF(H1862="","Child not found",IF(OR(B1862="",NOT(ISNUMBER(C1862))),"Needs month/pages","OK")))))</f>
        <v/>
      </c>
      <c r="J1862" s="10">
        <f>IF(I1862="","",IF(I1862="OK",IF(COUNTIFS(H1863:H$3001,H1862,B1863:B$3001,B1862,G1863:G$3001,"")=0,C1862,0),0))</f>
        <v/>
      </c>
    </row>
    <row r="1863">
      <c r="A1863" s="6" t="n"/>
      <c r="B1863" s="9" t="n"/>
      <c r="C1863" s="6" t="n"/>
      <c r="D1863" s="6" t="n"/>
      <c r="E1863" s="6" t="n"/>
      <c r="F1863" s="6" t="n"/>
      <c r="G1863" s="6" t="n"/>
      <c r="H1863" s="10">
        <f>IF(F1863="","",IFERROR(INDEX(Roster!$A$2:$A$600,MATCH(F1863,Roster!$E$2:$E$600,0)),""))</f>
        <v/>
      </c>
      <c r="I1863" s="10">
        <f>IF(AND(D1863="",C1863="",F1863=""),"",IF(G1863&lt;&gt;"","Void",IF(F1863="","Needs child",IF(H1863="","Child not found",IF(OR(B1863="",NOT(ISNUMBER(C1863))),"Needs month/pages","OK")))))</f>
        <v/>
      </c>
      <c r="J1863" s="10">
        <f>IF(I1863="","",IF(I1863="OK",IF(COUNTIFS(H1864:H$3001,H1863,B1864:B$3001,B1863,G1864:G$3001,"")=0,C1863,0),0))</f>
        <v/>
      </c>
    </row>
    <row r="1864">
      <c r="A1864" s="6" t="n"/>
      <c r="B1864" s="9" t="n"/>
      <c r="C1864" s="6" t="n"/>
      <c r="D1864" s="6" t="n"/>
      <c r="E1864" s="6" t="n"/>
      <c r="F1864" s="6" t="n"/>
      <c r="G1864" s="6" t="n"/>
      <c r="H1864" s="10">
        <f>IF(F1864="","",IFERROR(INDEX(Roster!$A$2:$A$600,MATCH(F1864,Roster!$E$2:$E$600,0)),""))</f>
        <v/>
      </c>
      <c r="I1864" s="10">
        <f>IF(AND(D1864="",C1864="",F1864=""),"",IF(G1864&lt;&gt;"","Void",IF(F1864="","Needs child",IF(H1864="","Child not found",IF(OR(B1864="",NOT(ISNUMBER(C1864))),"Needs month/pages","OK")))))</f>
        <v/>
      </c>
      <c r="J1864" s="10">
        <f>IF(I1864="","",IF(I1864="OK",IF(COUNTIFS(H1865:H$3001,H1864,B1865:B$3001,B1864,G1865:G$3001,"")=0,C1864,0),0))</f>
        <v/>
      </c>
    </row>
    <row r="1865">
      <c r="A1865" s="6" t="n"/>
      <c r="B1865" s="9" t="n"/>
      <c r="C1865" s="6" t="n"/>
      <c r="D1865" s="6" t="n"/>
      <c r="E1865" s="6" t="n"/>
      <c r="F1865" s="6" t="n"/>
      <c r="G1865" s="6" t="n"/>
      <c r="H1865" s="10">
        <f>IF(F1865="","",IFERROR(INDEX(Roster!$A$2:$A$600,MATCH(F1865,Roster!$E$2:$E$600,0)),""))</f>
        <v/>
      </c>
      <c r="I1865" s="10">
        <f>IF(AND(D1865="",C1865="",F1865=""),"",IF(G1865&lt;&gt;"","Void",IF(F1865="","Needs child",IF(H1865="","Child not found",IF(OR(B1865="",NOT(ISNUMBER(C1865))),"Needs month/pages","OK")))))</f>
        <v/>
      </c>
      <c r="J1865" s="10">
        <f>IF(I1865="","",IF(I1865="OK",IF(COUNTIFS(H1866:H$3001,H1865,B1866:B$3001,B1865,G1866:G$3001,"")=0,C1865,0),0))</f>
        <v/>
      </c>
    </row>
    <row r="1866">
      <c r="A1866" s="6" t="n"/>
      <c r="B1866" s="9" t="n"/>
      <c r="C1866" s="6" t="n"/>
      <c r="D1866" s="6" t="n"/>
      <c r="E1866" s="6" t="n"/>
      <c r="F1866" s="6" t="n"/>
      <c r="G1866" s="6" t="n"/>
      <c r="H1866" s="10">
        <f>IF(F1866="","",IFERROR(INDEX(Roster!$A$2:$A$600,MATCH(F1866,Roster!$E$2:$E$600,0)),""))</f>
        <v/>
      </c>
      <c r="I1866" s="10">
        <f>IF(AND(D1866="",C1866="",F1866=""),"",IF(G1866&lt;&gt;"","Void",IF(F1866="","Needs child",IF(H1866="","Child not found",IF(OR(B1866="",NOT(ISNUMBER(C1866))),"Needs month/pages","OK")))))</f>
        <v/>
      </c>
      <c r="J1866" s="10">
        <f>IF(I1866="","",IF(I1866="OK",IF(COUNTIFS(H1867:H$3001,H1866,B1867:B$3001,B1866,G1867:G$3001,"")=0,C1866,0),0))</f>
        <v/>
      </c>
    </row>
    <row r="1867">
      <c r="A1867" s="6" t="n"/>
      <c r="B1867" s="9" t="n"/>
      <c r="C1867" s="6" t="n"/>
      <c r="D1867" s="6" t="n"/>
      <c r="E1867" s="6" t="n"/>
      <c r="F1867" s="6" t="n"/>
      <c r="G1867" s="6" t="n"/>
      <c r="H1867" s="10">
        <f>IF(F1867="","",IFERROR(INDEX(Roster!$A$2:$A$600,MATCH(F1867,Roster!$E$2:$E$600,0)),""))</f>
        <v/>
      </c>
      <c r="I1867" s="10">
        <f>IF(AND(D1867="",C1867="",F1867=""),"",IF(G1867&lt;&gt;"","Void",IF(F1867="","Needs child",IF(H1867="","Child not found",IF(OR(B1867="",NOT(ISNUMBER(C1867))),"Needs month/pages","OK")))))</f>
        <v/>
      </c>
      <c r="J1867" s="10">
        <f>IF(I1867="","",IF(I1867="OK",IF(COUNTIFS(H1868:H$3001,H1867,B1868:B$3001,B1867,G1868:G$3001,"")=0,C1867,0),0))</f>
        <v/>
      </c>
    </row>
    <row r="1868">
      <c r="A1868" s="6" t="n"/>
      <c r="B1868" s="9" t="n"/>
      <c r="C1868" s="6" t="n"/>
      <c r="D1868" s="6" t="n"/>
      <c r="E1868" s="6" t="n"/>
      <c r="F1868" s="6" t="n"/>
      <c r="G1868" s="6" t="n"/>
      <c r="H1868" s="10">
        <f>IF(F1868="","",IFERROR(INDEX(Roster!$A$2:$A$600,MATCH(F1868,Roster!$E$2:$E$600,0)),""))</f>
        <v/>
      </c>
      <c r="I1868" s="10">
        <f>IF(AND(D1868="",C1868="",F1868=""),"",IF(G1868&lt;&gt;"","Void",IF(F1868="","Needs child",IF(H1868="","Child not found",IF(OR(B1868="",NOT(ISNUMBER(C1868))),"Needs month/pages","OK")))))</f>
        <v/>
      </c>
      <c r="J1868" s="10">
        <f>IF(I1868="","",IF(I1868="OK",IF(COUNTIFS(H1869:H$3001,H1868,B1869:B$3001,B1868,G1869:G$3001,"")=0,C1868,0),0))</f>
        <v/>
      </c>
    </row>
    <row r="1869">
      <c r="A1869" s="6" t="n"/>
      <c r="B1869" s="9" t="n"/>
      <c r="C1869" s="6" t="n"/>
      <c r="D1869" s="6" t="n"/>
      <c r="E1869" s="6" t="n"/>
      <c r="F1869" s="6" t="n"/>
      <c r="G1869" s="6" t="n"/>
      <c r="H1869" s="10">
        <f>IF(F1869="","",IFERROR(INDEX(Roster!$A$2:$A$600,MATCH(F1869,Roster!$E$2:$E$600,0)),""))</f>
        <v/>
      </c>
      <c r="I1869" s="10">
        <f>IF(AND(D1869="",C1869="",F1869=""),"",IF(G1869&lt;&gt;"","Void",IF(F1869="","Needs child",IF(H1869="","Child not found",IF(OR(B1869="",NOT(ISNUMBER(C1869))),"Needs month/pages","OK")))))</f>
        <v/>
      </c>
      <c r="J1869" s="10">
        <f>IF(I1869="","",IF(I1869="OK",IF(COUNTIFS(H1870:H$3001,H1869,B1870:B$3001,B1869,G1870:G$3001,"")=0,C1869,0),0))</f>
        <v/>
      </c>
    </row>
    <row r="1870">
      <c r="A1870" s="6" t="n"/>
      <c r="B1870" s="9" t="n"/>
      <c r="C1870" s="6" t="n"/>
      <c r="D1870" s="6" t="n"/>
      <c r="E1870" s="6" t="n"/>
      <c r="F1870" s="6" t="n"/>
      <c r="G1870" s="6" t="n"/>
      <c r="H1870" s="10">
        <f>IF(F1870="","",IFERROR(INDEX(Roster!$A$2:$A$600,MATCH(F1870,Roster!$E$2:$E$600,0)),""))</f>
        <v/>
      </c>
      <c r="I1870" s="10">
        <f>IF(AND(D1870="",C1870="",F1870=""),"",IF(G1870&lt;&gt;"","Void",IF(F1870="","Needs child",IF(H1870="","Child not found",IF(OR(B1870="",NOT(ISNUMBER(C1870))),"Needs month/pages","OK")))))</f>
        <v/>
      </c>
      <c r="J1870" s="10">
        <f>IF(I1870="","",IF(I1870="OK",IF(COUNTIFS(H1871:H$3001,H1870,B1871:B$3001,B1870,G1871:G$3001,"")=0,C1870,0),0))</f>
        <v/>
      </c>
    </row>
    <row r="1871">
      <c r="A1871" s="6" t="n"/>
      <c r="B1871" s="9" t="n"/>
      <c r="C1871" s="6" t="n"/>
      <c r="D1871" s="6" t="n"/>
      <c r="E1871" s="6" t="n"/>
      <c r="F1871" s="6" t="n"/>
      <c r="G1871" s="6" t="n"/>
      <c r="H1871" s="10">
        <f>IF(F1871="","",IFERROR(INDEX(Roster!$A$2:$A$600,MATCH(F1871,Roster!$E$2:$E$600,0)),""))</f>
        <v/>
      </c>
      <c r="I1871" s="10">
        <f>IF(AND(D1871="",C1871="",F1871=""),"",IF(G1871&lt;&gt;"","Void",IF(F1871="","Needs child",IF(H1871="","Child not found",IF(OR(B1871="",NOT(ISNUMBER(C1871))),"Needs month/pages","OK")))))</f>
        <v/>
      </c>
      <c r="J1871" s="10">
        <f>IF(I1871="","",IF(I1871="OK",IF(COUNTIFS(H1872:H$3001,H1871,B1872:B$3001,B1871,G1872:G$3001,"")=0,C1871,0),0))</f>
        <v/>
      </c>
    </row>
    <row r="1872">
      <c r="A1872" s="6" t="n"/>
      <c r="B1872" s="9" t="n"/>
      <c r="C1872" s="6" t="n"/>
      <c r="D1872" s="6" t="n"/>
      <c r="E1872" s="6" t="n"/>
      <c r="F1872" s="6" t="n"/>
      <c r="G1872" s="6" t="n"/>
      <c r="H1872" s="10">
        <f>IF(F1872="","",IFERROR(INDEX(Roster!$A$2:$A$600,MATCH(F1872,Roster!$E$2:$E$600,0)),""))</f>
        <v/>
      </c>
      <c r="I1872" s="10">
        <f>IF(AND(D1872="",C1872="",F1872=""),"",IF(G1872&lt;&gt;"","Void",IF(F1872="","Needs child",IF(H1872="","Child not found",IF(OR(B1872="",NOT(ISNUMBER(C1872))),"Needs month/pages","OK")))))</f>
        <v/>
      </c>
      <c r="J1872" s="10">
        <f>IF(I1872="","",IF(I1872="OK",IF(COUNTIFS(H1873:H$3001,H1872,B1873:B$3001,B1872,G1873:G$3001,"")=0,C1872,0),0))</f>
        <v/>
      </c>
    </row>
    <row r="1873">
      <c r="A1873" s="6" t="n"/>
      <c r="B1873" s="9" t="n"/>
      <c r="C1873" s="6" t="n"/>
      <c r="D1873" s="6" t="n"/>
      <c r="E1873" s="6" t="n"/>
      <c r="F1873" s="6" t="n"/>
      <c r="G1873" s="6" t="n"/>
      <c r="H1873" s="10">
        <f>IF(F1873="","",IFERROR(INDEX(Roster!$A$2:$A$600,MATCH(F1873,Roster!$E$2:$E$600,0)),""))</f>
        <v/>
      </c>
      <c r="I1873" s="10">
        <f>IF(AND(D1873="",C1873="",F1873=""),"",IF(G1873&lt;&gt;"","Void",IF(F1873="","Needs child",IF(H1873="","Child not found",IF(OR(B1873="",NOT(ISNUMBER(C1873))),"Needs month/pages","OK")))))</f>
        <v/>
      </c>
      <c r="J1873" s="10">
        <f>IF(I1873="","",IF(I1873="OK",IF(COUNTIFS(H1874:H$3001,H1873,B1874:B$3001,B1873,G1874:G$3001,"")=0,C1873,0),0))</f>
        <v/>
      </c>
    </row>
    <row r="1874">
      <c r="A1874" s="6" t="n"/>
      <c r="B1874" s="9" t="n"/>
      <c r="C1874" s="6" t="n"/>
      <c r="D1874" s="6" t="n"/>
      <c r="E1874" s="6" t="n"/>
      <c r="F1874" s="6" t="n"/>
      <c r="G1874" s="6" t="n"/>
      <c r="H1874" s="10">
        <f>IF(F1874="","",IFERROR(INDEX(Roster!$A$2:$A$600,MATCH(F1874,Roster!$E$2:$E$600,0)),""))</f>
        <v/>
      </c>
      <c r="I1874" s="10">
        <f>IF(AND(D1874="",C1874="",F1874=""),"",IF(G1874&lt;&gt;"","Void",IF(F1874="","Needs child",IF(H1874="","Child not found",IF(OR(B1874="",NOT(ISNUMBER(C1874))),"Needs month/pages","OK")))))</f>
        <v/>
      </c>
      <c r="J1874" s="10">
        <f>IF(I1874="","",IF(I1874="OK",IF(COUNTIFS(H1875:H$3001,H1874,B1875:B$3001,B1874,G1875:G$3001,"")=0,C1874,0),0))</f>
        <v/>
      </c>
    </row>
    <row r="1875">
      <c r="A1875" s="6" t="n"/>
      <c r="B1875" s="9" t="n"/>
      <c r="C1875" s="6" t="n"/>
      <c r="D1875" s="6" t="n"/>
      <c r="E1875" s="6" t="n"/>
      <c r="F1875" s="6" t="n"/>
      <c r="G1875" s="6" t="n"/>
      <c r="H1875" s="10">
        <f>IF(F1875="","",IFERROR(INDEX(Roster!$A$2:$A$600,MATCH(F1875,Roster!$E$2:$E$600,0)),""))</f>
        <v/>
      </c>
      <c r="I1875" s="10">
        <f>IF(AND(D1875="",C1875="",F1875=""),"",IF(G1875&lt;&gt;"","Void",IF(F1875="","Needs child",IF(H1875="","Child not found",IF(OR(B1875="",NOT(ISNUMBER(C1875))),"Needs month/pages","OK")))))</f>
        <v/>
      </c>
      <c r="J1875" s="10">
        <f>IF(I1875="","",IF(I1875="OK",IF(COUNTIFS(H1876:H$3001,H1875,B1876:B$3001,B1875,G1876:G$3001,"")=0,C1875,0),0))</f>
        <v/>
      </c>
    </row>
    <row r="1876">
      <c r="A1876" s="6" t="n"/>
      <c r="B1876" s="9" t="n"/>
      <c r="C1876" s="6" t="n"/>
      <c r="D1876" s="6" t="n"/>
      <c r="E1876" s="6" t="n"/>
      <c r="F1876" s="6" t="n"/>
      <c r="G1876" s="6" t="n"/>
      <c r="H1876" s="10">
        <f>IF(F1876="","",IFERROR(INDEX(Roster!$A$2:$A$600,MATCH(F1876,Roster!$E$2:$E$600,0)),""))</f>
        <v/>
      </c>
      <c r="I1876" s="10">
        <f>IF(AND(D1876="",C1876="",F1876=""),"",IF(G1876&lt;&gt;"","Void",IF(F1876="","Needs child",IF(H1876="","Child not found",IF(OR(B1876="",NOT(ISNUMBER(C1876))),"Needs month/pages","OK")))))</f>
        <v/>
      </c>
      <c r="J1876" s="10">
        <f>IF(I1876="","",IF(I1876="OK",IF(COUNTIFS(H1877:H$3001,H1876,B1877:B$3001,B1876,G1877:G$3001,"")=0,C1876,0),0))</f>
        <v/>
      </c>
    </row>
    <row r="1877">
      <c r="A1877" s="6" t="n"/>
      <c r="B1877" s="9" t="n"/>
      <c r="C1877" s="6" t="n"/>
      <c r="D1877" s="6" t="n"/>
      <c r="E1877" s="6" t="n"/>
      <c r="F1877" s="6" t="n"/>
      <c r="G1877" s="6" t="n"/>
      <c r="H1877" s="10">
        <f>IF(F1877="","",IFERROR(INDEX(Roster!$A$2:$A$600,MATCH(F1877,Roster!$E$2:$E$600,0)),""))</f>
        <v/>
      </c>
      <c r="I1877" s="10">
        <f>IF(AND(D1877="",C1877="",F1877=""),"",IF(G1877&lt;&gt;"","Void",IF(F1877="","Needs child",IF(H1877="","Child not found",IF(OR(B1877="",NOT(ISNUMBER(C1877))),"Needs month/pages","OK")))))</f>
        <v/>
      </c>
      <c r="J1877" s="10">
        <f>IF(I1877="","",IF(I1877="OK",IF(COUNTIFS(H1878:H$3001,H1877,B1878:B$3001,B1877,G1878:G$3001,"")=0,C1877,0),0))</f>
        <v/>
      </c>
    </row>
    <row r="1878">
      <c r="A1878" s="6" t="n"/>
      <c r="B1878" s="9" t="n"/>
      <c r="C1878" s="6" t="n"/>
      <c r="D1878" s="6" t="n"/>
      <c r="E1878" s="6" t="n"/>
      <c r="F1878" s="6" t="n"/>
      <c r="G1878" s="6" t="n"/>
      <c r="H1878" s="10">
        <f>IF(F1878="","",IFERROR(INDEX(Roster!$A$2:$A$600,MATCH(F1878,Roster!$E$2:$E$600,0)),""))</f>
        <v/>
      </c>
      <c r="I1878" s="10">
        <f>IF(AND(D1878="",C1878="",F1878=""),"",IF(G1878&lt;&gt;"","Void",IF(F1878="","Needs child",IF(H1878="","Child not found",IF(OR(B1878="",NOT(ISNUMBER(C1878))),"Needs month/pages","OK")))))</f>
        <v/>
      </c>
      <c r="J1878" s="10">
        <f>IF(I1878="","",IF(I1878="OK",IF(COUNTIFS(H1879:H$3001,H1878,B1879:B$3001,B1878,G1879:G$3001,"")=0,C1878,0),0))</f>
        <v/>
      </c>
    </row>
    <row r="1879">
      <c r="A1879" s="6" t="n"/>
      <c r="B1879" s="9" t="n"/>
      <c r="C1879" s="6" t="n"/>
      <c r="D1879" s="6" t="n"/>
      <c r="E1879" s="6" t="n"/>
      <c r="F1879" s="6" t="n"/>
      <c r="G1879" s="6" t="n"/>
      <c r="H1879" s="10">
        <f>IF(F1879="","",IFERROR(INDEX(Roster!$A$2:$A$600,MATCH(F1879,Roster!$E$2:$E$600,0)),""))</f>
        <v/>
      </c>
      <c r="I1879" s="10">
        <f>IF(AND(D1879="",C1879="",F1879=""),"",IF(G1879&lt;&gt;"","Void",IF(F1879="","Needs child",IF(H1879="","Child not found",IF(OR(B1879="",NOT(ISNUMBER(C1879))),"Needs month/pages","OK")))))</f>
        <v/>
      </c>
      <c r="J1879" s="10">
        <f>IF(I1879="","",IF(I1879="OK",IF(COUNTIFS(H1880:H$3001,H1879,B1880:B$3001,B1879,G1880:G$3001,"")=0,C1879,0),0))</f>
        <v/>
      </c>
    </row>
    <row r="1880">
      <c r="A1880" s="6" t="n"/>
      <c r="B1880" s="9" t="n"/>
      <c r="C1880" s="6" t="n"/>
      <c r="D1880" s="6" t="n"/>
      <c r="E1880" s="6" t="n"/>
      <c r="F1880" s="6" t="n"/>
      <c r="G1880" s="6" t="n"/>
      <c r="H1880" s="10">
        <f>IF(F1880="","",IFERROR(INDEX(Roster!$A$2:$A$600,MATCH(F1880,Roster!$E$2:$E$600,0)),""))</f>
        <v/>
      </c>
      <c r="I1880" s="10">
        <f>IF(AND(D1880="",C1880="",F1880=""),"",IF(G1880&lt;&gt;"","Void",IF(F1880="","Needs child",IF(H1880="","Child not found",IF(OR(B1880="",NOT(ISNUMBER(C1880))),"Needs month/pages","OK")))))</f>
        <v/>
      </c>
      <c r="J1880" s="10">
        <f>IF(I1880="","",IF(I1880="OK",IF(COUNTIFS(H1881:H$3001,H1880,B1881:B$3001,B1880,G1881:G$3001,"")=0,C1880,0),0))</f>
        <v/>
      </c>
    </row>
    <row r="1881">
      <c r="A1881" s="6" t="n"/>
      <c r="B1881" s="9" t="n"/>
      <c r="C1881" s="6" t="n"/>
      <c r="D1881" s="6" t="n"/>
      <c r="E1881" s="6" t="n"/>
      <c r="F1881" s="6" t="n"/>
      <c r="G1881" s="6" t="n"/>
      <c r="H1881" s="10">
        <f>IF(F1881="","",IFERROR(INDEX(Roster!$A$2:$A$600,MATCH(F1881,Roster!$E$2:$E$600,0)),""))</f>
        <v/>
      </c>
      <c r="I1881" s="10">
        <f>IF(AND(D1881="",C1881="",F1881=""),"",IF(G1881&lt;&gt;"","Void",IF(F1881="","Needs child",IF(H1881="","Child not found",IF(OR(B1881="",NOT(ISNUMBER(C1881))),"Needs month/pages","OK")))))</f>
        <v/>
      </c>
      <c r="J1881" s="10">
        <f>IF(I1881="","",IF(I1881="OK",IF(COUNTIFS(H1882:H$3001,H1881,B1882:B$3001,B1881,G1882:G$3001,"")=0,C1881,0),0))</f>
        <v/>
      </c>
    </row>
    <row r="1882">
      <c r="A1882" s="6" t="n"/>
      <c r="B1882" s="9" t="n"/>
      <c r="C1882" s="6" t="n"/>
      <c r="D1882" s="6" t="n"/>
      <c r="E1882" s="6" t="n"/>
      <c r="F1882" s="6" t="n"/>
      <c r="G1882" s="6" t="n"/>
      <c r="H1882" s="10">
        <f>IF(F1882="","",IFERROR(INDEX(Roster!$A$2:$A$600,MATCH(F1882,Roster!$E$2:$E$600,0)),""))</f>
        <v/>
      </c>
      <c r="I1882" s="10">
        <f>IF(AND(D1882="",C1882="",F1882=""),"",IF(G1882&lt;&gt;"","Void",IF(F1882="","Needs child",IF(H1882="","Child not found",IF(OR(B1882="",NOT(ISNUMBER(C1882))),"Needs month/pages","OK")))))</f>
        <v/>
      </c>
      <c r="J1882" s="10">
        <f>IF(I1882="","",IF(I1882="OK",IF(COUNTIFS(H1883:H$3001,H1882,B1883:B$3001,B1882,G1883:G$3001,"")=0,C1882,0),0))</f>
        <v/>
      </c>
    </row>
    <row r="1883">
      <c r="A1883" s="6" t="n"/>
      <c r="B1883" s="9" t="n"/>
      <c r="C1883" s="6" t="n"/>
      <c r="D1883" s="6" t="n"/>
      <c r="E1883" s="6" t="n"/>
      <c r="F1883" s="6" t="n"/>
      <c r="G1883" s="6" t="n"/>
      <c r="H1883" s="10">
        <f>IF(F1883="","",IFERROR(INDEX(Roster!$A$2:$A$600,MATCH(F1883,Roster!$E$2:$E$600,0)),""))</f>
        <v/>
      </c>
      <c r="I1883" s="10">
        <f>IF(AND(D1883="",C1883="",F1883=""),"",IF(G1883&lt;&gt;"","Void",IF(F1883="","Needs child",IF(H1883="","Child not found",IF(OR(B1883="",NOT(ISNUMBER(C1883))),"Needs month/pages","OK")))))</f>
        <v/>
      </c>
      <c r="J1883" s="10">
        <f>IF(I1883="","",IF(I1883="OK",IF(COUNTIFS(H1884:H$3001,H1883,B1884:B$3001,B1883,G1884:G$3001,"")=0,C1883,0),0))</f>
        <v/>
      </c>
    </row>
    <row r="1884">
      <c r="A1884" s="6" t="n"/>
      <c r="B1884" s="9" t="n"/>
      <c r="C1884" s="6" t="n"/>
      <c r="D1884" s="6" t="n"/>
      <c r="E1884" s="6" t="n"/>
      <c r="F1884" s="6" t="n"/>
      <c r="G1884" s="6" t="n"/>
      <c r="H1884" s="10">
        <f>IF(F1884="","",IFERROR(INDEX(Roster!$A$2:$A$600,MATCH(F1884,Roster!$E$2:$E$600,0)),""))</f>
        <v/>
      </c>
      <c r="I1884" s="10">
        <f>IF(AND(D1884="",C1884="",F1884=""),"",IF(G1884&lt;&gt;"","Void",IF(F1884="","Needs child",IF(H1884="","Child not found",IF(OR(B1884="",NOT(ISNUMBER(C1884))),"Needs month/pages","OK")))))</f>
        <v/>
      </c>
      <c r="J1884" s="10">
        <f>IF(I1884="","",IF(I1884="OK",IF(COUNTIFS(H1885:H$3001,H1884,B1885:B$3001,B1884,G1885:G$3001,"")=0,C1884,0),0))</f>
        <v/>
      </c>
    </row>
    <row r="1885">
      <c r="A1885" s="6" t="n"/>
      <c r="B1885" s="9" t="n"/>
      <c r="C1885" s="6" t="n"/>
      <c r="D1885" s="6" t="n"/>
      <c r="E1885" s="6" t="n"/>
      <c r="F1885" s="6" t="n"/>
      <c r="G1885" s="6" t="n"/>
      <c r="H1885" s="10">
        <f>IF(F1885="","",IFERROR(INDEX(Roster!$A$2:$A$600,MATCH(F1885,Roster!$E$2:$E$600,0)),""))</f>
        <v/>
      </c>
      <c r="I1885" s="10">
        <f>IF(AND(D1885="",C1885="",F1885=""),"",IF(G1885&lt;&gt;"","Void",IF(F1885="","Needs child",IF(H1885="","Child not found",IF(OR(B1885="",NOT(ISNUMBER(C1885))),"Needs month/pages","OK")))))</f>
        <v/>
      </c>
      <c r="J1885" s="10">
        <f>IF(I1885="","",IF(I1885="OK",IF(COUNTIFS(H1886:H$3001,H1885,B1886:B$3001,B1885,G1886:G$3001,"")=0,C1885,0),0))</f>
        <v/>
      </c>
    </row>
    <row r="1886">
      <c r="A1886" s="6" t="n"/>
      <c r="B1886" s="9" t="n"/>
      <c r="C1886" s="6" t="n"/>
      <c r="D1886" s="6" t="n"/>
      <c r="E1886" s="6" t="n"/>
      <c r="F1886" s="6" t="n"/>
      <c r="G1886" s="6" t="n"/>
      <c r="H1886" s="10">
        <f>IF(F1886="","",IFERROR(INDEX(Roster!$A$2:$A$600,MATCH(F1886,Roster!$E$2:$E$600,0)),""))</f>
        <v/>
      </c>
      <c r="I1886" s="10">
        <f>IF(AND(D1886="",C1886="",F1886=""),"",IF(G1886&lt;&gt;"","Void",IF(F1886="","Needs child",IF(H1886="","Child not found",IF(OR(B1886="",NOT(ISNUMBER(C1886))),"Needs month/pages","OK")))))</f>
        <v/>
      </c>
      <c r="J1886" s="10">
        <f>IF(I1886="","",IF(I1886="OK",IF(COUNTIFS(H1887:H$3001,H1886,B1887:B$3001,B1886,G1887:G$3001,"")=0,C1886,0),0))</f>
        <v/>
      </c>
    </row>
    <row r="1887">
      <c r="A1887" s="6" t="n"/>
      <c r="B1887" s="9" t="n"/>
      <c r="C1887" s="6" t="n"/>
      <c r="D1887" s="6" t="n"/>
      <c r="E1887" s="6" t="n"/>
      <c r="F1887" s="6" t="n"/>
      <c r="G1887" s="6" t="n"/>
      <c r="H1887" s="10">
        <f>IF(F1887="","",IFERROR(INDEX(Roster!$A$2:$A$600,MATCH(F1887,Roster!$E$2:$E$600,0)),""))</f>
        <v/>
      </c>
      <c r="I1887" s="10">
        <f>IF(AND(D1887="",C1887="",F1887=""),"",IF(G1887&lt;&gt;"","Void",IF(F1887="","Needs child",IF(H1887="","Child not found",IF(OR(B1887="",NOT(ISNUMBER(C1887))),"Needs month/pages","OK")))))</f>
        <v/>
      </c>
      <c r="J1887" s="10">
        <f>IF(I1887="","",IF(I1887="OK",IF(COUNTIFS(H1888:H$3001,H1887,B1888:B$3001,B1887,G1888:G$3001,"")=0,C1887,0),0))</f>
        <v/>
      </c>
    </row>
    <row r="1888">
      <c r="A1888" s="6" t="n"/>
      <c r="B1888" s="9" t="n"/>
      <c r="C1888" s="6" t="n"/>
      <c r="D1888" s="6" t="n"/>
      <c r="E1888" s="6" t="n"/>
      <c r="F1888" s="6" t="n"/>
      <c r="G1888" s="6" t="n"/>
      <c r="H1888" s="10">
        <f>IF(F1888="","",IFERROR(INDEX(Roster!$A$2:$A$600,MATCH(F1888,Roster!$E$2:$E$600,0)),""))</f>
        <v/>
      </c>
      <c r="I1888" s="10">
        <f>IF(AND(D1888="",C1888="",F1888=""),"",IF(G1888&lt;&gt;"","Void",IF(F1888="","Needs child",IF(H1888="","Child not found",IF(OR(B1888="",NOT(ISNUMBER(C1888))),"Needs month/pages","OK")))))</f>
        <v/>
      </c>
      <c r="J1888" s="10">
        <f>IF(I1888="","",IF(I1888="OK",IF(COUNTIFS(H1889:H$3001,H1888,B1889:B$3001,B1888,G1889:G$3001,"")=0,C1888,0),0))</f>
        <v/>
      </c>
    </row>
    <row r="1889">
      <c r="A1889" s="6" t="n"/>
      <c r="B1889" s="9" t="n"/>
      <c r="C1889" s="6" t="n"/>
      <c r="D1889" s="6" t="n"/>
      <c r="E1889" s="6" t="n"/>
      <c r="F1889" s="6" t="n"/>
      <c r="G1889" s="6" t="n"/>
      <c r="H1889" s="10">
        <f>IF(F1889="","",IFERROR(INDEX(Roster!$A$2:$A$600,MATCH(F1889,Roster!$E$2:$E$600,0)),""))</f>
        <v/>
      </c>
      <c r="I1889" s="10">
        <f>IF(AND(D1889="",C1889="",F1889=""),"",IF(G1889&lt;&gt;"","Void",IF(F1889="","Needs child",IF(H1889="","Child not found",IF(OR(B1889="",NOT(ISNUMBER(C1889))),"Needs month/pages","OK")))))</f>
        <v/>
      </c>
      <c r="J1889" s="10">
        <f>IF(I1889="","",IF(I1889="OK",IF(COUNTIFS(H1890:H$3001,H1889,B1890:B$3001,B1889,G1890:G$3001,"")=0,C1889,0),0))</f>
        <v/>
      </c>
    </row>
    <row r="1890">
      <c r="A1890" s="6" t="n"/>
      <c r="B1890" s="9" t="n"/>
      <c r="C1890" s="6" t="n"/>
      <c r="D1890" s="6" t="n"/>
      <c r="E1890" s="6" t="n"/>
      <c r="F1890" s="6" t="n"/>
      <c r="G1890" s="6" t="n"/>
      <c r="H1890" s="10">
        <f>IF(F1890="","",IFERROR(INDEX(Roster!$A$2:$A$600,MATCH(F1890,Roster!$E$2:$E$600,0)),""))</f>
        <v/>
      </c>
      <c r="I1890" s="10">
        <f>IF(AND(D1890="",C1890="",F1890=""),"",IF(G1890&lt;&gt;"","Void",IF(F1890="","Needs child",IF(H1890="","Child not found",IF(OR(B1890="",NOT(ISNUMBER(C1890))),"Needs month/pages","OK")))))</f>
        <v/>
      </c>
      <c r="J1890" s="10">
        <f>IF(I1890="","",IF(I1890="OK",IF(COUNTIFS(H1891:H$3001,H1890,B1891:B$3001,B1890,G1891:G$3001,"")=0,C1890,0),0))</f>
        <v/>
      </c>
    </row>
    <row r="1891">
      <c r="A1891" s="6" t="n"/>
      <c r="B1891" s="9" t="n"/>
      <c r="C1891" s="6" t="n"/>
      <c r="D1891" s="6" t="n"/>
      <c r="E1891" s="6" t="n"/>
      <c r="F1891" s="6" t="n"/>
      <c r="G1891" s="6" t="n"/>
      <c r="H1891" s="10">
        <f>IF(F1891="","",IFERROR(INDEX(Roster!$A$2:$A$600,MATCH(F1891,Roster!$E$2:$E$600,0)),""))</f>
        <v/>
      </c>
      <c r="I1891" s="10">
        <f>IF(AND(D1891="",C1891="",F1891=""),"",IF(G1891&lt;&gt;"","Void",IF(F1891="","Needs child",IF(H1891="","Child not found",IF(OR(B1891="",NOT(ISNUMBER(C1891))),"Needs month/pages","OK")))))</f>
        <v/>
      </c>
      <c r="J1891" s="10">
        <f>IF(I1891="","",IF(I1891="OK",IF(COUNTIFS(H1892:H$3001,H1891,B1892:B$3001,B1891,G1892:G$3001,"")=0,C1891,0),0))</f>
        <v/>
      </c>
    </row>
    <row r="1892">
      <c r="A1892" s="6" t="n"/>
      <c r="B1892" s="9" t="n"/>
      <c r="C1892" s="6" t="n"/>
      <c r="D1892" s="6" t="n"/>
      <c r="E1892" s="6" t="n"/>
      <c r="F1892" s="6" t="n"/>
      <c r="G1892" s="6" t="n"/>
      <c r="H1892" s="10">
        <f>IF(F1892="","",IFERROR(INDEX(Roster!$A$2:$A$600,MATCH(F1892,Roster!$E$2:$E$600,0)),""))</f>
        <v/>
      </c>
      <c r="I1892" s="10">
        <f>IF(AND(D1892="",C1892="",F1892=""),"",IF(G1892&lt;&gt;"","Void",IF(F1892="","Needs child",IF(H1892="","Child not found",IF(OR(B1892="",NOT(ISNUMBER(C1892))),"Needs month/pages","OK")))))</f>
        <v/>
      </c>
      <c r="J1892" s="10">
        <f>IF(I1892="","",IF(I1892="OK",IF(COUNTIFS(H1893:H$3001,H1892,B1893:B$3001,B1892,G1893:G$3001,"")=0,C1892,0),0))</f>
        <v/>
      </c>
    </row>
    <row r="1893">
      <c r="A1893" s="6" t="n"/>
      <c r="B1893" s="9" t="n"/>
      <c r="C1893" s="6" t="n"/>
      <c r="D1893" s="6" t="n"/>
      <c r="E1893" s="6" t="n"/>
      <c r="F1893" s="6" t="n"/>
      <c r="G1893" s="6" t="n"/>
      <c r="H1893" s="10">
        <f>IF(F1893="","",IFERROR(INDEX(Roster!$A$2:$A$600,MATCH(F1893,Roster!$E$2:$E$600,0)),""))</f>
        <v/>
      </c>
      <c r="I1893" s="10">
        <f>IF(AND(D1893="",C1893="",F1893=""),"",IF(G1893&lt;&gt;"","Void",IF(F1893="","Needs child",IF(H1893="","Child not found",IF(OR(B1893="",NOT(ISNUMBER(C1893))),"Needs month/pages","OK")))))</f>
        <v/>
      </c>
      <c r="J1893" s="10">
        <f>IF(I1893="","",IF(I1893="OK",IF(COUNTIFS(H1894:H$3001,H1893,B1894:B$3001,B1893,G1894:G$3001,"")=0,C1893,0),0))</f>
        <v/>
      </c>
    </row>
    <row r="1894">
      <c r="A1894" s="6" t="n"/>
      <c r="B1894" s="9" t="n"/>
      <c r="C1894" s="6" t="n"/>
      <c r="D1894" s="6" t="n"/>
      <c r="E1894" s="6" t="n"/>
      <c r="F1894" s="6" t="n"/>
      <c r="G1894" s="6" t="n"/>
      <c r="H1894" s="10">
        <f>IF(F1894="","",IFERROR(INDEX(Roster!$A$2:$A$600,MATCH(F1894,Roster!$E$2:$E$600,0)),""))</f>
        <v/>
      </c>
      <c r="I1894" s="10">
        <f>IF(AND(D1894="",C1894="",F1894=""),"",IF(G1894&lt;&gt;"","Void",IF(F1894="","Needs child",IF(H1894="","Child not found",IF(OR(B1894="",NOT(ISNUMBER(C1894))),"Needs month/pages","OK")))))</f>
        <v/>
      </c>
      <c r="J1894" s="10">
        <f>IF(I1894="","",IF(I1894="OK",IF(COUNTIFS(H1895:H$3001,H1894,B1895:B$3001,B1894,G1895:G$3001,"")=0,C1894,0),0))</f>
        <v/>
      </c>
    </row>
    <row r="1895">
      <c r="A1895" s="6" t="n"/>
      <c r="B1895" s="9" t="n"/>
      <c r="C1895" s="6" t="n"/>
      <c r="D1895" s="6" t="n"/>
      <c r="E1895" s="6" t="n"/>
      <c r="F1895" s="6" t="n"/>
      <c r="G1895" s="6" t="n"/>
      <c r="H1895" s="10">
        <f>IF(F1895="","",IFERROR(INDEX(Roster!$A$2:$A$600,MATCH(F1895,Roster!$E$2:$E$600,0)),""))</f>
        <v/>
      </c>
      <c r="I1895" s="10">
        <f>IF(AND(D1895="",C1895="",F1895=""),"",IF(G1895&lt;&gt;"","Void",IF(F1895="","Needs child",IF(H1895="","Child not found",IF(OR(B1895="",NOT(ISNUMBER(C1895))),"Needs month/pages","OK")))))</f>
        <v/>
      </c>
      <c r="J1895" s="10">
        <f>IF(I1895="","",IF(I1895="OK",IF(COUNTIFS(H1896:H$3001,H1895,B1896:B$3001,B1895,G1896:G$3001,"")=0,C1895,0),0))</f>
        <v/>
      </c>
    </row>
    <row r="1896">
      <c r="A1896" s="6" t="n"/>
      <c r="B1896" s="9" t="n"/>
      <c r="C1896" s="6" t="n"/>
      <c r="D1896" s="6" t="n"/>
      <c r="E1896" s="6" t="n"/>
      <c r="F1896" s="6" t="n"/>
      <c r="G1896" s="6" t="n"/>
      <c r="H1896" s="10">
        <f>IF(F1896="","",IFERROR(INDEX(Roster!$A$2:$A$600,MATCH(F1896,Roster!$E$2:$E$600,0)),""))</f>
        <v/>
      </c>
      <c r="I1896" s="10">
        <f>IF(AND(D1896="",C1896="",F1896=""),"",IF(G1896&lt;&gt;"","Void",IF(F1896="","Needs child",IF(H1896="","Child not found",IF(OR(B1896="",NOT(ISNUMBER(C1896))),"Needs month/pages","OK")))))</f>
        <v/>
      </c>
      <c r="J1896" s="10">
        <f>IF(I1896="","",IF(I1896="OK",IF(COUNTIFS(H1897:H$3001,H1896,B1897:B$3001,B1896,G1897:G$3001,"")=0,C1896,0),0))</f>
        <v/>
      </c>
    </row>
    <row r="1897">
      <c r="A1897" s="6" t="n"/>
      <c r="B1897" s="9" t="n"/>
      <c r="C1897" s="6" t="n"/>
      <c r="D1897" s="6" t="n"/>
      <c r="E1897" s="6" t="n"/>
      <c r="F1897" s="6" t="n"/>
      <c r="G1897" s="6" t="n"/>
      <c r="H1897" s="10">
        <f>IF(F1897="","",IFERROR(INDEX(Roster!$A$2:$A$600,MATCH(F1897,Roster!$E$2:$E$600,0)),""))</f>
        <v/>
      </c>
      <c r="I1897" s="10">
        <f>IF(AND(D1897="",C1897="",F1897=""),"",IF(G1897&lt;&gt;"","Void",IF(F1897="","Needs child",IF(H1897="","Child not found",IF(OR(B1897="",NOT(ISNUMBER(C1897))),"Needs month/pages","OK")))))</f>
        <v/>
      </c>
      <c r="J1897" s="10">
        <f>IF(I1897="","",IF(I1897="OK",IF(COUNTIFS(H1898:H$3001,H1897,B1898:B$3001,B1897,G1898:G$3001,"")=0,C1897,0),0))</f>
        <v/>
      </c>
    </row>
    <row r="1898">
      <c r="A1898" s="6" t="n"/>
      <c r="B1898" s="9" t="n"/>
      <c r="C1898" s="6" t="n"/>
      <c r="D1898" s="6" t="n"/>
      <c r="E1898" s="6" t="n"/>
      <c r="F1898" s="6" t="n"/>
      <c r="G1898" s="6" t="n"/>
      <c r="H1898" s="10">
        <f>IF(F1898="","",IFERROR(INDEX(Roster!$A$2:$A$600,MATCH(F1898,Roster!$E$2:$E$600,0)),""))</f>
        <v/>
      </c>
      <c r="I1898" s="10">
        <f>IF(AND(D1898="",C1898="",F1898=""),"",IF(G1898&lt;&gt;"","Void",IF(F1898="","Needs child",IF(H1898="","Child not found",IF(OR(B1898="",NOT(ISNUMBER(C1898))),"Needs month/pages","OK")))))</f>
        <v/>
      </c>
      <c r="J1898" s="10">
        <f>IF(I1898="","",IF(I1898="OK",IF(COUNTIFS(H1899:H$3001,H1898,B1899:B$3001,B1898,G1899:G$3001,"")=0,C1898,0),0))</f>
        <v/>
      </c>
    </row>
    <row r="1899">
      <c r="A1899" s="6" t="n"/>
      <c r="B1899" s="9" t="n"/>
      <c r="C1899" s="6" t="n"/>
      <c r="D1899" s="6" t="n"/>
      <c r="E1899" s="6" t="n"/>
      <c r="F1899" s="6" t="n"/>
      <c r="G1899" s="6" t="n"/>
      <c r="H1899" s="10">
        <f>IF(F1899="","",IFERROR(INDEX(Roster!$A$2:$A$600,MATCH(F1899,Roster!$E$2:$E$600,0)),""))</f>
        <v/>
      </c>
      <c r="I1899" s="10">
        <f>IF(AND(D1899="",C1899="",F1899=""),"",IF(G1899&lt;&gt;"","Void",IF(F1899="","Needs child",IF(H1899="","Child not found",IF(OR(B1899="",NOT(ISNUMBER(C1899))),"Needs month/pages","OK")))))</f>
        <v/>
      </c>
      <c r="J1899" s="10">
        <f>IF(I1899="","",IF(I1899="OK",IF(COUNTIFS(H1900:H$3001,H1899,B1900:B$3001,B1899,G1900:G$3001,"")=0,C1899,0),0))</f>
        <v/>
      </c>
    </row>
    <row r="1900">
      <c r="A1900" s="6" t="n"/>
      <c r="B1900" s="9" t="n"/>
      <c r="C1900" s="6" t="n"/>
      <c r="D1900" s="6" t="n"/>
      <c r="E1900" s="6" t="n"/>
      <c r="F1900" s="6" t="n"/>
      <c r="G1900" s="6" t="n"/>
      <c r="H1900" s="10">
        <f>IF(F1900="","",IFERROR(INDEX(Roster!$A$2:$A$600,MATCH(F1900,Roster!$E$2:$E$600,0)),""))</f>
        <v/>
      </c>
      <c r="I1900" s="10">
        <f>IF(AND(D1900="",C1900="",F1900=""),"",IF(G1900&lt;&gt;"","Void",IF(F1900="","Needs child",IF(H1900="","Child not found",IF(OR(B1900="",NOT(ISNUMBER(C1900))),"Needs month/pages","OK")))))</f>
        <v/>
      </c>
      <c r="J1900" s="10">
        <f>IF(I1900="","",IF(I1900="OK",IF(COUNTIFS(H1901:H$3001,H1900,B1901:B$3001,B1900,G1901:G$3001,"")=0,C1900,0),0))</f>
        <v/>
      </c>
    </row>
    <row r="1901">
      <c r="A1901" s="6" t="n"/>
      <c r="B1901" s="9" t="n"/>
      <c r="C1901" s="6" t="n"/>
      <c r="D1901" s="6" t="n"/>
      <c r="E1901" s="6" t="n"/>
      <c r="F1901" s="6" t="n"/>
      <c r="G1901" s="6" t="n"/>
      <c r="H1901" s="10">
        <f>IF(F1901="","",IFERROR(INDEX(Roster!$A$2:$A$600,MATCH(F1901,Roster!$E$2:$E$600,0)),""))</f>
        <v/>
      </c>
      <c r="I1901" s="10">
        <f>IF(AND(D1901="",C1901="",F1901=""),"",IF(G1901&lt;&gt;"","Void",IF(F1901="","Needs child",IF(H1901="","Child not found",IF(OR(B1901="",NOT(ISNUMBER(C1901))),"Needs month/pages","OK")))))</f>
        <v/>
      </c>
      <c r="J1901" s="10">
        <f>IF(I1901="","",IF(I1901="OK",IF(COUNTIFS(H1902:H$3001,H1901,B1902:B$3001,B1901,G1902:G$3001,"")=0,C1901,0),0))</f>
        <v/>
      </c>
    </row>
    <row r="1902">
      <c r="A1902" s="6" t="n"/>
      <c r="B1902" s="9" t="n"/>
      <c r="C1902" s="6" t="n"/>
      <c r="D1902" s="6" t="n"/>
      <c r="E1902" s="6" t="n"/>
      <c r="F1902" s="6" t="n"/>
      <c r="G1902" s="6" t="n"/>
      <c r="H1902" s="10">
        <f>IF(F1902="","",IFERROR(INDEX(Roster!$A$2:$A$600,MATCH(F1902,Roster!$E$2:$E$600,0)),""))</f>
        <v/>
      </c>
      <c r="I1902" s="10">
        <f>IF(AND(D1902="",C1902="",F1902=""),"",IF(G1902&lt;&gt;"","Void",IF(F1902="","Needs child",IF(H1902="","Child not found",IF(OR(B1902="",NOT(ISNUMBER(C1902))),"Needs month/pages","OK")))))</f>
        <v/>
      </c>
      <c r="J1902" s="10">
        <f>IF(I1902="","",IF(I1902="OK",IF(COUNTIFS(H1903:H$3001,H1902,B1903:B$3001,B1902,G1903:G$3001,"")=0,C1902,0),0))</f>
        <v/>
      </c>
    </row>
    <row r="1903">
      <c r="A1903" s="6" t="n"/>
      <c r="B1903" s="9" t="n"/>
      <c r="C1903" s="6" t="n"/>
      <c r="D1903" s="6" t="n"/>
      <c r="E1903" s="6" t="n"/>
      <c r="F1903" s="6" t="n"/>
      <c r="G1903" s="6" t="n"/>
      <c r="H1903" s="10">
        <f>IF(F1903="","",IFERROR(INDEX(Roster!$A$2:$A$600,MATCH(F1903,Roster!$E$2:$E$600,0)),""))</f>
        <v/>
      </c>
      <c r="I1903" s="10">
        <f>IF(AND(D1903="",C1903="",F1903=""),"",IF(G1903&lt;&gt;"","Void",IF(F1903="","Needs child",IF(H1903="","Child not found",IF(OR(B1903="",NOT(ISNUMBER(C1903))),"Needs month/pages","OK")))))</f>
        <v/>
      </c>
      <c r="J1903" s="10">
        <f>IF(I1903="","",IF(I1903="OK",IF(COUNTIFS(H1904:H$3001,H1903,B1904:B$3001,B1903,G1904:G$3001,"")=0,C1903,0),0))</f>
        <v/>
      </c>
    </row>
    <row r="1904">
      <c r="A1904" s="6" t="n"/>
      <c r="B1904" s="9" t="n"/>
      <c r="C1904" s="6" t="n"/>
      <c r="D1904" s="6" t="n"/>
      <c r="E1904" s="6" t="n"/>
      <c r="F1904" s="6" t="n"/>
      <c r="G1904" s="6" t="n"/>
      <c r="H1904" s="10">
        <f>IF(F1904="","",IFERROR(INDEX(Roster!$A$2:$A$600,MATCH(F1904,Roster!$E$2:$E$600,0)),""))</f>
        <v/>
      </c>
      <c r="I1904" s="10">
        <f>IF(AND(D1904="",C1904="",F1904=""),"",IF(G1904&lt;&gt;"","Void",IF(F1904="","Needs child",IF(H1904="","Child not found",IF(OR(B1904="",NOT(ISNUMBER(C1904))),"Needs month/pages","OK")))))</f>
        <v/>
      </c>
      <c r="J1904" s="10">
        <f>IF(I1904="","",IF(I1904="OK",IF(COUNTIFS(H1905:H$3001,H1904,B1905:B$3001,B1904,G1905:G$3001,"")=0,C1904,0),0))</f>
        <v/>
      </c>
    </row>
    <row r="1905">
      <c r="A1905" s="6" t="n"/>
      <c r="B1905" s="9" t="n"/>
      <c r="C1905" s="6" t="n"/>
      <c r="D1905" s="6" t="n"/>
      <c r="E1905" s="6" t="n"/>
      <c r="F1905" s="6" t="n"/>
      <c r="G1905" s="6" t="n"/>
      <c r="H1905" s="10">
        <f>IF(F1905="","",IFERROR(INDEX(Roster!$A$2:$A$600,MATCH(F1905,Roster!$E$2:$E$600,0)),""))</f>
        <v/>
      </c>
      <c r="I1905" s="10">
        <f>IF(AND(D1905="",C1905="",F1905=""),"",IF(G1905&lt;&gt;"","Void",IF(F1905="","Needs child",IF(H1905="","Child not found",IF(OR(B1905="",NOT(ISNUMBER(C1905))),"Needs month/pages","OK")))))</f>
        <v/>
      </c>
      <c r="J1905" s="10">
        <f>IF(I1905="","",IF(I1905="OK",IF(COUNTIFS(H1906:H$3001,H1905,B1906:B$3001,B1905,G1906:G$3001,"")=0,C1905,0),0))</f>
        <v/>
      </c>
    </row>
    <row r="1906">
      <c r="A1906" s="6" t="n"/>
      <c r="B1906" s="9" t="n"/>
      <c r="C1906" s="6" t="n"/>
      <c r="D1906" s="6" t="n"/>
      <c r="E1906" s="6" t="n"/>
      <c r="F1906" s="6" t="n"/>
      <c r="G1906" s="6" t="n"/>
      <c r="H1906" s="10">
        <f>IF(F1906="","",IFERROR(INDEX(Roster!$A$2:$A$600,MATCH(F1906,Roster!$E$2:$E$600,0)),""))</f>
        <v/>
      </c>
      <c r="I1906" s="10">
        <f>IF(AND(D1906="",C1906="",F1906=""),"",IF(G1906&lt;&gt;"","Void",IF(F1906="","Needs child",IF(H1906="","Child not found",IF(OR(B1906="",NOT(ISNUMBER(C1906))),"Needs month/pages","OK")))))</f>
        <v/>
      </c>
      <c r="J1906" s="10">
        <f>IF(I1906="","",IF(I1906="OK",IF(COUNTIFS(H1907:H$3001,H1906,B1907:B$3001,B1906,G1907:G$3001,"")=0,C1906,0),0))</f>
        <v/>
      </c>
    </row>
    <row r="1907">
      <c r="A1907" s="6" t="n"/>
      <c r="B1907" s="9" t="n"/>
      <c r="C1907" s="6" t="n"/>
      <c r="D1907" s="6" t="n"/>
      <c r="E1907" s="6" t="n"/>
      <c r="F1907" s="6" t="n"/>
      <c r="G1907" s="6" t="n"/>
      <c r="H1907" s="10">
        <f>IF(F1907="","",IFERROR(INDEX(Roster!$A$2:$A$600,MATCH(F1907,Roster!$E$2:$E$600,0)),""))</f>
        <v/>
      </c>
      <c r="I1907" s="10">
        <f>IF(AND(D1907="",C1907="",F1907=""),"",IF(G1907&lt;&gt;"","Void",IF(F1907="","Needs child",IF(H1907="","Child not found",IF(OR(B1907="",NOT(ISNUMBER(C1907))),"Needs month/pages","OK")))))</f>
        <v/>
      </c>
      <c r="J1907" s="10">
        <f>IF(I1907="","",IF(I1907="OK",IF(COUNTIFS(H1908:H$3001,H1907,B1908:B$3001,B1907,G1908:G$3001,"")=0,C1907,0),0))</f>
        <v/>
      </c>
    </row>
    <row r="1908">
      <c r="A1908" s="6" t="n"/>
      <c r="B1908" s="9" t="n"/>
      <c r="C1908" s="6" t="n"/>
      <c r="D1908" s="6" t="n"/>
      <c r="E1908" s="6" t="n"/>
      <c r="F1908" s="6" t="n"/>
      <c r="G1908" s="6" t="n"/>
      <c r="H1908" s="10">
        <f>IF(F1908="","",IFERROR(INDEX(Roster!$A$2:$A$600,MATCH(F1908,Roster!$E$2:$E$600,0)),""))</f>
        <v/>
      </c>
      <c r="I1908" s="10">
        <f>IF(AND(D1908="",C1908="",F1908=""),"",IF(G1908&lt;&gt;"","Void",IF(F1908="","Needs child",IF(H1908="","Child not found",IF(OR(B1908="",NOT(ISNUMBER(C1908))),"Needs month/pages","OK")))))</f>
        <v/>
      </c>
      <c r="J1908" s="10">
        <f>IF(I1908="","",IF(I1908="OK",IF(COUNTIFS(H1909:H$3001,H1908,B1909:B$3001,B1908,G1909:G$3001,"")=0,C1908,0),0))</f>
        <v/>
      </c>
    </row>
    <row r="1909">
      <c r="A1909" s="6" t="n"/>
      <c r="B1909" s="9" t="n"/>
      <c r="C1909" s="6" t="n"/>
      <c r="D1909" s="6" t="n"/>
      <c r="E1909" s="6" t="n"/>
      <c r="F1909" s="6" t="n"/>
      <c r="G1909" s="6" t="n"/>
      <c r="H1909" s="10">
        <f>IF(F1909="","",IFERROR(INDEX(Roster!$A$2:$A$600,MATCH(F1909,Roster!$E$2:$E$600,0)),""))</f>
        <v/>
      </c>
      <c r="I1909" s="10">
        <f>IF(AND(D1909="",C1909="",F1909=""),"",IF(G1909&lt;&gt;"","Void",IF(F1909="","Needs child",IF(H1909="","Child not found",IF(OR(B1909="",NOT(ISNUMBER(C1909))),"Needs month/pages","OK")))))</f>
        <v/>
      </c>
      <c r="J1909" s="10">
        <f>IF(I1909="","",IF(I1909="OK",IF(COUNTIFS(H1910:H$3001,H1909,B1910:B$3001,B1909,G1910:G$3001,"")=0,C1909,0),0))</f>
        <v/>
      </c>
    </row>
    <row r="1910">
      <c r="A1910" s="6" t="n"/>
      <c r="B1910" s="9" t="n"/>
      <c r="C1910" s="6" t="n"/>
      <c r="D1910" s="6" t="n"/>
      <c r="E1910" s="6" t="n"/>
      <c r="F1910" s="6" t="n"/>
      <c r="G1910" s="6" t="n"/>
      <c r="H1910" s="10">
        <f>IF(F1910="","",IFERROR(INDEX(Roster!$A$2:$A$600,MATCH(F1910,Roster!$E$2:$E$600,0)),""))</f>
        <v/>
      </c>
      <c r="I1910" s="10">
        <f>IF(AND(D1910="",C1910="",F1910=""),"",IF(G1910&lt;&gt;"","Void",IF(F1910="","Needs child",IF(H1910="","Child not found",IF(OR(B1910="",NOT(ISNUMBER(C1910))),"Needs month/pages","OK")))))</f>
        <v/>
      </c>
      <c r="J1910" s="10">
        <f>IF(I1910="","",IF(I1910="OK",IF(COUNTIFS(H1911:H$3001,H1910,B1911:B$3001,B1910,G1911:G$3001,"")=0,C1910,0),0))</f>
        <v/>
      </c>
    </row>
    <row r="1911">
      <c r="A1911" s="6" t="n"/>
      <c r="B1911" s="9" t="n"/>
      <c r="C1911" s="6" t="n"/>
      <c r="D1911" s="6" t="n"/>
      <c r="E1911" s="6" t="n"/>
      <c r="F1911" s="6" t="n"/>
      <c r="G1911" s="6" t="n"/>
      <c r="H1911" s="10">
        <f>IF(F1911="","",IFERROR(INDEX(Roster!$A$2:$A$600,MATCH(F1911,Roster!$E$2:$E$600,0)),""))</f>
        <v/>
      </c>
      <c r="I1911" s="10">
        <f>IF(AND(D1911="",C1911="",F1911=""),"",IF(G1911&lt;&gt;"","Void",IF(F1911="","Needs child",IF(H1911="","Child not found",IF(OR(B1911="",NOT(ISNUMBER(C1911))),"Needs month/pages","OK")))))</f>
        <v/>
      </c>
      <c r="J1911" s="10">
        <f>IF(I1911="","",IF(I1911="OK",IF(COUNTIFS(H1912:H$3001,H1911,B1912:B$3001,B1911,G1912:G$3001,"")=0,C1911,0),0))</f>
        <v/>
      </c>
    </row>
    <row r="1912">
      <c r="A1912" s="6" t="n"/>
      <c r="B1912" s="9" t="n"/>
      <c r="C1912" s="6" t="n"/>
      <c r="D1912" s="6" t="n"/>
      <c r="E1912" s="6" t="n"/>
      <c r="F1912" s="6" t="n"/>
      <c r="G1912" s="6" t="n"/>
      <c r="H1912" s="10">
        <f>IF(F1912="","",IFERROR(INDEX(Roster!$A$2:$A$600,MATCH(F1912,Roster!$E$2:$E$600,0)),""))</f>
        <v/>
      </c>
      <c r="I1912" s="10">
        <f>IF(AND(D1912="",C1912="",F1912=""),"",IF(G1912&lt;&gt;"","Void",IF(F1912="","Needs child",IF(H1912="","Child not found",IF(OR(B1912="",NOT(ISNUMBER(C1912))),"Needs month/pages","OK")))))</f>
        <v/>
      </c>
      <c r="J1912" s="10">
        <f>IF(I1912="","",IF(I1912="OK",IF(COUNTIFS(H1913:H$3001,H1912,B1913:B$3001,B1912,G1913:G$3001,"")=0,C1912,0),0))</f>
        <v/>
      </c>
    </row>
    <row r="1913">
      <c r="A1913" s="6" t="n"/>
      <c r="B1913" s="9" t="n"/>
      <c r="C1913" s="6" t="n"/>
      <c r="D1913" s="6" t="n"/>
      <c r="E1913" s="6" t="n"/>
      <c r="F1913" s="6" t="n"/>
      <c r="G1913" s="6" t="n"/>
      <c r="H1913" s="10">
        <f>IF(F1913="","",IFERROR(INDEX(Roster!$A$2:$A$600,MATCH(F1913,Roster!$E$2:$E$600,0)),""))</f>
        <v/>
      </c>
      <c r="I1913" s="10">
        <f>IF(AND(D1913="",C1913="",F1913=""),"",IF(G1913&lt;&gt;"","Void",IF(F1913="","Needs child",IF(H1913="","Child not found",IF(OR(B1913="",NOT(ISNUMBER(C1913))),"Needs month/pages","OK")))))</f>
        <v/>
      </c>
      <c r="J1913" s="10">
        <f>IF(I1913="","",IF(I1913="OK",IF(COUNTIFS(H1914:H$3001,H1913,B1914:B$3001,B1913,G1914:G$3001,"")=0,C1913,0),0))</f>
        <v/>
      </c>
    </row>
    <row r="1914">
      <c r="A1914" s="6" t="n"/>
      <c r="B1914" s="9" t="n"/>
      <c r="C1914" s="6" t="n"/>
      <c r="D1914" s="6" t="n"/>
      <c r="E1914" s="6" t="n"/>
      <c r="F1914" s="6" t="n"/>
      <c r="G1914" s="6" t="n"/>
      <c r="H1914" s="10">
        <f>IF(F1914="","",IFERROR(INDEX(Roster!$A$2:$A$600,MATCH(F1914,Roster!$E$2:$E$600,0)),""))</f>
        <v/>
      </c>
      <c r="I1914" s="10">
        <f>IF(AND(D1914="",C1914="",F1914=""),"",IF(G1914&lt;&gt;"","Void",IF(F1914="","Needs child",IF(H1914="","Child not found",IF(OR(B1914="",NOT(ISNUMBER(C1914))),"Needs month/pages","OK")))))</f>
        <v/>
      </c>
      <c r="J1914" s="10">
        <f>IF(I1914="","",IF(I1914="OK",IF(COUNTIFS(H1915:H$3001,H1914,B1915:B$3001,B1914,G1915:G$3001,"")=0,C1914,0),0))</f>
        <v/>
      </c>
    </row>
    <row r="1915">
      <c r="A1915" s="6" t="n"/>
      <c r="B1915" s="9" t="n"/>
      <c r="C1915" s="6" t="n"/>
      <c r="D1915" s="6" t="n"/>
      <c r="E1915" s="6" t="n"/>
      <c r="F1915" s="6" t="n"/>
      <c r="G1915" s="6" t="n"/>
      <c r="H1915" s="10">
        <f>IF(F1915="","",IFERROR(INDEX(Roster!$A$2:$A$600,MATCH(F1915,Roster!$E$2:$E$600,0)),""))</f>
        <v/>
      </c>
      <c r="I1915" s="10">
        <f>IF(AND(D1915="",C1915="",F1915=""),"",IF(G1915&lt;&gt;"","Void",IF(F1915="","Needs child",IF(H1915="","Child not found",IF(OR(B1915="",NOT(ISNUMBER(C1915))),"Needs month/pages","OK")))))</f>
        <v/>
      </c>
      <c r="J1915" s="10">
        <f>IF(I1915="","",IF(I1915="OK",IF(COUNTIFS(H1916:H$3001,H1915,B1916:B$3001,B1915,G1916:G$3001,"")=0,C1915,0),0))</f>
        <v/>
      </c>
    </row>
    <row r="1916">
      <c r="A1916" s="6" t="n"/>
      <c r="B1916" s="9" t="n"/>
      <c r="C1916" s="6" t="n"/>
      <c r="D1916" s="6" t="n"/>
      <c r="E1916" s="6" t="n"/>
      <c r="F1916" s="6" t="n"/>
      <c r="G1916" s="6" t="n"/>
      <c r="H1916" s="10">
        <f>IF(F1916="","",IFERROR(INDEX(Roster!$A$2:$A$600,MATCH(F1916,Roster!$E$2:$E$600,0)),""))</f>
        <v/>
      </c>
      <c r="I1916" s="10">
        <f>IF(AND(D1916="",C1916="",F1916=""),"",IF(G1916&lt;&gt;"","Void",IF(F1916="","Needs child",IF(H1916="","Child not found",IF(OR(B1916="",NOT(ISNUMBER(C1916))),"Needs month/pages","OK")))))</f>
        <v/>
      </c>
      <c r="J1916" s="10">
        <f>IF(I1916="","",IF(I1916="OK",IF(COUNTIFS(H1917:H$3001,H1916,B1917:B$3001,B1916,G1917:G$3001,"")=0,C1916,0),0))</f>
        <v/>
      </c>
    </row>
    <row r="1917">
      <c r="A1917" s="6" t="n"/>
      <c r="B1917" s="9" t="n"/>
      <c r="C1917" s="6" t="n"/>
      <c r="D1917" s="6" t="n"/>
      <c r="E1917" s="6" t="n"/>
      <c r="F1917" s="6" t="n"/>
      <c r="G1917" s="6" t="n"/>
      <c r="H1917" s="10">
        <f>IF(F1917="","",IFERROR(INDEX(Roster!$A$2:$A$600,MATCH(F1917,Roster!$E$2:$E$600,0)),""))</f>
        <v/>
      </c>
      <c r="I1917" s="10">
        <f>IF(AND(D1917="",C1917="",F1917=""),"",IF(G1917&lt;&gt;"","Void",IF(F1917="","Needs child",IF(H1917="","Child not found",IF(OR(B1917="",NOT(ISNUMBER(C1917))),"Needs month/pages","OK")))))</f>
        <v/>
      </c>
      <c r="J1917" s="10">
        <f>IF(I1917="","",IF(I1917="OK",IF(COUNTIFS(H1918:H$3001,H1917,B1918:B$3001,B1917,G1918:G$3001,"")=0,C1917,0),0))</f>
        <v/>
      </c>
    </row>
    <row r="1918">
      <c r="A1918" s="6" t="n"/>
      <c r="B1918" s="9" t="n"/>
      <c r="C1918" s="6" t="n"/>
      <c r="D1918" s="6" t="n"/>
      <c r="E1918" s="6" t="n"/>
      <c r="F1918" s="6" t="n"/>
      <c r="G1918" s="6" t="n"/>
      <c r="H1918" s="10">
        <f>IF(F1918="","",IFERROR(INDEX(Roster!$A$2:$A$600,MATCH(F1918,Roster!$E$2:$E$600,0)),""))</f>
        <v/>
      </c>
      <c r="I1918" s="10">
        <f>IF(AND(D1918="",C1918="",F1918=""),"",IF(G1918&lt;&gt;"","Void",IF(F1918="","Needs child",IF(H1918="","Child not found",IF(OR(B1918="",NOT(ISNUMBER(C1918))),"Needs month/pages","OK")))))</f>
        <v/>
      </c>
      <c r="J1918" s="10">
        <f>IF(I1918="","",IF(I1918="OK",IF(COUNTIFS(H1919:H$3001,H1918,B1919:B$3001,B1918,G1919:G$3001,"")=0,C1918,0),0))</f>
        <v/>
      </c>
    </row>
    <row r="1919">
      <c r="A1919" s="6" t="n"/>
      <c r="B1919" s="9" t="n"/>
      <c r="C1919" s="6" t="n"/>
      <c r="D1919" s="6" t="n"/>
      <c r="E1919" s="6" t="n"/>
      <c r="F1919" s="6" t="n"/>
      <c r="G1919" s="6" t="n"/>
      <c r="H1919" s="10">
        <f>IF(F1919="","",IFERROR(INDEX(Roster!$A$2:$A$600,MATCH(F1919,Roster!$E$2:$E$600,0)),""))</f>
        <v/>
      </c>
      <c r="I1919" s="10">
        <f>IF(AND(D1919="",C1919="",F1919=""),"",IF(G1919&lt;&gt;"","Void",IF(F1919="","Needs child",IF(H1919="","Child not found",IF(OR(B1919="",NOT(ISNUMBER(C1919))),"Needs month/pages","OK")))))</f>
        <v/>
      </c>
      <c r="J1919" s="10">
        <f>IF(I1919="","",IF(I1919="OK",IF(COUNTIFS(H1920:H$3001,H1919,B1920:B$3001,B1919,G1920:G$3001,"")=0,C1919,0),0))</f>
        <v/>
      </c>
    </row>
    <row r="1920">
      <c r="A1920" s="6" t="n"/>
      <c r="B1920" s="9" t="n"/>
      <c r="C1920" s="6" t="n"/>
      <c r="D1920" s="6" t="n"/>
      <c r="E1920" s="6" t="n"/>
      <c r="F1920" s="6" t="n"/>
      <c r="G1920" s="6" t="n"/>
      <c r="H1920" s="10">
        <f>IF(F1920="","",IFERROR(INDEX(Roster!$A$2:$A$600,MATCH(F1920,Roster!$E$2:$E$600,0)),""))</f>
        <v/>
      </c>
      <c r="I1920" s="10">
        <f>IF(AND(D1920="",C1920="",F1920=""),"",IF(G1920&lt;&gt;"","Void",IF(F1920="","Needs child",IF(H1920="","Child not found",IF(OR(B1920="",NOT(ISNUMBER(C1920))),"Needs month/pages","OK")))))</f>
        <v/>
      </c>
      <c r="J1920" s="10">
        <f>IF(I1920="","",IF(I1920="OK",IF(COUNTIFS(H1921:H$3001,H1920,B1921:B$3001,B1920,G1921:G$3001,"")=0,C1920,0),0))</f>
        <v/>
      </c>
    </row>
    <row r="1921">
      <c r="A1921" s="6" t="n"/>
      <c r="B1921" s="9" t="n"/>
      <c r="C1921" s="6" t="n"/>
      <c r="D1921" s="6" t="n"/>
      <c r="E1921" s="6" t="n"/>
      <c r="F1921" s="6" t="n"/>
      <c r="G1921" s="6" t="n"/>
      <c r="H1921" s="10">
        <f>IF(F1921="","",IFERROR(INDEX(Roster!$A$2:$A$600,MATCH(F1921,Roster!$E$2:$E$600,0)),""))</f>
        <v/>
      </c>
      <c r="I1921" s="10">
        <f>IF(AND(D1921="",C1921="",F1921=""),"",IF(G1921&lt;&gt;"","Void",IF(F1921="","Needs child",IF(H1921="","Child not found",IF(OR(B1921="",NOT(ISNUMBER(C1921))),"Needs month/pages","OK")))))</f>
        <v/>
      </c>
      <c r="J1921" s="10">
        <f>IF(I1921="","",IF(I1921="OK",IF(COUNTIFS(H1922:H$3001,H1921,B1922:B$3001,B1921,G1922:G$3001,"")=0,C1921,0),0))</f>
        <v/>
      </c>
    </row>
    <row r="1922">
      <c r="A1922" s="6" t="n"/>
      <c r="B1922" s="9" t="n"/>
      <c r="C1922" s="6" t="n"/>
      <c r="D1922" s="6" t="n"/>
      <c r="E1922" s="6" t="n"/>
      <c r="F1922" s="6" t="n"/>
      <c r="G1922" s="6" t="n"/>
      <c r="H1922" s="10">
        <f>IF(F1922="","",IFERROR(INDEX(Roster!$A$2:$A$600,MATCH(F1922,Roster!$E$2:$E$600,0)),""))</f>
        <v/>
      </c>
      <c r="I1922" s="10">
        <f>IF(AND(D1922="",C1922="",F1922=""),"",IF(G1922&lt;&gt;"","Void",IF(F1922="","Needs child",IF(H1922="","Child not found",IF(OR(B1922="",NOT(ISNUMBER(C1922))),"Needs month/pages","OK")))))</f>
        <v/>
      </c>
      <c r="J1922" s="10">
        <f>IF(I1922="","",IF(I1922="OK",IF(COUNTIFS(H1923:H$3001,H1922,B1923:B$3001,B1922,G1923:G$3001,"")=0,C1922,0),0))</f>
        <v/>
      </c>
    </row>
    <row r="1923">
      <c r="A1923" s="6" t="n"/>
      <c r="B1923" s="9" t="n"/>
      <c r="C1923" s="6" t="n"/>
      <c r="D1923" s="6" t="n"/>
      <c r="E1923" s="6" t="n"/>
      <c r="F1923" s="6" t="n"/>
      <c r="G1923" s="6" t="n"/>
      <c r="H1923" s="10">
        <f>IF(F1923="","",IFERROR(INDEX(Roster!$A$2:$A$600,MATCH(F1923,Roster!$E$2:$E$600,0)),""))</f>
        <v/>
      </c>
      <c r="I1923" s="10">
        <f>IF(AND(D1923="",C1923="",F1923=""),"",IF(G1923&lt;&gt;"","Void",IF(F1923="","Needs child",IF(H1923="","Child not found",IF(OR(B1923="",NOT(ISNUMBER(C1923))),"Needs month/pages","OK")))))</f>
        <v/>
      </c>
      <c r="J1923" s="10">
        <f>IF(I1923="","",IF(I1923="OK",IF(COUNTIFS(H1924:H$3001,H1923,B1924:B$3001,B1923,G1924:G$3001,"")=0,C1923,0),0))</f>
        <v/>
      </c>
    </row>
    <row r="1924">
      <c r="A1924" s="6" t="n"/>
      <c r="B1924" s="9" t="n"/>
      <c r="C1924" s="6" t="n"/>
      <c r="D1924" s="6" t="n"/>
      <c r="E1924" s="6" t="n"/>
      <c r="F1924" s="6" t="n"/>
      <c r="G1924" s="6" t="n"/>
      <c r="H1924" s="10">
        <f>IF(F1924="","",IFERROR(INDEX(Roster!$A$2:$A$600,MATCH(F1924,Roster!$E$2:$E$600,0)),""))</f>
        <v/>
      </c>
      <c r="I1924" s="10">
        <f>IF(AND(D1924="",C1924="",F1924=""),"",IF(G1924&lt;&gt;"","Void",IF(F1924="","Needs child",IF(H1924="","Child not found",IF(OR(B1924="",NOT(ISNUMBER(C1924))),"Needs month/pages","OK")))))</f>
        <v/>
      </c>
      <c r="J1924" s="10">
        <f>IF(I1924="","",IF(I1924="OK",IF(COUNTIFS(H1925:H$3001,H1924,B1925:B$3001,B1924,G1925:G$3001,"")=0,C1924,0),0))</f>
        <v/>
      </c>
    </row>
    <row r="1925">
      <c r="A1925" s="6" t="n"/>
      <c r="B1925" s="9" t="n"/>
      <c r="C1925" s="6" t="n"/>
      <c r="D1925" s="6" t="n"/>
      <c r="E1925" s="6" t="n"/>
      <c r="F1925" s="6" t="n"/>
      <c r="G1925" s="6" t="n"/>
      <c r="H1925" s="10">
        <f>IF(F1925="","",IFERROR(INDEX(Roster!$A$2:$A$600,MATCH(F1925,Roster!$E$2:$E$600,0)),""))</f>
        <v/>
      </c>
      <c r="I1925" s="10">
        <f>IF(AND(D1925="",C1925="",F1925=""),"",IF(G1925&lt;&gt;"","Void",IF(F1925="","Needs child",IF(H1925="","Child not found",IF(OR(B1925="",NOT(ISNUMBER(C1925))),"Needs month/pages","OK")))))</f>
        <v/>
      </c>
      <c r="J1925" s="10">
        <f>IF(I1925="","",IF(I1925="OK",IF(COUNTIFS(H1926:H$3001,H1925,B1926:B$3001,B1925,G1926:G$3001,"")=0,C1925,0),0))</f>
        <v/>
      </c>
    </row>
    <row r="1926">
      <c r="A1926" s="6" t="n"/>
      <c r="B1926" s="9" t="n"/>
      <c r="C1926" s="6" t="n"/>
      <c r="D1926" s="6" t="n"/>
      <c r="E1926" s="6" t="n"/>
      <c r="F1926" s="6" t="n"/>
      <c r="G1926" s="6" t="n"/>
      <c r="H1926" s="10">
        <f>IF(F1926="","",IFERROR(INDEX(Roster!$A$2:$A$600,MATCH(F1926,Roster!$E$2:$E$600,0)),""))</f>
        <v/>
      </c>
      <c r="I1926" s="10">
        <f>IF(AND(D1926="",C1926="",F1926=""),"",IF(G1926&lt;&gt;"","Void",IF(F1926="","Needs child",IF(H1926="","Child not found",IF(OR(B1926="",NOT(ISNUMBER(C1926))),"Needs month/pages","OK")))))</f>
        <v/>
      </c>
      <c r="J1926" s="10">
        <f>IF(I1926="","",IF(I1926="OK",IF(COUNTIFS(H1927:H$3001,H1926,B1927:B$3001,B1926,G1927:G$3001,"")=0,C1926,0),0))</f>
        <v/>
      </c>
    </row>
    <row r="1927">
      <c r="A1927" s="6" t="n"/>
      <c r="B1927" s="9" t="n"/>
      <c r="C1927" s="6" t="n"/>
      <c r="D1927" s="6" t="n"/>
      <c r="E1927" s="6" t="n"/>
      <c r="F1927" s="6" t="n"/>
      <c r="G1927" s="6" t="n"/>
      <c r="H1927" s="10">
        <f>IF(F1927="","",IFERROR(INDEX(Roster!$A$2:$A$600,MATCH(F1927,Roster!$E$2:$E$600,0)),""))</f>
        <v/>
      </c>
      <c r="I1927" s="10">
        <f>IF(AND(D1927="",C1927="",F1927=""),"",IF(G1927&lt;&gt;"","Void",IF(F1927="","Needs child",IF(H1927="","Child not found",IF(OR(B1927="",NOT(ISNUMBER(C1927))),"Needs month/pages","OK")))))</f>
        <v/>
      </c>
      <c r="J1927" s="10">
        <f>IF(I1927="","",IF(I1927="OK",IF(COUNTIFS(H1928:H$3001,H1927,B1928:B$3001,B1927,G1928:G$3001,"")=0,C1927,0),0))</f>
        <v/>
      </c>
    </row>
    <row r="1928">
      <c r="A1928" s="6" t="n"/>
      <c r="B1928" s="9" t="n"/>
      <c r="C1928" s="6" t="n"/>
      <c r="D1928" s="6" t="n"/>
      <c r="E1928" s="6" t="n"/>
      <c r="F1928" s="6" t="n"/>
      <c r="G1928" s="6" t="n"/>
      <c r="H1928" s="10">
        <f>IF(F1928="","",IFERROR(INDEX(Roster!$A$2:$A$600,MATCH(F1928,Roster!$E$2:$E$600,0)),""))</f>
        <v/>
      </c>
      <c r="I1928" s="10">
        <f>IF(AND(D1928="",C1928="",F1928=""),"",IF(G1928&lt;&gt;"","Void",IF(F1928="","Needs child",IF(H1928="","Child not found",IF(OR(B1928="",NOT(ISNUMBER(C1928))),"Needs month/pages","OK")))))</f>
        <v/>
      </c>
      <c r="J1928" s="10">
        <f>IF(I1928="","",IF(I1928="OK",IF(COUNTIFS(H1929:H$3001,H1928,B1929:B$3001,B1928,G1929:G$3001,"")=0,C1928,0),0))</f>
        <v/>
      </c>
    </row>
    <row r="1929">
      <c r="A1929" s="6" t="n"/>
      <c r="B1929" s="9" t="n"/>
      <c r="C1929" s="6" t="n"/>
      <c r="D1929" s="6" t="n"/>
      <c r="E1929" s="6" t="n"/>
      <c r="F1929" s="6" t="n"/>
      <c r="G1929" s="6" t="n"/>
      <c r="H1929" s="10">
        <f>IF(F1929="","",IFERROR(INDEX(Roster!$A$2:$A$600,MATCH(F1929,Roster!$E$2:$E$600,0)),""))</f>
        <v/>
      </c>
      <c r="I1929" s="10">
        <f>IF(AND(D1929="",C1929="",F1929=""),"",IF(G1929&lt;&gt;"","Void",IF(F1929="","Needs child",IF(H1929="","Child not found",IF(OR(B1929="",NOT(ISNUMBER(C1929))),"Needs month/pages","OK")))))</f>
        <v/>
      </c>
      <c r="J1929" s="10">
        <f>IF(I1929="","",IF(I1929="OK",IF(COUNTIFS(H1930:H$3001,H1929,B1930:B$3001,B1929,G1930:G$3001,"")=0,C1929,0),0))</f>
        <v/>
      </c>
    </row>
    <row r="1930">
      <c r="A1930" s="6" t="n"/>
      <c r="B1930" s="9" t="n"/>
      <c r="C1930" s="6" t="n"/>
      <c r="D1930" s="6" t="n"/>
      <c r="E1930" s="6" t="n"/>
      <c r="F1930" s="6" t="n"/>
      <c r="G1930" s="6" t="n"/>
      <c r="H1930" s="10">
        <f>IF(F1930="","",IFERROR(INDEX(Roster!$A$2:$A$600,MATCH(F1930,Roster!$E$2:$E$600,0)),""))</f>
        <v/>
      </c>
      <c r="I1930" s="10">
        <f>IF(AND(D1930="",C1930="",F1930=""),"",IF(G1930&lt;&gt;"","Void",IF(F1930="","Needs child",IF(H1930="","Child not found",IF(OR(B1930="",NOT(ISNUMBER(C1930))),"Needs month/pages","OK")))))</f>
        <v/>
      </c>
      <c r="J1930" s="10">
        <f>IF(I1930="","",IF(I1930="OK",IF(COUNTIFS(H1931:H$3001,H1930,B1931:B$3001,B1930,G1931:G$3001,"")=0,C1930,0),0))</f>
        <v/>
      </c>
    </row>
    <row r="1931">
      <c r="A1931" s="6" t="n"/>
      <c r="B1931" s="9" t="n"/>
      <c r="C1931" s="6" t="n"/>
      <c r="D1931" s="6" t="n"/>
      <c r="E1931" s="6" t="n"/>
      <c r="F1931" s="6" t="n"/>
      <c r="G1931" s="6" t="n"/>
      <c r="H1931" s="10">
        <f>IF(F1931="","",IFERROR(INDEX(Roster!$A$2:$A$600,MATCH(F1931,Roster!$E$2:$E$600,0)),""))</f>
        <v/>
      </c>
      <c r="I1931" s="10">
        <f>IF(AND(D1931="",C1931="",F1931=""),"",IF(G1931&lt;&gt;"","Void",IF(F1931="","Needs child",IF(H1931="","Child not found",IF(OR(B1931="",NOT(ISNUMBER(C1931))),"Needs month/pages","OK")))))</f>
        <v/>
      </c>
      <c r="J1931" s="10">
        <f>IF(I1931="","",IF(I1931="OK",IF(COUNTIFS(H1932:H$3001,H1931,B1932:B$3001,B1931,G1932:G$3001,"")=0,C1931,0),0))</f>
        <v/>
      </c>
    </row>
    <row r="1932">
      <c r="A1932" s="6" t="n"/>
      <c r="B1932" s="9" t="n"/>
      <c r="C1932" s="6" t="n"/>
      <c r="D1932" s="6" t="n"/>
      <c r="E1932" s="6" t="n"/>
      <c r="F1932" s="6" t="n"/>
      <c r="G1932" s="6" t="n"/>
      <c r="H1932" s="10">
        <f>IF(F1932="","",IFERROR(INDEX(Roster!$A$2:$A$600,MATCH(F1932,Roster!$E$2:$E$600,0)),""))</f>
        <v/>
      </c>
      <c r="I1932" s="10">
        <f>IF(AND(D1932="",C1932="",F1932=""),"",IF(G1932&lt;&gt;"","Void",IF(F1932="","Needs child",IF(H1932="","Child not found",IF(OR(B1932="",NOT(ISNUMBER(C1932))),"Needs month/pages","OK")))))</f>
        <v/>
      </c>
      <c r="J1932" s="10">
        <f>IF(I1932="","",IF(I1932="OK",IF(COUNTIFS(H1933:H$3001,H1932,B1933:B$3001,B1932,G1933:G$3001,"")=0,C1932,0),0))</f>
        <v/>
      </c>
    </row>
    <row r="1933">
      <c r="A1933" s="6" t="n"/>
      <c r="B1933" s="9" t="n"/>
      <c r="C1933" s="6" t="n"/>
      <c r="D1933" s="6" t="n"/>
      <c r="E1933" s="6" t="n"/>
      <c r="F1933" s="6" t="n"/>
      <c r="G1933" s="6" t="n"/>
      <c r="H1933" s="10">
        <f>IF(F1933="","",IFERROR(INDEX(Roster!$A$2:$A$600,MATCH(F1933,Roster!$E$2:$E$600,0)),""))</f>
        <v/>
      </c>
      <c r="I1933" s="10">
        <f>IF(AND(D1933="",C1933="",F1933=""),"",IF(G1933&lt;&gt;"","Void",IF(F1933="","Needs child",IF(H1933="","Child not found",IF(OR(B1933="",NOT(ISNUMBER(C1933))),"Needs month/pages","OK")))))</f>
        <v/>
      </c>
      <c r="J1933" s="10">
        <f>IF(I1933="","",IF(I1933="OK",IF(COUNTIFS(H1934:H$3001,H1933,B1934:B$3001,B1933,G1934:G$3001,"")=0,C1933,0),0))</f>
        <v/>
      </c>
    </row>
    <row r="1934">
      <c r="A1934" s="6" t="n"/>
      <c r="B1934" s="9" t="n"/>
      <c r="C1934" s="6" t="n"/>
      <c r="D1934" s="6" t="n"/>
      <c r="E1934" s="6" t="n"/>
      <c r="F1934" s="6" t="n"/>
      <c r="G1934" s="6" t="n"/>
      <c r="H1934" s="10">
        <f>IF(F1934="","",IFERROR(INDEX(Roster!$A$2:$A$600,MATCH(F1934,Roster!$E$2:$E$600,0)),""))</f>
        <v/>
      </c>
      <c r="I1934" s="10">
        <f>IF(AND(D1934="",C1934="",F1934=""),"",IF(G1934&lt;&gt;"","Void",IF(F1934="","Needs child",IF(H1934="","Child not found",IF(OR(B1934="",NOT(ISNUMBER(C1934))),"Needs month/pages","OK")))))</f>
        <v/>
      </c>
      <c r="J1934" s="10">
        <f>IF(I1934="","",IF(I1934="OK",IF(COUNTIFS(H1935:H$3001,H1934,B1935:B$3001,B1934,G1935:G$3001,"")=0,C1934,0),0))</f>
        <v/>
      </c>
    </row>
    <row r="1935">
      <c r="A1935" s="6" t="n"/>
      <c r="B1935" s="9" t="n"/>
      <c r="C1935" s="6" t="n"/>
      <c r="D1935" s="6" t="n"/>
      <c r="E1935" s="6" t="n"/>
      <c r="F1935" s="6" t="n"/>
      <c r="G1935" s="6" t="n"/>
      <c r="H1935" s="10">
        <f>IF(F1935="","",IFERROR(INDEX(Roster!$A$2:$A$600,MATCH(F1935,Roster!$E$2:$E$600,0)),""))</f>
        <v/>
      </c>
      <c r="I1935" s="10">
        <f>IF(AND(D1935="",C1935="",F1935=""),"",IF(G1935&lt;&gt;"","Void",IF(F1935="","Needs child",IF(H1935="","Child not found",IF(OR(B1935="",NOT(ISNUMBER(C1935))),"Needs month/pages","OK")))))</f>
        <v/>
      </c>
      <c r="J1935" s="10">
        <f>IF(I1935="","",IF(I1935="OK",IF(COUNTIFS(H1936:H$3001,H1935,B1936:B$3001,B1935,G1936:G$3001,"")=0,C1935,0),0))</f>
        <v/>
      </c>
    </row>
    <row r="1936">
      <c r="A1936" s="6" t="n"/>
      <c r="B1936" s="9" t="n"/>
      <c r="C1936" s="6" t="n"/>
      <c r="D1936" s="6" t="n"/>
      <c r="E1936" s="6" t="n"/>
      <c r="F1936" s="6" t="n"/>
      <c r="G1936" s="6" t="n"/>
      <c r="H1936" s="10">
        <f>IF(F1936="","",IFERROR(INDEX(Roster!$A$2:$A$600,MATCH(F1936,Roster!$E$2:$E$600,0)),""))</f>
        <v/>
      </c>
      <c r="I1936" s="10">
        <f>IF(AND(D1936="",C1936="",F1936=""),"",IF(G1936&lt;&gt;"","Void",IF(F1936="","Needs child",IF(H1936="","Child not found",IF(OR(B1936="",NOT(ISNUMBER(C1936))),"Needs month/pages","OK")))))</f>
        <v/>
      </c>
      <c r="J1936" s="10">
        <f>IF(I1936="","",IF(I1936="OK",IF(COUNTIFS(H1937:H$3001,H1936,B1937:B$3001,B1936,G1937:G$3001,"")=0,C1936,0),0))</f>
        <v/>
      </c>
    </row>
    <row r="1937">
      <c r="A1937" s="6" t="n"/>
      <c r="B1937" s="9" t="n"/>
      <c r="C1937" s="6" t="n"/>
      <c r="D1937" s="6" t="n"/>
      <c r="E1937" s="6" t="n"/>
      <c r="F1937" s="6" t="n"/>
      <c r="G1937" s="6" t="n"/>
      <c r="H1937" s="10">
        <f>IF(F1937="","",IFERROR(INDEX(Roster!$A$2:$A$600,MATCH(F1937,Roster!$E$2:$E$600,0)),""))</f>
        <v/>
      </c>
      <c r="I1937" s="10">
        <f>IF(AND(D1937="",C1937="",F1937=""),"",IF(G1937&lt;&gt;"","Void",IF(F1937="","Needs child",IF(H1937="","Child not found",IF(OR(B1937="",NOT(ISNUMBER(C1937))),"Needs month/pages","OK")))))</f>
        <v/>
      </c>
      <c r="J1937" s="10">
        <f>IF(I1937="","",IF(I1937="OK",IF(COUNTIFS(H1938:H$3001,H1937,B1938:B$3001,B1937,G1938:G$3001,"")=0,C1937,0),0))</f>
        <v/>
      </c>
    </row>
    <row r="1938">
      <c r="A1938" s="6" t="n"/>
      <c r="B1938" s="9" t="n"/>
      <c r="C1938" s="6" t="n"/>
      <c r="D1938" s="6" t="n"/>
      <c r="E1938" s="6" t="n"/>
      <c r="F1938" s="6" t="n"/>
      <c r="G1938" s="6" t="n"/>
      <c r="H1938" s="10">
        <f>IF(F1938="","",IFERROR(INDEX(Roster!$A$2:$A$600,MATCH(F1938,Roster!$E$2:$E$600,0)),""))</f>
        <v/>
      </c>
      <c r="I1938" s="10">
        <f>IF(AND(D1938="",C1938="",F1938=""),"",IF(G1938&lt;&gt;"","Void",IF(F1938="","Needs child",IF(H1938="","Child not found",IF(OR(B1938="",NOT(ISNUMBER(C1938))),"Needs month/pages","OK")))))</f>
        <v/>
      </c>
      <c r="J1938" s="10">
        <f>IF(I1938="","",IF(I1938="OK",IF(COUNTIFS(H1939:H$3001,H1938,B1939:B$3001,B1938,G1939:G$3001,"")=0,C1938,0),0))</f>
        <v/>
      </c>
    </row>
    <row r="1939">
      <c r="A1939" s="6" t="n"/>
      <c r="B1939" s="9" t="n"/>
      <c r="C1939" s="6" t="n"/>
      <c r="D1939" s="6" t="n"/>
      <c r="E1939" s="6" t="n"/>
      <c r="F1939" s="6" t="n"/>
      <c r="G1939" s="6" t="n"/>
      <c r="H1939" s="10">
        <f>IF(F1939="","",IFERROR(INDEX(Roster!$A$2:$A$600,MATCH(F1939,Roster!$E$2:$E$600,0)),""))</f>
        <v/>
      </c>
      <c r="I1939" s="10">
        <f>IF(AND(D1939="",C1939="",F1939=""),"",IF(G1939&lt;&gt;"","Void",IF(F1939="","Needs child",IF(H1939="","Child not found",IF(OR(B1939="",NOT(ISNUMBER(C1939))),"Needs month/pages","OK")))))</f>
        <v/>
      </c>
      <c r="J1939" s="10">
        <f>IF(I1939="","",IF(I1939="OK",IF(COUNTIFS(H1940:H$3001,H1939,B1940:B$3001,B1939,G1940:G$3001,"")=0,C1939,0),0))</f>
        <v/>
      </c>
    </row>
    <row r="1940">
      <c r="A1940" s="6" t="n"/>
      <c r="B1940" s="9" t="n"/>
      <c r="C1940" s="6" t="n"/>
      <c r="D1940" s="6" t="n"/>
      <c r="E1940" s="6" t="n"/>
      <c r="F1940" s="6" t="n"/>
      <c r="G1940" s="6" t="n"/>
      <c r="H1940" s="10">
        <f>IF(F1940="","",IFERROR(INDEX(Roster!$A$2:$A$600,MATCH(F1940,Roster!$E$2:$E$600,0)),""))</f>
        <v/>
      </c>
      <c r="I1940" s="10">
        <f>IF(AND(D1940="",C1940="",F1940=""),"",IF(G1940&lt;&gt;"","Void",IF(F1940="","Needs child",IF(H1940="","Child not found",IF(OR(B1940="",NOT(ISNUMBER(C1940))),"Needs month/pages","OK")))))</f>
        <v/>
      </c>
      <c r="J1940" s="10">
        <f>IF(I1940="","",IF(I1940="OK",IF(COUNTIFS(H1941:H$3001,H1940,B1941:B$3001,B1940,G1941:G$3001,"")=0,C1940,0),0))</f>
        <v/>
      </c>
    </row>
    <row r="1941">
      <c r="A1941" s="6" t="n"/>
      <c r="B1941" s="9" t="n"/>
      <c r="C1941" s="6" t="n"/>
      <c r="D1941" s="6" t="n"/>
      <c r="E1941" s="6" t="n"/>
      <c r="F1941" s="6" t="n"/>
      <c r="G1941" s="6" t="n"/>
      <c r="H1941" s="10">
        <f>IF(F1941="","",IFERROR(INDEX(Roster!$A$2:$A$600,MATCH(F1941,Roster!$E$2:$E$600,0)),""))</f>
        <v/>
      </c>
      <c r="I1941" s="10">
        <f>IF(AND(D1941="",C1941="",F1941=""),"",IF(G1941&lt;&gt;"","Void",IF(F1941="","Needs child",IF(H1941="","Child not found",IF(OR(B1941="",NOT(ISNUMBER(C1941))),"Needs month/pages","OK")))))</f>
        <v/>
      </c>
      <c r="J1941" s="10">
        <f>IF(I1941="","",IF(I1941="OK",IF(COUNTIFS(H1942:H$3001,H1941,B1942:B$3001,B1941,G1942:G$3001,"")=0,C1941,0),0))</f>
        <v/>
      </c>
    </row>
    <row r="1942">
      <c r="A1942" s="6" t="n"/>
      <c r="B1942" s="9" t="n"/>
      <c r="C1942" s="6" t="n"/>
      <c r="D1942" s="6" t="n"/>
      <c r="E1942" s="6" t="n"/>
      <c r="F1942" s="6" t="n"/>
      <c r="G1942" s="6" t="n"/>
      <c r="H1942" s="10">
        <f>IF(F1942="","",IFERROR(INDEX(Roster!$A$2:$A$600,MATCH(F1942,Roster!$E$2:$E$600,0)),""))</f>
        <v/>
      </c>
      <c r="I1942" s="10">
        <f>IF(AND(D1942="",C1942="",F1942=""),"",IF(G1942&lt;&gt;"","Void",IF(F1942="","Needs child",IF(H1942="","Child not found",IF(OR(B1942="",NOT(ISNUMBER(C1942))),"Needs month/pages","OK")))))</f>
        <v/>
      </c>
      <c r="J1942" s="10">
        <f>IF(I1942="","",IF(I1942="OK",IF(COUNTIFS(H1943:H$3001,H1942,B1943:B$3001,B1942,G1943:G$3001,"")=0,C1942,0),0))</f>
        <v/>
      </c>
    </row>
    <row r="1943">
      <c r="A1943" s="6" t="n"/>
      <c r="B1943" s="9" t="n"/>
      <c r="C1943" s="6" t="n"/>
      <c r="D1943" s="6" t="n"/>
      <c r="E1943" s="6" t="n"/>
      <c r="F1943" s="6" t="n"/>
      <c r="G1943" s="6" t="n"/>
      <c r="H1943" s="10">
        <f>IF(F1943="","",IFERROR(INDEX(Roster!$A$2:$A$600,MATCH(F1943,Roster!$E$2:$E$600,0)),""))</f>
        <v/>
      </c>
      <c r="I1943" s="10">
        <f>IF(AND(D1943="",C1943="",F1943=""),"",IF(G1943&lt;&gt;"","Void",IF(F1943="","Needs child",IF(H1943="","Child not found",IF(OR(B1943="",NOT(ISNUMBER(C1943))),"Needs month/pages","OK")))))</f>
        <v/>
      </c>
      <c r="J1943" s="10">
        <f>IF(I1943="","",IF(I1943="OK",IF(COUNTIFS(H1944:H$3001,H1943,B1944:B$3001,B1943,G1944:G$3001,"")=0,C1943,0),0))</f>
        <v/>
      </c>
    </row>
    <row r="1944">
      <c r="A1944" s="6" t="n"/>
      <c r="B1944" s="9" t="n"/>
      <c r="C1944" s="6" t="n"/>
      <c r="D1944" s="6" t="n"/>
      <c r="E1944" s="6" t="n"/>
      <c r="F1944" s="6" t="n"/>
      <c r="G1944" s="6" t="n"/>
      <c r="H1944" s="10">
        <f>IF(F1944="","",IFERROR(INDEX(Roster!$A$2:$A$600,MATCH(F1944,Roster!$E$2:$E$600,0)),""))</f>
        <v/>
      </c>
      <c r="I1944" s="10">
        <f>IF(AND(D1944="",C1944="",F1944=""),"",IF(G1944&lt;&gt;"","Void",IF(F1944="","Needs child",IF(H1944="","Child not found",IF(OR(B1944="",NOT(ISNUMBER(C1944))),"Needs month/pages","OK")))))</f>
        <v/>
      </c>
      <c r="J1944" s="10">
        <f>IF(I1944="","",IF(I1944="OK",IF(COUNTIFS(H1945:H$3001,H1944,B1945:B$3001,B1944,G1945:G$3001,"")=0,C1944,0),0))</f>
        <v/>
      </c>
    </row>
    <row r="1945">
      <c r="A1945" s="6" t="n"/>
      <c r="B1945" s="9" t="n"/>
      <c r="C1945" s="6" t="n"/>
      <c r="D1945" s="6" t="n"/>
      <c r="E1945" s="6" t="n"/>
      <c r="F1945" s="6" t="n"/>
      <c r="G1945" s="6" t="n"/>
      <c r="H1945" s="10">
        <f>IF(F1945="","",IFERROR(INDEX(Roster!$A$2:$A$600,MATCH(F1945,Roster!$E$2:$E$600,0)),""))</f>
        <v/>
      </c>
      <c r="I1945" s="10">
        <f>IF(AND(D1945="",C1945="",F1945=""),"",IF(G1945&lt;&gt;"","Void",IF(F1945="","Needs child",IF(H1945="","Child not found",IF(OR(B1945="",NOT(ISNUMBER(C1945))),"Needs month/pages","OK")))))</f>
        <v/>
      </c>
      <c r="J1945" s="10">
        <f>IF(I1945="","",IF(I1945="OK",IF(COUNTIFS(H1946:H$3001,H1945,B1946:B$3001,B1945,G1946:G$3001,"")=0,C1945,0),0))</f>
        <v/>
      </c>
    </row>
    <row r="1946">
      <c r="A1946" s="6" t="n"/>
      <c r="B1946" s="9" t="n"/>
      <c r="C1946" s="6" t="n"/>
      <c r="D1946" s="6" t="n"/>
      <c r="E1946" s="6" t="n"/>
      <c r="F1946" s="6" t="n"/>
      <c r="G1946" s="6" t="n"/>
      <c r="H1946" s="10">
        <f>IF(F1946="","",IFERROR(INDEX(Roster!$A$2:$A$600,MATCH(F1946,Roster!$E$2:$E$600,0)),""))</f>
        <v/>
      </c>
      <c r="I1946" s="10">
        <f>IF(AND(D1946="",C1946="",F1946=""),"",IF(G1946&lt;&gt;"","Void",IF(F1946="","Needs child",IF(H1946="","Child not found",IF(OR(B1946="",NOT(ISNUMBER(C1946))),"Needs month/pages","OK")))))</f>
        <v/>
      </c>
      <c r="J1946" s="10">
        <f>IF(I1946="","",IF(I1946="OK",IF(COUNTIFS(H1947:H$3001,H1946,B1947:B$3001,B1946,G1947:G$3001,"")=0,C1946,0),0))</f>
        <v/>
      </c>
    </row>
    <row r="1947">
      <c r="A1947" s="6" t="n"/>
      <c r="B1947" s="9" t="n"/>
      <c r="C1947" s="6" t="n"/>
      <c r="D1947" s="6" t="n"/>
      <c r="E1947" s="6" t="n"/>
      <c r="F1947" s="6" t="n"/>
      <c r="G1947" s="6" t="n"/>
      <c r="H1947" s="10">
        <f>IF(F1947="","",IFERROR(INDEX(Roster!$A$2:$A$600,MATCH(F1947,Roster!$E$2:$E$600,0)),""))</f>
        <v/>
      </c>
      <c r="I1947" s="10">
        <f>IF(AND(D1947="",C1947="",F1947=""),"",IF(G1947&lt;&gt;"","Void",IF(F1947="","Needs child",IF(H1947="","Child not found",IF(OR(B1947="",NOT(ISNUMBER(C1947))),"Needs month/pages","OK")))))</f>
        <v/>
      </c>
      <c r="J1947" s="10">
        <f>IF(I1947="","",IF(I1947="OK",IF(COUNTIFS(H1948:H$3001,H1947,B1948:B$3001,B1947,G1948:G$3001,"")=0,C1947,0),0))</f>
        <v/>
      </c>
    </row>
    <row r="1948">
      <c r="A1948" s="6" t="n"/>
      <c r="B1948" s="9" t="n"/>
      <c r="C1948" s="6" t="n"/>
      <c r="D1948" s="6" t="n"/>
      <c r="E1948" s="6" t="n"/>
      <c r="F1948" s="6" t="n"/>
      <c r="G1948" s="6" t="n"/>
      <c r="H1948" s="10">
        <f>IF(F1948="","",IFERROR(INDEX(Roster!$A$2:$A$600,MATCH(F1948,Roster!$E$2:$E$600,0)),""))</f>
        <v/>
      </c>
      <c r="I1948" s="10">
        <f>IF(AND(D1948="",C1948="",F1948=""),"",IF(G1948&lt;&gt;"","Void",IF(F1948="","Needs child",IF(H1948="","Child not found",IF(OR(B1948="",NOT(ISNUMBER(C1948))),"Needs month/pages","OK")))))</f>
        <v/>
      </c>
      <c r="J1948" s="10">
        <f>IF(I1948="","",IF(I1948="OK",IF(COUNTIFS(H1949:H$3001,H1948,B1949:B$3001,B1948,G1949:G$3001,"")=0,C1948,0),0))</f>
        <v/>
      </c>
    </row>
    <row r="1949">
      <c r="A1949" s="6" t="n"/>
      <c r="B1949" s="9" t="n"/>
      <c r="C1949" s="6" t="n"/>
      <c r="D1949" s="6" t="n"/>
      <c r="E1949" s="6" t="n"/>
      <c r="F1949" s="6" t="n"/>
      <c r="G1949" s="6" t="n"/>
      <c r="H1949" s="10">
        <f>IF(F1949="","",IFERROR(INDEX(Roster!$A$2:$A$600,MATCH(F1949,Roster!$E$2:$E$600,0)),""))</f>
        <v/>
      </c>
      <c r="I1949" s="10">
        <f>IF(AND(D1949="",C1949="",F1949=""),"",IF(G1949&lt;&gt;"","Void",IF(F1949="","Needs child",IF(H1949="","Child not found",IF(OR(B1949="",NOT(ISNUMBER(C1949))),"Needs month/pages","OK")))))</f>
        <v/>
      </c>
      <c r="J1949" s="10">
        <f>IF(I1949="","",IF(I1949="OK",IF(COUNTIFS(H1950:H$3001,H1949,B1950:B$3001,B1949,G1950:G$3001,"")=0,C1949,0),0))</f>
        <v/>
      </c>
    </row>
    <row r="1950">
      <c r="A1950" s="6" t="n"/>
      <c r="B1950" s="9" t="n"/>
      <c r="C1950" s="6" t="n"/>
      <c r="D1950" s="6" t="n"/>
      <c r="E1950" s="6" t="n"/>
      <c r="F1950" s="6" t="n"/>
      <c r="G1950" s="6" t="n"/>
      <c r="H1950" s="10">
        <f>IF(F1950="","",IFERROR(INDEX(Roster!$A$2:$A$600,MATCH(F1950,Roster!$E$2:$E$600,0)),""))</f>
        <v/>
      </c>
      <c r="I1950" s="10">
        <f>IF(AND(D1950="",C1950="",F1950=""),"",IF(G1950&lt;&gt;"","Void",IF(F1950="","Needs child",IF(H1950="","Child not found",IF(OR(B1950="",NOT(ISNUMBER(C1950))),"Needs month/pages","OK")))))</f>
        <v/>
      </c>
      <c r="J1950" s="10">
        <f>IF(I1950="","",IF(I1950="OK",IF(COUNTIFS(H1951:H$3001,H1950,B1951:B$3001,B1950,G1951:G$3001,"")=0,C1950,0),0))</f>
        <v/>
      </c>
    </row>
    <row r="1951">
      <c r="A1951" s="6" t="n"/>
      <c r="B1951" s="9" t="n"/>
      <c r="C1951" s="6" t="n"/>
      <c r="D1951" s="6" t="n"/>
      <c r="E1951" s="6" t="n"/>
      <c r="F1951" s="6" t="n"/>
      <c r="G1951" s="6" t="n"/>
      <c r="H1951" s="10">
        <f>IF(F1951="","",IFERROR(INDEX(Roster!$A$2:$A$600,MATCH(F1951,Roster!$E$2:$E$600,0)),""))</f>
        <v/>
      </c>
      <c r="I1951" s="10">
        <f>IF(AND(D1951="",C1951="",F1951=""),"",IF(G1951&lt;&gt;"","Void",IF(F1951="","Needs child",IF(H1951="","Child not found",IF(OR(B1951="",NOT(ISNUMBER(C1951))),"Needs month/pages","OK")))))</f>
        <v/>
      </c>
      <c r="J1951" s="10">
        <f>IF(I1951="","",IF(I1951="OK",IF(COUNTIFS(H1952:H$3001,H1951,B1952:B$3001,B1951,G1952:G$3001,"")=0,C1951,0),0))</f>
        <v/>
      </c>
    </row>
    <row r="1952">
      <c r="A1952" s="6" t="n"/>
      <c r="B1952" s="9" t="n"/>
      <c r="C1952" s="6" t="n"/>
      <c r="D1952" s="6" t="n"/>
      <c r="E1952" s="6" t="n"/>
      <c r="F1952" s="6" t="n"/>
      <c r="G1952" s="6" t="n"/>
      <c r="H1952" s="10">
        <f>IF(F1952="","",IFERROR(INDEX(Roster!$A$2:$A$600,MATCH(F1952,Roster!$E$2:$E$600,0)),""))</f>
        <v/>
      </c>
      <c r="I1952" s="10">
        <f>IF(AND(D1952="",C1952="",F1952=""),"",IF(G1952&lt;&gt;"","Void",IF(F1952="","Needs child",IF(H1952="","Child not found",IF(OR(B1952="",NOT(ISNUMBER(C1952))),"Needs month/pages","OK")))))</f>
        <v/>
      </c>
      <c r="J1952" s="10">
        <f>IF(I1952="","",IF(I1952="OK",IF(COUNTIFS(H1953:H$3001,H1952,B1953:B$3001,B1952,G1953:G$3001,"")=0,C1952,0),0))</f>
        <v/>
      </c>
    </row>
    <row r="1953">
      <c r="A1953" s="6" t="n"/>
      <c r="B1953" s="9" t="n"/>
      <c r="C1953" s="6" t="n"/>
      <c r="D1953" s="6" t="n"/>
      <c r="E1953" s="6" t="n"/>
      <c r="F1953" s="6" t="n"/>
      <c r="G1953" s="6" t="n"/>
      <c r="H1953" s="10">
        <f>IF(F1953="","",IFERROR(INDEX(Roster!$A$2:$A$600,MATCH(F1953,Roster!$E$2:$E$600,0)),""))</f>
        <v/>
      </c>
      <c r="I1953" s="10">
        <f>IF(AND(D1953="",C1953="",F1953=""),"",IF(G1953&lt;&gt;"","Void",IF(F1953="","Needs child",IF(H1953="","Child not found",IF(OR(B1953="",NOT(ISNUMBER(C1953))),"Needs month/pages","OK")))))</f>
        <v/>
      </c>
      <c r="J1953" s="10">
        <f>IF(I1953="","",IF(I1953="OK",IF(COUNTIFS(H1954:H$3001,H1953,B1954:B$3001,B1953,G1954:G$3001,"")=0,C1953,0),0))</f>
        <v/>
      </c>
    </row>
    <row r="1954">
      <c r="A1954" s="6" t="n"/>
      <c r="B1954" s="9" t="n"/>
      <c r="C1954" s="6" t="n"/>
      <c r="D1954" s="6" t="n"/>
      <c r="E1954" s="6" t="n"/>
      <c r="F1954" s="6" t="n"/>
      <c r="G1954" s="6" t="n"/>
      <c r="H1954" s="10">
        <f>IF(F1954="","",IFERROR(INDEX(Roster!$A$2:$A$600,MATCH(F1954,Roster!$E$2:$E$600,0)),""))</f>
        <v/>
      </c>
      <c r="I1954" s="10">
        <f>IF(AND(D1954="",C1954="",F1954=""),"",IF(G1954&lt;&gt;"","Void",IF(F1954="","Needs child",IF(H1954="","Child not found",IF(OR(B1954="",NOT(ISNUMBER(C1954))),"Needs month/pages","OK")))))</f>
        <v/>
      </c>
      <c r="J1954" s="10">
        <f>IF(I1954="","",IF(I1954="OK",IF(COUNTIFS(H1955:H$3001,H1954,B1955:B$3001,B1954,G1955:G$3001,"")=0,C1954,0),0))</f>
        <v/>
      </c>
    </row>
    <row r="1955">
      <c r="A1955" s="6" t="n"/>
      <c r="B1955" s="9" t="n"/>
      <c r="C1955" s="6" t="n"/>
      <c r="D1955" s="6" t="n"/>
      <c r="E1955" s="6" t="n"/>
      <c r="F1955" s="6" t="n"/>
      <c r="G1955" s="6" t="n"/>
      <c r="H1955" s="10">
        <f>IF(F1955="","",IFERROR(INDEX(Roster!$A$2:$A$600,MATCH(F1955,Roster!$E$2:$E$600,0)),""))</f>
        <v/>
      </c>
      <c r="I1955" s="10">
        <f>IF(AND(D1955="",C1955="",F1955=""),"",IF(G1955&lt;&gt;"","Void",IF(F1955="","Needs child",IF(H1955="","Child not found",IF(OR(B1955="",NOT(ISNUMBER(C1955))),"Needs month/pages","OK")))))</f>
        <v/>
      </c>
      <c r="J1955" s="10">
        <f>IF(I1955="","",IF(I1955="OK",IF(COUNTIFS(H1956:H$3001,H1955,B1956:B$3001,B1955,G1956:G$3001,"")=0,C1955,0),0))</f>
        <v/>
      </c>
    </row>
    <row r="1956">
      <c r="A1956" s="6" t="n"/>
      <c r="B1956" s="9" t="n"/>
      <c r="C1956" s="6" t="n"/>
      <c r="D1956" s="6" t="n"/>
      <c r="E1956" s="6" t="n"/>
      <c r="F1956" s="6" t="n"/>
      <c r="G1956" s="6" t="n"/>
      <c r="H1956" s="10">
        <f>IF(F1956="","",IFERROR(INDEX(Roster!$A$2:$A$600,MATCH(F1956,Roster!$E$2:$E$600,0)),""))</f>
        <v/>
      </c>
      <c r="I1956" s="10">
        <f>IF(AND(D1956="",C1956="",F1956=""),"",IF(G1956&lt;&gt;"","Void",IF(F1956="","Needs child",IF(H1956="","Child not found",IF(OR(B1956="",NOT(ISNUMBER(C1956))),"Needs month/pages","OK")))))</f>
        <v/>
      </c>
      <c r="J1956" s="10">
        <f>IF(I1956="","",IF(I1956="OK",IF(COUNTIFS(H1957:H$3001,H1956,B1957:B$3001,B1956,G1957:G$3001,"")=0,C1956,0),0))</f>
        <v/>
      </c>
    </row>
    <row r="1957">
      <c r="A1957" s="6" t="n"/>
      <c r="B1957" s="9" t="n"/>
      <c r="C1957" s="6" t="n"/>
      <c r="D1957" s="6" t="n"/>
      <c r="E1957" s="6" t="n"/>
      <c r="F1957" s="6" t="n"/>
      <c r="G1957" s="6" t="n"/>
      <c r="H1957" s="10">
        <f>IF(F1957="","",IFERROR(INDEX(Roster!$A$2:$A$600,MATCH(F1957,Roster!$E$2:$E$600,0)),""))</f>
        <v/>
      </c>
      <c r="I1957" s="10">
        <f>IF(AND(D1957="",C1957="",F1957=""),"",IF(G1957&lt;&gt;"","Void",IF(F1957="","Needs child",IF(H1957="","Child not found",IF(OR(B1957="",NOT(ISNUMBER(C1957))),"Needs month/pages","OK")))))</f>
        <v/>
      </c>
      <c r="J1957" s="10">
        <f>IF(I1957="","",IF(I1957="OK",IF(COUNTIFS(H1958:H$3001,H1957,B1958:B$3001,B1957,G1958:G$3001,"")=0,C1957,0),0))</f>
        <v/>
      </c>
    </row>
    <row r="1958">
      <c r="A1958" s="6" t="n"/>
      <c r="B1958" s="9" t="n"/>
      <c r="C1958" s="6" t="n"/>
      <c r="D1958" s="6" t="n"/>
      <c r="E1958" s="6" t="n"/>
      <c r="F1958" s="6" t="n"/>
      <c r="G1958" s="6" t="n"/>
      <c r="H1958" s="10">
        <f>IF(F1958="","",IFERROR(INDEX(Roster!$A$2:$A$600,MATCH(F1958,Roster!$E$2:$E$600,0)),""))</f>
        <v/>
      </c>
      <c r="I1958" s="10">
        <f>IF(AND(D1958="",C1958="",F1958=""),"",IF(G1958&lt;&gt;"","Void",IF(F1958="","Needs child",IF(H1958="","Child not found",IF(OR(B1958="",NOT(ISNUMBER(C1958))),"Needs month/pages","OK")))))</f>
        <v/>
      </c>
      <c r="J1958" s="10">
        <f>IF(I1958="","",IF(I1958="OK",IF(COUNTIFS(H1959:H$3001,H1958,B1959:B$3001,B1958,G1959:G$3001,"")=0,C1958,0),0))</f>
        <v/>
      </c>
    </row>
    <row r="1959">
      <c r="A1959" s="6" t="n"/>
      <c r="B1959" s="9" t="n"/>
      <c r="C1959" s="6" t="n"/>
      <c r="D1959" s="6" t="n"/>
      <c r="E1959" s="6" t="n"/>
      <c r="F1959" s="6" t="n"/>
      <c r="G1959" s="6" t="n"/>
      <c r="H1959" s="10">
        <f>IF(F1959="","",IFERROR(INDEX(Roster!$A$2:$A$600,MATCH(F1959,Roster!$E$2:$E$600,0)),""))</f>
        <v/>
      </c>
      <c r="I1959" s="10">
        <f>IF(AND(D1959="",C1959="",F1959=""),"",IF(G1959&lt;&gt;"","Void",IF(F1959="","Needs child",IF(H1959="","Child not found",IF(OR(B1959="",NOT(ISNUMBER(C1959))),"Needs month/pages","OK")))))</f>
        <v/>
      </c>
      <c r="J1959" s="10">
        <f>IF(I1959="","",IF(I1959="OK",IF(COUNTIFS(H1960:H$3001,H1959,B1960:B$3001,B1959,G1960:G$3001,"")=0,C1959,0),0))</f>
        <v/>
      </c>
    </row>
    <row r="1960">
      <c r="A1960" s="6" t="n"/>
      <c r="B1960" s="9" t="n"/>
      <c r="C1960" s="6" t="n"/>
      <c r="D1960" s="6" t="n"/>
      <c r="E1960" s="6" t="n"/>
      <c r="F1960" s="6" t="n"/>
      <c r="G1960" s="6" t="n"/>
      <c r="H1960" s="10">
        <f>IF(F1960="","",IFERROR(INDEX(Roster!$A$2:$A$600,MATCH(F1960,Roster!$E$2:$E$600,0)),""))</f>
        <v/>
      </c>
      <c r="I1960" s="10">
        <f>IF(AND(D1960="",C1960="",F1960=""),"",IF(G1960&lt;&gt;"","Void",IF(F1960="","Needs child",IF(H1960="","Child not found",IF(OR(B1960="",NOT(ISNUMBER(C1960))),"Needs month/pages","OK")))))</f>
        <v/>
      </c>
      <c r="J1960" s="10">
        <f>IF(I1960="","",IF(I1960="OK",IF(COUNTIFS(H1961:H$3001,H1960,B1961:B$3001,B1960,G1961:G$3001,"")=0,C1960,0),0))</f>
        <v/>
      </c>
    </row>
    <row r="1961">
      <c r="A1961" s="6" t="n"/>
      <c r="B1961" s="9" t="n"/>
      <c r="C1961" s="6" t="n"/>
      <c r="D1961" s="6" t="n"/>
      <c r="E1961" s="6" t="n"/>
      <c r="F1961" s="6" t="n"/>
      <c r="G1961" s="6" t="n"/>
      <c r="H1961" s="10">
        <f>IF(F1961="","",IFERROR(INDEX(Roster!$A$2:$A$600,MATCH(F1961,Roster!$E$2:$E$600,0)),""))</f>
        <v/>
      </c>
      <c r="I1961" s="10">
        <f>IF(AND(D1961="",C1961="",F1961=""),"",IF(G1961&lt;&gt;"","Void",IF(F1961="","Needs child",IF(H1961="","Child not found",IF(OR(B1961="",NOT(ISNUMBER(C1961))),"Needs month/pages","OK")))))</f>
        <v/>
      </c>
      <c r="J1961" s="10">
        <f>IF(I1961="","",IF(I1961="OK",IF(COUNTIFS(H1962:H$3001,H1961,B1962:B$3001,B1961,G1962:G$3001,"")=0,C1961,0),0))</f>
        <v/>
      </c>
    </row>
    <row r="1962">
      <c r="A1962" s="6" t="n"/>
      <c r="B1962" s="9" t="n"/>
      <c r="C1962" s="6" t="n"/>
      <c r="D1962" s="6" t="n"/>
      <c r="E1962" s="6" t="n"/>
      <c r="F1962" s="6" t="n"/>
      <c r="G1962" s="6" t="n"/>
      <c r="H1962" s="10">
        <f>IF(F1962="","",IFERROR(INDEX(Roster!$A$2:$A$600,MATCH(F1962,Roster!$E$2:$E$600,0)),""))</f>
        <v/>
      </c>
      <c r="I1962" s="10">
        <f>IF(AND(D1962="",C1962="",F1962=""),"",IF(G1962&lt;&gt;"","Void",IF(F1962="","Needs child",IF(H1962="","Child not found",IF(OR(B1962="",NOT(ISNUMBER(C1962))),"Needs month/pages","OK")))))</f>
        <v/>
      </c>
      <c r="J1962" s="10">
        <f>IF(I1962="","",IF(I1962="OK",IF(COUNTIFS(H1963:H$3001,H1962,B1963:B$3001,B1962,G1963:G$3001,"")=0,C1962,0),0))</f>
        <v/>
      </c>
    </row>
    <row r="1963">
      <c r="A1963" s="6" t="n"/>
      <c r="B1963" s="9" t="n"/>
      <c r="C1963" s="6" t="n"/>
      <c r="D1963" s="6" t="n"/>
      <c r="E1963" s="6" t="n"/>
      <c r="F1963" s="6" t="n"/>
      <c r="G1963" s="6" t="n"/>
      <c r="H1963" s="10">
        <f>IF(F1963="","",IFERROR(INDEX(Roster!$A$2:$A$600,MATCH(F1963,Roster!$E$2:$E$600,0)),""))</f>
        <v/>
      </c>
      <c r="I1963" s="10">
        <f>IF(AND(D1963="",C1963="",F1963=""),"",IF(G1963&lt;&gt;"","Void",IF(F1963="","Needs child",IF(H1963="","Child not found",IF(OR(B1963="",NOT(ISNUMBER(C1963))),"Needs month/pages","OK")))))</f>
        <v/>
      </c>
      <c r="J1963" s="10">
        <f>IF(I1963="","",IF(I1963="OK",IF(COUNTIFS(H1964:H$3001,H1963,B1964:B$3001,B1963,G1964:G$3001,"")=0,C1963,0),0))</f>
        <v/>
      </c>
    </row>
    <row r="1964">
      <c r="A1964" s="6" t="n"/>
      <c r="B1964" s="9" t="n"/>
      <c r="C1964" s="6" t="n"/>
      <c r="D1964" s="6" t="n"/>
      <c r="E1964" s="6" t="n"/>
      <c r="F1964" s="6" t="n"/>
      <c r="G1964" s="6" t="n"/>
      <c r="H1964" s="10">
        <f>IF(F1964="","",IFERROR(INDEX(Roster!$A$2:$A$600,MATCH(F1964,Roster!$E$2:$E$600,0)),""))</f>
        <v/>
      </c>
      <c r="I1964" s="10">
        <f>IF(AND(D1964="",C1964="",F1964=""),"",IF(G1964&lt;&gt;"","Void",IF(F1964="","Needs child",IF(H1964="","Child not found",IF(OR(B1964="",NOT(ISNUMBER(C1964))),"Needs month/pages","OK")))))</f>
        <v/>
      </c>
      <c r="J1964" s="10">
        <f>IF(I1964="","",IF(I1964="OK",IF(COUNTIFS(H1965:H$3001,H1964,B1965:B$3001,B1964,G1965:G$3001,"")=0,C1964,0),0))</f>
        <v/>
      </c>
    </row>
    <row r="1965">
      <c r="A1965" s="6" t="n"/>
      <c r="B1965" s="9" t="n"/>
      <c r="C1965" s="6" t="n"/>
      <c r="D1965" s="6" t="n"/>
      <c r="E1965" s="6" t="n"/>
      <c r="F1965" s="6" t="n"/>
      <c r="G1965" s="6" t="n"/>
      <c r="H1965" s="10">
        <f>IF(F1965="","",IFERROR(INDEX(Roster!$A$2:$A$600,MATCH(F1965,Roster!$E$2:$E$600,0)),""))</f>
        <v/>
      </c>
      <c r="I1965" s="10">
        <f>IF(AND(D1965="",C1965="",F1965=""),"",IF(G1965&lt;&gt;"","Void",IF(F1965="","Needs child",IF(H1965="","Child not found",IF(OR(B1965="",NOT(ISNUMBER(C1965))),"Needs month/pages","OK")))))</f>
        <v/>
      </c>
      <c r="J1965" s="10">
        <f>IF(I1965="","",IF(I1965="OK",IF(COUNTIFS(H1966:H$3001,H1965,B1966:B$3001,B1965,G1966:G$3001,"")=0,C1965,0),0))</f>
        <v/>
      </c>
    </row>
    <row r="1966">
      <c r="A1966" s="6" t="n"/>
      <c r="B1966" s="9" t="n"/>
      <c r="C1966" s="6" t="n"/>
      <c r="D1966" s="6" t="n"/>
      <c r="E1966" s="6" t="n"/>
      <c r="F1966" s="6" t="n"/>
      <c r="G1966" s="6" t="n"/>
      <c r="H1966" s="10">
        <f>IF(F1966="","",IFERROR(INDEX(Roster!$A$2:$A$600,MATCH(F1966,Roster!$E$2:$E$600,0)),""))</f>
        <v/>
      </c>
      <c r="I1966" s="10">
        <f>IF(AND(D1966="",C1966="",F1966=""),"",IF(G1966&lt;&gt;"","Void",IF(F1966="","Needs child",IF(H1966="","Child not found",IF(OR(B1966="",NOT(ISNUMBER(C1966))),"Needs month/pages","OK")))))</f>
        <v/>
      </c>
      <c r="J1966" s="10">
        <f>IF(I1966="","",IF(I1966="OK",IF(COUNTIFS(H1967:H$3001,H1966,B1967:B$3001,B1966,G1967:G$3001,"")=0,C1966,0),0))</f>
        <v/>
      </c>
    </row>
    <row r="1967">
      <c r="A1967" s="6" t="n"/>
      <c r="B1967" s="9" t="n"/>
      <c r="C1967" s="6" t="n"/>
      <c r="D1967" s="6" t="n"/>
      <c r="E1967" s="6" t="n"/>
      <c r="F1967" s="6" t="n"/>
      <c r="G1967" s="6" t="n"/>
      <c r="H1967" s="10">
        <f>IF(F1967="","",IFERROR(INDEX(Roster!$A$2:$A$600,MATCH(F1967,Roster!$E$2:$E$600,0)),""))</f>
        <v/>
      </c>
      <c r="I1967" s="10">
        <f>IF(AND(D1967="",C1967="",F1967=""),"",IF(G1967&lt;&gt;"","Void",IF(F1967="","Needs child",IF(H1967="","Child not found",IF(OR(B1967="",NOT(ISNUMBER(C1967))),"Needs month/pages","OK")))))</f>
        <v/>
      </c>
      <c r="J1967" s="10">
        <f>IF(I1967="","",IF(I1967="OK",IF(COUNTIFS(H1968:H$3001,H1967,B1968:B$3001,B1967,G1968:G$3001,"")=0,C1967,0),0))</f>
        <v/>
      </c>
    </row>
    <row r="1968">
      <c r="A1968" s="6" t="n"/>
      <c r="B1968" s="9" t="n"/>
      <c r="C1968" s="6" t="n"/>
      <c r="D1968" s="6" t="n"/>
      <c r="E1968" s="6" t="n"/>
      <c r="F1968" s="6" t="n"/>
      <c r="G1968" s="6" t="n"/>
      <c r="H1968" s="10">
        <f>IF(F1968="","",IFERROR(INDEX(Roster!$A$2:$A$600,MATCH(F1968,Roster!$E$2:$E$600,0)),""))</f>
        <v/>
      </c>
      <c r="I1968" s="10">
        <f>IF(AND(D1968="",C1968="",F1968=""),"",IF(G1968&lt;&gt;"","Void",IF(F1968="","Needs child",IF(H1968="","Child not found",IF(OR(B1968="",NOT(ISNUMBER(C1968))),"Needs month/pages","OK")))))</f>
        <v/>
      </c>
      <c r="J1968" s="10">
        <f>IF(I1968="","",IF(I1968="OK",IF(COUNTIFS(H1969:H$3001,H1968,B1969:B$3001,B1968,G1969:G$3001,"")=0,C1968,0),0))</f>
        <v/>
      </c>
    </row>
    <row r="1969">
      <c r="A1969" s="6" t="n"/>
      <c r="B1969" s="9" t="n"/>
      <c r="C1969" s="6" t="n"/>
      <c r="D1969" s="6" t="n"/>
      <c r="E1969" s="6" t="n"/>
      <c r="F1969" s="6" t="n"/>
      <c r="G1969" s="6" t="n"/>
      <c r="H1969" s="10">
        <f>IF(F1969="","",IFERROR(INDEX(Roster!$A$2:$A$600,MATCH(F1969,Roster!$E$2:$E$600,0)),""))</f>
        <v/>
      </c>
      <c r="I1969" s="10">
        <f>IF(AND(D1969="",C1969="",F1969=""),"",IF(G1969&lt;&gt;"","Void",IF(F1969="","Needs child",IF(H1969="","Child not found",IF(OR(B1969="",NOT(ISNUMBER(C1969))),"Needs month/pages","OK")))))</f>
        <v/>
      </c>
      <c r="J1969" s="10">
        <f>IF(I1969="","",IF(I1969="OK",IF(COUNTIFS(H1970:H$3001,H1969,B1970:B$3001,B1969,G1970:G$3001,"")=0,C1969,0),0))</f>
        <v/>
      </c>
    </row>
    <row r="1970">
      <c r="A1970" s="6" t="n"/>
      <c r="B1970" s="9" t="n"/>
      <c r="C1970" s="6" t="n"/>
      <c r="D1970" s="6" t="n"/>
      <c r="E1970" s="6" t="n"/>
      <c r="F1970" s="6" t="n"/>
      <c r="G1970" s="6" t="n"/>
      <c r="H1970" s="10">
        <f>IF(F1970="","",IFERROR(INDEX(Roster!$A$2:$A$600,MATCH(F1970,Roster!$E$2:$E$600,0)),""))</f>
        <v/>
      </c>
      <c r="I1970" s="10">
        <f>IF(AND(D1970="",C1970="",F1970=""),"",IF(G1970&lt;&gt;"","Void",IF(F1970="","Needs child",IF(H1970="","Child not found",IF(OR(B1970="",NOT(ISNUMBER(C1970))),"Needs month/pages","OK")))))</f>
        <v/>
      </c>
      <c r="J1970" s="10">
        <f>IF(I1970="","",IF(I1970="OK",IF(COUNTIFS(H1971:H$3001,H1970,B1971:B$3001,B1970,G1971:G$3001,"")=0,C1970,0),0))</f>
        <v/>
      </c>
    </row>
    <row r="1971">
      <c r="A1971" s="6" t="n"/>
      <c r="B1971" s="9" t="n"/>
      <c r="C1971" s="6" t="n"/>
      <c r="D1971" s="6" t="n"/>
      <c r="E1971" s="6" t="n"/>
      <c r="F1971" s="6" t="n"/>
      <c r="G1971" s="6" t="n"/>
      <c r="H1971" s="10">
        <f>IF(F1971="","",IFERROR(INDEX(Roster!$A$2:$A$600,MATCH(F1971,Roster!$E$2:$E$600,0)),""))</f>
        <v/>
      </c>
      <c r="I1971" s="10">
        <f>IF(AND(D1971="",C1971="",F1971=""),"",IF(G1971&lt;&gt;"","Void",IF(F1971="","Needs child",IF(H1971="","Child not found",IF(OR(B1971="",NOT(ISNUMBER(C1971))),"Needs month/pages","OK")))))</f>
        <v/>
      </c>
      <c r="J1971" s="10">
        <f>IF(I1971="","",IF(I1971="OK",IF(COUNTIFS(H1972:H$3001,H1971,B1972:B$3001,B1971,G1972:G$3001,"")=0,C1971,0),0))</f>
        <v/>
      </c>
    </row>
    <row r="1972">
      <c r="A1972" s="6" t="n"/>
      <c r="B1972" s="9" t="n"/>
      <c r="C1972" s="6" t="n"/>
      <c r="D1972" s="6" t="n"/>
      <c r="E1972" s="6" t="n"/>
      <c r="F1972" s="6" t="n"/>
      <c r="G1972" s="6" t="n"/>
      <c r="H1972" s="10">
        <f>IF(F1972="","",IFERROR(INDEX(Roster!$A$2:$A$600,MATCH(F1972,Roster!$E$2:$E$600,0)),""))</f>
        <v/>
      </c>
      <c r="I1972" s="10">
        <f>IF(AND(D1972="",C1972="",F1972=""),"",IF(G1972&lt;&gt;"","Void",IF(F1972="","Needs child",IF(H1972="","Child not found",IF(OR(B1972="",NOT(ISNUMBER(C1972))),"Needs month/pages","OK")))))</f>
        <v/>
      </c>
      <c r="J1972" s="10">
        <f>IF(I1972="","",IF(I1972="OK",IF(COUNTIFS(H1973:H$3001,H1972,B1973:B$3001,B1972,G1973:G$3001,"")=0,C1972,0),0))</f>
        <v/>
      </c>
    </row>
    <row r="1973">
      <c r="A1973" s="6" t="n"/>
      <c r="B1973" s="9" t="n"/>
      <c r="C1973" s="6" t="n"/>
      <c r="D1973" s="6" t="n"/>
      <c r="E1973" s="6" t="n"/>
      <c r="F1973" s="6" t="n"/>
      <c r="G1973" s="6" t="n"/>
      <c r="H1973" s="10">
        <f>IF(F1973="","",IFERROR(INDEX(Roster!$A$2:$A$600,MATCH(F1973,Roster!$E$2:$E$600,0)),""))</f>
        <v/>
      </c>
      <c r="I1973" s="10">
        <f>IF(AND(D1973="",C1973="",F1973=""),"",IF(G1973&lt;&gt;"","Void",IF(F1973="","Needs child",IF(H1973="","Child not found",IF(OR(B1973="",NOT(ISNUMBER(C1973))),"Needs month/pages","OK")))))</f>
        <v/>
      </c>
      <c r="J1973" s="10">
        <f>IF(I1973="","",IF(I1973="OK",IF(COUNTIFS(H1974:H$3001,H1973,B1974:B$3001,B1973,G1974:G$3001,"")=0,C1973,0),0))</f>
        <v/>
      </c>
    </row>
    <row r="1974">
      <c r="A1974" s="6" t="n"/>
      <c r="B1974" s="9" t="n"/>
      <c r="C1974" s="6" t="n"/>
      <c r="D1974" s="6" t="n"/>
      <c r="E1974" s="6" t="n"/>
      <c r="F1974" s="6" t="n"/>
      <c r="G1974" s="6" t="n"/>
      <c r="H1974" s="10">
        <f>IF(F1974="","",IFERROR(INDEX(Roster!$A$2:$A$600,MATCH(F1974,Roster!$E$2:$E$600,0)),""))</f>
        <v/>
      </c>
      <c r="I1974" s="10">
        <f>IF(AND(D1974="",C1974="",F1974=""),"",IF(G1974&lt;&gt;"","Void",IF(F1974="","Needs child",IF(H1974="","Child not found",IF(OR(B1974="",NOT(ISNUMBER(C1974))),"Needs month/pages","OK")))))</f>
        <v/>
      </c>
      <c r="J1974" s="10">
        <f>IF(I1974="","",IF(I1974="OK",IF(COUNTIFS(H1975:H$3001,H1974,B1975:B$3001,B1974,G1975:G$3001,"")=0,C1974,0),0))</f>
        <v/>
      </c>
    </row>
    <row r="1975">
      <c r="A1975" s="6" t="n"/>
      <c r="B1975" s="9" t="n"/>
      <c r="C1975" s="6" t="n"/>
      <c r="D1975" s="6" t="n"/>
      <c r="E1975" s="6" t="n"/>
      <c r="F1975" s="6" t="n"/>
      <c r="G1975" s="6" t="n"/>
      <c r="H1975" s="10">
        <f>IF(F1975="","",IFERROR(INDEX(Roster!$A$2:$A$600,MATCH(F1975,Roster!$E$2:$E$600,0)),""))</f>
        <v/>
      </c>
      <c r="I1975" s="10">
        <f>IF(AND(D1975="",C1975="",F1975=""),"",IF(G1975&lt;&gt;"","Void",IF(F1975="","Needs child",IF(H1975="","Child not found",IF(OR(B1975="",NOT(ISNUMBER(C1975))),"Needs month/pages","OK")))))</f>
        <v/>
      </c>
      <c r="J1975" s="10">
        <f>IF(I1975="","",IF(I1975="OK",IF(COUNTIFS(H1976:H$3001,H1975,B1976:B$3001,B1975,G1976:G$3001,"")=0,C1975,0),0))</f>
        <v/>
      </c>
    </row>
    <row r="1976">
      <c r="A1976" s="6" t="n"/>
      <c r="B1976" s="9" t="n"/>
      <c r="C1976" s="6" t="n"/>
      <c r="D1976" s="6" t="n"/>
      <c r="E1976" s="6" t="n"/>
      <c r="F1976" s="6" t="n"/>
      <c r="G1976" s="6" t="n"/>
      <c r="H1976" s="10">
        <f>IF(F1976="","",IFERROR(INDEX(Roster!$A$2:$A$600,MATCH(F1976,Roster!$E$2:$E$600,0)),""))</f>
        <v/>
      </c>
      <c r="I1976" s="10">
        <f>IF(AND(D1976="",C1976="",F1976=""),"",IF(G1976&lt;&gt;"","Void",IF(F1976="","Needs child",IF(H1976="","Child not found",IF(OR(B1976="",NOT(ISNUMBER(C1976))),"Needs month/pages","OK")))))</f>
        <v/>
      </c>
      <c r="J1976" s="10">
        <f>IF(I1976="","",IF(I1976="OK",IF(COUNTIFS(H1977:H$3001,H1976,B1977:B$3001,B1976,G1977:G$3001,"")=0,C1976,0),0))</f>
        <v/>
      </c>
    </row>
    <row r="1977">
      <c r="A1977" s="6" t="n"/>
      <c r="B1977" s="9" t="n"/>
      <c r="C1977" s="6" t="n"/>
      <c r="D1977" s="6" t="n"/>
      <c r="E1977" s="6" t="n"/>
      <c r="F1977" s="6" t="n"/>
      <c r="G1977" s="6" t="n"/>
      <c r="H1977" s="10">
        <f>IF(F1977="","",IFERROR(INDEX(Roster!$A$2:$A$600,MATCH(F1977,Roster!$E$2:$E$600,0)),""))</f>
        <v/>
      </c>
      <c r="I1977" s="10">
        <f>IF(AND(D1977="",C1977="",F1977=""),"",IF(G1977&lt;&gt;"","Void",IF(F1977="","Needs child",IF(H1977="","Child not found",IF(OR(B1977="",NOT(ISNUMBER(C1977))),"Needs month/pages","OK")))))</f>
        <v/>
      </c>
      <c r="J1977" s="10">
        <f>IF(I1977="","",IF(I1977="OK",IF(COUNTIFS(H1978:H$3001,H1977,B1978:B$3001,B1977,G1978:G$3001,"")=0,C1977,0),0))</f>
        <v/>
      </c>
    </row>
    <row r="1978">
      <c r="A1978" s="6" t="n"/>
      <c r="B1978" s="9" t="n"/>
      <c r="C1978" s="6" t="n"/>
      <c r="D1978" s="6" t="n"/>
      <c r="E1978" s="6" t="n"/>
      <c r="F1978" s="6" t="n"/>
      <c r="G1978" s="6" t="n"/>
      <c r="H1978" s="10">
        <f>IF(F1978="","",IFERROR(INDEX(Roster!$A$2:$A$600,MATCH(F1978,Roster!$E$2:$E$600,0)),""))</f>
        <v/>
      </c>
      <c r="I1978" s="10">
        <f>IF(AND(D1978="",C1978="",F1978=""),"",IF(G1978&lt;&gt;"","Void",IF(F1978="","Needs child",IF(H1978="","Child not found",IF(OR(B1978="",NOT(ISNUMBER(C1978))),"Needs month/pages","OK")))))</f>
        <v/>
      </c>
      <c r="J1978" s="10">
        <f>IF(I1978="","",IF(I1978="OK",IF(COUNTIFS(H1979:H$3001,H1978,B1979:B$3001,B1978,G1979:G$3001,"")=0,C1978,0),0))</f>
        <v/>
      </c>
    </row>
    <row r="1979">
      <c r="A1979" s="6" t="n"/>
      <c r="B1979" s="9" t="n"/>
      <c r="C1979" s="6" t="n"/>
      <c r="D1979" s="6" t="n"/>
      <c r="E1979" s="6" t="n"/>
      <c r="F1979" s="6" t="n"/>
      <c r="G1979" s="6" t="n"/>
      <c r="H1979" s="10">
        <f>IF(F1979="","",IFERROR(INDEX(Roster!$A$2:$A$600,MATCH(F1979,Roster!$E$2:$E$600,0)),""))</f>
        <v/>
      </c>
      <c r="I1979" s="10">
        <f>IF(AND(D1979="",C1979="",F1979=""),"",IF(G1979&lt;&gt;"","Void",IF(F1979="","Needs child",IF(H1979="","Child not found",IF(OR(B1979="",NOT(ISNUMBER(C1979))),"Needs month/pages","OK")))))</f>
        <v/>
      </c>
      <c r="J1979" s="10">
        <f>IF(I1979="","",IF(I1979="OK",IF(COUNTIFS(H1980:H$3001,H1979,B1980:B$3001,B1979,G1980:G$3001,"")=0,C1979,0),0))</f>
        <v/>
      </c>
    </row>
    <row r="1980">
      <c r="A1980" s="6" t="n"/>
      <c r="B1980" s="9" t="n"/>
      <c r="C1980" s="6" t="n"/>
      <c r="D1980" s="6" t="n"/>
      <c r="E1980" s="6" t="n"/>
      <c r="F1980" s="6" t="n"/>
      <c r="G1980" s="6" t="n"/>
      <c r="H1980" s="10">
        <f>IF(F1980="","",IFERROR(INDEX(Roster!$A$2:$A$600,MATCH(F1980,Roster!$E$2:$E$600,0)),""))</f>
        <v/>
      </c>
      <c r="I1980" s="10">
        <f>IF(AND(D1980="",C1980="",F1980=""),"",IF(G1980&lt;&gt;"","Void",IF(F1980="","Needs child",IF(H1980="","Child not found",IF(OR(B1980="",NOT(ISNUMBER(C1980))),"Needs month/pages","OK")))))</f>
        <v/>
      </c>
      <c r="J1980" s="10">
        <f>IF(I1980="","",IF(I1980="OK",IF(COUNTIFS(H1981:H$3001,H1980,B1981:B$3001,B1980,G1981:G$3001,"")=0,C1980,0),0))</f>
        <v/>
      </c>
    </row>
    <row r="1981">
      <c r="A1981" s="6" t="n"/>
      <c r="B1981" s="9" t="n"/>
      <c r="C1981" s="6" t="n"/>
      <c r="D1981" s="6" t="n"/>
      <c r="E1981" s="6" t="n"/>
      <c r="F1981" s="6" t="n"/>
      <c r="G1981" s="6" t="n"/>
      <c r="H1981" s="10">
        <f>IF(F1981="","",IFERROR(INDEX(Roster!$A$2:$A$600,MATCH(F1981,Roster!$E$2:$E$600,0)),""))</f>
        <v/>
      </c>
      <c r="I1981" s="10">
        <f>IF(AND(D1981="",C1981="",F1981=""),"",IF(G1981&lt;&gt;"","Void",IF(F1981="","Needs child",IF(H1981="","Child not found",IF(OR(B1981="",NOT(ISNUMBER(C1981))),"Needs month/pages","OK")))))</f>
        <v/>
      </c>
      <c r="J1981" s="10">
        <f>IF(I1981="","",IF(I1981="OK",IF(COUNTIFS(H1982:H$3001,H1981,B1982:B$3001,B1981,G1982:G$3001,"")=0,C1981,0),0))</f>
        <v/>
      </c>
    </row>
    <row r="1982">
      <c r="A1982" s="6" t="n"/>
      <c r="B1982" s="9" t="n"/>
      <c r="C1982" s="6" t="n"/>
      <c r="D1982" s="6" t="n"/>
      <c r="E1982" s="6" t="n"/>
      <c r="F1982" s="6" t="n"/>
      <c r="G1982" s="6" t="n"/>
      <c r="H1982" s="10">
        <f>IF(F1982="","",IFERROR(INDEX(Roster!$A$2:$A$600,MATCH(F1982,Roster!$E$2:$E$600,0)),""))</f>
        <v/>
      </c>
      <c r="I1982" s="10">
        <f>IF(AND(D1982="",C1982="",F1982=""),"",IF(G1982&lt;&gt;"","Void",IF(F1982="","Needs child",IF(H1982="","Child not found",IF(OR(B1982="",NOT(ISNUMBER(C1982))),"Needs month/pages","OK")))))</f>
        <v/>
      </c>
      <c r="J1982" s="10">
        <f>IF(I1982="","",IF(I1982="OK",IF(COUNTIFS(H1983:H$3001,H1982,B1983:B$3001,B1982,G1983:G$3001,"")=0,C1982,0),0))</f>
        <v/>
      </c>
    </row>
    <row r="1983">
      <c r="A1983" s="6" t="n"/>
      <c r="B1983" s="9" t="n"/>
      <c r="C1983" s="6" t="n"/>
      <c r="D1983" s="6" t="n"/>
      <c r="E1983" s="6" t="n"/>
      <c r="F1983" s="6" t="n"/>
      <c r="G1983" s="6" t="n"/>
      <c r="H1983" s="10">
        <f>IF(F1983="","",IFERROR(INDEX(Roster!$A$2:$A$600,MATCH(F1983,Roster!$E$2:$E$600,0)),""))</f>
        <v/>
      </c>
      <c r="I1983" s="10">
        <f>IF(AND(D1983="",C1983="",F1983=""),"",IF(G1983&lt;&gt;"","Void",IF(F1983="","Needs child",IF(H1983="","Child not found",IF(OR(B1983="",NOT(ISNUMBER(C1983))),"Needs month/pages","OK")))))</f>
        <v/>
      </c>
      <c r="J1983" s="10">
        <f>IF(I1983="","",IF(I1983="OK",IF(COUNTIFS(H1984:H$3001,H1983,B1984:B$3001,B1983,G1984:G$3001,"")=0,C1983,0),0))</f>
        <v/>
      </c>
    </row>
    <row r="1984">
      <c r="A1984" s="6" t="n"/>
      <c r="B1984" s="9" t="n"/>
      <c r="C1984" s="6" t="n"/>
      <c r="D1984" s="6" t="n"/>
      <c r="E1984" s="6" t="n"/>
      <c r="F1984" s="6" t="n"/>
      <c r="G1984" s="6" t="n"/>
      <c r="H1984" s="10">
        <f>IF(F1984="","",IFERROR(INDEX(Roster!$A$2:$A$600,MATCH(F1984,Roster!$E$2:$E$600,0)),""))</f>
        <v/>
      </c>
      <c r="I1984" s="10">
        <f>IF(AND(D1984="",C1984="",F1984=""),"",IF(G1984&lt;&gt;"","Void",IF(F1984="","Needs child",IF(H1984="","Child not found",IF(OR(B1984="",NOT(ISNUMBER(C1984))),"Needs month/pages","OK")))))</f>
        <v/>
      </c>
      <c r="J1984" s="10">
        <f>IF(I1984="","",IF(I1984="OK",IF(COUNTIFS(H1985:H$3001,H1984,B1985:B$3001,B1984,G1985:G$3001,"")=0,C1984,0),0))</f>
        <v/>
      </c>
    </row>
    <row r="1985">
      <c r="A1985" s="6" t="n"/>
      <c r="B1985" s="9" t="n"/>
      <c r="C1985" s="6" t="n"/>
      <c r="D1985" s="6" t="n"/>
      <c r="E1985" s="6" t="n"/>
      <c r="F1985" s="6" t="n"/>
      <c r="G1985" s="6" t="n"/>
      <c r="H1985" s="10">
        <f>IF(F1985="","",IFERROR(INDEX(Roster!$A$2:$A$600,MATCH(F1985,Roster!$E$2:$E$600,0)),""))</f>
        <v/>
      </c>
      <c r="I1985" s="10">
        <f>IF(AND(D1985="",C1985="",F1985=""),"",IF(G1985&lt;&gt;"","Void",IF(F1985="","Needs child",IF(H1985="","Child not found",IF(OR(B1985="",NOT(ISNUMBER(C1985))),"Needs month/pages","OK")))))</f>
        <v/>
      </c>
      <c r="J1985" s="10">
        <f>IF(I1985="","",IF(I1985="OK",IF(COUNTIFS(H1986:H$3001,H1985,B1986:B$3001,B1985,G1986:G$3001,"")=0,C1985,0),0))</f>
        <v/>
      </c>
    </row>
    <row r="1986">
      <c r="A1986" s="6" t="n"/>
      <c r="B1986" s="9" t="n"/>
      <c r="C1986" s="6" t="n"/>
      <c r="D1986" s="6" t="n"/>
      <c r="E1986" s="6" t="n"/>
      <c r="F1986" s="6" t="n"/>
      <c r="G1986" s="6" t="n"/>
      <c r="H1986" s="10">
        <f>IF(F1986="","",IFERROR(INDEX(Roster!$A$2:$A$600,MATCH(F1986,Roster!$E$2:$E$600,0)),""))</f>
        <v/>
      </c>
      <c r="I1986" s="10">
        <f>IF(AND(D1986="",C1986="",F1986=""),"",IF(G1986&lt;&gt;"","Void",IF(F1986="","Needs child",IF(H1986="","Child not found",IF(OR(B1986="",NOT(ISNUMBER(C1986))),"Needs month/pages","OK")))))</f>
        <v/>
      </c>
      <c r="J1986" s="10">
        <f>IF(I1986="","",IF(I1986="OK",IF(COUNTIFS(H1987:H$3001,H1986,B1987:B$3001,B1986,G1987:G$3001,"")=0,C1986,0),0))</f>
        <v/>
      </c>
    </row>
    <row r="1987">
      <c r="A1987" s="6" t="n"/>
      <c r="B1987" s="9" t="n"/>
      <c r="C1987" s="6" t="n"/>
      <c r="D1987" s="6" t="n"/>
      <c r="E1987" s="6" t="n"/>
      <c r="F1987" s="6" t="n"/>
      <c r="G1987" s="6" t="n"/>
      <c r="H1987" s="10">
        <f>IF(F1987="","",IFERROR(INDEX(Roster!$A$2:$A$600,MATCH(F1987,Roster!$E$2:$E$600,0)),""))</f>
        <v/>
      </c>
      <c r="I1987" s="10">
        <f>IF(AND(D1987="",C1987="",F1987=""),"",IF(G1987&lt;&gt;"","Void",IF(F1987="","Needs child",IF(H1987="","Child not found",IF(OR(B1987="",NOT(ISNUMBER(C1987))),"Needs month/pages","OK")))))</f>
        <v/>
      </c>
      <c r="J1987" s="10">
        <f>IF(I1987="","",IF(I1987="OK",IF(COUNTIFS(H1988:H$3001,H1987,B1988:B$3001,B1987,G1988:G$3001,"")=0,C1987,0),0))</f>
        <v/>
      </c>
    </row>
    <row r="1988">
      <c r="A1988" s="6" t="n"/>
      <c r="B1988" s="9" t="n"/>
      <c r="C1988" s="6" t="n"/>
      <c r="D1988" s="6" t="n"/>
      <c r="E1988" s="6" t="n"/>
      <c r="F1988" s="6" t="n"/>
      <c r="G1988" s="6" t="n"/>
      <c r="H1988" s="10">
        <f>IF(F1988="","",IFERROR(INDEX(Roster!$A$2:$A$600,MATCH(F1988,Roster!$E$2:$E$600,0)),""))</f>
        <v/>
      </c>
      <c r="I1988" s="10">
        <f>IF(AND(D1988="",C1988="",F1988=""),"",IF(G1988&lt;&gt;"","Void",IF(F1988="","Needs child",IF(H1988="","Child not found",IF(OR(B1988="",NOT(ISNUMBER(C1988))),"Needs month/pages","OK")))))</f>
        <v/>
      </c>
      <c r="J1988" s="10">
        <f>IF(I1988="","",IF(I1988="OK",IF(COUNTIFS(H1989:H$3001,H1988,B1989:B$3001,B1988,G1989:G$3001,"")=0,C1988,0),0))</f>
        <v/>
      </c>
    </row>
    <row r="1989">
      <c r="A1989" s="6" t="n"/>
      <c r="B1989" s="9" t="n"/>
      <c r="C1989" s="6" t="n"/>
      <c r="D1989" s="6" t="n"/>
      <c r="E1989" s="6" t="n"/>
      <c r="F1989" s="6" t="n"/>
      <c r="G1989" s="6" t="n"/>
      <c r="H1989" s="10">
        <f>IF(F1989="","",IFERROR(INDEX(Roster!$A$2:$A$600,MATCH(F1989,Roster!$E$2:$E$600,0)),""))</f>
        <v/>
      </c>
      <c r="I1989" s="10">
        <f>IF(AND(D1989="",C1989="",F1989=""),"",IF(G1989&lt;&gt;"","Void",IF(F1989="","Needs child",IF(H1989="","Child not found",IF(OR(B1989="",NOT(ISNUMBER(C1989))),"Needs month/pages","OK")))))</f>
        <v/>
      </c>
      <c r="J1989" s="10">
        <f>IF(I1989="","",IF(I1989="OK",IF(COUNTIFS(H1990:H$3001,H1989,B1990:B$3001,B1989,G1990:G$3001,"")=0,C1989,0),0))</f>
        <v/>
      </c>
    </row>
    <row r="1990">
      <c r="A1990" s="6" t="n"/>
      <c r="B1990" s="9" t="n"/>
      <c r="C1990" s="6" t="n"/>
      <c r="D1990" s="6" t="n"/>
      <c r="E1990" s="6" t="n"/>
      <c r="F1990" s="6" t="n"/>
      <c r="G1990" s="6" t="n"/>
      <c r="H1990" s="10">
        <f>IF(F1990="","",IFERROR(INDEX(Roster!$A$2:$A$600,MATCH(F1990,Roster!$E$2:$E$600,0)),""))</f>
        <v/>
      </c>
      <c r="I1990" s="10">
        <f>IF(AND(D1990="",C1990="",F1990=""),"",IF(G1990&lt;&gt;"","Void",IF(F1990="","Needs child",IF(H1990="","Child not found",IF(OR(B1990="",NOT(ISNUMBER(C1990))),"Needs month/pages","OK")))))</f>
        <v/>
      </c>
      <c r="J1990" s="10">
        <f>IF(I1990="","",IF(I1990="OK",IF(COUNTIFS(H1991:H$3001,H1990,B1991:B$3001,B1990,G1991:G$3001,"")=0,C1990,0),0))</f>
        <v/>
      </c>
    </row>
    <row r="1991">
      <c r="A1991" s="6" t="n"/>
      <c r="B1991" s="9" t="n"/>
      <c r="C1991" s="6" t="n"/>
      <c r="D1991" s="6" t="n"/>
      <c r="E1991" s="6" t="n"/>
      <c r="F1991" s="6" t="n"/>
      <c r="G1991" s="6" t="n"/>
      <c r="H1991" s="10">
        <f>IF(F1991="","",IFERROR(INDEX(Roster!$A$2:$A$600,MATCH(F1991,Roster!$E$2:$E$600,0)),""))</f>
        <v/>
      </c>
      <c r="I1991" s="10">
        <f>IF(AND(D1991="",C1991="",F1991=""),"",IF(G1991&lt;&gt;"","Void",IF(F1991="","Needs child",IF(H1991="","Child not found",IF(OR(B1991="",NOT(ISNUMBER(C1991))),"Needs month/pages","OK")))))</f>
        <v/>
      </c>
      <c r="J1991" s="10">
        <f>IF(I1991="","",IF(I1991="OK",IF(COUNTIFS(H1992:H$3001,H1991,B1992:B$3001,B1991,G1992:G$3001,"")=0,C1991,0),0))</f>
        <v/>
      </c>
    </row>
    <row r="1992">
      <c r="A1992" s="6" t="n"/>
      <c r="B1992" s="9" t="n"/>
      <c r="C1992" s="6" t="n"/>
      <c r="D1992" s="6" t="n"/>
      <c r="E1992" s="6" t="n"/>
      <c r="F1992" s="6" t="n"/>
      <c r="G1992" s="6" t="n"/>
      <c r="H1992" s="10">
        <f>IF(F1992="","",IFERROR(INDEX(Roster!$A$2:$A$600,MATCH(F1992,Roster!$E$2:$E$600,0)),""))</f>
        <v/>
      </c>
      <c r="I1992" s="10">
        <f>IF(AND(D1992="",C1992="",F1992=""),"",IF(G1992&lt;&gt;"","Void",IF(F1992="","Needs child",IF(H1992="","Child not found",IF(OR(B1992="",NOT(ISNUMBER(C1992))),"Needs month/pages","OK")))))</f>
        <v/>
      </c>
      <c r="J1992" s="10">
        <f>IF(I1992="","",IF(I1992="OK",IF(COUNTIFS(H1993:H$3001,H1992,B1993:B$3001,B1992,G1993:G$3001,"")=0,C1992,0),0))</f>
        <v/>
      </c>
    </row>
    <row r="1993">
      <c r="A1993" s="6" t="n"/>
      <c r="B1993" s="9" t="n"/>
      <c r="C1993" s="6" t="n"/>
      <c r="D1993" s="6" t="n"/>
      <c r="E1993" s="6" t="n"/>
      <c r="F1993" s="6" t="n"/>
      <c r="G1993" s="6" t="n"/>
      <c r="H1993" s="10">
        <f>IF(F1993="","",IFERROR(INDEX(Roster!$A$2:$A$600,MATCH(F1993,Roster!$E$2:$E$600,0)),""))</f>
        <v/>
      </c>
      <c r="I1993" s="10">
        <f>IF(AND(D1993="",C1993="",F1993=""),"",IF(G1993&lt;&gt;"","Void",IF(F1993="","Needs child",IF(H1993="","Child not found",IF(OR(B1993="",NOT(ISNUMBER(C1993))),"Needs month/pages","OK")))))</f>
        <v/>
      </c>
      <c r="J1993" s="10">
        <f>IF(I1993="","",IF(I1993="OK",IF(COUNTIFS(H1994:H$3001,H1993,B1994:B$3001,B1993,G1994:G$3001,"")=0,C1993,0),0))</f>
        <v/>
      </c>
    </row>
    <row r="1994">
      <c r="A1994" s="6" t="n"/>
      <c r="B1994" s="9" t="n"/>
      <c r="C1994" s="6" t="n"/>
      <c r="D1994" s="6" t="n"/>
      <c r="E1994" s="6" t="n"/>
      <c r="F1994" s="6" t="n"/>
      <c r="G1994" s="6" t="n"/>
      <c r="H1994" s="10">
        <f>IF(F1994="","",IFERROR(INDEX(Roster!$A$2:$A$600,MATCH(F1994,Roster!$E$2:$E$600,0)),""))</f>
        <v/>
      </c>
      <c r="I1994" s="10">
        <f>IF(AND(D1994="",C1994="",F1994=""),"",IF(G1994&lt;&gt;"","Void",IF(F1994="","Needs child",IF(H1994="","Child not found",IF(OR(B1994="",NOT(ISNUMBER(C1994))),"Needs month/pages","OK")))))</f>
        <v/>
      </c>
      <c r="J1994" s="10">
        <f>IF(I1994="","",IF(I1994="OK",IF(COUNTIFS(H1995:H$3001,H1994,B1995:B$3001,B1994,G1995:G$3001,"")=0,C1994,0),0))</f>
        <v/>
      </c>
    </row>
    <row r="1995">
      <c r="A1995" s="6" t="n"/>
      <c r="B1995" s="9" t="n"/>
      <c r="C1995" s="6" t="n"/>
      <c r="D1995" s="6" t="n"/>
      <c r="E1995" s="6" t="n"/>
      <c r="F1995" s="6" t="n"/>
      <c r="G1995" s="6" t="n"/>
      <c r="H1995" s="10">
        <f>IF(F1995="","",IFERROR(INDEX(Roster!$A$2:$A$600,MATCH(F1995,Roster!$E$2:$E$600,0)),""))</f>
        <v/>
      </c>
      <c r="I1995" s="10">
        <f>IF(AND(D1995="",C1995="",F1995=""),"",IF(G1995&lt;&gt;"","Void",IF(F1995="","Needs child",IF(H1995="","Child not found",IF(OR(B1995="",NOT(ISNUMBER(C1995))),"Needs month/pages","OK")))))</f>
        <v/>
      </c>
      <c r="J1995" s="10">
        <f>IF(I1995="","",IF(I1995="OK",IF(COUNTIFS(H1996:H$3001,H1995,B1996:B$3001,B1995,G1996:G$3001,"")=0,C1995,0),0))</f>
        <v/>
      </c>
    </row>
    <row r="1996">
      <c r="A1996" s="6" t="n"/>
      <c r="B1996" s="9" t="n"/>
      <c r="C1996" s="6" t="n"/>
      <c r="D1996" s="6" t="n"/>
      <c r="E1996" s="6" t="n"/>
      <c r="F1996" s="6" t="n"/>
      <c r="G1996" s="6" t="n"/>
      <c r="H1996" s="10">
        <f>IF(F1996="","",IFERROR(INDEX(Roster!$A$2:$A$600,MATCH(F1996,Roster!$E$2:$E$600,0)),""))</f>
        <v/>
      </c>
      <c r="I1996" s="10">
        <f>IF(AND(D1996="",C1996="",F1996=""),"",IF(G1996&lt;&gt;"","Void",IF(F1996="","Needs child",IF(H1996="","Child not found",IF(OR(B1996="",NOT(ISNUMBER(C1996))),"Needs month/pages","OK")))))</f>
        <v/>
      </c>
      <c r="J1996" s="10">
        <f>IF(I1996="","",IF(I1996="OK",IF(COUNTIFS(H1997:H$3001,H1996,B1997:B$3001,B1996,G1997:G$3001,"")=0,C1996,0),0))</f>
        <v/>
      </c>
    </row>
    <row r="1997">
      <c r="A1997" s="6" t="n"/>
      <c r="B1997" s="9" t="n"/>
      <c r="C1997" s="6" t="n"/>
      <c r="D1997" s="6" t="n"/>
      <c r="E1997" s="6" t="n"/>
      <c r="F1997" s="6" t="n"/>
      <c r="G1997" s="6" t="n"/>
      <c r="H1997" s="10">
        <f>IF(F1997="","",IFERROR(INDEX(Roster!$A$2:$A$600,MATCH(F1997,Roster!$E$2:$E$600,0)),""))</f>
        <v/>
      </c>
      <c r="I1997" s="10">
        <f>IF(AND(D1997="",C1997="",F1997=""),"",IF(G1997&lt;&gt;"","Void",IF(F1997="","Needs child",IF(H1997="","Child not found",IF(OR(B1997="",NOT(ISNUMBER(C1997))),"Needs month/pages","OK")))))</f>
        <v/>
      </c>
      <c r="J1997" s="10">
        <f>IF(I1997="","",IF(I1997="OK",IF(COUNTIFS(H1998:H$3001,H1997,B1998:B$3001,B1997,G1998:G$3001,"")=0,C1997,0),0))</f>
        <v/>
      </c>
    </row>
    <row r="1998">
      <c r="A1998" s="6" t="n"/>
      <c r="B1998" s="9" t="n"/>
      <c r="C1998" s="6" t="n"/>
      <c r="D1998" s="6" t="n"/>
      <c r="E1998" s="6" t="n"/>
      <c r="F1998" s="6" t="n"/>
      <c r="G1998" s="6" t="n"/>
      <c r="H1998" s="10">
        <f>IF(F1998="","",IFERROR(INDEX(Roster!$A$2:$A$600,MATCH(F1998,Roster!$E$2:$E$600,0)),""))</f>
        <v/>
      </c>
      <c r="I1998" s="10">
        <f>IF(AND(D1998="",C1998="",F1998=""),"",IF(G1998&lt;&gt;"","Void",IF(F1998="","Needs child",IF(H1998="","Child not found",IF(OR(B1998="",NOT(ISNUMBER(C1998))),"Needs month/pages","OK")))))</f>
        <v/>
      </c>
      <c r="J1998" s="10">
        <f>IF(I1998="","",IF(I1998="OK",IF(COUNTIFS(H1999:H$3001,H1998,B1999:B$3001,B1998,G1999:G$3001,"")=0,C1998,0),0))</f>
        <v/>
      </c>
    </row>
    <row r="1999">
      <c r="A1999" s="6" t="n"/>
      <c r="B1999" s="9" t="n"/>
      <c r="C1999" s="6" t="n"/>
      <c r="D1999" s="6" t="n"/>
      <c r="E1999" s="6" t="n"/>
      <c r="F1999" s="6" t="n"/>
      <c r="G1999" s="6" t="n"/>
      <c r="H1999" s="10">
        <f>IF(F1999="","",IFERROR(INDEX(Roster!$A$2:$A$600,MATCH(F1999,Roster!$E$2:$E$600,0)),""))</f>
        <v/>
      </c>
      <c r="I1999" s="10">
        <f>IF(AND(D1999="",C1999="",F1999=""),"",IF(G1999&lt;&gt;"","Void",IF(F1999="","Needs child",IF(H1999="","Child not found",IF(OR(B1999="",NOT(ISNUMBER(C1999))),"Needs month/pages","OK")))))</f>
        <v/>
      </c>
      <c r="J1999" s="10">
        <f>IF(I1999="","",IF(I1999="OK",IF(COUNTIFS(H2000:H$3001,H1999,B2000:B$3001,B1999,G2000:G$3001,"")=0,C1999,0),0))</f>
        <v/>
      </c>
    </row>
    <row r="2000">
      <c r="A2000" s="6" t="n"/>
      <c r="B2000" s="9" t="n"/>
      <c r="C2000" s="6" t="n"/>
      <c r="D2000" s="6" t="n"/>
      <c r="E2000" s="6" t="n"/>
      <c r="F2000" s="6" t="n"/>
      <c r="G2000" s="6" t="n"/>
      <c r="H2000" s="10">
        <f>IF(F2000="","",IFERROR(INDEX(Roster!$A$2:$A$600,MATCH(F2000,Roster!$E$2:$E$600,0)),""))</f>
        <v/>
      </c>
      <c r="I2000" s="10">
        <f>IF(AND(D2000="",C2000="",F2000=""),"",IF(G2000&lt;&gt;"","Void",IF(F2000="","Needs child",IF(H2000="","Child not found",IF(OR(B2000="",NOT(ISNUMBER(C2000))),"Needs month/pages","OK")))))</f>
        <v/>
      </c>
      <c r="J2000" s="10">
        <f>IF(I2000="","",IF(I2000="OK",IF(COUNTIFS(H2001:H$3001,H2000,B2001:B$3001,B2000,G2001:G$3001,"")=0,C2000,0),0))</f>
        <v/>
      </c>
    </row>
    <row r="2001">
      <c r="A2001" s="6" t="n"/>
      <c r="B2001" s="9" t="n"/>
      <c r="C2001" s="6" t="n"/>
      <c r="D2001" s="6" t="n"/>
      <c r="E2001" s="6" t="n"/>
      <c r="F2001" s="6" t="n"/>
      <c r="G2001" s="6" t="n"/>
      <c r="H2001" s="10">
        <f>IF(F2001="","",IFERROR(INDEX(Roster!$A$2:$A$600,MATCH(F2001,Roster!$E$2:$E$600,0)),""))</f>
        <v/>
      </c>
      <c r="I2001" s="10">
        <f>IF(AND(D2001="",C2001="",F2001=""),"",IF(G2001&lt;&gt;"","Void",IF(F2001="","Needs child",IF(H2001="","Child not found",IF(OR(B2001="",NOT(ISNUMBER(C2001))),"Needs month/pages","OK")))))</f>
        <v/>
      </c>
      <c r="J2001" s="10">
        <f>IF(I2001="","",IF(I2001="OK",IF(COUNTIFS(H2002:H$3001,H2001,B2002:B$3001,B2001,G2002:G$3001,"")=0,C2001,0),0))</f>
        <v/>
      </c>
    </row>
    <row r="2002">
      <c r="A2002" s="6" t="n"/>
      <c r="B2002" s="9" t="n"/>
      <c r="C2002" s="6" t="n"/>
      <c r="D2002" s="6" t="n"/>
      <c r="E2002" s="6" t="n"/>
      <c r="F2002" s="6" t="n"/>
      <c r="G2002" s="6" t="n"/>
      <c r="H2002" s="10">
        <f>IF(F2002="","",IFERROR(INDEX(Roster!$A$2:$A$600,MATCH(F2002,Roster!$E$2:$E$600,0)),""))</f>
        <v/>
      </c>
      <c r="I2002" s="10">
        <f>IF(AND(D2002="",C2002="",F2002=""),"",IF(G2002&lt;&gt;"","Void",IF(F2002="","Needs child",IF(H2002="","Child not found",IF(OR(B2002="",NOT(ISNUMBER(C2002))),"Needs month/pages","OK")))))</f>
        <v/>
      </c>
      <c r="J2002" s="10">
        <f>IF(I2002="","",IF(I2002="OK",IF(COUNTIFS(H2003:H$3001,H2002,B2003:B$3001,B2002,G2003:G$3001,"")=0,C2002,0),0))</f>
        <v/>
      </c>
    </row>
    <row r="2003">
      <c r="A2003" s="6" t="n"/>
      <c r="B2003" s="9" t="n"/>
      <c r="C2003" s="6" t="n"/>
      <c r="D2003" s="6" t="n"/>
      <c r="E2003" s="6" t="n"/>
      <c r="F2003" s="6" t="n"/>
      <c r="G2003" s="6" t="n"/>
      <c r="H2003" s="10">
        <f>IF(F2003="","",IFERROR(INDEX(Roster!$A$2:$A$600,MATCH(F2003,Roster!$E$2:$E$600,0)),""))</f>
        <v/>
      </c>
      <c r="I2003" s="10">
        <f>IF(AND(D2003="",C2003="",F2003=""),"",IF(G2003&lt;&gt;"","Void",IF(F2003="","Needs child",IF(H2003="","Child not found",IF(OR(B2003="",NOT(ISNUMBER(C2003))),"Needs month/pages","OK")))))</f>
        <v/>
      </c>
      <c r="J2003" s="10">
        <f>IF(I2003="","",IF(I2003="OK",IF(COUNTIFS(H2004:H$3001,H2003,B2004:B$3001,B2003,G2004:G$3001,"")=0,C2003,0),0))</f>
        <v/>
      </c>
    </row>
    <row r="2004">
      <c r="A2004" s="6" t="n"/>
      <c r="B2004" s="9" t="n"/>
      <c r="C2004" s="6" t="n"/>
      <c r="D2004" s="6" t="n"/>
      <c r="E2004" s="6" t="n"/>
      <c r="F2004" s="6" t="n"/>
      <c r="G2004" s="6" t="n"/>
      <c r="H2004" s="10">
        <f>IF(F2004="","",IFERROR(INDEX(Roster!$A$2:$A$600,MATCH(F2004,Roster!$E$2:$E$600,0)),""))</f>
        <v/>
      </c>
      <c r="I2004" s="10">
        <f>IF(AND(D2004="",C2004="",F2004=""),"",IF(G2004&lt;&gt;"","Void",IF(F2004="","Needs child",IF(H2004="","Child not found",IF(OR(B2004="",NOT(ISNUMBER(C2004))),"Needs month/pages","OK")))))</f>
        <v/>
      </c>
      <c r="J2004" s="10">
        <f>IF(I2004="","",IF(I2004="OK",IF(COUNTIFS(H2005:H$3001,H2004,B2005:B$3001,B2004,G2005:G$3001,"")=0,C2004,0),0))</f>
        <v/>
      </c>
    </row>
    <row r="2005">
      <c r="A2005" s="6" t="n"/>
      <c r="B2005" s="9" t="n"/>
      <c r="C2005" s="6" t="n"/>
      <c r="D2005" s="6" t="n"/>
      <c r="E2005" s="6" t="n"/>
      <c r="F2005" s="6" t="n"/>
      <c r="G2005" s="6" t="n"/>
      <c r="H2005" s="10">
        <f>IF(F2005="","",IFERROR(INDEX(Roster!$A$2:$A$600,MATCH(F2005,Roster!$E$2:$E$600,0)),""))</f>
        <v/>
      </c>
      <c r="I2005" s="10">
        <f>IF(AND(D2005="",C2005="",F2005=""),"",IF(G2005&lt;&gt;"","Void",IF(F2005="","Needs child",IF(H2005="","Child not found",IF(OR(B2005="",NOT(ISNUMBER(C2005))),"Needs month/pages","OK")))))</f>
        <v/>
      </c>
      <c r="J2005" s="10">
        <f>IF(I2005="","",IF(I2005="OK",IF(COUNTIFS(H2006:H$3001,H2005,B2006:B$3001,B2005,G2006:G$3001,"")=0,C2005,0),0))</f>
        <v/>
      </c>
    </row>
    <row r="2006">
      <c r="A2006" s="6" t="n"/>
      <c r="B2006" s="9" t="n"/>
      <c r="C2006" s="6" t="n"/>
      <c r="D2006" s="6" t="n"/>
      <c r="E2006" s="6" t="n"/>
      <c r="F2006" s="6" t="n"/>
      <c r="G2006" s="6" t="n"/>
      <c r="H2006" s="10">
        <f>IF(F2006="","",IFERROR(INDEX(Roster!$A$2:$A$600,MATCH(F2006,Roster!$E$2:$E$600,0)),""))</f>
        <v/>
      </c>
      <c r="I2006" s="10">
        <f>IF(AND(D2006="",C2006="",F2006=""),"",IF(G2006&lt;&gt;"","Void",IF(F2006="","Needs child",IF(H2006="","Child not found",IF(OR(B2006="",NOT(ISNUMBER(C2006))),"Needs month/pages","OK")))))</f>
        <v/>
      </c>
      <c r="J2006" s="10">
        <f>IF(I2006="","",IF(I2006="OK",IF(COUNTIFS(H2007:H$3001,H2006,B2007:B$3001,B2006,G2007:G$3001,"")=0,C2006,0),0))</f>
        <v/>
      </c>
    </row>
    <row r="2007">
      <c r="A2007" s="6" t="n"/>
      <c r="B2007" s="9" t="n"/>
      <c r="C2007" s="6" t="n"/>
      <c r="D2007" s="6" t="n"/>
      <c r="E2007" s="6" t="n"/>
      <c r="F2007" s="6" t="n"/>
      <c r="G2007" s="6" t="n"/>
      <c r="H2007" s="10">
        <f>IF(F2007="","",IFERROR(INDEX(Roster!$A$2:$A$600,MATCH(F2007,Roster!$E$2:$E$600,0)),""))</f>
        <v/>
      </c>
      <c r="I2007" s="10">
        <f>IF(AND(D2007="",C2007="",F2007=""),"",IF(G2007&lt;&gt;"","Void",IF(F2007="","Needs child",IF(H2007="","Child not found",IF(OR(B2007="",NOT(ISNUMBER(C2007))),"Needs month/pages","OK")))))</f>
        <v/>
      </c>
      <c r="J2007" s="10">
        <f>IF(I2007="","",IF(I2007="OK",IF(COUNTIFS(H2008:H$3001,H2007,B2008:B$3001,B2007,G2008:G$3001,"")=0,C2007,0),0))</f>
        <v/>
      </c>
    </row>
    <row r="2008">
      <c r="A2008" s="6" t="n"/>
      <c r="B2008" s="9" t="n"/>
      <c r="C2008" s="6" t="n"/>
      <c r="D2008" s="6" t="n"/>
      <c r="E2008" s="6" t="n"/>
      <c r="F2008" s="6" t="n"/>
      <c r="G2008" s="6" t="n"/>
      <c r="H2008" s="10">
        <f>IF(F2008="","",IFERROR(INDEX(Roster!$A$2:$A$600,MATCH(F2008,Roster!$E$2:$E$600,0)),""))</f>
        <v/>
      </c>
      <c r="I2008" s="10">
        <f>IF(AND(D2008="",C2008="",F2008=""),"",IF(G2008&lt;&gt;"","Void",IF(F2008="","Needs child",IF(H2008="","Child not found",IF(OR(B2008="",NOT(ISNUMBER(C2008))),"Needs month/pages","OK")))))</f>
        <v/>
      </c>
      <c r="J2008" s="10">
        <f>IF(I2008="","",IF(I2008="OK",IF(COUNTIFS(H2009:H$3001,H2008,B2009:B$3001,B2008,G2009:G$3001,"")=0,C2008,0),0))</f>
        <v/>
      </c>
    </row>
    <row r="2009">
      <c r="A2009" s="6" t="n"/>
      <c r="B2009" s="9" t="n"/>
      <c r="C2009" s="6" t="n"/>
      <c r="D2009" s="6" t="n"/>
      <c r="E2009" s="6" t="n"/>
      <c r="F2009" s="6" t="n"/>
      <c r="G2009" s="6" t="n"/>
      <c r="H2009" s="10">
        <f>IF(F2009="","",IFERROR(INDEX(Roster!$A$2:$A$600,MATCH(F2009,Roster!$E$2:$E$600,0)),""))</f>
        <v/>
      </c>
      <c r="I2009" s="10">
        <f>IF(AND(D2009="",C2009="",F2009=""),"",IF(G2009&lt;&gt;"","Void",IF(F2009="","Needs child",IF(H2009="","Child not found",IF(OR(B2009="",NOT(ISNUMBER(C2009))),"Needs month/pages","OK")))))</f>
        <v/>
      </c>
      <c r="J2009" s="10">
        <f>IF(I2009="","",IF(I2009="OK",IF(COUNTIFS(H2010:H$3001,H2009,B2010:B$3001,B2009,G2010:G$3001,"")=0,C2009,0),0))</f>
        <v/>
      </c>
    </row>
    <row r="2010">
      <c r="A2010" s="6" t="n"/>
      <c r="B2010" s="9" t="n"/>
      <c r="C2010" s="6" t="n"/>
      <c r="D2010" s="6" t="n"/>
      <c r="E2010" s="6" t="n"/>
      <c r="F2010" s="6" t="n"/>
      <c r="G2010" s="6" t="n"/>
      <c r="H2010" s="10">
        <f>IF(F2010="","",IFERROR(INDEX(Roster!$A$2:$A$600,MATCH(F2010,Roster!$E$2:$E$600,0)),""))</f>
        <v/>
      </c>
      <c r="I2010" s="10">
        <f>IF(AND(D2010="",C2010="",F2010=""),"",IF(G2010&lt;&gt;"","Void",IF(F2010="","Needs child",IF(H2010="","Child not found",IF(OR(B2010="",NOT(ISNUMBER(C2010))),"Needs month/pages","OK")))))</f>
        <v/>
      </c>
      <c r="J2010" s="10">
        <f>IF(I2010="","",IF(I2010="OK",IF(COUNTIFS(H2011:H$3001,H2010,B2011:B$3001,B2010,G2011:G$3001,"")=0,C2010,0),0))</f>
        <v/>
      </c>
    </row>
    <row r="2011">
      <c r="A2011" s="6" t="n"/>
      <c r="B2011" s="9" t="n"/>
      <c r="C2011" s="6" t="n"/>
      <c r="D2011" s="6" t="n"/>
      <c r="E2011" s="6" t="n"/>
      <c r="F2011" s="6" t="n"/>
      <c r="G2011" s="6" t="n"/>
      <c r="H2011" s="10">
        <f>IF(F2011="","",IFERROR(INDEX(Roster!$A$2:$A$600,MATCH(F2011,Roster!$E$2:$E$600,0)),""))</f>
        <v/>
      </c>
      <c r="I2011" s="10">
        <f>IF(AND(D2011="",C2011="",F2011=""),"",IF(G2011&lt;&gt;"","Void",IF(F2011="","Needs child",IF(H2011="","Child not found",IF(OR(B2011="",NOT(ISNUMBER(C2011))),"Needs month/pages","OK")))))</f>
        <v/>
      </c>
      <c r="J2011" s="10">
        <f>IF(I2011="","",IF(I2011="OK",IF(COUNTIFS(H2012:H$3001,H2011,B2012:B$3001,B2011,G2012:G$3001,"")=0,C2011,0),0))</f>
        <v/>
      </c>
    </row>
    <row r="2012">
      <c r="A2012" s="6" t="n"/>
      <c r="B2012" s="9" t="n"/>
      <c r="C2012" s="6" t="n"/>
      <c r="D2012" s="6" t="n"/>
      <c r="E2012" s="6" t="n"/>
      <c r="F2012" s="6" t="n"/>
      <c r="G2012" s="6" t="n"/>
      <c r="H2012" s="10">
        <f>IF(F2012="","",IFERROR(INDEX(Roster!$A$2:$A$600,MATCH(F2012,Roster!$E$2:$E$600,0)),""))</f>
        <v/>
      </c>
      <c r="I2012" s="10">
        <f>IF(AND(D2012="",C2012="",F2012=""),"",IF(G2012&lt;&gt;"","Void",IF(F2012="","Needs child",IF(H2012="","Child not found",IF(OR(B2012="",NOT(ISNUMBER(C2012))),"Needs month/pages","OK")))))</f>
        <v/>
      </c>
      <c r="J2012" s="10">
        <f>IF(I2012="","",IF(I2012="OK",IF(COUNTIFS(H2013:H$3001,H2012,B2013:B$3001,B2012,G2013:G$3001,"")=0,C2012,0),0))</f>
        <v/>
      </c>
    </row>
    <row r="2013">
      <c r="A2013" s="6" t="n"/>
      <c r="B2013" s="9" t="n"/>
      <c r="C2013" s="6" t="n"/>
      <c r="D2013" s="6" t="n"/>
      <c r="E2013" s="6" t="n"/>
      <c r="F2013" s="6" t="n"/>
      <c r="G2013" s="6" t="n"/>
      <c r="H2013" s="10">
        <f>IF(F2013="","",IFERROR(INDEX(Roster!$A$2:$A$600,MATCH(F2013,Roster!$E$2:$E$600,0)),""))</f>
        <v/>
      </c>
      <c r="I2013" s="10">
        <f>IF(AND(D2013="",C2013="",F2013=""),"",IF(G2013&lt;&gt;"","Void",IF(F2013="","Needs child",IF(H2013="","Child not found",IF(OR(B2013="",NOT(ISNUMBER(C2013))),"Needs month/pages","OK")))))</f>
        <v/>
      </c>
      <c r="J2013" s="10">
        <f>IF(I2013="","",IF(I2013="OK",IF(COUNTIFS(H2014:H$3001,H2013,B2014:B$3001,B2013,G2014:G$3001,"")=0,C2013,0),0))</f>
        <v/>
      </c>
    </row>
    <row r="2014">
      <c r="A2014" s="6" t="n"/>
      <c r="B2014" s="9" t="n"/>
      <c r="C2014" s="6" t="n"/>
      <c r="D2014" s="6" t="n"/>
      <c r="E2014" s="6" t="n"/>
      <c r="F2014" s="6" t="n"/>
      <c r="G2014" s="6" t="n"/>
      <c r="H2014" s="10">
        <f>IF(F2014="","",IFERROR(INDEX(Roster!$A$2:$A$600,MATCH(F2014,Roster!$E$2:$E$600,0)),""))</f>
        <v/>
      </c>
      <c r="I2014" s="10">
        <f>IF(AND(D2014="",C2014="",F2014=""),"",IF(G2014&lt;&gt;"","Void",IF(F2014="","Needs child",IF(H2014="","Child not found",IF(OR(B2014="",NOT(ISNUMBER(C2014))),"Needs month/pages","OK")))))</f>
        <v/>
      </c>
      <c r="J2014" s="10">
        <f>IF(I2014="","",IF(I2014="OK",IF(COUNTIFS(H2015:H$3001,H2014,B2015:B$3001,B2014,G2015:G$3001,"")=0,C2014,0),0))</f>
        <v/>
      </c>
    </row>
    <row r="2015">
      <c r="A2015" s="6" t="n"/>
      <c r="B2015" s="9" t="n"/>
      <c r="C2015" s="6" t="n"/>
      <c r="D2015" s="6" t="n"/>
      <c r="E2015" s="6" t="n"/>
      <c r="F2015" s="6" t="n"/>
      <c r="G2015" s="6" t="n"/>
      <c r="H2015" s="10">
        <f>IF(F2015="","",IFERROR(INDEX(Roster!$A$2:$A$600,MATCH(F2015,Roster!$E$2:$E$600,0)),""))</f>
        <v/>
      </c>
      <c r="I2015" s="10">
        <f>IF(AND(D2015="",C2015="",F2015=""),"",IF(G2015&lt;&gt;"","Void",IF(F2015="","Needs child",IF(H2015="","Child not found",IF(OR(B2015="",NOT(ISNUMBER(C2015))),"Needs month/pages","OK")))))</f>
        <v/>
      </c>
      <c r="J2015" s="10">
        <f>IF(I2015="","",IF(I2015="OK",IF(COUNTIFS(H2016:H$3001,H2015,B2016:B$3001,B2015,G2016:G$3001,"")=0,C2015,0),0))</f>
        <v/>
      </c>
    </row>
    <row r="2016">
      <c r="A2016" s="6" t="n"/>
      <c r="B2016" s="9" t="n"/>
      <c r="C2016" s="6" t="n"/>
      <c r="D2016" s="6" t="n"/>
      <c r="E2016" s="6" t="n"/>
      <c r="F2016" s="6" t="n"/>
      <c r="G2016" s="6" t="n"/>
      <c r="H2016" s="10">
        <f>IF(F2016="","",IFERROR(INDEX(Roster!$A$2:$A$600,MATCH(F2016,Roster!$E$2:$E$600,0)),""))</f>
        <v/>
      </c>
      <c r="I2016" s="10">
        <f>IF(AND(D2016="",C2016="",F2016=""),"",IF(G2016&lt;&gt;"","Void",IF(F2016="","Needs child",IF(H2016="","Child not found",IF(OR(B2016="",NOT(ISNUMBER(C2016))),"Needs month/pages","OK")))))</f>
        <v/>
      </c>
      <c r="J2016" s="10">
        <f>IF(I2016="","",IF(I2016="OK",IF(COUNTIFS(H2017:H$3001,H2016,B2017:B$3001,B2016,G2017:G$3001,"")=0,C2016,0),0))</f>
        <v/>
      </c>
    </row>
    <row r="2017">
      <c r="A2017" s="6" t="n"/>
      <c r="B2017" s="9" t="n"/>
      <c r="C2017" s="6" t="n"/>
      <c r="D2017" s="6" t="n"/>
      <c r="E2017" s="6" t="n"/>
      <c r="F2017" s="6" t="n"/>
      <c r="G2017" s="6" t="n"/>
      <c r="H2017" s="10">
        <f>IF(F2017="","",IFERROR(INDEX(Roster!$A$2:$A$600,MATCH(F2017,Roster!$E$2:$E$600,0)),""))</f>
        <v/>
      </c>
      <c r="I2017" s="10">
        <f>IF(AND(D2017="",C2017="",F2017=""),"",IF(G2017&lt;&gt;"","Void",IF(F2017="","Needs child",IF(H2017="","Child not found",IF(OR(B2017="",NOT(ISNUMBER(C2017))),"Needs month/pages","OK")))))</f>
        <v/>
      </c>
      <c r="J2017" s="10">
        <f>IF(I2017="","",IF(I2017="OK",IF(COUNTIFS(H2018:H$3001,H2017,B2018:B$3001,B2017,G2018:G$3001,"")=0,C2017,0),0))</f>
        <v/>
      </c>
    </row>
    <row r="2018">
      <c r="A2018" s="6" t="n"/>
      <c r="B2018" s="9" t="n"/>
      <c r="C2018" s="6" t="n"/>
      <c r="D2018" s="6" t="n"/>
      <c r="E2018" s="6" t="n"/>
      <c r="F2018" s="6" t="n"/>
      <c r="G2018" s="6" t="n"/>
      <c r="H2018" s="10">
        <f>IF(F2018="","",IFERROR(INDEX(Roster!$A$2:$A$600,MATCH(F2018,Roster!$E$2:$E$600,0)),""))</f>
        <v/>
      </c>
      <c r="I2018" s="10">
        <f>IF(AND(D2018="",C2018="",F2018=""),"",IF(G2018&lt;&gt;"","Void",IF(F2018="","Needs child",IF(H2018="","Child not found",IF(OR(B2018="",NOT(ISNUMBER(C2018))),"Needs month/pages","OK")))))</f>
        <v/>
      </c>
      <c r="J2018" s="10">
        <f>IF(I2018="","",IF(I2018="OK",IF(COUNTIFS(H2019:H$3001,H2018,B2019:B$3001,B2018,G2019:G$3001,"")=0,C2018,0),0))</f>
        <v/>
      </c>
    </row>
    <row r="2019">
      <c r="A2019" s="6" t="n"/>
      <c r="B2019" s="9" t="n"/>
      <c r="C2019" s="6" t="n"/>
      <c r="D2019" s="6" t="n"/>
      <c r="E2019" s="6" t="n"/>
      <c r="F2019" s="6" t="n"/>
      <c r="G2019" s="6" t="n"/>
      <c r="H2019" s="10">
        <f>IF(F2019="","",IFERROR(INDEX(Roster!$A$2:$A$600,MATCH(F2019,Roster!$E$2:$E$600,0)),""))</f>
        <v/>
      </c>
      <c r="I2019" s="10">
        <f>IF(AND(D2019="",C2019="",F2019=""),"",IF(G2019&lt;&gt;"","Void",IF(F2019="","Needs child",IF(H2019="","Child not found",IF(OR(B2019="",NOT(ISNUMBER(C2019))),"Needs month/pages","OK")))))</f>
        <v/>
      </c>
      <c r="J2019" s="10">
        <f>IF(I2019="","",IF(I2019="OK",IF(COUNTIFS(H2020:H$3001,H2019,B2020:B$3001,B2019,G2020:G$3001,"")=0,C2019,0),0))</f>
        <v/>
      </c>
    </row>
    <row r="2020">
      <c r="A2020" s="6" t="n"/>
      <c r="B2020" s="9" t="n"/>
      <c r="C2020" s="6" t="n"/>
      <c r="D2020" s="6" t="n"/>
      <c r="E2020" s="6" t="n"/>
      <c r="F2020" s="6" t="n"/>
      <c r="G2020" s="6" t="n"/>
      <c r="H2020" s="10">
        <f>IF(F2020="","",IFERROR(INDEX(Roster!$A$2:$A$600,MATCH(F2020,Roster!$E$2:$E$600,0)),""))</f>
        <v/>
      </c>
      <c r="I2020" s="10">
        <f>IF(AND(D2020="",C2020="",F2020=""),"",IF(G2020&lt;&gt;"","Void",IF(F2020="","Needs child",IF(H2020="","Child not found",IF(OR(B2020="",NOT(ISNUMBER(C2020))),"Needs month/pages","OK")))))</f>
        <v/>
      </c>
      <c r="J2020" s="10">
        <f>IF(I2020="","",IF(I2020="OK",IF(COUNTIFS(H2021:H$3001,H2020,B2021:B$3001,B2020,G2021:G$3001,"")=0,C2020,0),0))</f>
        <v/>
      </c>
    </row>
    <row r="2021">
      <c r="A2021" s="6" t="n"/>
      <c r="B2021" s="9" t="n"/>
      <c r="C2021" s="6" t="n"/>
      <c r="D2021" s="6" t="n"/>
      <c r="E2021" s="6" t="n"/>
      <c r="F2021" s="6" t="n"/>
      <c r="G2021" s="6" t="n"/>
      <c r="H2021" s="10">
        <f>IF(F2021="","",IFERROR(INDEX(Roster!$A$2:$A$600,MATCH(F2021,Roster!$E$2:$E$600,0)),""))</f>
        <v/>
      </c>
      <c r="I2021" s="10">
        <f>IF(AND(D2021="",C2021="",F2021=""),"",IF(G2021&lt;&gt;"","Void",IF(F2021="","Needs child",IF(H2021="","Child not found",IF(OR(B2021="",NOT(ISNUMBER(C2021))),"Needs month/pages","OK")))))</f>
        <v/>
      </c>
      <c r="J2021" s="10">
        <f>IF(I2021="","",IF(I2021="OK",IF(COUNTIFS(H2022:H$3001,H2021,B2022:B$3001,B2021,G2022:G$3001,"")=0,C2021,0),0))</f>
        <v/>
      </c>
    </row>
    <row r="2022">
      <c r="A2022" s="6" t="n"/>
      <c r="B2022" s="9" t="n"/>
      <c r="C2022" s="6" t="n"/>
      <c r="D2022" s="6" t="n"/>
      <c r="E2022" s="6" t="n"/>
      <c r="F2022" s="6" t="n"/>
      <c r="G2022" s="6" t="n"/>
      <c r="H2022" s="10">
        <f>IF(F2022="","",IFERROR(INDEX(Roster!$A$2:$A$600,MATCH(F2022,Roster!$E$2:$E$600,0)),""))</f>
        <v/>
      </c>
      <c r="I2022" s="10">
        <f>IF(AND(D2022="",C2022="",F2022=""),"",IF(G2022&lt;&gt;"","Void",IF(F2022="","Needs child",IF(H2022="","Child not found",IF(OR(B2022="",NOT(ISNUMBER(C2022))),"Needs month/pages","OK")))))</f>
        <v/>
      </c>
      <c r="J2022" s="10">
        <f>IF(I2022="","",IF(I2022="OK",IF(COUNTIFS(H2023:H$3001,H2022,B2023:B$3001,B2022,G2023:G$3001,"")=0,C2022,0),0))</f>
        <v/>
      </c>
    </row>
    <row r="2023">
      <c r="A2023" s="6" t="n"/>
      <c r="B2023" s="9" t="n"/>
      <c r="C2023" s="6" t="n"/>
      <c r="D2023" s="6" t="n"/>
      <c r="E2023" s="6" t="n"/>
      <c r="F2023" s="6" t="n"/>
      <c r="G2023" s="6" t="n"/>
      <c r="H2023" s="10">
        <f>IF(F2023="","",IFERROR(INDEX(Roster!$A$2:$A$600,MATCH(F2023,Roster!$E$2:$E$600,0)),""))</f>
        <v/>
      </c>
      <c r="I2023" s="10">
        <f>IF(AND(D2023="",C2023="",F2023=""),"",IF(G2023&lt;&gt;"","Void",IF(F2023="","Needs child",IF(H2023="","Child not found",IF(OR(B2023="",NOT(ISNUMBER(C2023))),"Needs month/pages","OK")))))</f>
        <v/>
      </c>
      <c r="J2023" s="10">
        <f>IF(I2023="","",IF(I2023="OK",IF(COUNTIFS(H2024:H$3001,H2023,B2024:B$3001,B2023,G2024:G$3001,"")=0,C2023,0),0))</f>
        <v/>
      </c>
    </row>
    <row r="2024">
      <c r="A2024" s="6" t="n"/>
      <c r="B2024" s="9" t="n"/>
      <c r="C2024" s="6" t="n"/>
      <c r="D2024" s="6" t="n"/>
      <c r="E2024" s="6" t="n"/>
      <c r="F2024" s="6" t="n"/>
      <c r="G2024" s="6" t="n"/>
      <c r="H2024" s="10">
        <f>IF(F2024="","",IFERROR(INDEX(Roster!$A$2:$A$600,MATCH(F2024,Roster!$E$2:$E$600,0)),""))</f>
        <v/>
      </c>
      <c r="I2024" s="10">
        <f>IF(AND(D2024="",C2024="",F2024=""),"",IF(G2024&lt;&gt;"","Void",IF(F2024="","Needs child",IF(H2024="","Child not found",IF(OR(B2024="",NOT(ISNUMBER(C2024))),"Needs month/pages","OK")))))</f>
        <v/>
      </c>
      <c r="J2024" s="10">
        <f>IF(I2024="","",IF(I2024="OK",IF(COUNTIFS(H2025:H$3001,H2024,B2025:B$3001,B2024,G2025:G$3001,"")=0,C2024,0),0))</f>
        <v/>
      </c>
    </row>
    <row r="2025">
      <c r="A2025" s="6" t="n"/>
      <c r="B2025" s="9" t="n"/>
      <c r="C2025" s="6" t="n"/>
      <c r="D2025" s="6" t="n"/>
      <c r="E2025" s="6" t="n"/>
      <c r="F2025" s="6" t="n"/>
      <c r="G2025" s="6" t="n"/>
      <c r="H2025" s="10">
        <f>IF(F2025="","",IFERROR(INDEX(Roster!$A$2:$A$600,MATCH(F2025,Roster!$E$2:$E$600,0)),""))</f>
        <v/>
      </c>
      <c r="I2025" s="10">
        <f>IF(AND(D2025="",C2025="",F2025=""),"",IF(G2025&lt;&gt;"","Void",IF(F2025="","Needs child",IF(H2025="","Child not found",IF(OR(B2025="",NOT(ISNUMBER(C2025))),"Needs month/pages","OK")))))</f>
        <v/>
      </c>
      <c r="J2025" s="10">
        <f>IF(I2025="","",IF(I2025="OK",IF(COUNTIFS(H2026:H$3001,H2025,B2026:B$3001,B2025,G2026:G$3001,"")=0,C2025,0),0))</f>
        <v/>
      </c>
    </row>
    <row r="2026">
      <c r="A2026" s="6" t="n"/>
      <c r="B2026" s="9" t="n"/>
      <c r="C2026" s="6" t="n"/>
      <c r="D2026" s="6" t="n"/>
      <c r="E2026" s="6" t="n"/>
      <c r="F2026" s="6" t="n"/>
      <c r="G2026" s="6" t="n"/>
      <c r="H2026" s="10">
        <f>IF(F2026="","",IFERROR(INDEX(Roster!$A$2:$A$600,MATCH(F2026,Roster!$E$2:$E$600,0)),""))</f>
        <v/>
      </c>
      <c r="I2026" s="10">
        <f>IF(AND(D2026="",C2026="",F2026=""),"",IF(G2026&lt;&gt;"","Void",IF(F2026="","Needs child",IF(H2026="","Child not found",IF(OR(B2026="",NOT(ISNUMBER(C2026))),"Needs month/pages","OK")))))</f>
        <v/>
      </c>
      <c r="J2026" s="10">
        <f>IF(I2026="","",IF(I2026="OK",IF(COUNTIFS(H2027:H$3001,H2026,B2027:B$3001,B2026,G2027:G$3001,"")=0,C2026,0),0))</f>
        <v/>
      </c>
    </row>
    <row r="2027">
      <c r="A2027" s="6" t="n"/>
      <c r="B2027" s="9" t="n"/>
      <c r="C2027" s="6" t="n"/>
      <c r="D2027" s="6" t="n"/>
      <c r="E2027" s="6" t="n"/>
      <c r="F2027" s="6" t="n"/>
      <c r="G2027" s="6" t="n"/>
      <c r="H2027" s="10">
        <f>IF(F2027="","",IFERROR(INDEX(Roster!$A$2:$A$600,MATCH(F2027,Roster!$E$2:$E$600,0)),""))</f>
        <v/>
      </c>
      <c r="I2027" s="10">
        <f>IF(AND(D2027="",C2027="",F2027=""),"",IF(G2027&lt;&gt;"","Void",IF(F2027="","Needs child",IF(H2027="","Child not found",IF(OR(B2027="",NOT(ISNUMBER(C2027))),"Needs month/pages","OK")))))</f>
        <v/>
      </c>
      <c r="J2027" s="10">
        <f>IF(I2027="","",IF(I2027="OK",IF(COUNTIFS(H2028:H$3001,H2027,B2028:B$3001,B2027,G2028:G$3001,"")=0,C2027,0),0))</f>
        <v/>
      </c>
    </row>
    <row r="2028">
      <c r="A2028" s="6" t="n"/>
      <c r="B2028" s="9" t="n"/>
      <c r="C2028" s="6" t="n"/>
      <c r="D2028" s="6" t="n"/>
      <c r="E2028" s="6" t="n"/>
      <c r="F2028" s="6" t="n"/>
      <c r="G2028" s="6" t="n"/>
      <c r="H2028" s="10">
        <f>IF(F2028="","",IFERROR(INDEX(Roster!$A$2:$A$600,MATCH(F2028,Roster!$E$2:$E$600,0)),""))</f>
        <v/>
      </c>
      <c r="I2028" s="10">
        <f>IF(AND(D2028="",C2028="",F2028=""),"",IF(G2028&lt;&gt;"","Void",IF(F2028="","Needs child",IF(H2028="","Child not found",IF(OR(B2028="",NOT(ISNUMBER(C2028))),"Needs month/pages","OK")))))</f>
        <v/>
      </c>
      <c r="J2028" s="10">
        <f>IF(I2028="","",IF(I2028="OK",IF(COUNTIFS(H2029:H$3001,H2028,B2029:B$3001,B2028,G2029:G$3001,"")=0,C2028,0),0))</f>
        <v/>
      </c>
    </row>
    <row r="2029">
      <c r="A2029" s="6" t="n"/>
      <c r="B2029" s="9" t="n"/>
      <c r="C2029" s="6" t="n"/>
      <c r="D2029" s="6" t="n"/>
      <c r="E2029" s="6" t="n"/>
      <c r="F2029" s="6" t="n"/>
      <c r="G2029" s="6" t="n"/>
      <c r="H2029" s="10">
        <f>IF(F2029="","",IFERROR(INDEX(Roster!$A$2:$A$600,MATCH(F2029,Roster!$E$2:$E$600,0)),""))</f>
        <v/>
      </c>
      <c r="I2029" s="10">
        <f>IF(AND(D2029="",C2029="",F2029=""),"",IF(G2029&lt;&gt;"","Void",IF(F2029="","Needs child",IF(H2029="","Child not found",IF(OR(B2029="",NOT(ISNUMBER(C2029))),"Needs month/pages","OK")))))</f>
        <v/>
      </c>
      <c r="J2029" s="10">
        <f>IF(I2029="","",IF(I2029="OK",IF(COUNTIFS(H2030:H$3001,H2029,B2030:B$3001,B2029,G2030:G$3001,"")=0,C2029,0),0))</f>
        <v/>
      </c>
    </row>
    <row r="2030">
      <c r="A2030" s="6" t="n"/>
      <c r="B2030" s="9" t="n"/>
      <c r="C2030" s="6" t="n"/>
      <c r="D2030" s="6" t="n"/>
      <c r="E2030" s="6" t="n"/>
      <c r="F2030" s="6" t="n"/>
      <c r="G2030" s="6" t="n"/>
      <c r="H2030" s="10">
        <f>IF(F2030="","",IFERROR(INDEX(Roster!$A$2:$A$600,MATCH(F2030,Roster!$E$2:$E$600,0)),""))</f>
        <v/>
      </c>
      <c r="I2030" s="10">
        <f>IF(AND(D2030="",C2030="",F2030=""),"",IF(G2030&lt;&gt;"","Void",IF(F2030="","Needs child",IF(H2030="","Child not found",IF(OR(B2030="",NOT(ISNUMBER(C2030))),"Needs month/pages","OK")))))</f>
        <v/>
      </c>
      <c r="J2030" s="10">
        <f>IF(I2030="","",IF(I2030="OK",IF(COUNTIFS(H2031:H$3001,H2030,B2031:B$3001,B2030,G2031:G$3001,"")=0,C2030,0),0))</f>
        <v/>
      </c>
    </row>
    <row r="2031">
      <c r="A2031" s="6" t="n"/>
      <c r="B2031" s="9" t="n"/>
      <c r="C2031" s="6" t="n"/>
      <c r="D2031" s="6" t="n"/>
      <c r="E2031" s="6" t="n"/>
      <c r="F2031" s="6" t="n"/>
      <c r="G2031" s="6" t="n"/>
      <c r="H2031" s="10">
        <f>IF(F2031="","",IFERROR(INDEX(Roster!$A$2:$A$600,MATCH(F2031,Roster!$E$2:$E$600,0)),""))</f>
        <v/>
      </c>
      <c r="I2031" s="10">
        <f>IF(AND(D2031="",C2031="",F2031=""),"",IF(G2031&lt;&gt;"","Void",IF(F2031="","Needs child",IF(H2031="","Child not found",IF(OR(B2031="",NOT(ISNUMBER(C2031))),"Needs month/pages","OK")))))</f>
        <v/>
      </c>
      <c r="J2031" s="10">
        <f>IF(I2031="","",IF(I2031="OK",IF(COUNTIFS(H2032:H$3001,H2031,B2032:B$3001,B2031,G2032:G$3001,"")=0,C2031,0),0))</f>
        <v/>
      </c>
    </row>
    <row r="2032">
      <c r="A2032" s="6" t="n"/>
      <c r="B2032" s="9" t="n"/>
      <c r="C2032" s="6" t="n"/>
      <c r="D2032" s="6" t="n"/>
      <c r="E2032" s="6" t="n"/>
      <c r="F2032" s="6" t="n"/>
      <c r="G2032" s="6" t="n"/>
      <c r="H2032" s="10">
        <f>IF(F2032="","",IFERROR(INDEX(Roster!$A$2:$A$600,MATCH(F2032,Roster!$E$2:$E$600,0)),""))</f>
        <v/>
      </c>
      <c r="I2032" s="10">
        <f>IF(AND(D2032="",C2032="",F2032=""),"",IF(G2032&lt;&gt;"","Void",IF(F2032="","Needs child",IF(H2032="","Child not found",IF(OR(B2032="",NOT(ISNUMBER(C2032))),"Needs month/pages","OK")))))</f>
        <v/>
      </c>
      <c r="J2032" s="10">
        <f>IF(I2032="","",IF(I2032="OK",IF(COUNTIFS(H2033:H$3001,H2032,B2033:B$3001,B2032,G2033:G$3001,"")=0,C2032,0),0))</f>
        <v/>
      </c>
    </row>
    <row r="2033">
      <c r="A2033" s="6" t="n"/>
      <c r="B2033" s="9" t="n"/>
      <c r="C2033" s="6" t="n"/>
      <c r="D2033" s="6" t="n"/>
      <c r="E2033" s="6" t="n"/>
      <c r="F2033" s="6" t="n"/>
      <c r="G2033" s="6" t="n"/>
      <c r="H2033" s="10">
        <f>IF(F2033="","",IFERROR(INDEX(Roster!$A$2:$A$600,MATCH(F2033,Roster!$E$2:$E$600,0)),""))</f>
        <v/>
      </c>
      <c r="I2033" s="10">
        <f>IF(AND(D2033="",C2033="",F2033=""),"",IF(G2033&lt;&gt;"","Void",IF(F2033="","Needs child",IF(H2033="","Child not found",IF(OR(B2033="",NOT(ISNUMBER(C2033))),"Needs month/pages","OK")))))</f>
        <v/>
      </c>
      <c r="J2033" s="10">
        <f>IF(I2033="","",IF(I2033="OK",IF(COUNTIFS(H2034:H$3001,H2033,B2034:B$3001,B2033,G2034:G$3001,"")=0,C2033,0),0))</f>
        <v/>
      </c>
    </row>
    <row r="2034">
      <c r="A2034" s="6" t="n"/>
      <c r="B2034" s="9" t="n"/>
      <c r="C2034" s="6" t="n"/>
      <c r="D2034" s="6" t="n"/>
      <c r="E2034" s="6" t="n"/>
      <c r="F2034" s="6" t="n"/>
      <c r="G2034" s="6" t="n"/>
      <c r="H2034" s="10">
        <f>IF(F2034="","",IFERROR(INDEX(Roster!$A$2:$A$600,MATCH(F2034,Roster!$E$2:$E$600,0)),""))</f>
        <v/>
      </c>
      <c r="I2034" s="10">
        <f>IF(AND(D2034="",C2034="",F2034=""),"",IF(G2034&lt;&gt;"","Void",IF(F2034="","Needs child",IF(H2034="","Child not found",IF(OR(B2034="",NOT(ISNUMBER(C2034))),"Needs month/pages","OK")))))</f>
        <v/>
      </c>
      <c r="J2034" s="10">
        <f>IF(I2034="","",IF(I2034="OK",IF(COUNTIFS(H2035:H$3001,H2034,B2035:B$3001,B2034,G2035:G$3001,"")=0,C2034,0),0))</f>
        <v/>
      </c>
    </row>
    <row r="2035">
      <c r="A2035" s="6" t="n"/>
      <c r="B2035" s="9" t="n"/>
      <c r="C2035" s="6" t="n"/>
      <c r="D2035" s="6" t="n"/>
      <c r="E2035" s="6" t="n"/>
      <c r="F2035" s="6" t="n"/>
      <c r="G2035" s="6" t="n"/>
      <c r="H2035" s="10">
        <f>IF(F2035="","",IFERROR(INDEX(Roster!$A$2:$A$600,MATCH(F2035,Roster!$E$2:$E$600,0)),""))</f>
        <v/>
      </c>
      <c r="I2035" s="10">
        <f>IF(AND(D2035="",C2035="",F2035=""),"",IF(G2035&lt;&gt;"","Void",IF(F2035="","Needs child",IF(H2035="","Child not found",IF(OR(B2035="",NOT(ISNUMBER(C2035))),"Needs month/pages","OK")))))</f>
        <v/>
      </c>
      <c r="J2035" s="10">
        <f>IF(I2035="","",IF(I2035="OK",IF(COUNTIFS(H2036:H$3001,H2035,B2036:B$3001,B2035,G2036:G$3001,"")=0,C2035,0),0))</f>
        <v/>
      </c>
    </row>
    <row r="2036">
      <c r="A2036" s="6" t="n"/>
      <c r="B2036" s="9" t="n"/>
      <c r="C2036" s="6" t="n"/>
      <c r="D2036" s="6" t="n"/>
      <c r="E2036" s="6" t="n"/>
      <c r="F2036" s="6" t="n"/>
      <c r="G2036" s="6" t="n"/>
      <c r="H2036" s="10">
        <f>IF(F2036="","",IFERROR(INDEX(Roster!$A$2:$A$600,MATCH(F2036,Roster!$E$2:$E$600,0)),""))</f>
        <v/>
      </c>
      <c r="I2036" s="10">
        <f>IF(AND(D2036="",C2036="",F2036=""),"",IF(G2036&lt;&gt;"","Void",IF(F2036="","Needs child",IF(H2036="","Child not found",IF(OR(B2036="",NOT(ISNUMBER(C2036))),"Needs month/pages","OK")))))</f>
        <v/>
      </c>
      <c r="J2036" s="10">
        <f>IF(I2036="","",IF(I2036="OK",IF(COUNTIFS(H2037:H$3001,H2036,B2037:B$3001,B2036,G2037:G$3001,"")=0,C2036,0),0))</f>
        <v/>
      </c>
    </row>
    <row r="2037">
      <c r="A2037" s="6" t="n"/>
      <c r="B2037" s="9" t="n"/>
      <c r="C2037" s="6" t="n"/>
      <c r="D2037" s="6" t="n"/>
      <c r="E2037" s="6" t="n"/>
      <c r="F2037" s="6" t="n"/>
      <c r="G2037" s="6" t="n"/>
      <c r="H2037" s="10">
        <f>IF(F2037="","",IFERROR(INDEX(Roster!$A$2:$A$600,MATCH(F2037,Roster!$E$2:$E$600,0)),""))</f>
        <v/>
      </c>
      <c r="I2037" s="10">
        <f>IF(AND(D2037="",C2037="",F2037=""),"",IF(G2037&lt;&gt;"","Void",IF(F2037="","Needs child",IF(H2037="","Child not found",IF(OR(B2037="",NOT(ISNUMBER(C2037))),"Needs month/pages","OK")))))</f>
        <v/>
      </c>
      <c r="J2037" s="10">
        <f>IF(I2037="","",IF(I2037="OK",IF(COUNTIFS(H2038:H$3001,H2037,B2038:B$3001,B2037,G2038:G$3001,"")=0,C2037,0),0))</f>
        <v/>
      </c>
    </row>
    <row r="2038">
      <c r="A2038" s="6" t="n"/>
      <c r="B2038" s="9" t="n"/>
      <c r="C2038" s="6" t="n"/>
      <c r="D2038" s="6" t="n"/>
      <c r="E2038" s="6" t="n"/>
      <c r="F2038" s="6" t="n"/>
      <c r="G2038" s="6" t="n"/>
      <c r="H2038" s="10">
        <f>IF(F2038="","",IFERROR(INDEX(Roster!$A$2:$A$600,MATCH(F2038,Roster!$E$2:$E$600,0)),""))</f>
        <v/>
      </c>
      <c r="I2038" s="10">
        <f>IF(AND(D2038="",C2038="",F2038=""),"",IF(G2038&lt;&gt;"","Void",IF(F2038="","Needs child",IF(H2038="","Child not found",IF(OR(B2038="",NOT(ISNUMBER(C2038))),"Needs month/pages","OK")))))</f>
        <v/>
      </c>
      <c r="J2038" s="10">
        <f>IF(I2038="","",IF(I2038="OK",IF(COUNTIFS(H2039:H$3001,H2038,B2039:B$3001,B2038,G2039:G$3001,"")=0,C2038,0),0))</f>
        <v/>
      </c>
    </row>
    <row r="2039">
      <c r="A2039" s="6" t="n"/>
      <c r="B2039" s="9" t="n"/>
      <c r="C2039" s="6" t="n"/>
      <c r="D2039" s="6" t="n"/>
      <c r="E2039" s="6" t="n"/>
      <c r="F2039" s="6" t="n"/>
      <c r="G2039" s="6" t="n"/>
      <c r="H2039" s="10">
        <f>IF(F2039="","",IFERROR(INDEX(Roster!$A$2:$A$600,MATCH(F2039,Roster!$E$2:$E$600,0)),""))</f>
        <v/>
      </c>
      <c r="I2039" s="10">
        <f>IF(AND(D2039="",C2039="",F2039=""),"",IF(G2039&lt;&gt;"","Void",IF(F2039="","Needs child",IF(H2039="","Child not found",IF(OR(B2039="",NOT(ISNUMBER(C2039))),"Needs month/pages","OK")))))</f>
        <v/>
      </c>
      <c r="J2039" s="10">
        <f>IF(I2039="","",IF(I2039="OK",IF(COUNTIFS(H2040:H$3001,H2039,B2040:B$3001,B2039,G2040:G$3001,"")=0,C2039,0),0))</f>
        <v/>
      </c>
    </row>
    <row r="2040">
      <c r="A2040" s="6" t="n"/>
      <c r="B2040" s="9" t="n"/>
      <c r="C2040" s="6" t="n"/>
      <c r="D2040" s="6" t="n"/>
      <c r="E2040" s="6" t="n"/>
      <c r="F2040" s="6" t="n"/>
      <c r="G2040" s="6" t="n"/>
      <c r="H2040" s="10">
        <f>IF(F2040="","",IFERROR(INDEX(Roster!$A$2:$A$600,MATCH(F2040,Roster!$E$2:$E$600,0)),""))</f>
        <v/>
      </c>
      <c r="I2040" s="10">
        <f>IF(AND(D2040="",C2040="",F2040=""),"",IF(G2040&lt;&gt;"","Void",IF(F2040="","Needs child",IF(H2040="","Child not found",IF(OR(B2040="",NOT(ISNUMBER(C2040))),"Needs month/pages","OK")))))</f>
        <v/>
      </c>
      <c r="J2040" s="10">
        <f>IF(I2040="","",IF(I2040="OK",IF(COUNTIFS(H2041:H$3001,H2040,B2041:B$3001,B2040,G2041:G$3001,"")=0,C2040,0),0))</f>
        <v/>
      </c>
    </row>
    <row r="2041">
      <c r="A2041" s="6" t="n"/>
      <c r="B2041" s="9" t="n"/>
      <c r="C2041" s="6" t="n"/>
      <c r="D2041" s="6" t="n"/>
      <c r="E2041" s="6" t="n"/>
      <c r="F2041" s="6" t="n"/>
      <c r="G2041" s="6" t="n"/>
      <c r="H2041" s="10">
        <f>IF(F2041="","",IFERROR(INDEX(Roster!$A$2:$A$600,MATCH(F2041,Roster!$E$2:$E$600,0)),""))</f>
        <v/>
      </c>
      <c r="I2041" s="10">
        <f>IF(AND(D2041="",C2041="",F2041=""),"",IF(G2041&lt;&gt;"","Void",IF(F2041="","Needs child",IF(H2041="","Child not found",IF(OR(B2041="",NOT(ISNUMBER(C2041))),"Needs month/pages","OK")))))</f>
        <v/>
      </c>
      <c r="J2041" s="10">
        <f>IF(I2041="","",IF(I2041="OK",IF(COUNTIFS(H2042:H$3001,H2041,B2042:B$3001,B2041,G2042:G$3001,"")=0,C2041,0),0))</f>
        <v/>
      </c>
    </row>
    <row r="2042">
      <c r="A2042" s="6" t="n"/>
      <c r="B2042" s="9" t="n"/>
      <c r="C2042" s="6" t="n"/>
      <c r="D2042" s="6" t="n"/>
      <c r="E2042" s="6" t="n"/>
      <c r="F2042" s="6" t="n"/>
      <c r="G2042" s="6" t="n"/>
      <c r="H2042" s="10">
        <f>IF(F2042="","",IFERROR(INDEX(Roster!$A$2:$A$600,MATCH(F2042,Roster!$E$2:$E$600,0)),""))</f>
        <v/>
      </c>
      <c r="I2042" s="10">
        <f>IF(AND(D2042="",C2042="",F2042=""),"",IF(G2042&lt;&gt;"","Void",IF(F2042="","Needs child",IF(H2042="","Child not found",IF(OR(B2042="",NOT(ISNUMBER(C2042))),"Needs month/pages","OK")))))</f>
        <v/>
      </c>
      <c r="J2042" s="10">
        <f>IF(I2042="","",IF(I2042="OK",IF(COUNTIFS(H2043:H$3001,H2042,B2043:B$3001,B2042,G2043:G$3001,"")=0,C2042,0),0))</f>
        <v/>
      </c>
    </row>
    <row r="2043">
      <c r="A2043" s="6" t="n"/>
      <c r="B2043" s="9" t="n"/>
      <c r="C2043" s="6" t="n"/>
      <c r="D2043" s="6" t="n"/>
      <c r="E2043" s="6" t="n"/>
      <c r="F2043" s="6" t="n"/>
      <c r="G2043" s="6" t="n"/>
      <c r="H2043" s="10">
        <f>IF(F2043="","",IFERROR(INDEX(Roster!$A$2:$A$600,MATCH(F2043,Roster!$E$2:$E$600,0)),""))</f>
        <v/>
      </c>
      <c r="I2043" s="10">
        <f>IF(AND(D2043="",C2043="",F2043=""),"",IF(G2043&lt;&gt;"","Void",IF(F2043="","Needs child",IF(H2043="","Child not found",IF(OR(B2043="",NOT(ISNUMBER(C2043))),"Needs month/pages","OK")))))</f>
        <v/>
      </c>
      <c r="J2043" s="10">
        <f>IF(I2043="","",IF(I2043="OK",IF(COUNTIFS(H2044:H$3001,H2043,B2044:B$3001,B2043,G2044:G$3001,"")=0,C2043,0),0))</f>
        <v/>
      </c>
    </row>
    <row r="2044">
      <c r="A2044" s="6" t="n"/>
      <c r="B2044" s="9" t="n"/>
      <c r="C2044" s="6" t="n"/>
      <c r="D2044" s="6" t="n"/>
      <c r="E2044" s="6" t="n"/>
      <c r="F2044" s="6" t="n"/>
      <c r="G2044" s="6" t="n"/>
      <c r="H2044" s="10">
        <f>IF(F2044="","",IFERROR(INDEX(Roster!$A$2:$A$600,MATCH(F2044,Roster!$E$2:$E$600,0)),""))</f>
        <v/>
      </c>
      <c r="I2044" s="10">
        <f>IF(AND(D2044="",C2044="",F2044=""),"",IF(G2044&lt;&gt;"","Void",IF(F2044="","Needs child",IF(H2044="","Child not found",IF(OR(B2044="",NOT(ISNUMBER(C2044))),"Needs month/pages","OK")))))</f>
        <v/>
      </c>
      <c r="J2044" s="10">
        <f>IF(I2044="","",IF(I2044="OK",IF(COUNTIFS(H2045:H$3001,H2044,B2045:B$3001,B2044,G2045:G$3001,"")=0,C2044,0),0))</f>
        <v/>
      </c>
    </row>
    <row r="2045">
      <c r="A2045" s="6" t="n"/>
      <c r="B2045" s="9" t="n"/>
      <c r="C2045" s="6" t="n"/>
      <c r="D2045" s="6" t="n"/>
      <c r="E2045" s="6" t="n"/>
      <c r="F2045" s="6" t="n"/>
      <c r="G2045" s="6" t="n"/>
      <c r="H2045" s="10">
        <f>IF(F2045="","",IFERROR(INDEX(Roster!$A$2:$A$600,MATCH(F2045,Roster!$E$2:$E$600,0)),""))</f>
        <v/>
      </c>
      <c r="I2045" s="10">
        <f>IF(AND(D2045="",C2045="",F2045=""),"",IF(G2045&lt;&gt;"","Void",IF(F2045="","Needs child",IF(H2045="","Child not found",IF(OR(B2045="",NOT(ISNUMBER(C2045))),"Needs month/pages","OK")))))</f>
        <v/>
      </c>
      <c r="J2045" s="10">
        <f>IF(I2045="","",IF(I2045="OK",IF(COUNTIFS(H2046:H$3001,H2045,B2046:B$3001,B2045,G2046:G$3001,"")=0,C2045,0),0))</f>
        <v/>
      </c>
    </row>
    <row r="2046">
      <c r="A2046" s="6" t="n"/>
      <c r="B2046" s="9" t="n"/>
      <c r="C2046" s="6" t="n"/>
      <c r="D2046" s="6" t="n"/>
      <c r="E2046" s="6" t="n"/>
      <c r="F2046" s="6" t="n"/>
      <c r="G2046" s="6" t="n"/>
      <c r="H2046" s="10">
        <f>IF(F2046="","",IFERROR(INDEX(Roster!$A$2:$A$600,MATCH(F2046,Roster!$E$2:$E$600,0)),""))</f>
        <v/>
      </c>
      <c r="I2046" s="10">
        <f>IF(AND(D2046="",C2046="",F2046=""),"",IF(G2046&lt;&gt;"","Void",IF(F2046="","Needs child",IF(H2046="","Child not found",IF(OR(B2046="",NOT(ISNUMBER(C2046))),"Needs month/pages","OK")))))</f>
        <v/>
      </c>
      <c r="J2046" s="10">
        <f>IF(I2046="","",IF(I2046="OK",IF(COUNTIFS(H2047:H$3001,H2046,B2047:B$3001,B2046,G2047:G$3001,"")=0,C2046,0),0))</f>
        <v/>
      </c>
    </row>
    <row r="2047">
      <c r="A2047" s="6" t="n"/>
      <c r="B2047" s="9" t="n"/>
      <c r="C2047" s="6" t="n"/>
      <c r="D2047" s="6" t="n"/>
      <c r="E2047" s="6" t="n"/>
      <c r="F2047" s="6" t="n"/>
      <c r="G2047" s="6" t="n"/>
      <c r="H2047" s="10">
        <f>IF(F2047="","",IFERROR(INDEX(Roster!$A$2:$A$600,MATCH(F2047,Roster!$E$2:$E$600,0)),""))</f>
        <v/>
      </c>
      <c r="I2047" s="10">
        <f>IF(AND(D2047="",C2047="",F2047=""),"",IF(G2047&lt;&gt;"","Void",IF(F2047="","Needs child",IF(H2047="","Child not found",IF(OR(B2047="",NOT(ISNUMBER(C2047))),"Needs month/pages","OK")))))</f>
        <v/>
      </c>
      <c r="J2047" s="10">
        <f>IF(I2047="","",IF(I2047="OK",IF(COUNTIFS(H2048:H$3001,H2047,B2048:B$3001,B2047,G2048:G$3001,"")=0,C2047,0),0))</f>
        <v/>
      </c>
    </row>
    <row r="2048">
      <c r="A2048" s="6" t="n"/>
      <c r="B2048" s="9" t="n"/>
      <c r="C2048" s="6" t="n"/>
      <c r="D2048" s="6" t="n"/>
      <c r="E2048" s="6" t="n"/>
      <c r="F2048" s="6" t="n"/>
      <c r="G2048" s="6" t="n"/>
      <c r="H2048" s="10">
        <f>IF(F2048="","",IFERROR(INDEX(Roster!$A$2:$A$600,MATCH(F2048,Roster!$E$2:$E$600,0)),""))</f>
        <v/>
      </c>
      <c r="I2048" s="10">
        <f>IF(AND(D2048="",C2048="",F2048=""),"",IF(G2048&lt;&gt;"","Void",IF(F2048="","Needs child",IF(H2048="","Child not found",IF(OR(B2048="",NOT(ISNUMBER(C2048))),"Needs month/pages","OK")))))</f>
        <v/>
      </c>
      <c r="J2048" s="10">
        <f>IF(I2048="","",IF(I2048="OK",IF(COUNTIFS(H2049:H$3001,H2048,B2049:B$3001,B2048,G2049:G$3001,"")=0,C2048,0),0))</f>
        <v/>
      </c>
    </row>
    <row r="2049">
      <c r="A2049" s="6" t="n"/>
      <c r="B2049" s="9" t="n"/>
      <c r="C2049" s="6" t="n"/>
      <c r="D2049" s="6" t="n"/>
      <c r="E2049" s="6" t="n"/>
      <c r="F2049" s="6" t="n"/>
      <c r="G2049" s="6" t="n"/>
      <c r="H2049" s="10">
        <f>IF(F2049="","",IFERROR(INDEX(Roster!$A$2:$A$600,MATCH(F2049,Roster!$E$2:$E$600,0)),""))</f>
        <v/>
      </c>
      <c r="I2049" s="10">
        <f>IF(AND(D2049="",C2049="",F2049=""),"",IF(G2049&lt;&gt;"","Void",IF(F2049="","Needs child",IF(H2049="","Child not found",IF(OR(B2049="",NOT(ISNUMBER(C2049))),"Needs month/pages","OK")))))</f>
        <v/>
      </c>
      <c r="J2049" s="10">
        <f>IF(I2049="","",IF(I2049="OK",IF(COUNTIFS(H2050:H$3001,H2049,B2050:B$3001,B2049,G2050:G$3001,"")=0,C2049,0),0))</f>
        <v/>
      </c>
    </row>
    <row r="2050">
      <c r="A2050" s="6" t="n"/>
      <c r="B2050" s="9" t="n"/>
      <c r="C2050" s="6" t="n"/>
      <c r="D2050" s="6" t="n"/>
      <c r="E2050" s="6" t="n"/>
      <c r="F2050" s="6" t="n"/>
      <c r="G2050" s="6" t="n"/>
      <c r="H2050" s="10">
        <f>IF(F2050="","",IFERROR(INDEX(Roster!$A$2:$A$600,MATCH(F2050,Roster!$E$2:$E$600,0)),""))</f>
        <v/>
      </c>
      <c r="I2050" s="10">
        <f>IF(AND(D2050="",C2050="",F2050=""),"",IF(G2050&lt;&gt;"","Void",IF(F2050="","Needs child",IF(H2050="","Child not found",IF(OR(B2050="",NOT(ISNUMBER(C2050))),"Needs month/pages","OK")))))</f>
        <v/>
      </c>
      <c r="J2050" s="10">
        <f>IF(I2050="","",IF(I2050="OK",IF(COUNTIFS(H2051:H$3001,H2050,B2051:B$3001,B2050,G2051:G$3001,"")=0,C2050,0),0))</f>
        <v/>
      </c>
    </row>
    <row r="2051">
      <c r="A2051" s="6" t="n"/>
      <c r="B2051" s="9" t="n"/>
      <c r="C2051" s="6" t="n"/>
      <c r="D2051" s="6" t="n"/>
      <c r="E2051" s="6" t="n"/>
      <c r="F2051" s="6" t="n"/>
      <c r="G2051" s="6" t="n"/>
      <c r="H2051" s="10">
        <f>IF(F2051="","",IFERROR(INDEX(Roster!$A$2:$A$600,MATCH(F2051,Roster!$E$2:$E$600,0)),""))</f>
        <v/>
      </c>
      <c r="I2051" s="10">
        <f>IF(AND(D2051="",C2051="",F2051=""),"",IF(G2051&lt;&gt;"","Void",IF(F2051="","Needs child",IF(H2051="","Child not found",IF(OR(B2051="",NOT(ISNUMBER(C2051))),"Needs month/pages","OK")))))</f>
        <v/>
      </c>
      <c r="J2051" s="10">
        <f>IF(I2051="","",IF(I2051="OK",IF(COUNTIFS(H2052:H$3001,H2051,B2052:B$3001,B2051,G2052:G$3001,"")=0,C2051,0),0))</f>
        <v/>
      </c>
    </row>
    <row r="2052">
      <c r="A2052" s="6" t="n"/>
      <c r="B2052" s="9" t="n"/>
      <c r="C2052" s="6" t="n"/>
      <c r="D2052" s="6" t="n"/>
      <c r="E2052" s="6" t="n"/>
      <c r="F2052" s="6" t="n"/>
      <c r="G2052" s="6" t="n"/>
      <c r="H2052" s="10">
        <f>IF(F2052="","",IFERROR(INDEX(Roster!$A$2:$A$600,MATCH(F2052,Roster!$E$2:$E$600,0)),""))</f>
        <v/>
      </c>
      <c r="I2052" s="10">
        <f>IF(AND(D2052="",C2052="",F2052=""),"",IF(G2052&lt;&gt;"","Void",IF(F2052="","Needs child",IF(H2052="","Child not found",IF(OR(B2052="",NOT(ISNUMBER(C2052))),"Needs month/pages","OK")))))</f>
        <v/>
      </c>
      <c r="J2052" s="10">
        <f>IF(I2052="","",IF(I2052="OK",IF(COUNTIFS(H2053:H$3001,H2052,B2053:B$3001,B2052,G2053:G$3001,"")=0,C2052,0),0))</f>
        <v/>
      </c>
    </row>
    <row r="2053">
      <c r="A2053" s="6" t="n"/>
      <c r="B2053" s="9" t="n"/>
      <c r="C2053" s="6" t="n"/>
      <c r="D2053" s="6" t="n"/>
      <c r="E2053" s="6" t="n"/>
      <c r="F2053" s="6" t="n"/>
      <c r="G2053" s="6" t="n"/>
      <c r="H2053" s="10">
        <f>IF(F2053="","",IFERROR(INDEX(Roster!$A$2:$A$600,MATCH(F2053,Roster!$E$2:$E$600,0)),""))</f>
        <v/>
      </c>
      <c r="I2053" s="10">
        <f>IF(AND(D2053="",C2053="",F2053=""),"",IF(G2053&lt;&gt;"","Void",IF(F2053="","Needs child",IF(H2053="","Child not found",IF(OR(B2053="",NOT(ISNUMBER(C2053))),"Needs month/pages","OK")))))</f>
        <v/>
      </c>
      <c r="J2053" s="10">
        <f>IF(I2053="","",IF(I2053="OK",IF(COUNTIFS(H2054:H$3001,H2053,B2054:B$3001,B2053,G2054:G$3001,"")=0,C2053,0),0))</f>
        <v/>
      </c>
    </row>
    <row r="2054">
      <c r="A2054" s="6" t="n"/>
      <c r="B2054" s="9" t="n"/>
      <c r="C2054" s="6" t="n"/>
      <c r="D2054" s="6" t="n"/>
      <c r="E2054" s="6" t="n"/>
      <c r="F2054" s="6" t="n"/>
      <c r="G2054" s="6" t="n"/>
      <c r="H2054" s="10">
        <f>IF(F2054="","",IFERROR(INDEX(Roster!$A$2:$A$600,MATCH(F2054,Roster!$E$2:$E$600,0)),""))</f>
        <v/>
      </c>
      <c r="I2054" s="10">
        <f>IF(AND(D2054="",C2054="",F2054=""),"",IF(G2054&lt;&gt;"","Void",IF(F2054="","Needs child",IF(H2054="","Child not found",IF(OR(B2054="",NOT(ISNUMBER(C2054))),"Needs month/pages","OK")))))</f>
        <v/>
      </c>
      <c r="J2054" s="10">
        <f>IF(I2054="","",IF(I2054="OK",IF(COUNTIFS(H2055:H$3001,H2054,B2055:B$3001,B2054,G2055:G$3001,"")=0,C2054,0),0))</f>
        <v/>
      </c>
    </row>
    <row r="2055">
      <c r="A2055" s="6" t="n"/>
      <c r="B2055" s="9" t="n"/>
      <c r="C2055" s="6" t="n"/>
      <c r="D2055" s="6" t="n"/>
      <c r="E2055" s="6" t="n"/>
      <c r="F2055" s="6" t="n"/>
      <c r="G2055" s="6" t="n"/>
      <c r="H2055" s="10">
        <f>IF(F2055="","",IFERROR(INDEX(Roster!$A$2:$A$600,MATCH(F2055,Roster!$E$2:$E$600,0)),""))</f>
        <v/>
      </c>
      <c r="I2055" s="10">
        <f>IF(AND(D2055="",C2055="",F2055=""),"",IF(G2055&lt;&gt;"","Void",IF(F2055="","Needs child",IF(H2055="","Child not found",IF(OR(B2055="",NOT(ISNUMBER(C2055))),"Needs month/pages","OK")))))</f>
        <v/>
      </c>
      <c r="J2055" s="10">
        <f>IF(I2055="","",IF(I2055="OK",IF(COUNTIFS(H2056:H$3001,H2055,B2056:B$3001,B2055,G2056:G$3001,"")=0,C2055,0),0))</f>
        <v/>
      </c>
    </row>
    <row r="2056">
      <c r="A2056" s="6" t="n"/>
      <c r="B2056" s="9" t="n"/>
      <c r="C2056" s="6" t="n"/>
      <c r="D2056" s="6" t="n"/>
      <c r="E2056" s="6" t="n"/>
      <c r="F2056" s="6" t="n"/>
      <c r="G2056" s="6" t="n"/>
      <c r="H2056" s="10">
        <f>IF(F2056="","",IFERROR(INDEX(Roster!$A$2:$A$600,MATCH(F2056,Roster!$E$2:$E$600,0)),""))</f>
        <v/>
      </c>
      <c r="I2056" s="10">
        <f>IF(AND(D2056="",C2056="",F2056=""),"",IF(G2056&lt;&gt;"","Void",IF(F2056="","Needs child",IF(H2056="","Child not found",IF(OR(B2056="",NOT(ISNUMBER(C2056))),"Needs month/pages","OK")))))</f>
        <v/>
      </c>
      <c r="J2056" s="10">
        <f>IF(I2056="","",IF(I2056="OK",IF(COUNTIFS(H2057:H$3001,H2056,B2057:B$3001,B2056,G2057:G$3001,"")=0,C2056,0),0))</f>
        <v/>
      </c>
    </row>
    <row r="2057">
      <c r="A2057" s="6" t="n"/>
      <c r="B2057" s="9" t="n"/>
      <c r="C2057" s="6" t="n"/>
      <c r="D2057" s="6" t="n"/>
      <c r="E2057" s="6" t="n"/>
      <c r="F2057" s="6" t="n"/>
      <c r="G2057" s="6" t="n"/>
      <c r="H2057" s="10">
        <f>IF(F2057="","",IFERROR(INDEX(Roster!$A$2:$A$600,MATCH(F2057,Roster!$E$2:$E$600,0)),""))</f>
        <v/>
      </c>
      <c r="I2057" s="10">
        <f>IF(AND(D2057="",C2057="",F2057=""),"",IF(G2057&lt;&gt;"","Void",IF(F2057="","Needs child",IF(H2057="","Child not found",IF(OR(B2057="",NOT(ISNUMBER(C2057))),"Needs month/pages","OK")))))</f>
        <v/>
      </c>
      <c r="J2057" s="10">
        <f>IF(I2057="","",IF(I2057="OK",IF(COUNTIFS(H2058:H$3001,H2057,B2058:B$3001,B2057,G2058:G$3001,"")=0,C2057,0),0))</f>
        <v/>
      </c>
    </row>
    <row r="2058">
      <c r="A2058" s="6" t="n"/>
      <c r="B2058" s="9" t="n"/>
      <c r="C2058" s="6" t="n"/>
      <c r="D2058" s="6" t="n"/>
      <c r="E2058" s="6" t="n"/>
      <c r="F2058" s="6" t="n"/>
      <c r="G2058" s="6" t="n"/>
      <c r="H2058" s="10">
        <f>IF(F2058="","",IFERROR(INDEX(Roster!$A$2:$A$600,MATCH(F2058,Roster!$E$2:$E$600,0)),""))</f>
        <v/>
      </c>
      <c r="I2058" s="10">
        <f>IF(AND(D2058="",C2058="",F2058=""),"",IF(G2058&lt;&gt;"","Void",IF(F2058="","Needs child",IF(H2058="","Child not found",IF(OR(B2058="",NOT(ISNUMBER(C2058))),"Needs month/pages","OK")))))</f>
        <v/>
      </c>
      <c r="J2058" s="10">
        <f>IF(I2058="","",IF(I2058="OK",IF(COUNTIFS(H2059:H$3001,H2058,B2059:B$3001,B2058,G2059:G$3001,"")=0,C2058,0),0))</f>
        <v/>
      </c>
    </row>
    <row r="2059">
      <c r="A2059" s="6" t="n"/>
      <c r="B2059" s="9" t="n"/>
      <c r="C2059" s="6" t="n"/>
      <c r="D2059" s="6" t="n"/>
      <c r="E2059" s="6" t="n"/>
      <c r="F2059" s="6" t="n"/>
      <c r="G2059" s="6" t="n"/>
      <c r="H2059" s="10">
        <f>IF(F2059="","",IFERROR(INDEX(Roster!$A$2:$A$600,MATCH(F2059,Roster!$E$2:$E$600,0)),""))</f>
        <v/>
      </c>
      <c r="I2059" s="10">
        <f>IF(AND(D2059="",C2059="",F2059=""),"",IF(G2059&lt;&gt;"","Void",IF(F2059="","Needs child",IF(H2059="","Child not found",IF(OR(B2059="",NOT(ISNUMBER(C2059))),"Needs month/pages","OK")))))</f>
        <v/>
      </c>
      <c r="J2059" s="10">
        <f>IF(I2059="","",IF(I2059="OK",IF(COUNTIFS(H2060:H$3001,H2059,B2060:B$3001,B2059,G2060:G$3001,"")=0,C2059,0),0))</f>
        <v/>
      </c>
    </row>
    <row r="2060">
      <c r="A2060" s="6" t="n"/>
      <c r="B2060" s="9" t="n"/>
      <c r="C2060" s="6" t="n"/>
      <c r="D2060" s="6" t="n"/>
      <c r="E2060" s="6" t="n"/>
      <c r="F2060" s="6" t="n"/>
      <c r="G2060" s="6" t="n"/>
      <c r="H2060" s="10">
        <f>IF(F2060="","",IFERROR(INDEX(Roster!$A$2:$A$600,MATCH(F2060,Roster!$E$2:$E$600,0)),""))</f>
        <v/>
      </c>
      <c r="I2060" s="10">
        <f>IF(AND(D2060="",C2060="",F2060=""),"",IF(G2060&lt;&gt;"","Void",IF(F2060="","Needs child",IF(H2060="","Child not found",IF(OR(B2060="",NOT(ISNUMBER(C2060))),"Needs month/pages","OK")))))</f>
        <v/>
      </c>
      <c r="J2060" s="10">
        <f>IF(I2060="","",IF(I2060="OK",IF(COUNTIFS(H2061:H$3001,H2060,B2061:B$3001,B2060,G2061:G$3001,"")=0,C2060,0),0))</f>
        <v/>
      </c>
    </row>
    <row r="2061">
      <c r="A2061" s="6" t="n"/>
      <c r="B2061" s="9" t="n"/>
      <c r="C2061" s="6" t="n"/>
      <c r="D2061" s="6" t="n"/>
      <c r="E2061" s="6" t="n"/>
      <c r="F2061" s="6" t="n"/>
      <c r="G2061" s="6" t="n"/>
      <c r="H2061" s="10">
        <f>IF(F2061="","",IFERROR(INDEX(Roster!$A$2:$A$600,MATCH(F2061,Roster!$E$2:$E$600,0)),""))</f>
        <v/>
      </c>
      <c r="I2061" s="10">
        <f>IF(AND(D2061="",C2061="",F2061=""),"",IF(G2061&lt;&gt;"","Void",IF(F2061="","Needs child",IF(H2061="","Child not found",IF(OR(B2061="",NOT(ISNUMBER(C2061))),"Needs month/pages","OK")))))</f>
        <v/>
      </c>
      <c r="J2061" s="10">
        <f>IF(I2061="","",IF(I2061="OK",IF(COUNTIFS(H2062:H$3001,H2061,B2062:B$3001,B2061,G2062:G$3001,"")=0,C2061,0),0))</f>
        <v/>
      </c>
    </row>
    <row r="2062">
      <c r="A2062" s="6" t="n"/>
      <c r="B2062" s="9" t="n"/>
      <c r="C2062" s="6" t="n"/>
      <c r="D2062" s="6" t="n"/>
      <c r="E2062" s="6" t="n"/>
      <c r="F2062" s="6" t="n"/>
      <c r="G2062" s="6" t="n"/>
      <c r="H2062" s="10">
        <f>IF(F2062="","",IFERROR(INDEX(Roster!$A$2:$A$600,MATCH(F2062,Roster!$E$2:$E$600,0)),""))</f>
        <v/>
      </c>
      <c r="I2062" s="10">
        <f>IF(AND(D2062="",C2062="",F2062=""),"",IF(G2062&lt;&gt;"","Void",IF(F2062="","Needs child",IF(H2062="","Child not found",IF(OR(B2062="",NOT(ISNUMBER(C2062))),"Needs month/pages","OK")))))</f>
        <v/>
      </c>
      <c r="J2062" s="10">
        <f>IF(I2062="","",IF(I2062="OK",IF(COUNTIFS(H2063:H$3001,H2062,B2063:B$3001,B2062,G2063:G$3001,"")=0,C2062,0),0))</f>
        <v/>
      </c>
    </row>
    <row r="2063">
      <c r="A2063" s="6" t="n"/>
      <c r="B2063" s="9" t="n"/>
      <c r="C2063" s="6" t="n"/>
      <c r="D2063" s="6" t="n"/>
      <c r="E2063" s="6" t="n"/>
      <c r="F2063" s="6" t="n"/>
      <c r="G2063" s="6" t="n"/>
      <c r="H2063" s="10">
        <f>IF(F2063="","",IFERROR(INDEX(Roster!$A$2:$A$600,MATCH(F2063,Roster!$E$2:$E$600,0)),""))</f>
        <v/>
      </c>
      <c r="I2063" s="10">
        <f>IF(AND(D2063="",C2063="",F2063=""),"",IF(G2063&lt;&gt;"","Void",IF(F2063="","Needs child",IF(H2063="","Child not found",IF(OR(B2063="",NOT(ISNUMBER(C2063))),"Needs month/pages","OK")))))</f>
        <v/>
      </c>
      <c r="J2063" s="10">
        <f>IF(I2063="","",IF(I2063="OK",IF(COUNTIFS(H2064:H$3001,H2063,B2064:B$3001,B2063,G2064:G$3001,"")=0,C2063,0),0))</f>
        <v/>
      </c>
    </row>
    <row r="2064">
      <c r="A2064" s="6" t="n"/>
      <c r="B2064" s="9" t="n"/>
      <c r="C2064" s="6" t="n"/>
      <c r="D2064" s="6" t="n"/>
      <c r="E2064" s="6" t="n"/>
      <c r="F2064" s="6" t="n"/>
      <c r="G2064" s="6" t="n"/>
      <c r="H2064" s="10">
        <f>IF(F2064="","",IFERROR(INDEX(Roster!$A$2:$A$600,MATCH(F2064,Roster!$E$2:$E$600,0)),""))</f>
        <v/>
      </c>
      <c r="I2064" s="10">
        <f>IF(AND(D2064="",C2064="",F2064=""),"",IF(G2064&lt;&gt;"","Void",IF(F2064="","Needs child",IF(H2064="","Child not found",IF(OR(B2064="",NOT(ISNUMBER(C2064))),"Needs month/pages","OK")))))</f>
        <v/>
      </c>
      <c r="J2064" s="10">
        <f>IF(I2064="","",IF(I2064="OK",IF(COUNTIFS(H2065:H$3001,H2064,B2065:B$3001,B2064,G2065:G$3001,"")=0,C2064,0),0))</f>
        <v/>
      </c>
    </row>
    <row r="2065">
      <c r="A2065" s="6" t="n"/>
      <c r="B2065" s="9" t="n"/>
      <c r="C2065" s="6" t="n"/>
      <c r="D2065" s="6" t="n"/>
      <c r="E2065" s="6" t="n"/>
      <c r="F2065" s="6" t="n"/>
      <c r="G2065" s="6" t="n"/>
      <c r="H2065" s="10">
        <f>IF(F2065="","",IFERROR(INDEX(Roster!$A$2:$A$600,MATCH(F2065,Roster!$E$2:$E$600,0)),""))</f>
        <v/>
      </c>
      <c r="I2065" s="10">
        <f>IF(AND(D2065="",C2065="",F2065=""),"",IF(G2065&lt;&gt;"","Void",IF(F2065="","Needs child",IF(H2065="","Child not found",IF(OR(B2065="",NOT(ISNUMBER(C2065))),"Needs month/pages","OK")))))</f>
        <v/>
      </c>
      <c r="J2065" s="10">
        <f>IF(I2065="","",IF(I2065="OK",IF(COUNTIFS(H2066:H$3001,H2065,B2066:B$3001,B2065,G2066:G$3001,"")=0,C2065,0),0))</f>
        <v/>
      </c>
    </row>
    <row r="2066">
      <c r="A2066" s="6" t="n"/>
      <c r="B2066" s="9" t="n"/>
      <c r="C2066" s="6" t="n"/>
      <c r="D2066" s="6" t="n"/>
      <c r="E2066" s="6" t="n"/>
      <c r="F2066" s="6" t="n"/>
      <c r="G2066" s="6" t="n"/>
      <c r="H2066" s="10">
        <f>IF(F2066="","",IFERROR(INDEX(Roster!$A$2:$A$600,MATCH(F2066,Roster!$E$2:$E$600,0)),""))</f>
        <v/>
      </c>
      <c r="I2066" s="10">
        <f>IF(AND(D2066="",C2066="",F2066=""),"",IF(G2066&lt;&gt;"","Void",IF(F2066="","Needs child",IF(H2066="","Child not found",IF(OR(B2066="",NOT(ISNUMBER(C2066))),"Needs month/pages","OK")))))</f>
        <v/>
      </c>
      <c r="J2066" s="10">
        <f>IF(I2066="","",IF(I2066="OK",IF(COUNTIFS(H2067:H$3001,H2066,B2067:B$3001,B2066,G2067:G$3001,"")=0,C2066,0),0))</f>
        <v/>
      </c>
    </row>
    <row r="2067">
      <c r="A2067" s="6" t="n"/>
      <c r="B2067" s="9" t="n"/>
      <c r="C2067" s="6" t="n"/>
      <c r="D2067" s="6" t="n"/>
      <c r="E2067" s="6" t="n"/>
      <c r="F2067" s="6" t="n"/>
      <c r="G2067" s="6" t="n"/>
      <c r="H2067" s="10">
        <f>IF(F2067="","",IFERROR(INDEX(Roster!$A$2:$A$600,MATCH(F2067,Roster!$E$2:$E$600,0)),""))</f>
        <v/>
      </c>
      <c r="I2067" s="10">
        <f>IF(AND(D2067="",C2067="",F2067=""),"",IF(G2067&lt;&gt;"","Void",IF(F2067="","Needs child",IF(H2067="","Child not found",IF(OR(B2067="",NOT(ISNUMBER(C2067))),"Needs month/pages","OK")))))</f>
        <v/>
      </c>
      <c r="J2067" s="10">
        <f>IF(I2067="","",IF(I2067="OK",IF(COUNTIFS(H2068:H$3001,H2067,B2068:B$3001,B2067,G2068:G$3001,"")=0,C2067,0),0))</f>
        <v/>
      </c>
    </row>
    <row r="2068">
      <c r="A2068" s="6" t="n"/>
      <c r="B2068" s="9" t="n"/>
      <c r="C2068" s="6" t="n"/>
      <c r="D2068" s="6" t="n"/>
      <c r="E2068" s="6" t="n"/>
      <c r="F2068" s="6" t="n"/>
      <c r="G2068" s="6" t="n"/>
      <c r="H2068" s="10">
        <f>IF(F2068="","",IFERROR(INDEX(Roster!$A$2:$A$600,MATCH(F2068,Roster!$E$2:$E$600,0)),""))</f>
        <v/>
      </c>
      <c r="I2068" s="10">
        <f>IF(AND(D2068="",C2068="",F2068=""),"",IF(G2068&lt;&gt;"","Void",IF(F2068="","Needs child",IF(H2068="","Child not found",IF(OR(B2068="",NOT(ISNUMBER(C2068))),"Needs month/pages","OK")))))</f>
        <v/>
      </c>
      <c r="J2068" s="10">
        <f>IF(I2068="","",IF(I2068="OK",IF(COUNTIFS(H2069:H$3001,H2068,B2069:B$3001,B2068,G2069:G$3001,"")=0,C2068,0),0))</f>
        <v/>
      </c>
    </row>
    <row r="2069">
      <c r="A2069" s="6" t="n"/>
      <c r="B2069" s="9" t="n"/>
      <c r="C2069" s="6" t="n"/>
      <c r="D2069" s="6" t="n"/>
      <c r="E2069" s="6" t="n"/>
      <c r="F2069" s="6" t="n"/>
      <c r="G2069" s="6" t="n"/>
      <c r="H2069" s="10">
        <f>IF(F2069="","",IFERROR(INDEX(Roster!$A$2:$A$600,MATCH(F2069,Roster!$E$2:$E$600,0)),""))</f>
        <v/>
      </c>
      <c r="I2069" s="10">
        <f>IF(AND(D2069="",C2069="",F2069=""),"",IF(G2069&lt;&gt;"","Void",IF(F2069="","Needs child",IF(H2069="","Child not found",IF(OR(B2069="",NOT(ISNUMBER(C2069))),"Needs month/pages","OK")))))</f>
        <v/>
      </c>
      <c r="J2069" s="10">
        <f>IF(I2069="","",IF(I2069="OK",IF(COUNTIFS(H2070:H$3001,H2069,B2070:B$3001,B2069,G2070:G$3001,"")=0,C2069,0),0))</f>
        <v/>
      </c>
    </row>
    <row r="2070">
      <c r="A2070" s="6" t="n"/>
      <c r="B2070" s="9" t="n"/>
      <c r="C2070" s="6" t="n"/>
      <c r="D2070" s="6" t="n"/>
      <c r="E2070" s="6" t="n"/>
      <c r="F2070" s="6" t="n"/>
      <c r="G2070" s="6" t="n"/>
      <c r="H2070" s="10">
        <f>IF(F2070="","",IFERROR(INDEX(Roster!$A$2:$A$600,MATCH(F2070,Roster!$E$2:$E$600,0)),""))</f>
        <v/>
      </c>
      <c r="I2070" s="10">
        <f>IF(AND(D2070="",C2070="",F2070=""),"",IF(G2070&lt;&gt;"","Void",IF(F2070="","Needs child",IF(H2070="","Child not found",IF(OR(B2070="",NOT(ISNUMBER(C2070))),"Needs month/pages","OK")))))</f>
        <v/>
      </c>
      <c r="J2070" s="10">
        <f>IF(I2070="","",IF(I2070="OK",IF(COUNTIFS(H2071:H$3001,H2070,B2071:B$3001,B2070,G2071:G$3001,"")=0,C2070,0),0))</f>
        <v/>
      </c>
    </row>
    <row r="2071">
      <c r="A2071" s="6" t="n"/>
      <c r="B2071" s="9" t="n"/>
      <c r="C2071" s="6" t="n"/>
      <c r="D2071" s="6" t="n"/>
      <c r="E2071" s="6" t="n"/>
      <c r="F2071" s="6" t="n"/>
      <c r="G2071" s="6" t="n"/>
      <c r="H2071" s="10">
        <f>IF(F2071="","",IFERROR(INDEX(Roster!$A$2:$A$600,MATCH(F2071,Roster!$E$2:$E$600,0)),""))</f>
        <v/>
      </c>
      <c r="I2071" s="10">
        <f>IF(AND(D2071="",C2071="",F2071=""),"",IF(G2071&lt;&gt;"","Void",IF(F2071="","Needs child",IF(H2071="","Child not found",IF(OR(B2071="",NOT(ISNUMBER(C2071))),"Needs month/pages","OK")))))</f>
        <v/>
      </c>
      <c r="J2071" s="10">
        <f>IF(I2071="","",IF(I2071="OK",IF(COUNTIFS(H2072:H$3001,H2071,B2072:B$3001,B2071,G2072:G$3001,"")=0,C2071,0),0))</f>
        <v/>
      </c>
    </row>
    <row r="2072">
      <c r="A2072" s="6" t="n"/>
      <c r="B2072" s="9" t="n"/>
      <c r="C2072" s="6" t="n"/>
      <c r="D2072" s="6" t="n"/>
      <c r="E2072" s="6" t="n"/>
      <c r="F2072" s="6" t="n"/>
      <c r="G2072" s="6" t="n"/>
      <c r="H2072" s="10">
        <f>IF(F2072="","",IFERROR(INDEX(Roster!$A$2:$A$600,MATCH(F2072,Roster!$E$2:$E$600,0)),""))</f>
        <v/>
      </c>
      <c r="I2072" s="10">
        <f>IF(AND(D2072="",C2072="",F2072=""),"",IF(G2072&lt;&gt;"","Void",IF(F2072="","Needs child",IF(H2072="","Child not found",IF(OR(B2072="",NOT(ISNUMBER(C2072))),"Needs month/pages","OK")))))</f>
        <v/>
      </c>
      <c r="J2072" s="10">
        <f>IF(I2072="","",IF(I2072="OK",IF(COUNTIFS(H2073:H$3001,H2072,B2073:B$3001,B2072,G2073:G$3001,"")=0,C2072,0),0))</f>
        <v/>
      </c>
    </row>
    <row r="2073">
      <c r="A2073" s="6" t="n"/>
      <c r="B2073" s="9" t="n"/>
      <c r="C2073" s="6" t="n"/>
      <c r="D2073" s="6" t="n"/>
      <c r="E2073" s="6" t="n"/>
      <c r="F2073" s="6" t="n"/>
      <c r="G2073" s="6" t="n"/>
      <c r="H2073" s="10">
        <f>IF(F2073="","",IFERROR(INDEX(Roster!$A$2:$A$600,MATCH(F2073,Roster!$E$2:$E$600,0)),""))</f>
        <v/>
      </c>
      <c r="I2073" s="10">
        <f>IF(AND(D2073="",C2073="",F2073=""),"",IF(G2073&lt;&gt;"","Void",IF(F2073="","Needs child",IF(H2073="","Child not found",IF(OR(B2073="",NOT(ISNUMBER(C2073))),"Needs month/pages","OK")))))</f>
        <v/>
      </c>
      <c r="J2073" s="10">
        <f>IF(I2073="","",IF(I2073="OK",IF(COUNTIFS(H2074:H$3001,H2073,B2074:B$3001,B2073,G2074:G$3001,"")=0,C2073,0),0))</f>
        <v/>
      </c>
    </row>
    <row r="2074">
      <c r="A2074" s="6" t="n"/>
      <c r="B2074" s="9" t="n"/>
      <c r="C2074" s="6" t="n"/>
      <c r="D2074" s="6" t="n"/>
      <c r="E2074" s="6" t="n"/>
      <c r="F2074" s="6" t="n"/>
      <c r="G2074" s="6" t="n"/>
      <c r="H2074" s="10">
        <f>IF(F2074="","",IFERROR(INDEX(Roster!$A$2:$A$600,MATCH(F2074,Roster!$E$2:$E$600,0)),""))</f>
        <v/>
      </c>
      <c r="I2074" s="10">
        <f>IF(AND(D2074="",C2074="",F2074=""),"",IF(G2074&lt;&gt;"","Void",IF(F2074="","Needs child",IF(H2074="","Child not found",IF(OR(B2074="",NOT(ISNUMBER(C2074))),"Needs month/pages","OK")))))</f>
        <v/>
      </c>
      <c r="J2074" s="10">
        <f>IF(I2074="","",IF(I2074="OK",IF(COUNTIFS(H2075:H$3001,H2074,B2075:B$3001,B2074,G2075:G$3001,"")=0,C2074,0),0))</f>
        <v/>
      </c>
    </row>
    <row r="2075">
      <c r="A2075" s="6" t="n"/>
      <c r="B2075" s="9" t="n"/>
      <c r="C2075" s="6" t="n"/>
      <c r="D2075" s="6" t="n"/>
      <c r="E2075" s="6" t="n"/>
      <c r="F2075" s="6" t="n"/>
      <c r="G2075" s="6" t="n"/>
      <c r="H2075" s="10">
        <f>IF(F2075="","",IFERROR(INDEX(Roster!$A$2:$A$600,MATCH(F2075,Roster!$E$2:$E$600,0)),""))</f>
        <v/>
      </c>
      <c r="I2075" s="10">
        <f>IF(AND(D2075="",C2075="",F2075=""),"",IF(G2075&lt;&gt;"","Void",IF(F2075="","Needs child",IF(H2075="","Child not found",IF(OR(B2075="",NOT(ISNUMBER(C2075))),"Needs month/pages","OK")))))</f>
        <v/>
      </c>
      <c r="J2075" s="10">
        <f>IF(I2075="","",IF(I2075="OK",IF(COUNTIFS(H2076:H$3001,H2075,B2076:B$3001,B2075,G2076:G$3001,"")=0,C2075,0),0))</f>
        <v/>
      </c>
    </row>
    <row r="2076">
      <c r="A2076" s="6" t="n"/>
      <c r="B2076" s="9" t="n"/>
      <c r="C2076" s="6" t="n"/>
      <c r="D2076" s="6" t="n"/>
      <c r="E2076" s="6" t="n"/>
      <c r="F2076" s="6" t="n"/>
      <c r="G2076" s="6" t="n"/>
      <c r="H2076" s="10">
        <f>IF(F2076="","",IFERROR(INDEX(Roster!$A$2:$A$600,MATCH(F2076,Roster!$E$2:$E$600,0)),""))</f>
        <v/>
      </c>
      <c r="I2076" s="10">
        <f>IF(AND(D2076="",C2076="",F2076=""),"",IF(G2076&lt;&gt;"","Void",IF(F2076="","Needs child",IF(H2076="","Child not found",IF(OR(B2076="",NOT(ISNUMBER(C2076))),"Needs month/pages","OK")))))</f>
        <v/>
      </c>
      <c r="J2076" s="10">
        <f>IF(I2076="","",IF(I2076="OK",IF(COUNTIFS(H2077:H$3001,H2076,B2077:B$3001,B2076,G2077:G$3001,"")=0,C2076,0),0))</f>
        <v/>
      </c>
    </row>
    <row r="2077">
      <c r="A2077" s="6" t="n"/>
      <c r="B2077" s="9" t="n"/>
      <c r="C2077" s="6" t="n"/>
      <c r="D2077" s="6" t="n"/>
      <c r="E2077" s="6" t="n"/>
      <c r="F2077" s="6" t="n"/>
      <c r="G2077" s="6" t="n"/>
      <c r="H2077" s="10">
        <f>IF(F2077="","",IFERROR(INDEX(Roster!$A$2:$A$600,MATCH(F2077,Roster!$E$2:$E$600,0)),""))</f>
        <v/>
      </c>
      <c r="I2077" s="10">
        <f>IF(AND(D2077="",C2077="",F2077=""),"",IF(G2077&lt;&gt;"","Void",IF(F2077="","Needs child",IF(H2077="","Child not found",IF(OR(B2077="",NOT(ISNUMBER(C2077))),"Needs month/pages","OK")))))</f>
        <v/>
      </c>
      <c r="J2077" s="10">
        <f>IF(I2077="","",IF(I2077="OK",IF(COUNTIFS(H2078:H$3001,H2077,B2078:B$3001,B2077,G2078:G$3001,"")=0,C2077,0),0))</f>
        <v/>
      </c>
    </row>
    <row r="2078">
      <c r="A2078" s="6" t="n"/>
      <c r="B2078" s="9" t="n"/>
      <c r="C2078" s="6" t="n"/>
      <c r="D2078" s="6" t="n"/>
      <c r="E2078" s="6" t="n"/>
      <c r="F2078" s="6" t="n"/>
      <c r="G2078" s="6" t="n"/>
      <c r="H2078" s="10">
        <f>IF(F2078="","",IFERROR(INDEX(Roster!$A$2:$A$600,MATCH(F2078,Roster!$E$2:$E$600,0)),""))</f>
        <v/>
      </c>
      <c r="I2078" s="10">
        <f>IF(AND(D2078="",C2078="",F2078=""),"",IF(G2078&lt;&gt;"","Void",IF(F2078="","Needs child",IF(H2078="","Child not found",IF(OR(B2078="",NOT(ISNUMBER(C2078))),"Needs month/pages","OK")))))</f>
        <v/>
      </c>
      <c r="J2078" s="10">
        <f>IF(I2078="","",IF(I2078="OK",IF(COUNTIFS(H2079:H$3001,H2078,B2079:B$3001,B2078,G2079:G$3001,"")=0,C2078,0),0))</f>
        <v/>
      </c>
    </row>
    <row r="2079">
      <c r="A2079" s="6" t="n"/>
      <c r="B2079" s="9" t="n"/>
      <c r="C2079" s="6" t="n"/>
      <c r="D2079" s="6" t="n"/>
      <c r="E2079" s="6" t="n"/>
      <c r="F2079" s="6" t="n"/>
      <c r="G2079" s="6" t="n"/>
      <c r="H2079" s="10">
        <f>IF(F2079="","",IFERROR(INDEX(Roster!$A$2:$A$600,MATCH(F2079,Roster!$E$2:$E$600,0)),""))</f>
        <v/>
      </c>
      <c r="I2079" s="10">
        <f>IF(AND(D2079="",C2079="",F2079=""),"",IF(G2079&lt;&gt;"","Void",IF(F2079="","Needs child",IF(H2079="","Child not found",IF(OR(B2079="",NOT(ISNUMBER(C2079))),"Needs month/pages","OK")))))</f>
        <v/>
      </c>
      <c r="J2079" s="10">
        <f>IF(I2079="","",IF(I2079="OK",IF(COUNTIFS(H2080:H$3001,H2079,B2080:B$3001,B2079,G2080:G$3001,"")=0,C2079,0),0))</f>
        <v/>
      </c>
    </row>
    <row r="2080">
      <c r="A2080" s="6" t="n"/>
      <c r="B2080" s="9" t="n"/>
      <c r="C2080" s="6" t="n"/>
      <c r="D2080" s="6" t="n"/>
      <c r="E2080" s="6" t="n"/>
      <c r="F2080" s="6" t="n"/>
      <c r="G2080" s="6" t="n"/>
      <c r="H2080" s="10">
        <f>IF(F2080="","",IFERROR(INDEX(Roster!$A$2:$A$600,MATCH(F2080,Roster!$E$2:$E$600,0)),""))</f>
        <v/>
      </c>
      <c r="I2080" s="10">
        <f>IF(AND(D2080="",C2080="",F2080=""),"",IF(G2080&lt;&gt;"","Void",IF(F2080="","Needs child",IF(H2080="","Child not found",IF(OR(B2080="",NOT(ISNUMBER(C2080))),"Needs month/pages","OK")))))</f>
        <v/>
      </c>
      <c r="J2080" s="10">
        <f>IF(I2080="","",IF(I2080="OK",IF(COUNTIFS(H2081:H$3001,H2080,B2081:B$3001,B2080,G2081:G$3001,"")=0,C2080,0),0))</f>
        <v/>
      </c>
    </row>
    <row r="2081">
      <c r="A2081" s="6" t="n"/>
      <c r="B2081" s="9" t="n"/>
      <c r="C2081" s="6" t="n"/>
      <c r="D2081" s="6" t="n"/>
      <c r="E2081" s="6" t="n"/>
      <c r="F2081" s="6" t="n"/>
      <c r="G2081" s="6" t="n"/>
      <c r="H2081" s="10">
        <f>IF(F2081="","",IFERROR(INDEX(Roster!$A$2:$A$600,MATCH(F2081,Roster!$E$2:$E$600,0)),""))</f>
        <v/>
      </c>
      <c r="I2081" s="10">
        <f>IF(AND(D2081="",C2081="",F2081=""),"",IF(G2081&lt;&gt;"","Void",IF(F2081="","Needs child",IF(H2081="","Child not found",IF(OR(B2081="",NOT(ISNUMBER(C2081))),"Needs month/pages","OK")))))</f>
        <v/>
      </c>
      <c r="J2081" s="10">
        <f>IF(I2081="","",IF(I2081="OK",IF(COUNTIFS(H2082:H$3001,H2081,B2082:B$3001,B2081,G2082:G$3001,"")=0,C2081,0),0))</f>
        <v/>
      </c>
    </row>
    <row r="2082">
      <c r="A2082" s="6" t="n"/>
      <c r="B2082" s="9" t="n"/>
      <c r="C2082" s="6" t="n"/>
      <c r="D2082" s="6" t="n"/>
      <c r="E2082" s="6" t="n"/>
      <c r="F2082" s="6" t="n"/>
      <c r="G2082" s="6" t="n"/>
      <c r="H2082" s="10">
        <f>IF(F2082="","",IFERROR(INDEX(Roster!$A$2:$A$600,MATCH(F2082,Roster!$E$2:$E$600,0)),""))</f>
        <v/>
      </c>
      <c r="I2082" s="10">
        <f>IF(AND(D2082="",C2082="",F2082=""),"",IF(G2082&lt;&gt;"","Void",IF(F2082="","Needs child",IF(H2082="","Child not found",IF(OR(B2082="",NOT(ISNUMBER(C2082))),"Needs month/pages","OK")))))</f>
        <v/>
      </c>
      <c r="J2082" s="10">
        <f>IF(I2082="","",IF(I2082="OK",IF(COUNTIFS(H2083:H$3001,H2082,B2083:B$3001,B2082,G2083:G$3001,"")=0,C2082,0),0))</f>
        <v/>
      </c>
    </row>
    <row r="2083">
      <c r="A2083" s="6" t="n"/>
      <c r="B2083" s="9" t="n"/>
      <c r="C2083" s="6" t="n"/>
      <c r="D2083" s="6" t="n"/>
      <c r="E2083" s="6" t="n"/>
      <c r="F2083" s="6" t="n"/>
      <c r="G2083" s="6" t="n"/>
      <c r="H2083" s="10">
        <f>IF(F2083="","",IFERROR(INDEX(Roster!$A$2:$A$600,MATCH(F2083,Roster!$E$2:$E$600,0)),""))</f>
        <v/>
      </c>
      <c r="I2083" s="10">
        <f>IF(AND(D2083="",C2083="",F2083=""),"",IF(G2083&lt;&gt;"","Void",IF(F2083="","Needs child",IF(H2083="","Child not found",IF(OR(B2083="",NOT(ISNUMBER(C2083))),"Needs month/pages","OK")))))</f>
        <v/>
      </c>
      <c r="J2083" s="10">
        <f>IF(I2083="","",IF(I2083="OK",IF(COUNTIFS(H2084:H$3001,H2083,B2084:B$3001,B2083,G2084:G$3001,"")=0,C2083,0),0))</f>
        <v/>
      </c>
    </row>
    <row r="2084">
      <c r="A2084" s="6" t="n"/>
      <c r="B2084" s="9" t="n"/>
      <c r="C2084" s="6" t="n"/>
      <c r="D2084" s="6" t="n"/>
      <c r="E2084" s="6" t="n"/>
      <c r="F2084" s="6" t="n"/>
      <c r="G2084" s="6" t="n"/>
      <c r="H2084" s="10">
        <f>IF(F2084="","",IFERROR(INDEX(Roster!$A$2:$A$600,MATCH(F2084,Roster!$E$2:$E$600,0)),""))</f>
        <v/>
      </c>
      <c r="I2084" s="10">
        <f>IF(AND(D2084="",C2084="",F2084=""),"",IF(G2084&lt;&gt;"","Void",IF(F2084="","Needs child",IF(H2084="","Child not found",IF(OR(B2084="",NOT(ISNUMBER(C2084))),"Needs month/pages","OK")))))</f>
        <v/>
      </c>
      <c r="J2084" s="10">
        <f>IF(I2084="","",IF(I2084="OK",IF(COUNTIFS(H2085:H$3001,H2084,B2085:B$3001,B2084,G2085:G$3001,"")=0,C2084,0),0))</f>
        <v/>
      </c>
    </row>
    <row r="2085">
      <c r="A2085" s="6" t="n"/>
      <c r="B2085" s="9" t="n"/>
      <c r="C2085" s="6" t="n"/>
      <c r="D2085" s="6" t="n"/>
      <c r="E2085" s="6" t="n"/>
      <c r="F2085" s="6" t="n"/>
      <c r="G2085" s="6" t="n"/>
      <c r="H2085" s="10">
        <f>IF(F2085="","",IFERROR(INDEX(Roster!$A$2:$A$600,MATCH(F2085,Roster!$E$2:$E$600,0)),""))</f>
        <v/>
      </c>
      <c r="I2085" s="10">
        <f>IF(AND(D2085="",C2085="",F2085=""),"",IF(G2085&lt;&gt;"","Void",IF(F2085="","Needs child",IF(H2085="","Child not found",IF(OR(B2085="",NOT(ISNUMBER(C2085))),"Needs month/pages","OK")))))</f>
        <v/>
      </c>
      <c r="J2085" s="10">
        <f>IF(I2085="","",IF(I2085="OK",IF(COUNTIFS(H2086:H$3001,H2085,B2086:B$3001,B2085,G2086:G$3001,"")=0,C2085,0),0))</f>
        <v/>
      </c>
    </row>
    <row r="2086">
      <c r="A2086" s="6" t="n"/>
      <c r="B2086" s="9" t="n"/>
      <c r="C2086" s="6" t="n"/>
      <c r="D2086" s="6" t="n"/>
      <c r="E2086" s="6" t="n"/>
      <c r="F2086" s="6" t="n"/>
      <c r="G2086" s="6" t="n"/>
      <c r="H2086" s="10">
        <f>IF(F2086="","",IFERROR(INDEX(Roster!$A$2:$A$600,MATCH(F2086,Roster!$E$2:$E$600,0)),""))</f>
        <v/>
      </c>
      <c r="I2086" s="10">
        <f>IF(AND(D2086="",C2086="",F2086=""),"",IF(G2086&lt;&gt;"","Void",IF(F2086="","Needs child",IF(H2086="","Child not found",IF(OR(B2086="",NOT(ISNUMBER(C2086))),"Needs month/pages","OK")))))</f>
        <v/>
      </c>
      <c r="J2086" s="10">
        <f>IF(I2086="","",IF(I2086="OK",IF(COUNTIFS(H2087:H$3001,H2086,B2087:B$3001,B2086,G2087:G$3001,"")=0,C2086,0),0))</f>
        <v/>
      </c>
    </row>
    <row r="2087">
      <c r="A2087" s="6" t="n"/>
      <c r="B2087" s="9" t="n"/>
      <c r="C2087" s="6" t="n"/>
      <c r="D2087" s="6" t="n"/>
      <c r="E2087" s="6" t="n"/>
      <c r="F2087" s="6" t="n"/>
      <c r="G2087" s="6" t="n"/>
      <c r="H2087" s="10">
        <f>IF(F2087="","",IFERROR(INDEX(Roster!$A$2:$A$600,MATCH(F2087,Roster!$E$2:$E$600,0)),""))</f>
        <v/>
      </c>
      <c r="I2087" s="10">
        <f>IF(AND(D2087="",C2087="",F2087=""),"",IF(G2087&lt;&gt;"","Void",IF(F2087="","Needs child",IF(H2087="","Child not found",IF(OR(B2087="",NOT(ISNUMBER(C2087))),"Needs month/pages","OK")))))</f>
        <v/>
      </c>
      <c r="J2087" s="10">
        <f>IF(I2087="","",IF(I2087="OK",IF(COUNTIFS(H2088:H$3001,H2087,B2088:B$3001,B2087,G2088:G$3001,"")=0,C2087,0),0))</f>
        <v/>
      </c>
    </row>
    <row r="2088">
      <c r="A2088" s="6" t="n"/>
      <c r="B2088" s="9" t="n"/>
      <c r="C2088" s="6" t="n"/>
      <c r="D2088" s="6" t="n"/>
      <c r="E2088" s="6" t="n"/>
      <c r="F2088" s="6" t="n"/>
      <c r="G2088" s="6" t="n"/>
      <c r="H2088" s="10">
        <f>IF(F2088="","",IFERROR(INDEX(Roster!$A$2:$A$600,MATCH(F2088,Roster!$E$2:$E$600,0)),""))</f>
        <v/>
      </c>
      <c r="I2088" s="10">
        <f>IF(AND(D2088="",C2088="",F2088=""),"",IF(G2088&lt;&gt;"","Void",IF(F2088="","Needs child",IF(H2088="","Child not found",IF(OR(B2088="",NOT(ISNUMBER(C2088))),"Needs month/pages","OK")))))</f>
        <v/>
      </c>
      <c r="J2088" s="10">
        <f>IF(I2088="","",IF(I2088="OK",IF(COUNTIFS(H2089:H$3001,H2088,B2089:B$3001,B2088,G2089:G$3001,"")=0,C2088,0),0))</f>
        <v/>
      </c>
    </row>
    <row r="2089">
      <c r="A2089" s="6" t="n"/>
      <c r="B2089" s="9" t="n"/>
      <c r="C2089" s="6" t="n"/>
      <c r="D2089" s="6" t="n"/>
      <c r="E2089" s="6" t="n"/>
      <c r="F2089" s="6" t="n"/>
      <c r="G2089" s="6" t="n"/>
      <c r="H2089" s="10">
        <f>IF(F2089="","",IFERROR(INDEX(Roster!$A$2:$A$600,MATCH(F2089,Roster!$E$2:$E$600,0)),""))</f>
        <v/>
      </c>
      <c r="I2089" s="10">
        <f>IF(AND(D2089="",C2089="",F2089=""),"",IF(G2089&lt;&gt;"","Void",IF(F2089="","Needs child",IF(H2089="","Child not found",IF(OR(B2089="",NOT(ISNUMBER(C2089))),"Needs month/pages","OK")))))</f>
        <v/>
      </c>
      <c r="J2089" s="10">
        <f>IF(I2089="","",IF(I2089="OK",IF(COUNTIFS(H2090:H$3001,H2089,B2090:B$3001,B2089,G2090:G$3001,"")=0,C2089,0),0))</f>
        <v/>
      </c>
    </row>
    <row r="2090">
      <c r="A2090" s="6" t="n"/>
      <c r="B2090" s="9" t="n"/>
      <c r="C2090" s="6" t="n"/>
      <c r="D2090" s="6" t="n"/>
      <c r="E2090" s="6" t="n"/>
      <c r="F2090" s="6" t="n"/>
      <c r="G2090" s="6" t="n"/>
      <c r="H2090" s="10">
        <f>IF(F2090="","",IFERROR(INDEX(Roster!$A$2:$A$600,MATCH(F2090,Roster!$E$2:$E$600,0)),""))</f>
        <v/>
      </c>
      <c r="I2090" s="10">
        <f>IF(AND(D2090="",C2090="",F2090=""),"",IF(G2090&lt;&gt;"","Void",IF(F2090="","Needs child",IF(H2090="","Child not found",IF(OR(B2090="",NOT(ISNUMBER(C2090))),"Needs month/pages","OK")))))</f>
        <v/>
      </c>
      <c r="J2090" s="10">
        <f>IF(I2090="","",IF(I2090="OK",IF(COUNTIFS(H2091:H$3001,H2090,B2091:B$3001,B2090,G2091:G$3001,"")=0,C2090,0),0))</f>
        <v/>
      </c>
    </row>
    <row r="2091">
      <c r="A2091" s="6" t="n"/>
      <c r="B2091" s="9" t="n"/>
      <c r="C2091" s="6" t="n"/>
      <c r="D2091" s="6" t="n"/>
      <c r="E2091" s="6" t="n"/>
      <c r="F2091" s="6" t="n"/>
      <c r="G2091" s="6" t="n"/>
      <c r="H2091" s="10">
        <f>IF(F2091="","",IFERROR(INDEX(Roster!$A$2:$A$600,MATCH(F2091,Roster!$E$2:$E$600,0)),""))</f>
        <v/>
      </c>
      <c r="I2091" s="10">
        <f>IF(AND(D2091="",C2091="",F2091=""),"",IF(G2091&lt;&gt;"","Void",IF(F2091="","Needs child",IF(H2091="","Child not found",IF(OR(B2091="",NOT(ISNUMBER(C2091))),"Needs month/pages","OK")))))</f>
        <v/>
      </c>
      <c r="J2091" s="10">
        <f>IF(I2091="","",IF(I2091="OK",IF(COUNTIFS(H2092:H$3001,H2091,B2092:B$3001,B2091,G2092:G$3001,"")=0,C2091,0),0))</f>
        <v/>
      </c>
    </row>
    <row r="2092">
      <c r="A2092" s="6" t="n"/>
      <c r="B2092" s="9" t="n"/>
      <c r="C2092" s="6" t="n"/>
      <c r="D2092" s="6" t="n"/>
      <c r="E2092" s="6" t="n"/>
      <c r="F2092" s="6" t="n"/>
      <c r="G2092" s="6" t="n"/>
      <c r="H2092" s="10">
        <f>IF(F2092="","",IFERROR(INDEX(Roster!$A$2:$A$600,MATCH(F2092,Roster!$E$2:$E$600,0)),""))</f>
        <v/>
      </c>
      <c r="I2092" s="10">
        <f>IF(AND(D2092="",C2092="",F2092=""),"",IF(G2092&lt;&gt;"","Void",IF(F2092="","Needs child",IF(H2092="","Child not found",IF(OR(B2092="",NOT(ISNUMBER(C2092))),"Needs month/pages","OK")))))</f>
        <v/>
      </c>
      <c r="J2092" s="10">
        <f>IF(I2092="","",IF(I2092="OK",IF(COUNTIFS(H2093:H$3001,H2092,B2093:B$3001,B2092,G2093:G$3001,"")=0,C2092,0),0))</f>
        <v/>
      </c>
    </row>
    <row r="2093">
      <c r="A2093" s="6" t="n"/>
      <c r="B2093" s="9" t="n"/>
      <c r="C2093" s="6" t="n"/>
      <c r="D2093" s="6" t="n"/>
      <c r="E2093" s="6" t="n"/>
      <c r="F2093" s="6" t="n"/>
      <c r="G2093" s="6" t="n"/>
      <c r="H2093" s="10">
        <f>IF(F2093="","",IFERROR(INDEX(Roster!$A$2:$A$600,MATCH(F2093,Roster!$E$2:$E$600,0)),""))</f>
        <v/>
      </c>
      <c r="I2093" s="10">
        <f>IF(AND(D2093="",C2093="",F2093=""),"",IF(G2093&lt;&gt;"","Void",IF(F2093="","Needs child",IF(H2093="","Child not found",IF(OR(B2093="",NOT(ISNUMBER(C2093))),"Needs month/pages","OK")))))</f>
        <v/>
      </c>
      <c r="J2093" s="10">
        <f>IF(I2093="","",IF(I2093="OK",IF(COUNTIFS(H2094:H$3001,H2093,B2094:B$3001,B2093,G2094:G$3001,"")=0,C2093,0),0))</f>
        <v/>
      </c>
    </row>
    <row r="2094">
      <c r="A2094" s="6" t="n"/>
      <c r="B2094" s="9" t="n"/>
      <c r="C2094" s="6" t="n"/>
      <c r="D2094" s="6" t="n"/>
      <c r="E2094" s="6" t="n"/>
      <c r="F2094" s="6" t="n"/>
      <c r="G2094" s="6" t="n"/>
      <c r="H2094" s="10">
        <f>IF(F2094="","",IFERROR(INDEX(Roster!$A$2:$A$600,MATCH(F2094,Roster!$E$2:$E$600,0)),""))</f>
        <v/>
      </c>
      <c r="I2094" s="10">
        <f>IF(AND(D2094="",C2094="",F2094=""),"",IF(G2094&lt;&gt;"","Void",IF(F2094="","Needs child",IF(H2094="","Child not found",IF(OR(B2094="",NOT(ISNUMBER(C2094))),"Needs month/pages","OK")))))</f>
        <v/>
      </c>
      <c r="J2094" s="10">
        <f>IF(I2094="","",IF(I2094="OK",IF(COUNTIFS(H2095:H$3001,H2094,B2095:B$3001,B2094,G2095:G$3001,"")=0,C2094,0),0))</f>
        <v/>
      </c>
    </row>
    <row r="2095">
      <c r="A2095" s="6" t="n"/>
      <c r="B2095" s="9" t="n"/>
      <c r="C2095" s="6" t="n"/>
      <c r="D2095" s="6" t="n"/>
      <c r="E2095" s="6" t="n"/>
      <c r="F2095" s="6" t="n"/>
      <c r="G2095" s="6" t="n"/>
      <c r="H2095" s="10">
        <f>IF(F2095="","",IFERROR(INDEX(Roster!$A$2:$A$600,MATCH(F2095,Roster!$E$2:$E$600,0)),""))</f>
        <v/>
      </c>
      <c r="I2095" s="10">
        <f>IF(AND(D2095="",C2095="",F2095=""),"",IF(G2095&lt;&gt;"","Void",IF(F2095="","Needs child",IF(H2095="","Child not found",IF(OR(B2095="",NOT(ISNUMBER(C2095))),"Needs month/pages","OK")))))</f>
        <v/>
      </c>
      <c r="J2095" s="10">
        <f>IF(I2095="","",IF(I2095="OK",IF(COUNTIFS(H2096:H$3001,H2095,B2096:B$3001,B2095,G2096:G$3001,"")=0,C2095,0),0))</f>
        <v/>
      </c>
    </row>
    <row r="2096">
      <c r="A2096" s="6" t="n"/>
      <c r="B2096" s="9" t="n"/>
      <c r="C2096" s="6" t="n"/>
      <c r="D2096" s="6" t="n"/>
      <c r="E2096" s="6" t="n"/>
      <c r="F2096" s="6" t="n"/>
      <c r="G2096" s="6" t="n"/>
      <c r="H2096" s="10">
        <f>IF(F2096="","",IFERROR(INDEX(Roster!$A$2:$A$600,MATCH(F2096,Roster!$E$2:$E$600,0)),""))</f>
        <v/>
      </c>
      <c r="I2096" s="10">
        <f>IF(AND(D2096="",C2096="",F2096=""),"",IF(G2096&lt;&gt;"","Void",IF(F2096="","Needs child",IF(H2096="","Child not found",IF(OR(B2096="",NOT(ISNUMBER(C2096))),"Needs month/pages","OK")))))</f>
        <v/>
      </c>
      <c r="J2096" s="10">
        <f>IF(I2096="","",IF(I2096="OK",IF(COUNTIFS(H2097:H$3001,H2096,B2097:B$3001,B2096,G2097:G$3001,"")=0,C2096,0),0))</f>
        <v/>
      </c>
    </row>
    <row r="2097">
      <c r="A2097" s="6" t="n"/>
      <c r="B2097" s="9" t="n"/>
      <c r="C2097" s="6" t="n"/>
      <c r="D2097" s="6" t="n"/>
      <c r="E2097" s="6" t="n"/>
      <c r="F2097" s="6" t="n"/>
      <c r="G2097" s="6" t="n"/>
      <c r="H2097" s="10">
        <f>IF(F2097="","",IFERROR(INDEX(Roster!$A$2:$A$600,MATCH(F2097,Roster!$E$2:$E$600,0)),""))</f>
        <v/>
      </c>
      <c r="I2097" s="10">
        <f>IF(AND(D2097="",C2097="",F2097=""),"",IF(G2097&lt;&gt;"","Void",IF(F2097="","Needs child",IF(H2097="","Child not found",IF(OR(B2097="",NOT(ISNUMBER(C2097))),"Needs month/pages","OK")))))</f>
        <v/>
      </c>
      <c r="J2097" s="10">
        <f>IF(I2097="","",IF(I2097="OK",IF(COUNTIFS(H2098:H$3001,H2097,B2098:B$3001,B2097,G2098:G$3001,"")=0,C2097,0),0))</f>
        <v/>
      </c>
    </row>
    <row r="2098">
      <c r="A2098" s="6" t="n"/>
      <c r="B2098" s="9" t="n"/>
      <c r="C2098" s="6" t="n"/>
      <c r="D2098" s="6" t="n"/>
      <c r="E2098" s="6" t="n"/>
      <c r="F2098" s="6" t="n"/>
      <c r="G2098" s="6" t="n"/>
      <c r="H2098" s="10">
        <f>IF(F2098="","",IFERROR(INDEX(Roster!$A$2:$A$600,MATCH(F2098,Roster!$E$2:$E$600,0)),""))</f>
        <v/>
      </c>
      <c r="I2098" s="10">
        <f>IF(AND(D2098="",C2098="",F2098=""),"",IF(G2098&lt;&gt;"","Void",IF(F2098="","Needs child",IF(H2098="","Child not found",IF(OR(B2098="",NOT(ISNUMBER(C2098))),"Needs month/pages","OK")))))</f>
        <v/>
      </c>
      <c r="J2098" s="10">
        <f>IF(I2098="","",IF(I2098="OK",IF(COUNTIFS(H2099:H$3001,H2098,B2099:B$3001,B2098,G2099:G$3001,"")=0,C2098,0),0))</f>
        <v/>
      </c>
    </row>
    <row r="2099">
      <c r="A2099" s="6" t="n"/>
      <c r="B2099" s="9" t="n"/>
      <c r="C2099" s="6" t="n"/>
      <c r="D2099" s="6" t="n"/>
      <c r="E2099" s="6" t="n"/>
      <c r="F2099" s="6" t="n"/>
      <c r="G2099" s="6" t="n"/>
      <c r="H2099" s="10">
        <f>IF(F2099="","",IFERROR(INDEX(Roster!$A$2:$A$600,MATCH(F2099,Roster!$E$2:$E$600,0)),""))</f>
        <v/>
      </c>
      <c r="I2099" s="10">
        <f>IF(AND(D2099="",C2099="",F2099=""),"",IF(G2099&lt;&gt;"","Void",IF(F2099="","Needs child",IF(H2099="","Child not found",IF(OR(B2099="",NOT(ISNUMBER(C2099))),"Needs month/pages","OK")))))</f>
        <v/>
      </c>
      <c r="J2099" s="10">
        <f>IF(I2099="","",IF(I2099="OK",IF(COUNTIFS(H2100:H$3001,H2099,B2100:B$3001,B2099,G2100:G$3001,"")=0,C2099,0),0))</f>
        <v/>
      </c>
    </row>
    <row r="2100">
      <c r="A2100" s="6" t="n"/>
      <c r="B2100" s="9" t="n"/>
      <c r="C2100" s="6" t="n"/>
      <c r="D2100" s="6" t="n"/>
      <c r="E2100" s="6" t="n"/>
      <c r="F2100" s="6" t="n"/>
      <c r="G2100" s="6" t="n"/>
      <c r="H2100" s="10">
        <f>IF(F2100="","",IFERROR(INDEX(Roster!$A$2:$A$600,MATCH(F2100,Roster!$E$2:$E$600,0)),""))</f>
        <v/>
      </c>
      <c r="I2100" s="10">
        <f>IF(AND(D2100="",C2100="",F2100=""),"",IF(G2100&lt;&gt;"","Void",IF(F2100="","Needs child",IF(H2100="","Child not found",IF(OR(B2100="",NOT(ISNUMBER(C2100))),"Needs month/pages","OK")))))</f>
        <v/>
      </c>
      <c r="J2100" s="10">
        <f>IF(I2100="","",IF(I2100="OK",IF(COUNTIFS(H2101:H$3001,H2100,B2101:B$3001,B2100,G2101:G$3001,"")=0,C2100,0),0))</f>
        <v/>
      </c>
    </row>
    <row r="2101">
      <c r="A2101" s="6" t="n"/>
      <c r="B2101" s="9" t="n"/>
      <c r="C2101" s="6" t="n"/>
      <c r="D2101" s="6" t="n"/>
      <c r="E2101" s="6" t="n"/>
      <c r="F2101" s="6" t="n"/>
      <c r="G2101" s="6" t="n"/>
      <c r="H2101" s="10">
        <f>IF(F2101="","",IFERROR(INDEX(Roster!$A$2:$A$600,MATCH(F2101,Roster!$E$2:$E$600,0)),""))</f>
        <v/>
      </c>
      <c r="I2101" s="10">
        <f>IF(AND(D2101="",C2101="",F2101=""),"",IF(G2101&lt;&gt;"","Void",IF(F2101="","Needs child",IF(H2101="","Child not found",IF(OR(B2101="",NOT(ISNUMBER(C2101))),"Needs month/pages","OK")))))</f>
        <v/>
      </c>
      <c r="J2101" s="10">
        <f>IF(I2101="","",IF(I2101="OK",IF(COUNTIFS(H2102:H$3001,H2101,B2102:B$3001,B2101,G2102:G$3001,"")=0,C2101,0),0))</f>
        <v/>
      </c>
    </row>
    <row r="2102">
      <c r="A2102" s="6" t="n"/>
      <c r="B2102" s="9" t="n"/>
      <c r="C2102" s="6" t="n"/>
      <c r="D2102" s="6" t="n"/>
      <c r="E2102" s="6" t="n"/>
      <c r="F2102" s="6" t="n"/>
      <c r="G2102" s="6" t="n"/>
      <c r="H2102" s="10">
        <f>IF(F2102="","",IFERROR(INDEX(Roster!$A$2:$A$600,MATCH(F2102,Roster!$E$2:$E$600,0)),""))</f>
        <v/>
      </c>
      <c r="I2102" s="10">
        <f>IF(AND(D2102="",C2102="",F2102=""),"",IF(G2102&lt;&gt;"","Void",IF(F2102="","Needs child",IF(H2102="","Child not found",IF(OR(B2102="",NOT(ISNUMBER(C2102))),"Needs month/pages","OK")))))</f>
        <v/>
      </c>
      <c r="J2102" s="10">
        <f>IF(I2102="","",IF(I2102="OK",IF(COUNTIFS(H2103:H$3001,H2102,B2103:B$3001,B2102,G2103:G$3001,"")=0,C2102,0),0))</f>
        <v/>
      </c>
    </row>
    <row r="2103">
      <c r="A2103" s="6" t="n"/>
      <c r="B2103" s="9" t="n"/>
      <c r="C2103" s="6" t="n"/>
      <c r="D2103" s="6" t="n"/>
      <c r="E2103" s="6" t="n"/>
      <c r="F2103" s="6" t="n"/>
      <c r="G2103" s="6" t="n"/>
      <c r="H2103" s="10">
        <f>IF(F2103="","",IFERROR(INDEX(Roster!$A$2:$A$600,MATCH(F2103,Roster!$E$2:$E$600,0)),""))</f>
        <v/>
      </c>
      <c r="I2103" s="10">
        <f>IF(AND(D2103="",C2103="",F2103=""),"",IF(G2103&lt;&gt;"","Void",IF(F2103="","Needs child",IF(H2103="","Child not found",IF(OR(B2103="",NOT(ISNUMBER(C2103))),"Needs month/pages","OK")))))</f>
        <v/>
      </c>
      <c r="J2103" s="10">
        <f>IF(I2103="","",IF(I2103="OK",IF(COUNTIFS(H2104:H$3001,H2103,B2104:B$3001,B2103,G2104:G$3001,"")=0,C2103,0),0))</f>
        <v/>
      </c>
    </row>
    <row r="2104">
      <c r="A2104" s="6" t="n"/>
      <c r="B2104" s="9" t="n"/>
      <c r="C2104" s="6" t="n"/>
      <c r="D2104" s="6" t="n"/>
      <c r="E2104" s="6" t="n"/>
      <c r="F2104" s="6" t="n"/>
      <c r="G2104" s="6" t="n"/>
      <c r="H2104" s="10">
        <f>IF(F2104="","",IFERROR(INDEX(Roster!$A$2:$A$600,MATCH(F2104,Roster!$E$2:$E$600,0)),""))</f>
        <v/>
      </c>
      <c r="I2104" s="10">
        <f>IF(AND(D2104="",C2104="",F2104=""),"",IF(G2104&lt;&gt;"","Void",IF(F2104="","Needs child",IF(H2104="","Child not found",IF(OR(B2104="",NOT(ISNUMBER(C2104))),"Needs month/pages","OK")))))</f>
        <v/>
      </c>
      <c r="J2104" s="10">
        <f>IF(I2104="","",IF(I2104="OK",IF(COUNTIFS(H2105:H$3001,H2104,B2105:B$3001,B2104,G2105:G$3001,"")=0,C2104,0),0))</f>
        <v/>
      </c>
    </row>
    <row r="2105">
      <c r="A2105" s="6" t="n"/>
      <c r="B2105" s="9" t="n"/>
      <c r="C2105" s="6" t="n"/>
      <c r="D2105" s="6" t="n"/>
      <c r="E2105" s="6" t="n"/>
      <c r="F2105" s="6" t="n"/>
      <c r="G2105" s="6" t="n"/>
      <c r="H2105" s="10">
        <f>IF(F2105="","",IFERROR(INDEX(Roster!$A$2:$A$600,MATCH(F2105,Roster!$E$2:$E$600,0)),""))</f>
        <v/>
      </c>
      <c r="I2105" s="10">
        <f>IF(AND(D2105="",C2105="",F2105=""),"",IF(G2105&lt;&gt;"","Void",IF(F2105="","Needs child",IF(H2105="","Child not found",IF(OR(B2105="",NOT(ISNUMBER(C2105))),"Needs month/pages","OK")))))</f>
        <v/>
      </c>
      <c r="J2105" s="10">
        <f>IF(I2105="","",IF(I2105="OK",IF(COUNTIFS(H2106:H$3001,H2105,B2106:B$3001,B2105,G2106:G$3001,"")=0,C2105,0),0))</f>
        <v/>
      </c>
    </row>
    <row r="2106">
      <c r="A2106" s="6" t="n"/>
      <c r="B2106" s="9" t="n"/>
      <c r="C2106" s="6" t="n"/>
      <c r="D2106" s="6" t="n"/>
      <c r="E2106" s="6" t="n"/>
      <c r="F2106" s="6" t="n"/>
      <c r="G2106" s="6" t="n"/>
      <c r="H2106" s="10">
        <f>IF(F2106="","",IFERROR(INDEX(Roster!$A$2:$A$600,MATCH(F2106,Roster!$E$2:$E$600,0)),""))</f>
        <v/>
      </c>
      <c r="I2106" s="10">
        <f>IF(AND(D2106="",C2106="",F2106=""),"",IF(G2106&lt;&gt;"","Void",IF(F2106="","Needs child",IF(H2106="","Child not found",IF(OR(B2106="",NOT(ISNUMBER(C2106))),"Needs month/pages","OK")))))</f>
        <v/>
      </c>
      <c r="J2106" s="10">
        <f>IF(I2106="","",IF(I2106="OK",IF(COUNTIFS(H2107:H$3001,H2106,B2107:B$3001,B2106,G2107:G$3001,"")=0,C2106,0),0))</f>
        <v/>
      </c>
    </row>
    <row r="2107">
      <c r="A2107" s="6" t="n"/>
      <c r="B2107" s="9" t="n"/>
      <c r="C2107" s="6" t="n"/>
      <c r="D2107" s="6" t="n"/>
      <c r="E2107" s="6" t="n"/>
      <c r="F2107" s="6" t="n"/>
      <c r="G2107" s="6" t="n"/>
      <c r="H2107" s="10">
        <f>IF(F2107="","",IFERROR(INDEX(Roster!$A$2:$A$600,MATCH(F2107,Roster!$E$2:$E$600,0)),""))</f>
        <v/>
      </c>
      <c r="I2107" s="10">
        <f>IF(AND(D2107="",C2107="",F2107=""),"",IF(G2107&lt;&gt;"","Void",IF(F2107="","Needs child",IF(H2107="","Child not found",IF(OR(B2107="",NOT(ISNUMBER(C2107))),"Needs month/pages","OK")))))</f>
        <v/>
      </c>
      <c r="J2107" s="10">
        <f>IF(I2107="","",IF(I2107="OK",IF(COUNTIFS(H2108:H$3001,H2107,B2108:B$3001,B2107,G2108:G$3001,"")=0,C2107,0),0))</f>
        <v/>
      </c>
    </row>
    <row r="2108">
      <c r="A2108" s="6" t="n"/>
      <c r="B2108" s="9" t="n"/>
      <c r="C2108" s="6" t="n"/>
      <c r="D2108" s="6" t="n"/>
      <c r="E2108" s="6" t="n"/>
      <c r="F2108" s="6" t="n"/>
      <c r="G2108" s="6" t="n"/>
      <c r="H2108" s="10">
        <f>IF(F2108="","",IFERROR(INDEX(Roster!$A$2:$A$600,MATCH(F2108,Roster!$E$2:$E$600,0)),""))</f>
        <v/>
      </c>
      <c r="I2108" s="10">
        <f>IF(AND(D2108="",C2108="",F2108=""),"",IF(G2108&lt;&gt;"","Void",IF(F2108="","Needs child",IF(H2108="","Child not found",IF(OR(B2108="",NOT(ISNUMBER(C2108))),"Needs month/pages","OK")))))</f>
        <v/>
      </c>
      <c r="J2108" s="10">
        <f>IF(I2108="","",IF(I2108="OK",IF(COUNTIFS(H2109:H$3001,H2108,B2109:B$3001,B2108,G2109:G$3001,"")=0,C2108,0),0))</f>
        <v/>
      </c>
    </row>
    <row r="2109">
      <c r="A2109" s="6" t="n"/>
      <c r="B2109" s="9" t="n"/>
      <c r="C2109" s="6" t="n"/>
      <c r="D2109" s="6" t="n"/>
      <c r="E2109" s="6" t="n"/>
      <c r="F2109" s="6" t="n"/>
      <c r="G2109" s="6" t="n"/>
      <c r="H2109" s="10">
        <f>IF(F2109="","",IFERROR(INDEX(Roster!$A$2:$A$600,MATCH(F2109,Roster!$E$2:$E$600,0)),""))</f>
        <v/>
      </c>
      <c r="I2109" s="10">
        <f>IF(AND(D2109="",C2109="",F2109=""),"",IF(G2109&lt;&gt;"","Void",IF(F2109="","Needs child",IF(H2109="","Child not found",IF(OR(B2109="",NOT(ISNUMBER(C2109))),"Needs month/pages","OK")))))</f>
        <v/>
      </c>
      <c r="J2109" s="10">
        <f>IF(I2109="","",IF(I2109="OK",IF(COUNTIFS(H2110:H$3001,H2109,B2110:B$3001,B2109,G2110:G$3001,"")=0,C2109,0),0))</f>
        <v/>
      </c>
    </row>
    <row r="2110">
      <c r="A2110" s="6" t="n"/>
      <c r="B2110" s="9" t="n"/>
      <c r="C2110" s="6" t="n"/>
      <c r="D2110" s="6" t="n"/>
      <c r="E2110" s="6" t="n"/>
      <c r="F2110" s="6" t="n"/>
      <c r="G2110" s="6" t="n"/>
      <c r="H2110" s="10">
        <f>IF(F2110="","",IFERROR(INDEX(Roster!$A$2:$A$600,MATCH(F2110,Roster!$E$2:$E$600,0)),""))</f>
        <v/>
      </c>
      <c r="I2110" s="10">
        <f>IF(AND(D2110="",C2110="",F2110=""),"",IF(G2110&lt;&gt;"","Void",IF(F2110="","Needs child",IF(H2110="","Child not found",IF(OR(B2110="",NOT(ISNUMBER(C2110))),"Needs month/pages","OK")))))</f>
        <v/>
      </c>
      <c r="J2110" s="10">
        <f>IF(I2110="","",IF(I2110="OK",IF(COUNTIFS(H2111:H$3001,H2110,B2111:B$3001,B2110,G2111:G$3001,"")=0,C2110,0),0))</f>
        <v/>
      </c>
    </row>
    <row r="2111">
      <c r="A2111" s="6" t="n"/>
      <c r="B2111" s="9" t="n"/>
      <c r="C2111" s="6" t="n"/>
      <c r="D2111" s="6" t="n"/>
      <c r="E2111" s="6" t="n"/>
      <c r="F2111" s="6" t="n"/>
      <c r="G2111" s="6" t="n"/>
      <c r="H2111" s="10">
        <f>IF(F2111="","",IFERROR(INDEX(Roster!$A$2:$A$600,MATCH(F2111,Roster!$E$2:$E$600,0)),""))</f>
        <v/>
      </c>
      <c r="I2111" s="10">
        <f>IF(AND(D2111="",C2111="",F2111=""),"",IF(G2111&lt;&gt;"","Void",IF(F2111="","Needs child",IF(H2111="","Child not found",IF(OR(B2111="",NOT(ISNUMBER(C2111))),"Needs month/pages","OK")))))</f>
        <v/>
      </c>
      <c r="J2111" s="10">
        <f>IF(I2111="","",IF(I2111="OK",IF(COUNTIFS(H2112:H$3001,H2111,B2112:B$3001,B2111,G2112:G$3001,"")=0,C2111,0),0))</f>
        <v/>
      </c>
    </row>
    <row r="2112">
      <c r="A2112" s="6" t="n"/>
      <c r="B2112" s="9" t="n"/>
      <c r="C2112" s="6" t="n"/>
      <c r="D2112" s="6" t="n"/>
      <c r="E2112" s="6" t="n"/>
      <c r="F2112" s="6" t="n"/>
      <c r="G2112" s="6" t="n"/>
      <c r="H2112" s="10">
        <f>IF(F2112="","",IFERROR(INDEX(Roster!$A$2:$A$600,MATCH(F2112,Roster!$E$2:$E$600,0)),""))</f>
        <v/>
      </c>
      <c r="I2112" s="10">
        <f>IF(AND(D2112="",C2112="",F2112=""),"",IF(G2112&lt;&gt;"","Void",IF(F2112="","Needs child",IF(H2112="","Child not found",IF(OR(B2112="",NOT(ISNUMBER(C2112))),"Needs month/pages","OK")))))</f>
        <v/>
      </c>
      <c r="J2112" s="10">
        <f>IF(I2112="","",IF(I2112="OK",IF(COUNTIFS(H2113:H$3001,H2112,B2113:B$3001,B2112,G2113:G$3001,"")=0,C2112,0),0))</f>
        <v/>
      </c>
    </row>
    <row r="2113">
      <c r="A2113" s="6" t="n"/>
      <c r="B2113" s="9" t="n"/>
      <c r="C2113" s="6" t="n"/>
      <c r="D2113" s="6" t="n"/>
      <c r="E2113" s="6" t="n"/>
      <c r="F2113" s="6" t="n"/>
      <c r="G2113" s="6" t="n"/>
      <c r="H2113" s="10">
        <f>IF(F2113="","",IFERROR(INDEX(Roster!$A$2:$A$600,MATCH(F2113,Roster!$E$2:$E$600,0)),""))</f>
        <v/>
      </c>
      <c r="I2113" s="10">
        <f>IF(AND(D2113="",C2113="",F2113=""),"",IF(G2113&lt;&gt;"","Void",IF(F2113="","Needs child",IF(H2113="","Child not found",IF(OR(B2113="",NOT(ISNUMBER(C2113))),"Needs month/pages","OK")))))</f>
        <v/>
      </c>
      <c r="J2113" s="10">
        <f>IF(I2113="","",IF(I2113="OK",IF(COUNTIFS(H2114:H$3001,H2113,B2114:B$3001,B2113,G2114:G$3001,"")=0,C2113,0),0))</f>
        <v/>
      </c>
    </row>
    <row r="2114">
      <c r="A2114" s="6" t="n"/>
      <c r="B2114" s="9" t="n"/>
      <c r="C2114" s="6" t="n"/>
      <c r="D2114" s="6" t="n"/>
      <c r="E2114" s="6" t="n"/>
      <c r="F2114" s="6" t="n"/>
      <c r="G2114" s="6" t="n"/>
      <c r="H2114" s="10">
        <f>IF(F2114="","",IFERROR(INDEX(Roster!$A$2:$A$600,MATCH(F2114,Roster!$E$2:$E$600,0)),""))</f>
        <v/>
      </c>
      <c r="I2114" s="10">
        <f>IF(AND(D2114="",C2114="",F2114=""),"",IF(G2114&lt;&gt;"","Void",IF(F2114="","Needs child",IF(H2114="","Child not found",IF(OR(B2114="",NOT(ISNUMBER(C2114))),"Needs month/pages","OK")))))</f>
        <v/>
      </c>
      <c r="J2114" s="10">
        <f>IF(I2114="","",IF(I2114="OK",IF(COUNTIFS(H2115:H$3001,H2114,B2115:B$3001,B2114,G2115:G$3001,"")=0,C2114,0),0))</f>
        <v/>
      </c>
    </row>
    <row r="2115">
      <c r="A2115" s="6" t="n"/>
      <c r="B2115" s="9" t="n"/>
      <c r="C2115" s="6" t="n"/>
      <c r="D2115" s="6" t="n"/>
      <c r="E2115" s="6" t="n"/>
      <c r="F2115" s="6" t="n"/>
      <c r="G2115" s="6" t="n"/>
      <c r="H2115" s="10">
        <f>IF(F2115="","",IFERROR(INDEX(Roster!$A$2:$A$600,MATCH(F2115,Roster!$E$2:$E$600,0)),""))</f>
        <v/>
      </c>
      <c r="I2115" s="10">
        <f>IF(AND(D2115="",C2115="",F2115=""),"",IF(G2115&lt;&gt;"","Void",IF(F2115="","Needs child",IF(H2115="","Child not found",IF(OR(B2115="",NOT(ISNUMBER(C2115))),"Needs month/pages","OK")))))</f>
        <v/>
      </c>
      <c r="J2115" s="10">
        <f>IF(I2115="","",IF(I2115="OK",IF(COUNTIFS(H2116:H$3001,H2115,B2116:B$3001,B2115,G2116:G$3001,"")=0,C2115,0),0))</f>
        <v/>
      </c>
    </row>
    <row r="2116">
      <c r="A2116" s="6" t="n"/>
      <c r="B2116" s="9" t="n"/>
      <c r="C2116" s="6" t="n"/>
      <c r="D2116" s="6" t="n"/>
      <c r="E2116" s="6" t="n"/>
      <c r="F2116" s="6" t="n"/>
      <c r="G2116" s="6" t="n"/>
      <c r="H2116" s="10">
        <f>IF(F2116="","",IFERROR(INDEX(Roster!$A$2:$A$600,MATCH(F2116,Roster!$E$2:$E$600,0)),""))</f>
        <v/>
      </c>
      <c r="I2116" s="10">
        <f>IF(AND(D2116="",C2116="",F2116=""),"",IF(G2116&lt;&gt;"","Void",IF(F2116="","Needs child",IF(H2116="","Child not found",IF(OR(B2116="",NOT(ISNUMBER(C2116))),"Needs month/pages","OK")))))</f>
        <v/>
      </c>
      <c r="J2116" s="10">
        <f>IF(I2116="","",IF(I2116="OK",IF(COUNTIFS(H2117:H$3001,H2116,B2117:B$3001,B2116,G2117:G$3001,"")=0,C2116,0),0))</f>
        <v/>
      </c>
    </row>
    <row r="2117">
      <c r="A2117" s="6" t="n"/>
      <c r="B2117" s="9" t="n"/>
      <c r="C2117" s="6" t="n"/>
      <c r="D2117" s="6" t="n"/>
      <c r="E2117" s="6" t="n"/>
      <c r="F2117" s="6" t="n"/>
      <c r="G2117" s="6" t="n"/>
      <c r="H2117" s="10">
        <f>IF(F2117="","",IFERROR(INDEX(Roster!$A$2:$A$600,MATCH(F2117,Roster!$E$2:$E$600,0)),""))</f>
        <v/>
      </c>
      <c r="I2117" s="10">
        <f>IF(AND(D2117="",C2117="",F2117=""),"",IF(G2117&lt;&gt;"","Void",IF(F2117="","Needs child",IF(H2117="","Child not found",IF(OR(B2117="",NOT(ISNUMBER(C2117))),"Needs month/pages","OK")))))</f>
        <v/>
      </c>
      <c r="J2117" s="10">
        <f>IF(I2117="","",IF(I2117="OK",IF(COUNTIFS(H2118:H$3001,H2117,B2118:B$3001,B2117,G2118:G$3001,"")=0,C2117,0),0))</f>
        <v/>
      </c>
    </row>
    <row r="2118">
      <c r="A2118" s="6" t="n"/>
      <c r="B2118" s="9" t="n"/>
      <c r="C2118" s="6" t="n"/>
      <c r="D2118" s="6" t="n"/>
      <c r="E2118" s="6" t="n"/>
      <c r="F2118" s="6" t="n"/>
      <c r="G2118" s="6" t="n"/>
      <c r="H2118" s="10">
        <f>IF(F2118="","",IFERROR(INDEX(Roster!$A$2:$A$600,MATCH(F2118,Roster!$E$2:$E$600,0)),""))</f>
        <v/>
      </c>
      <c r="I2118" s="10">
        <f>IF(AND(D2118="",C2118="",F2118=""),"",IF(G2118&lt;&gt;"","Void",IF(F2118="","Needs child",IF(H2118="","Child not found",IF(OR(B2118="",NOT(ISNUMBER(C2118))),"Needs month/pages","OK")))))</f>
        <v/>
      </c>
      <c r="J2118" s="10">
        <f>IF(I2118="","",IF(I2118="OK",IF(COUNTIFS(H2119:H$3001,H2118,B2119:B$3001,B2118,G2119:G$3001,"")=0,C2118,0),0))</f>
        <v/>
      </c>
    </row>
    <row r="2119">
      <c r="A2119" s="6" t="n"/>
      <c r="B2119" s="9" t="n"/>
      <c r="C2119" s="6" t="n"/>
      <c r="D2119" s="6" t="n"/>
      <c r="E2119" s="6" t="n"/>
      <c r="F2119" s="6" t="n"/>
      <c r="G2119" s="6" t="n"/>
      <c r="H2119" s="10">
        <f>IF(F2119="","",IFERROR(INDEX(Roster!$A$2:$A$600,MATCH(F2119,Roster!$E$2:$E$600,0)),""))</f>
        <v/>
      </c>
      <c r="I2119" s="10">
        <f>IF(AND(D2119="",C2119="",F2119=""),"",IF(G2119&lt;&gt;"","Void",IF(F2119="","Needs child",IF(H2119="","Child not found",IF(OR(B2119="",NOT(ISNUMBER(C2119))),"Needs month/pages","OK")))))</f>
        <v/>
      </c>
      <c r="J2119" s="10">
        <f>IF(I2119="","",IF(I2119="OK",IF(COUNTIFS(H2120:H$3001,H2119,B2120:B$3001,B2119,G2120:G$3001,"")=0,C2119,0),0))</f>
        <v/>
      </c>
    </row>
    <row r="2120">
      <c r="A2120" s="6" t="n"/>
      <c r="B2120" s="9" t="n"/>
      <c r="C2120" s="6" t="n"/>
      <c r="D2120" s="6" t="n"/>
      <c r="E2120" s="6" t="n"/>
      <c r="F2120" s="6" t="n"/>
      <c r="G2120" s="6" t="n"/>
      <c r="H2120" s="10">
        <f>IF(F2120="","",IFERROR(INDEX(Roster!$A$2:$A$600,MATCH(F2120,Roster!$E$2:$E$600,0)),""))</f>
        <v/>
      </c>
      <c r="I2120" s="10">
        <f>IF(AND(D2120="",C2120="",F2120=""),"",IF(G2120&lt;&gt;"","Void",IF(F2120="","Needs child",IF(H2120="","Child not found",IF(OR(B2120="",NOT(ISNUMBER(C2120))),"Needs month/pages","OK")))))</f>
        <v/>
      </c>
      <c r="J2120" s="10">
        <f>IF(I2120="","",IF(I2120="OK",IF(COUNTIFS(H2121:H$3001,H2120,B2121:B$3001,B2120,G2121:G$3001,"")=0,C2120,0),0))</f>
        <v/>
      </c>
    </row>
    <row r="2121">
      <c r="A2121" s="6" t="n"/>
      <c r="B2121" s="9" t="n"/>
      <c r="C2121" s="6" t="n"/>
      <c r="D2121" s="6" t="n"/>
      <c r="E2121" s="6" t="n"/>
      <c r="F2121" s="6" t="n"/>
      <c r="G2121" s="6" t="n"/>
      <c r="H2121" s="10">
        <f>IF(F2121="","",IFERROR(INDEX(Roster!$A$2:$A$600,MATCH(F2121,Roster!$E$2:$E$600,0)),""))</f>
        <v/>
      </c>
      <c r="I2121" s="10">
        <f>IF(AND(D2121="",C2121="",F2121=""),"",IF(G2121&lt;&gt;"","Void",IF(F2121="","Needs child",IF(H2121="","Child not found",IF(OR(B2121="",NOT(ISNUMBER(C2121))),"Needs month/pages","OK")))))</f>
        <v/>
      </c>
      <c r="J2121" s="10">
        <f>IF(I2121="","",IF(I2121="OK",IF(COUNTIFS(H2122:H$3001,H2121,B2122:B$3001,B2121,G2122:G$3001,"")=0,C2121,0),0))</f>
        <v/>
      </c>
    </row>
    <row r="2122">
      <c r="A2122" s="6" t="n"/>
      <c r="B2122" s="9" t="n"/>
      <c r="C2122" s="6" t="n"/>
      <c r="D2122" s="6" t="n"/>
      <c r="E2122" s="6" t="n"/>
      <c r="F2122" s="6" t="n"/>
      <c r="G2122" s="6" t="n"/>
      <c r="H2122" s="10">
        <f>IF(F2122="","",IFERROR(INDEX(Roster!$A$2:$A$600,MATCH(F2122,Roster!$E$2:$E$600,0)),""))</f>
        <v/>
      </c>
      <c r="I2122" s="10">
        <f>IF(AND(D2122="",C2122="",F2122=""),"",IF(G2122&lt;&gt;"","Void",IF(F2122="","Needs child",IF(H2122="","Child not found",IF(OR(B2122="",NOT(ISNUMBER(C2122))),"Needs month/pages","OK")))))</f>
        <v/>
      </c>
      <c r="J2122" s="10">
        <f>IF(I2122="","",IF(I2122="OK",IF(COUNTIFS(H2123:H$3001,H2122,B2123:B$3001,B2122,G2123:G$3001,"")=0,C2122,0),0))</f>
        <v/>
      </c>
    </row>
    <row r="2123">
      <c r="A2123" s="6" t="n"/>
      <c r="B2123" s="9" t="n"/>
      <c r="C2123" s="6" t="n"/>
      <c r="D2123" s="6" t="n"/>
      <c r="E2123" s="6" t="n"/>
      <c r="F2123" s="6" t="n"/>
      <c r="G2123" s="6" t="n"/>
      <c r="H2123" s="10">
        <f>IF(F2123="","",IFERROR(INDEX(Roster!$A$2:$A$600,MATCH(F2123,Roster!$E$2:$E$600,0)),""))</f>
        <v/>
      </c>
      <c r="I2123" s="10">
        <f>IF(AND(D2123="",C2123="",F2123=""),"",IF(G2123&lt;&gt;"","Void",IF(F2123="","Needs child",IF(H2123="","Child not found",IF(OR(B2123="",NOT(ISNUMBER(C2123))),"Needs month/pages","OK")))))</f>
        <v/>
      </c>
      <c r="J2123" s="10">
        <f>IF(I2123="","",IF(I2123="OK",IF(COUNTIFS(H2124:H$3001,H2123,B2124:B$3001,B2123,G2124:G$3001,"")=0,C2123,0),0))</f>
        <v/>
      </c>
    </row>
    <row r="2124">
      <c r="A2124" s="6" t="n"/>
      <c r="B2124" s="9" t="n"/>
      <c r="C2124" s="6" t="n"/>
      <c r="D2124" s="6" t="n"/>
      <c r="E2124" s="6" t="n"/>
      <c r="F2124" s="6" t="n"/>
      <c r="G2124" s="6" t="n"/>
      <c r="H2124" s="10">
        <f>IF(F2124="","",IFERROR(INDEX(Roster!$A$2:$A$600,MATCH(F2124,Roster!$E$2:$E$600,0)),""))</f>
        <v/>
      </c>
      <c r="I2124" s="10">
        <f>IF(AND(D2124="",C2124="",F2124=""),"",IF(G2124&lt;&gt;"","Void",IF(F2124="","Needs child",IF(H2124="","Child not found",IF(OR(B2124="",NOT(ISNUMBER(C2124))),"Needs month/pages","OK")))))</f>
        <v/>
      </c>
      <c r="J2124" s="10">
        <f>IF(I2124="","",IF(I2124="OK",IF(COUNTIFS(H2125:H$3001,H2124,B2125:B$3001,B2124,G2125:G$3001,"")=0,C2124,0),0))</f>
        <v/>
      </c>
    </row>
    <row r="2125">
      <c r="A2125" s="6" t="n"/>
      <c r="B2125" s="9" t="n"/>
      <c r="C2125" s="6" t="n"/>
      <c r="D2125" s="6" t="n"/>
      <c r="E2125" s="6" t="n"/>
      <c r="F2125" s="6" t="n"/>
      <c r="G2125" s="6" t="n"/>
      <c r="H2125" s="10">
        <f>IF(F2125="","",IFERROR(INDEX(Roster!$A$2:$A$600,MATCH(F2125,Roster!$E$2:$E$600,0)),""))</f>
        <v/>
      </c>
      <c r="I2125" s="10">
        <f>IF(AND(D2125="",C2125="",F2125=""),"",IF(G2125&lt;&gt;"","Void",IF(F2125="","Needs child",IF(H2125="","Child not found",IF(OR(B2125="",NOT(ISNUMBER(C2125))),"Needs month/pages","OK")))))</f>
        <v/>
      </c>
      <c r="J2125" s="10">
        <f>IF(I2125="","",IF(I2125="OK",IF(COUNTIFS(H2126:H$3001,H2125,B2126:B$3001,B2125,G2126:G$3001,"")=0,C2125,0),0))</f>
        <v/>
      </c>
    </row>
    <row r="2126">
      <c r="A2126" s="6" t="n"/>
      <c r="B2126" s="9" t="n"/>
      <c r="C2126" s="6" t="n"/>
      <c r="D2126" s="6" t="n"/>
      <c r="E2126" s="6" t="n"/>
      <c r="F2126" s="6" t="n"/>
      <c r="G2126" s="6" t="n"/>
      <c r="H2126" s="10">
        <f>IF(F2126="","",IFERROR(INDEX(Roster!$A$2:$A$600,MATCH(F2126,Roster!$E$2:$E$600,0)),""))</f>
        <v/>
      </c>
      <c r="I2126" s="10">
        <f>IF(AND(D2126="",C2126="",F2126=""),"",IF(G2126&lt;&gt;"","Void",IF(F2126="","Needs child",IF(H2126="","Child not found",IF(OR(B2126="",NOT(ISNUMBER(C2126))),"Needs month/pages","OK")))))</f>
        <v/>
      </c>
      <c r="J2126" s="10">
        <f>IF(I2126="","",IF(I2126="OK",IF(COUNTIFS(H2127:H$3001,H2126,B2127:B$3001,B2126,G2127:G$3001,"")=0,C2126,0),0))</f>
        <v/>
      </c>
    </row>
    <row r="2127">
      <c r="A2127" s="6" t="n"/>
      <c r="B2127" s="9" t="n"/>
      <c r="C2127" s="6" t="n"/>
      <c r="D2127" s="6" t="n"/>
      <c r="E2127" s="6" t="n"/>
      <c r="F2127" s="6" t="n"/>
      <c r="G2127" s="6" t="n"/>
      <c r="H2127" s="10">
        <f>IF(F2127="","",IFERROR(INDEX(Roster!$A$2:$A$600,MATCH(F2127,Roster!$E$2:$E$600,0)),""))</f>
        <v/>
      </c>
      <c r="I2127" s="10">
        <f>IF(AND(D2127="",C2127="",F2127=""),"",IF(G2127&lt;&gt;"","Void",IF(F2127="","Needs child",IF(H2127="","Child not found",IF(OR(B2127="",NOT(ISNUMBER(C2127))),"Needs month/pages","OK")))))</f>
        <v/>
      </c>
      <c r="J2127" s="10">
        <f>IF(I2127="","",IF(I2127="OK",IF(COUNTIFS(H2128:H$3001,H2127,B2128:B$3001,B2127,G2128:G$3001,"")=0,C2127,0),0))</f>
        <v/>
      </c>
    </row>
    <row r="2128">
      <c r="A2128" s="6" t="n"/>
      <c r="B2128" s="9" t="n"/>
      <c r="C2128" s="6" t="n"/>
      <c r="D2128" s="6" t="n"/>
      <c r="E2128" s="6" t="n"/>
      <c r="F2128" s="6" t="n"/>
      <c r="G2128" s="6" t="n"/>
      <c r="H2128" s="10">
        <f>IF(F2128="","",IFERROR(INDEX(Roster!$A$2:$A$600,MATCH(F2128,Roster!$E$2:$E$600,0)),""))</f>
        <v/>
      </c>
      <c r="I2128" s="10">
        <f>IF(AND(D2128="",C2128="",F2128=""),"",IF(G2128&lt;&gt;"","Void",IF(F2128="","Needs child",IF(H2128="","Child not found",IF(OR(B2128="",NOT(ISNUMBER(C2128))),"Needs month/pages","OK")))))</f>
        <v/>
      </c>
      <c r="J2128" s="10">
        <f>IF(I2128="","",IF(I2128="OK",IF(COUNTIFS(H2129:H$3001,H2128,B2129:B$3001,B2128,G2129:G$3001,"")=0,C2128,0),0))</f>
        <v/>
      </c>
    </row>
    <row r="2129">
      <c r="A2129" s="6" t="n"/>
      <c r="B2129" s="9" t="n"/>
      <c r="C2129" s="6" t="n"/>
      <c r="D2129" s="6" t="n"/>
      <c r="E2129" s="6" t="n"/>
      <c r="F2129" s="6" t="n"/>
      <c r="G2129" s="6" t="n"/>
      <c r="H2129" s="10">
        <f>IF(F2129="","",IFERROR(INDEX(Roster!$A$2:$A$600,MATCH(F2129,Roster!$E$2:$E$600,0)),""))</f>
        <v/>
      </c>
      <c r="I2129" s="10">
        <f>IF(AND(D2129="",C2129="",F2129=""),"",IF(G2129&lt;&gt;"","Void",IF(F2129="","Needs child",IF(H2129="","Child not found",IF(OR(B2129="",NOT(ISNUMBER(C2129))),"Needs month/pages","OK")))))</f>
        <v/>
      </c>
      <c r="J2129" s="10">
        <f>IF(I2129="","",IF(I2129="OK",IF(COUNTIFS(H2130:H$3001,H2129,B2130:B$3001,B2129,G2130:G$3001,"")=0,C2129,0),0))</f>
        <v/>
      </c>
    </row>
    <row r="2130">
      <c r="A2130" s="6" t="n"/>
      <c r="B2130" s="9" t="n"/>
      <c r="C2130" s="6" t="n"/>
      <c r="D2130" s="6" t="n"/>
      <c r="E2130" s="6" t="n"/>
      <c r="F2130" s="6" t="n"/>
      <c r="G2130" s="6" t="n"/>
      <c r="H2130" s="10">
        <f>IF(F2130="","",IFERROR(INDEX(Roster!$A$2:$A$600,MATCH(F2130,Roster!$E$2:$E$600,0)),""))</f>
        <v/>
      </c>
      <c r="I2130" s="10">
        <f>IF(AND(D2130="",C2130="",F2130=""),"",IF(G2130&lt;&gt;"","Void",IF(F2130="","Needs child",IF(H2130="","Child not found",IF(OR(B2130="",NOT(ISNUMBER(C2130))),"Needs month/pages","OK")))))</f>
        <v/>
      </c>
      <c r="J2130" s="10">
        <f>IF(I2130="","",IF(I2130="OK",IF(COUNTIFS(H2131:H$3001,H2130,B2131:B$3001,B2130,G2131:G$3001,"")=0,C2130,0),0))</f>
        <v/>
      </c>
    </row>
    <row r="2131">
      <c r="A2131" s="6" t="n"/>
      <c r="B2131" s="9" t="n"/>
      <c r="C2131" s="6" t="n"/>
      <c r="D2131" s="6" t="n"/>
      <c r="E2131" s="6" t="n"/>
      <c r="F2131" s="6" t="n"/>
      <c r="G2131" s="6" t="n"/>
      <c r="H2131" s="10">
        <f>IF(F2131="","",IFERROR(INDEX(Roster!$A$2:$A$600,MATCH(F2131,Roster!$E$2:$E$600,0)),""))</f>
        <v/>
      </c>
      <c r="I2131" s="10">
        <f>IF(AND(D2131="",C2131="",F2131=""),"",IF(G2131&lt;&gt;"","Void",IF(F2131="","Needs child",IF(H2131="","Child not found",IF(OR(B2131="",NOT(ISNUMBER(C2131))),"Needs month/pages","OK")))))</f>
        <v/>
      </c>
      <c r="J2131" s="10">
        <f>IF(I2131="","",IF(I2131="OK",IF(COUNTIFS(H2132:H$3001,H2131,B2132:B$3001,B2131,G2132:G$3001,"")=0,C2131,0),0))</f>
        <v/>
      </c>
    </row>
    <row r="2132">
      <c r="A2132" s="6" t="n"/>
      <c r="B2132" s="9" t="n"/>
      <c r="C2132" s="6" t="n"/>
      <c r="D2132" s="6" t="n"/>
      <c r="E2132" s="6" t="n"/>
      <c r="F2132" s="6" t="n"/>
      <c r="G2132" s="6" t="n"/>
      <c r="H2132" s="10">
        <f>IF(F2132="","",IFERROR(INDEX(Roster!$A$2:$A$600,MATCH(F2132,Roster!$E$2:$E$600,0)),""))</f>
        <v/>
      </c>
      <c r="I2132" s="10">
        <f>IF(AND(D2132="",C2132="",F2132=""),"",IF(G2132&lt;&gt;"","Void",IF(F2132="","Needs child",IF(H2132="","Child not found",IF(OR(B2132="",NOT(ISNUMBER(C2132))),"Needs month/pages","OK")))))</f>
        <v/>
      </c>
      <c r="J2132" s="10">
        <f>IF(I2132="","",IF(I2132="OK",IF(COUNTIFS(H2133:H$3001,H2132,B2133:B$3001,B2132,G2133:G$3001,"")=0,C2132,0),0))</f>
        <v/>
      </c>
    </row>
    <row r="2133">
      <c r="A2133" s="6" t="n"/>
      <c r="B2133" s="9" t="n"/>
      <c r="C2133" s="6" t="n"/>
      <c r="D2133" s="6" t="n"/>
      <c r="E2133" s="6" t="n"/>
      <c r="F2133" s="6" t="n"/>
      <c r="G2133" s="6" t="n"/>
      <c r="H2133" s="10">
        <f>IF(F2133="","",IFERROR(INDEX(Roster!$A$2:$A$600,MATCH(F2133,Roster!$E$2:$E$600,0)),""))</f>
        <v/>
      </c>
      <c r="I2133" s="10">
        <f>IF(AND(D2133="",C2133="",F2133=""),"",IF(G2133&lt;&gt;"","Void",IF(F2133="","Needs child",IF(H2133="","Child not found",IF(OR(B2133="",NOT(ISNUMBER(C2133))),"Needs month/pages","OK")))))</f>
        <v/>
      </c>
      <c r="J2133" s="10">
        <f>IF(I2133="","",IF(I2133="OK",IF(COUNTIFS(H2134:H$3001,H2133,B2134:B$3001,B2133,G2134:G$3001,"")=0,C2133,0),0))</f>
        <v/>
      </c>
    </row>
    <row r="2134">
      <c r="A2134" s="6" t="n"/>
      <c r="B2134" s="9" t="n"/>
      <c r="C2134" s="6" t="n"/>
      <c r="D2134" s="6" t="n"/>
      <c r="E2134" s="6" t="n"/>
      <c r="F2134" s="6" t="n"/>
      <c r="G2134" s="6" t="n"/>
      <c r="H2134" s="10">
        <f>IF(F2134="","",IFERROR(INDEX(Roster!$A$2:$A$600,MATCH(F2134,Roster!$E$2:$E$600,0)),""))</f>
        <v/>
      </c>
      <c r="I2134" s="10">
        <f>IF(AND(D2134="",C2134="",F2134=""),"",IF(G2134&lt;&gt;"","Void",IF(F2134="","Needs child",IF(H2134="","Child not found",IF(OR(B2134="",NOT(ISNUMBER(C2134))),"Needs month/pages","OK")))))</f>
        <v/>
      </c>
      <c r="J2134" s="10">
        <f>IF(I2134="","",IF(I2134="OK",IF(COUNTIFS(H2135:H$3001,H2134,B2135:B$3001,B2134,G2135:G$3001,"")=0,C2134,0),0))</f>
        <v/>
      </c>
    </row>
    <row r="2135">
      <c r="A2135" s="6" t="n"/>
      <c r="B2135" s="9" t="n"/>
      <c r="C2135" s="6" t="n"/>
      <c r="D2135" s="6" t="n"/>
      <c r="E2135" s="6" t="n"/>
      <c r="F2135" s="6" t="n"/>
      <c r="G2135" s="6" t="n"/>
      <c r="H2135" s="10">
        <f>IF(F2135="","",IFERROR(INDEX(Roster!$A$2:$A$600,MATCH(F2135,Roster!$E$2:$E$600,0)),""))</f>
        <v/>
      </c>
      <c r="I2135" s="10">
        <f>IF(AND(D2135="",C2135="",F2135=""),"",IF(G2135&lt;&gt;"","Void",IF(F2135="","Needs child",IF(H2135="","Child not found",IF(OR(B2135="",NOT(ISNUMBER(C2135))),"Needs month/pages","OK")))))</f>
        <v/>
      </c>
      <c r="J2135" s="10">
        <f>IF(I2135="","",IF(I2135="OK",IF(COUNTIFS(H2136:H$3001,H2135,B2136:B$3001,B2135,G2136:G$3001,"")=0,C2135,0),0))</f>
        <v/>
      </c>
    </row>
    <row r="2136">
      <c r="A2136" s="6" t="n"/>
      <c r="B2136" s="9" t="n"/>
      <c r="C2136" s="6" t="n"/>
      <c r="D2136" s="6" t="n"/>
      <c r="E2136" s="6" t="n"/>
      <c r="F2136" s="6" t="n"/>
      <c r="G2136" s="6" t="n"/>
      <c r="H2136" s="10">
        <f>IF(F2136="","",IFERROR(INDEX(Roster!$A$2:$A$600,MATCH(F2136,Roster!$E$2:$E$600,0)),""))</f>
        <v/>
      </c>
      <c r="I2136" s="10">
        <f>IF(AND(D2136="",C2136="",F2136=""),"",IF(G2136&lt;&gt;"","Void",IF(F2136="","Needs child",IF(H2136="","Child not found",IF(OR(B2136="",NOT(ISNUMBER(C2136))),"Needs month/pages","OK")))))</f>
        <v/>
      </c>
      <c r="J2136" s="10">
        <f>IF(I2136="","",IF(I2136="OK",IF(COUNTIFS(H2137:H$3001,H2136,B2137:B$3001,B2136,G2137:G$3001,"")=0,C2136,0),0))</f>
        <v/>
      </c>
    </row>
    <row r="2137">
      <c r="A2137" s="6" t="n"/>
      <c r="B2137" s="9" t="n"/>
      <c r="C2137" s="6" t="n"/>
      <c r="D2137" s="6" t="n"/>
      <c r="E2137" s="6" t="n"/>
      <c r="F2137" s="6" t="n"/>
      <c r="G2137" s="6" t="n"/>
      <c r="H2137" s="10">
        <f>IF(F2137="","",IFERROR(INDEX(Roster!$A$2:$A$600,MATCH(F2137,Roster!$E$2:$E$600,0)),""))</f>
        <v/>
      </c>
      <c r="I2137" s="10">
        <f>IF(AND(D2137="",C2137="",F2137=""),"",IF(G2137&lt;&gt;"","Void",IF(F2137="","Needs child",IF(H2137="","Child not found",IF(OR(B2137="",NOT(ISNUMBER(C2137))),"Needs month/pages","OK")))))</f>
        <v/>
      </c>
      <c r="J2137" s="10">
        <f>IF(I2137="","",IF(I2137="OK",IF(COUNTIFS(H2138:H$3001,H2137,B2138:B$3001,B2137,G2138:G$3001,"")=0,C2137,0),0))</f>
        <v/>
      </c>
    </row>
    <row r="2138">
      <c r="A2138" s="6" t="n"/>
      <c r="B2138" s="9" t="n"/>
      <c r="C2138" s="6" t="n"/>
      <c r="D2138" s="6" t="n"/>
      <c r="E2138" s="6" t="n"/>
      <c r="F2138" s="6" t="n"/>
      <c r="G2138" s="6" t="n"/>
      <c r="H2138" s="10">
        <f>IF(F2138="","",IFERROR(INDEX(Roster!$A$2:$A$600,MATCH(F2138,Roster!$E$2:$E$600,0)),""))</f>
        <v/>
      </c>
      <c r="I2138" s="10">
        <f>IF(AND(D2138="",C2138="",F2138=""),"",IF(G2138&lt;&gt;"","Void",IF(F2138="","Needs child",IF(H2138="","Child not found",IF(OR(B2138="",NOT(ISNUMBER(C2138))),"Needs month/pages","OK")))))</f>
        <v/>
      </c>
      <c r="J2138" s="10">
        <f>IF(I2138="","",IF(I2138="OK",IF(COUNTIFS(H2139:H$3001,H2138,B2139:B$3001,B2138,G2139:G$3001,"")=0,C2138,0),0))</f>
        <v/>
      </c>
    </row>
    <row r="2139">
      <c r="A2139" s="6" t="n"/>
      <c r="B2139" s="9" t="n"/>
      <c r="C2139" s="6" t="n"/>
      <c r="D2139" s="6" t="n"/>
      <c r="E2139" s="6" t="n"/>
      <c r="F2139" s="6" t="n"/>
      <c r="G2139" s="6" t="n"/>
      <c r="H2139" s="10">
        <f>IF(F2139="","",IFERROR(INDEX(Roster!$A$2:$A$600,MATCH(F2139,Roster!$E$2:$E$600,0)),""))</f>
        <v/>
      </c>
      <c r="I2139" s="10">
        <f>IF(AND(D2139="",C2139="",F2139=""),"",IF(G2139&lt;&gt;"","Void",IF(F2139="","Needs child",IF(H2139="","Child not found",IF(OR(B2139="",NOT(ISNUMBER(C2139))),"Needs month/pages","OK")))))</f>
        <v/>
      </c>
      <c r="J2139" s="10">
        <f>IF(I2139="","",IF(I2139="OK",IF(COUNTIFS(H2140:H$3001,H2139,B2140:B$3001,B2139,G2140:G$3001,"")=0,C2139,0),0))</f>
        <v/>
      </c>
    </row>
    <row r="2140">
      <c r="A2140" s="6" t="n"/>
      <c r="B2140" s="9" t="n"/>
      <c r="C2140" s="6" t="n"/>
      <c r="D2140" s="6" t="n"/>
      <c r="E2140" s="6" t="n"/>
      <c r="F2140" s="6" t="n"/>
      <c r="G2140" s="6" t="n"/>
      <c r="H2140" s="10">
        <f>IF(F2140="","",IFERROR(INDEX(Roster!$A$2:$A$600,MATCH(F2140,Roster!$E$2:$E$600,0)),""))</f>
        <v/>
      </c>
      <c r="I2140" s="10">
        <f>IF(AND(D2140="",C2140="",F2140=""),"",IF(G2140&lt;&gt;"","Void",IF(F2140="","Needs child",IF(H2140="","Child not found",IF(OR(B2140="",NOT(ISNUMBER(C2140))),"Needs month/pages","OK")))))</f>
        <v/>
      </c>
      <c r="J2140" s="10">
        <f>IF(I2140="","",IF(I2140="OK",IF(COUNTIFS(H2141:H$3001,H2140,B2141:B$3001,B2140,G2141:G$3001,"")=0,C2140,0),0))</f>
        <v/>
      </c>
    </row>
    <row r="2141">
      <c r="A2141" s="6" t="n"/>
      <c r="B2141" s="9" t="n"/>
      <c r="C2141" s="6" t="n"/>
      <c r="D2141" s="6" t="n"/>
      <c r="E2141" s="6" t="n"/>
      <c r="F2141" s="6" t="n"/>
      <c r="G2141" s="6" t="n"/>
      <c r="H2141" s="10">
        <f>IF(F2141="","",IFERROR(INDEX(Roster!$A$2:$A$600,MATCH(F2141,Roster!$E$2:$E$600,0)),""))</f>
        <v/>
      </c>
      <c r="I2141" s="10">
        <f>IF(AND(D2141="",C2141="",F2141=""),"",IF(G2141&lt;&gt;"","Void",IF(F2141="","Needs child",IF(H2141="","Child not found",IF(OR(B2141="",NOT(ISNUMBER(C2141))),"Needs month/pages","OK")))))</f>
        <v/>
      </c>
      <c r="J2141" s="10">
        <f>IF(I2141="","",IF(I2141="OK",IF(COUNTIFS(H2142:H$3001,H2141,B2142:B$3001,B2141,G2142:G$3001,"")=0,C2141,0),0))</f>
        <v/>
      </c>
    </row>
    <row r="2142">
      <c r="A2142" s="6" t="n"/>
      <c r="B2142" s="9" t="n"/>
      <c r="C2142" s="6" t="n"/>
      <c r="D2142" s="6" t="n"/>
      <c r="E2142" s="6" t="n"/>
      <c r="F2142" s="6" t="n"/>
      <c r="G2142" s="6" t="n"/>
      <c r="H2142" s="10">
        <f>IF(F2142="","",IFERROR(INDEX(Roster!$A$2:$A$600,MATCH(F2142,Roster!$E$2:$E$600,0)),""))</f>
        <v/>
      </c>
      <c r="I2142" s="10">
        <f>IF(AND(D2142="",C2142="",F2142=""),"",IF(G2142&lt;&gt;"","Void",IF(F2142="","Needs child",IF(H2142="","Child not found",IF(OR(B2142="",NOT(ISNUMBER(C2142))),"Needs month/pages","OK")))))</f>
        <v/>
      </c>
      <c r="J2142" s="10">
        <f>IF(I2142="","",IF(I2142="OK",IF(COUNTIFS(H2143:H$3001,H2142,B2143:B$3001,B2142,G2143:G$3001,"")=0,C2142,0),0))</f>
        <v/>
      </c>
    </row>
    <row r="2143">
      <c r="A2143" s="6" t="n"/>
      <c r="B2143" s="9" t="n"/>
      <c r="C2143" s="6" t="n"/>
      <c r="D2143" s="6" t="n"/>
      <c r="E2143" s="6" t="n"/>
      <c r="F2143" s="6" t="n"/>
      <c r="G2143" s="6" t="n"/>
      <c r="H2143" s="10">
        <f>IF(F2143="","",IFERROR(INDEX(Roster!$A$2:$A$600,MATCH(F2143,Roster!$E$2:$E$600,0)),""))</f>
        <v/>
      </c>
      <c r="I2143" s="10">
        <f>IF(AND(D2143="",C2143="",F2143=""),"",IF(G2143&lt;&gt;"","Void",IF(F2143="","Needs child",IF(H2143="","Child not found",IF(OR(B2143="",NOT(ISNUMBER(C2143))),"Needs month/pages","OK")))))</f>
        <v/>
      </c>
      <c r="J2143" s="10">
        <f>IF(I2143="","",IF(I2143="OK",IF(COUNTIFS(H2144:H$3001,H2143,B2144:B$3001,B2143,G2144:G$3001,"")=0,C2143,0),0))</f>
        <v/>
      </c>
    </row>
    <row r="2144">
      <c r="A2144" s="6" t="n"/>
      <c r="B2144" s="9" t="n"/>
      <c r="C2144" s="6" t="n"/>
      <c r="D2144" s="6" t="n"/>
      <c r="E2144" s="6" t="n"/>
      <c r="F2144" s="6" t="n"/>
      <c r="G2144" s="6" t="n"/>
      <c r="H2144" s="10">
        <f>IF(F2144="","",IFERROR(INDEX(Roster!$A$2:$A$600,MATCH(F2144,Roster!$E$2:$E$600,0)),""))</f>
        <v/>
      </c>
      <c r="I2144" s="10">
        <f>IF(AND(D2144="",C2144="",F2144=""),"",IF(G2144&lt;&gt;"","Void",IF(F2144="","Needs child",IF(H2144="","Child not found",IF(OR(B2144="",NOT(ISNUMBER(C2144))),"Needs month/pages","OK")))))</f>
        <v/>
      </c>
      <c r="J2144" s="10">
        <f>IF(I2144="","",IF(I2144="OK",IF(COUNTIFS(H2145:H$3001,H2144,B2145:B$3001,B2144,G2145:G$3001,"")=0,C2144,0),0))</f>
        <v/>
      </c>
    </row>
    <row r="2145">
      <c r="A2145" s="6" t="n"/>
      <c r="B2145" s="9" t="n"/>
      <c r="C2145" s="6" t="n"/>
      <c r="D2145" s="6" t="n"/>
      <c r="E2145" s="6" t="n"/>
      <c r="F2145" s="6" t="n"/>
      <c r="G2145" s="6" t="n"/>
      <c r="H2145" s="10">
        <f>IF(F2145="","",IFERROR(INDEX(Roster!$A$2:$A$600,MATCH(F2145,Roster!$E$2:$E$600,0)),""))</f>
        <v/>
      </c>
      <c r="I2145" s="10">
        <f>IF(AND(D2145="",C2145="",F2145=""),"",IF(G2145&lt;&gt;"","Void",IF(F2145="","Needs child",IF(H2145="","Child not found",IF(OR(B2145="",NOT(ISNUMBER(C2145))),"Needs month/pages","OK")))))</f>
        <v/>
      </c>
      <c r="J2145" s="10">
        <f>IF(I2145="","",IF(I2145="OK",IF(COUNTIFS(H2146:H$3001,H2145,B2146:B$3001,B2145,G2146:G$3001,"")=0,C2145,0),0))</f>
        <v/>
      </c>
    </row>
    <row r="2146">
      <c r="A2146" s="6" t="n"/>
      <c r="B2146" s="9" t="n"/>
      <c r="C2146" s="6" t="n"/>
      <c r="D2146" s="6" t="n"/>
      <c r="E2146" s="6" t="n"/>
      <c r="F2146" s="6" t="n"/>
      <c r="G2146" s="6" t="n"/>
      <c r="H2146" s="10">
        <f>IF(F2146="","",IFERROR(INDEX(Roster!$A$2:$A$600,MATCH(F2146,Roster!$E$2:$E$600,0)),""))</f>
        <v/>
      </c>
      <c r="I2146" s="10">
        <f>IF(AND(D2146="",C2146="",F2146=""),"",IF(G2146&lt;&gt;"","Void",IF(F2146="","Needs child",IF(H2146="","Child not found",IF(OR(B2146="",NOT(ISNUMBER(C2146))),"Needs month/pages","OK")))))</f>
        <v/>
      </c>
      <c r="J2146" s="10">
        <f>IF(I2146="","",IF(I2146="OK",IF(COUNTIFS(H2147:H$3001,H2146,B2147:B$3001,B2146,G2147:G$3001,"")=0,C2146,0),0))</f>
        <v/>
      </c>
    </row>
    <row r="2147">
      <c r="A2147" s="6" t="n"/>
      <c r="B2147" s="9" t="n"/>
      <c r="C2147" s="6" t="n"/>
      <c r="D2147" s="6" t="n"/>
      <c r="E2147" s="6" t="n"/>
      <c r="F2147" s="6" t="n"/>
      <c r="G2147" s="6" t="n"/>
      <c r="H2147" s="10">
        <f>IF(F2147="","",IFERROR(INDEX(Roster!$A$2:$A$600,MATCH(F2147,Roster!$E$2:$E$600,0)),""))</f>
        <v/>
      </c>
      <c r="I2147" s="10">
        <f>IF(AND(D2147="",C2147="",F2147=""),"",IF(G2147&lt;&gt;"","Void",IF(F2147="","Needs child",IF(H2147="","Child not found",IF(OR(B2147="",NOT(ISNUMBER(C2147))),"Needs month/pages","OK")))))</f>
        <v/>
      </c>
      <c r="J2147" s="10">
        <f>IF(I2147="","",IF(I2147="OK",IF(COUNTIFS(H2148:H$3001,H2147,B2148:B$3001,B2147,G2148:G$3001,"")=0,C2147,0),0))</f>
        <v/>
      </c>
    </row>
    <row r="2148">
      <c r="A2148" s="6" t="n"/>
      <c r="B2148" s="9" t="n"/>
      <c r="C2148" s="6" t="n"/>
      <c r="D2148" s="6" t="n"/>
      <c r="E2148" s="6" t="n"/>
      <c r="F2148" s="6" t="n"/>
      <c r="G2148" s="6" t="n"/>
      <c r="H2148" s="10">
        <f>IF(F2148="","",IFERROR(INDEX(Roster!$A$2:$A$600,MATCH(F2148,Roster!$E$2:$E$600,0)),""))</f>
        <v/>
      </c>
      <c r="I2148" s="10">
        <f>IF(AND(D2148="",C2148="",F2148=""),"",IF(G2148&lt;&gt;"","Void",IF(F2148="","Needs child",IF(H2148="","Child not found",IF(OR(B2148="",NOT(ISNUMBER(C2148))),"Needs month/pages","OK")))))</f>
        <v/>
      </c>
      <c r="J2148" s="10">
        <f>IF(I2148="","",IF(I2148="OK",IF(COUNTIFS(H2149:H$3001,H2148,B2149:B$3001,B2148,G2149:G$3001,"")=0,C2148,0),0))</f>
        <v/>
      </c>
    </row>
    <row r="2149">
      <c r="A2149" s="6" t="n"/>
      <c r="B2149" s="9" t="n"/>
      <c r="C2149" s="6" t="n"/>
      <c r="D2149" s="6" t="n"/>
      <c r="E2149" s="6" t="n"/>
      <c r="F2149" s="6" t="n"/>
      <c r="G2149" s="6" t="n"/>
      <c r="H2149" s="10">
        <f>IF(F2149="","",IFERROR(INDEX(Roster!$A$2:$A$600,MATCH(F2149,Roster!$E$2:$E$600,0)),""))</f>
        <v/>
      </c>
      <c r="I2149" s="10">
        <f>IF(AND(D2149="",C2149="",F2149=""),"",IF(G2149&lt;&gt;"","Void",IF(F2149="","Needs child",IF(H2149="","Child not found",IF(OR(B2149="",NOT(ISNUMBER(C2149))),"Needs month/pages","OK")))))</f>
        <v/>
      </c>
      <c r="J2149" s="10">
        <f>IF(I2149="","",IF(I2149="OK",IF(COUNTIFS(H2150:H$3001,H2149,B2150:B$3001,B2149,G2150:G$3001,"")=0,C2149,0),0))</f>
        <v/>
      </c>
    </row>
    <row r="2150">
      <c r="A2150" s="6" t="n"/>
      <c r="B2150" s="9" t="n"/>
      <c r="C2150" s="6" t="n"/>
      <c r="D2150" s="6" t="n"/>
      <c r="E2150" s="6" t="n"/>
      <c r="F2150" s="6" t="n"/>
      <c r="G2150" s="6" t="n"/>
      <c r="H2150" s="10">
        <f>IF(F2150="","",IFERROR(INDEX(Roster!$A$2:$A$600,MATCH(F2150,Roster!$E$2:$E$600,0)),""))</f>
        <v/>
      </c>
      <c r="I2150" s="10">
        <f>IF(AND(D2150="",C2150="",F2150=""),"",IF(G2150&lt;&gt;"","Void",IF(F2150="","Needs child",IF(H2150="","Child not found",IF(OR(B2150="",NOT(ISNUMBER(C2150))),"Needs month/pages","OK")))))</f>
        <v/>
      </c>
      <c r="J2150" s="10">
        <f>IF(I2150="","",IF(I2150="OK",IF(COUNTIFS(H2151:H$3001,H2150,B2151:B$3001,B2150,G2151:G$3001,"")=0,C2150,0),0))</f>
        <v/>
      </c>
    </row>
    <row r="2151">
      <c r="A2151" s="6" t="n"/>
      <c r="B2151" s="9" t="n"/>
      <c r="C2151" s="6" t="n"/>
      <c r="D2151" s="6" t="n"/>
      <c r="E2151" s="6" t="n"/>
      <c r="F2151" s="6" t="n"/>
      <c r="G2151" s="6" t="n"/>
      <c r="H2151" s="10">
        <f>IF(F2151="","",IFERROR(INDEX(Roster!$A$2:$A$600,MATCH(F2151,Roster!$E$2:$E$600,0)),""))</f>
        <v/>
      </c>
      <c r="I2151" s="10">
        <f>IF(AND(D2151="",C2151="",F2151=""),"",IF(G2151&lt;&gt;"","Void",IF(F2151="","Needs child",IF(H2151="","Child not found",IF(OR(B2151="",NOT(ISNUMBER(C2151))),"Needs month/pages","OK")))))</f>
        <v/>
      </c>
      <c r="J2151" s="10">
        <f>IF(I2151="","",IF(I2151="OK",IF(COUNTIFS(H2152:H$3001,H2151,B2152:B$3001,B2151,G2152:G$3001,"")=0,C2151,0),0))</f>
        <v/>
      </c>
    </row>
    <row r="2152">
      <c r="A2152" s="6" t="n"/>
      <c r="B2152" s="9" t="n"/>
      <c r="C2152" s="6" t="n"/>
      <c r="D2152" s="6" t="n"/>
      <c r="E2152" s="6" t="n"/>
      <c r="F2152" s="6" t="n"/>
      <c r="G2152" s="6" t="n"/>
      <c r="H2152" s="10">
        <f>IF(F2152="","",IFERROR(INDEX(Roster!$A$2:$A$600,MATCH(F2152,Roster!$E$2:$E$600,0)),""))</f>
        <v/>
      </c>
      <c r="I2152" s="10">
        <f>IF(AND(D2152="",C2152="",F2152=""),"",IF(G2152&lt;&gt;"","Void",IF(F2152="","Needs child",IF(H2152="","Child not found",IF(OR(B2152="",NOT(ISNUMBER(C2152))),"Needs month/pages","OK")))))</f>
        <v/>
      </c>
      <c r="J2152" s="10">
        <f>IF(I2152="","",IF(I2152="OK",IF(COUNTIFS(H2153:H$3001,H2152,B2153:B$3001,B2152,G2153:G$3001,"")=0,C2152,0),0))</f>
        <v/>
      </c>
    </row>
    <row r="2153">
      <c r="A2153" s="6" t="n"/>
      <c r="B2153" s="9" t="n"/>
      <c r="C2153" s="6" t="n"/>
      <c r="D2153" s="6" t="n"/>
      <c r="E2153" s="6" t="n"/>
      <c r="F2153" s="6" t="n"/>
      <c r="G2153" s="6" t="n"/>
      <c r="H2153" s="10">
        <f>IF(F2153="","",IFERROR(INDEX(Roster!$A$2:$A$600,MATCH(F2153,Roster!$E$2:$E$600,0)),""))</f>
        <v/>
      </c>
      <c r="I2153" s="10">
        <f>IF(AND(D2153="",C2153="",F2153=""),"",IF(G2153&lt;&gt;"","Void",IF(F2153="","Needs child",IF(H2153="","Child not found",IF(OR(B2153="",NOT(ISNUMBER(C2153))),"Needs month/pages","OK")))))</f>
        <v/>
      </c>
      <c r="J2153" s="10">
        <f>IF(I2153="","",IF(I2153="OK",IF(COUNTIFS(H2154:H$3001,H2153,B2154:B$3001,B2153,G2154:G$3001,"")=0,C2153,0),0))</f>
        <v/>
      </c>
    </row>
    <row r="2154">
      <c r="A2154" s="6" t="n"/>
      <c r="B2154" s="9" t="n"/>
      <c r="C2154" s="6" t="n"/>
      <c r="D2154" s="6" t="n"/>
      <c r="E2154" s="6" t="n"/>
      <c r="F2154" s="6" t="n"/>
      <c r="G2154" s="6" t="n"/>
      <c r="H2154" s="10">
        <f>IF(F2154="","",IFERROR(INDEX(Roster!$A$2:$A$600,MATCH(F2154,Roster!$E$2:$E$600,0)),""))</f>
        <v/>
      </c>
      <c r="I2154" s="10">
        <f>IF(AND(D2154="",C2154="",F2154=""),"",IF(G2154&lt;&gt;"","Void",IF(F2154="","Needs child",IF(H2154="","Child not found",IF(OR(B2154="",NOT(ISNUMBER(C2154))),"Needs month/pages","OK")))))</f>
        <v/>
      </c>
      <c r="J2154" s="10">
        <f>IF(I2154="","",IF(I2154="OK",IF(COUNTIFS(H2155:H$3001,H2154,B2155:B$3001,B2154,G2155:G$3001,"")=0,C2154,0),0))</f>
        <v/>
      </c>
    </row>
    <row r="2155">
      <c r="A2155" s="6" t="n"/>
      <c r="B2155" s="9" t="n"/>
      <c r="C2155" s="6" t="n"/>
      <c r="D2155" s="6" t="n"/>
      <c r="E2155" s="6" t="n"/>
      <c r="F2155" s="6" t="n"/>
      <c r="G2155" s="6" t="n"/>
      <c r="H2155" s="10">
        <f>IF(F2155="","",IFERROR(INDEX(Roster!$A$2:$A$600,MATCH(F2155,Roster!$E$2:$E$600,0)),""))</f>
        <v/>
      </c>
      <c r="I2155" s="10">
        <f>IF(AND(D2155="",C2155="",F2155=""),"",IF(G2155&lt;&gt;"","Void",IF(F2155="","Needs child",IF(H2155="","Child not found",IF(OR(B2155="",NOT(ISNUMBER(C2155))),"Needs month/pages","OK")))))</f>
        <v/>
      </c>
      <c r="J2155" s="10">
        <f>IF(I2155="","",IF(I2155="OK",IF(COUNTIFS(H2156:H$3001,H2155,B2156:B$3001,B2155,G2156:G$3001,"")=0,C2155,0),0))</f>
        <v/>
      </c>
    </row>
    <row r="2156">
      <c r="A2156" s="6" t="n"/>
      <c r="B2156" s="9" t="n"/>
      <c r="C2156" s="6" t="n"/>
      <c r="D2156" s="6" t="n"/>
      <c r="E2156" s="6" t="n"/>
      <c r="F2156" s="6" t="n"/>
      <c r="G2156" s="6" t="n"/>
      <c r="H2156" s="10">
        <f>IF(F2156="","",IFERROR(INDEX(Roster!$A$2:$A$600,MATCH(F2156,Roster!$E$2:$E$600,0)),""))</f>
        <v/>
      </c>
      <c r="I2156" s="10">
        <f>IF(AND(D2156="",C2156="",F2156=""),"",IF(G2156&lt;&gt;"","Void",IF(F2156="","Needs child",IF(H2156="","Child not found",IF(OR(B2156="",NOT(ISNUMBER(C2156))),"Needs month/pages","OK")))))</f>
        <v/>
      </c>
      <c r="J2156" s="10">
        <f>IF(I2156="","",IF(I2156="OK",IF(COUNTIFS(H2157:H$3001,H2156,B2157:B$3001,B2156,G2157:G$3001,"")=0,C2156,0),0))</f>
        <v/>
      </c>
    </row>
    <row r="2157">
      <c r="A2157" s="6" t="n"/>
      <c r="B2157" s="9" t="n"/>
      <c r="C2157" s="6" t="n"/>
      <c r="D2157" s="6" t="n"/>
      <c r="E2157" s="6" t="n"/>
      <c r="F2157" s="6" t="n"/>
      <c r="G2157" s="6" t="n"/>
      <c r="H2157" s="10">
        <f>IF(F2157="","",IFERROR(INDEX(Roster!$A$2:$A$600,MATCH(F2157,Roster!$E$2:$E$600,0)),""))</f>
        <v/>
      </c>
      <c r="I2157" s="10">
        <f>IF(AND(D2157="",C2157="",F2157=""),"",IF(G2157&lt;&gt;"","Void",IF(F2157="","Needs child",IF(H2157="","Child not found",IF(OR(B2157="",NOT(ISNUMBER(C2157))),"Needs month/pages","OK")))))</f>
        <v/>
      </c>
      <c r="J2157" s="10">
        <f>IF(I2157="","",IF(I2157="OK",IF(COUNTIFS(H2158:H$3001,H2157,B2158:B$3001,B2157,G2158:G$3001,"")=0,C2157,0),0))</f>
        <v/>
      </c>
    </row>
    <row r="2158">
      <c r="A2158" s="6" t="n"/>
      <c r="B2158" s="9" t="n"/>
      <c r="C2158" s="6" t="n"/>
      <c r="D2158" s="6" t="n"/>
      <c r="E2158" s="6" t="n"/>
      <c r="F2158" s="6" t="n"/>
      <c r="G2158" s="6" t="n"/>
      <c r="H2158" s="10">
        <f>IF(F2158="","",IFERROR(INDEX(Roster!$A$2:$A$600,MATCH(F2158,Roster!$E$2:$E$600,0)),""))</f>
        <v/>
      </c>
      <c r="I2158" s="10">
        <f>IF(AND(D2158="",C2158="",F2158=""),"",IF(G2158&lt;&gt;"","Void",IF(F2158="","Needs child",IF(H2158="","Child not found",IF(OR(B2158="",NOT(ISNUMBER(C2158))),"Needs month/pages","OK")))))</f>
        <v/>
      </c>
      <c r="J2158" s="10">
        <f>IF(I2158="","",IF(I2158="OK",IF(COUNTIFS(H2159:H$3001,H2158,B2159:B$3001,B2158,G2159:G$3001,"")=0,C2158,0),0))</f>
        <v/>
      </c>
    </row>
    <row r="2159">
      <c r="A2159" s="6" t="n"/>
      <c r="B2159" s="9" t="n"/>
      <c r="C2159" s="6" t="n"/>
      <c r="D2159" s="6" t="n"/>
      <c r="E2159" s="6" t="n"/>
      <c r="F2159" s="6" t="n"/>
      <c r="G2159" s="6" t="n"/>
      <c r="H2159" s="10">
        <f>IF(F2159="","",IFERROR(INDEX(Roster!$A$2:$A$600,MATCH(F2159,Roster!$E$2:$E$600,0)),""))</f>
        <v/>
      </c>
      <c r="I2159" s="10">
        <f>IF(AND(D2159="",C2159="",F2159=""),"",IF(G2159&lt;&gt;"","Void",IF(F2159="","Needs child",IF(H2159="","Child not found",IF(OR(B2159="",NOT(ISNUMBER(C2159))),"Needs month/pages","OK")))))</f>
        <v/>
      </c>
      <c r="J2159" s="10">
        <f>IF(I2159="","",IF(I2159="OK",IF(COUNTIFS(H2160:H$3001,H2159,B2160:B$3001,B2159,G2160:G$3001,"")=0,C2159,0),0))</f>
        <v/>
      </c>
    </row>
    <row r="2160">
      <c r="A2160" s="6" t="n"/>
      <c r="B2160" s="9" t="n"/>
      <c r="C2160" s="6" t="n"/>
      <c r="D2160" s="6" t="n"/>
      <c r="E2160" s="6" t="n"/>
      <c r="F2160" s="6" t="n"/>
      <c r="G2160" s="6" t="n"/>
      <c r="H2160" s="10">
        <f>IF(F2160="","",IFERROR(INDEX(Roster!$A$2:$A$600,MATCH(F2160,Roster!$E$2:$E$600,0)),""))</f>
        <v/>
      </c>
      <c r="I2160" s="10">
        <f>IF(AND(D2160="",C2160="",F2160=""),"",IF(G2160&lt;&gt;"","Void",IF(F2160="","Needs child",IF(H2160="","Child not found",IF(OR(B2160="",NOT(ISNUMBER(C2160))),"Needs month/pages","OK")))))</f>
        <v/>
      </c>
      <c r="J2160" s="10">
        <f>IF(I2160="","",IF(I2160="OK",IF(COUNTIFS(H2161:H$3001,H2160,B2161:B$3001,B2160,G2161:G$3001,"")=0,C2160,0),0))</f>
        <v/>
      </c>
    </row>
    <row r="2161">
      <c r="A2161" s="6" t="n"/>
      <c r="B2161" s="9" t="n"/>
      <c r="C2161" s="6" t="n"/>
      <c r="D2161" s="6" t="n"/>
      <c r="E2161" s="6" t="n"/>
      <c r="F2161" s="6" t="n"/>
      <c r="G2161" s="6" t="n"/>
      <c r="H2161" s="10">
        <f>IF(F2161="","",IFERROR(INDEX(Roster!$A$2:$A$600,MATCH(F2161,Roster!$E$2:$E$600,0)),""))</f>
        <v/>
      </c>
      <c r="I2161" s="10">
        <f>IF(AND(D2161="",C2161="",F2161=""),"",IF(G2161&lt;&gt;"","Void",IF(F2161="","Needs child",IF(H2161="","Child not found",IF(OR(B2161="",NOT(ISNUMBER(C2161))),"Needs month/pages","OK")))))</f>
        <v/>
      </c>
      <c r="J2161" s="10">
        <f>IF(I2161="","",IF(I2161="OK",IF(COUNTIFS(H2162:H$3001,H2161,B2162:B$3001,B2161,G2162:G$3001,"")=0,C2161,0),0))</f>
        <v/>
      </c>
    </row>
    <row r="2162">
      <c r="A2162" s="6" t="n"/>
      <c r="B2162" s="9" t="n"/>
      <c r="C2162" s="6" t="n"/>
      <c r="D2162" s="6" t="n"/>
      <c r="E2162" s="6" t="n"/>
      <c r="F2162" s="6" t="n"/>
      <c r="G2162" s="6" t="n"/>
      <c r="H2162" s="10">
        <f>IF(F2162="","",IFERROR(INDEX(Roster!$A$2:$A$600,MATCH(F2162,Roster!$E$2:$E$600,0)),""))</f>
        <v/>
      </c>
      <c r="I2162" s="10">
        <f>IF(AND(D2162="",C2162="",F2162=""),"",IF(G2162&lt;&gt;"","Void",IF(F2162="","Needs child",IF(H2162="","Child not found",IF(OR(B2162="",NOT(ISNUMBER(C2162))),"Needs month/pages","OK")))))</f>
        <v/>
      </c>
      <c r="J2162" s="10">
        <f>IF(I2162="","",IF(I2162="OK",IF(COUNTIFS(H2163:H$3001,H2162,B2163:B$3001,B2162,G2163:G$3001,"")=0,C2162,0),0))</f>
        <v/>
      </c>
    </row>
    <row r="2163">
      <c r="A2163" s="6" t="n"/>
      <c r="B2163" s="9" t="n"/>
      <c r="C2163" s="6" t="n"/>
      <c r="D2163" s="6" t="n"/>
      <c r="E2163" s="6" t="n"/>
      <c r="F2163" s="6" t="n"/>
      <c r="G2163" s="6" t="n"/>
      <c r="H2163" s="10">
        <f>IF(F2163="","",IFERROR(INDEX(Roster!$A$2:$A$600,MATCH(F2163,Roster!$E$2:$E$600,0)),""))</f>
        <v/>
      </c>
      <c r="I2163" s="10">
        <f>IF(AND(D2163="",C2163="",F2163=""),"",IF(G2163&lt;&gt;"","Void",IF(F2163="","Needs child",IF(H2163="","Child not found",IF(OR(B2163="",NOT(ISNUMBER(C2163))),"Needs month/pages","OK")))))</f>
        <v/>
      </c>
      <c r="J2163" s="10">
        <f>IF(I2163="","",IF(I2163="OK",IF(COUNTIFS(H2164:H$3001,H2163,B2164:B$3001,B2163,G2164:G$3001,"")=0,C2163,0),0))</f>
        <v/>
      </c>
    </row>
    <row r="2164">
      <c r="A2164" s="6" t="n"/>
      <c r="B2164" s="9" t="n"/>
      <c r="C2164" s="6" t="n"/>
      <c r="D2164" s="6" t="n"/>
      <c r="E2164" s="6" t="n"/>
      <c r="F2164" s="6" t="n"/>
      <c r="G2164" s="6" t="n"/>
      <c r="H2164" s="10">
        <f>IF(F2164="","",IFERROR(INDEX(Roster!$A$2:$A$600,MATCH(F2164,Roster!$E$2:$E$600,0)),""))</f>
        <v/>
      </c>
      <c r="I2164" s="10">
        <f>IF(AND(D2164="",C2164="",F2164=""),"",IF(G2164&lt;&gt;"","Void",IF(F2164="","Needs child",IF(H2164="","Child not found",IF(OR(B2164="",NOT(ISNUMBER(C2164))),"Needs month/pages","OK")))))</f>
        <v/>
      </c>
      <c r="J2164" s="10">
        <f>IF(I2164="","",IF(I2164="OK",IF(COUNTIFS(H2165:H$3001,H2164,B2165:B$3001,B2164,G2165:G$3001,"")=0,C2164,0),0))</f>
        <v/>
      </c>
    </row>
    <row r="2165">
      <c r="A2165" s="6" t="n"/>
      <c r="B2165" s="9" t="n"/>
      <c r="C2165" s="6" t="n"/>
      <c r="D2165" s="6" t="n"/>
      <c r="E2165" s="6" t="n"/>
      <c r="F2165" s="6" t="n"/>
      <c r="G2165" s="6" t="n"/>
      <c r="H2165" s="10">
        <f>IF(F2165="","",IFERROR(INDEX(Roster!$A$2:$A$600,MATCH(F2165,Roster!$E$2:$E$600,0)),""))</f>
        <v/>
      </c>
      <c r="I2165" s="10">
        <f>IF(AND(D2165="",C2165="",F2165=""),"",IF(G2165&lt;&gt;"","Void",IF(F2165="","Needs child",IF(H2165="","Child not found",IF(OR(B2165="",NOT(ISNUMBER(C2165))),"Needs month/pages","OK")))))</f>
        <v/>
      </c>
      <c r="J2165" s="10">
        <f>IF(I2165="","",IF(I2165="OK",IF(COUNTIFS(H2166:H$3001,H2165,B2166:B$3001,B2165,G2166:G$3001,"")=0,C2165,0),0))</f>
        <v/>
      </c>
    </row>
    <row r="2166">
      <c r="A2166" s="6" t="n"/>
      <c r="B2166" s="9" t="n"/>
      <c r="C2166" s="6" t="n"/>
      <c r="D2166" s="6" t="n"/>
      <c r="E2166" s="6" t="n"/>
      <c r="F2166" s="6" t="n"/>
      <c r="G2166" s="6" t="n"/>
      <c r="H2166" s="10">
        <f>IF(F2166="","",IFERROR(INDEX(Roster!$A$2:$A$600,MATCH(F2166,Roster!$E$2:$E$600,0)),""))</f>
        <v/>
      </c>
      <c r="I2166" s="10">
        <f>IF(AND(D2166="",C2166="",F2166=""),"",IF(G2166&lt;&gt;"","Void",IF(F2166="","Needs child",IF(H2166="","Child not found",IF(OR(B2166="",NOT(ISNUMBER(C2166))),"Needs month/pages","OK")))))</f>
        <v/>
      </c>
      <c r="J2166" s="10">
        <f>IF(I2166="","",IF(I2166="OK",IF(COUNTIFS(H2167:H$3001,H2166,B2167:B$3001,B2166,G2167:G$3001,"")=0,C2166,0),0))</f>
        <v/>
      </c>
    </row>
    <row r="2167">
      <c r="A2167" s="6" t="n"/>
      <c r="B2167" s="9" t="n"/>
      <c r="C2167" s="6" t="n"/>
      <c r="D2167" s="6" t="n"/>
      <c r="E2167" s="6" t="n"/>
      <c r="F2167" s="6" t="n"/>
      <c r="G2167" s="6" t="n"/>
      <c r="H2167" s="10">
        <f>IF(F2167="","",IFERROR(INDEX(Roster!$A$2:$A$600,MATCH(F2167,Roster!$E$2:$E$600,0)),""))</f>
        <v/>
      </c>
      <c r="I2167" s="10">
        <f>IF(AND(D2167="",C2167="",F2167=""),"",IF(G2167&lt;&gt;"","Void",IF(F2167="","Needs child",IF(H2167="","Child not found",IF(OR(B2167="",NOT(ISNUMBER(C2167))),"Needs month/pages","OK")))))</f>
        <v/>
      </c>
      <c r="J2167" s="10">
        <f>IF(I2167="","",IF(I2167="OK",IF(COUNTIFS(H2168:H$3001,H2167,B2168:B$3001,B2167,G2168:G$3001,"")=0,C2167,0),0))</f>
        <v/>
      </c>
    </row>
    <row r="2168">
      <c r="A2168" s="6" t="n"/>
      <c r="B2168" s="9" t="n"/>
      <c r="C2168" s="6" t="n"/>
      <c r="D2168" s="6" t="n"/>
      <c r="E2168" s="6" t="n"/>
      <c r="F2168" s="6" t="n"/>
      <c r="G2168" s="6" t="n"/>
      <c r="H2168" s="10">
        <f>IF(F2168="","",IFERROR(INDEX(Roster!$A$2:$A$600,MATCH(F2168,Roster!$E$2:$E$600,0)),""))</f>
        <v/>
      </c>
      <c r="I2168" s="10">
        <f>IF(AND(D2168="",C2168="",F2168=""),"",IF(G2168&lt;&gt;"","Void",IF(F2168="","Needs child",IF(H2168="","Child not found",IF(OR(B2168="",NOT(ISNUMBER(C2168))),"Needs month/pages","OK")))))</f>
        <v/>
      </c>
      <c r="J2168" s="10">
        <f>IF(I2168="","",IF(I2168="OK",IF(COUNTIFS(H2169:H$3001,H2168,B2169:B$3001,B2168,G2169:G$3001,"")=0,C2168,0),0))</f>
        <v/>
      </c>
    </row>
    <row r="2169">
      <c r="A2169" s="6" t="n"/>
      <c r="B2169" s="9" t="n"/>
      <c r="C2169" s="6" t="n"/>
      <c r="D2169" s="6" t="n"/>
      <c r="E2169" s="6" t="n"/>
      <c r="F2169" s="6" t="n"/>
      <c r="G2169" s="6" t="n"/>
      <c r="H2169" s="10">
        <f>IF(F2169="","",IFERROR(INDEX(Roster!$A$2:$A$600,MATCH(F2169,Roster!$E$2:$E$600,0)),""))</f>
        <v/>
      </c>
      <c r="I2169" s="10">
        <f>IF(AND(D2169="",C2169="",F2169=""),"",IF(G2169&lt;&gt;"","Void",IF(F2169="","Needs child",IF(H2169="","Child not found",IF(OR(B2169="",NOT(ISNUMBER(C2169))),"Needs month/pages","OK")))))</f>
        <v/>
      </c>
      <c r="J2169" s="10">
        <f>IF(I2169="","",IF(I2169="OK",IF(COUNTIFS(H2170:H$3001,H2169,B2170:B$3001,B2169,G2170:G$3001,"")=0,C2169,0),0))</f>
        <v/>
      </c>
    </row>
    <row r="2170">
      <c r="A2170" s="6" t="n"/>
      <c r="B2170" s="9" t="n"/>
      <c r="C2170" s="6" t="n"/>
      <c r="D2170" s="6" t="n"/>
      <c r="E2170" s="6" t="n"/>
      <c r="F2170" s="6" t="n"/>
      <c r="G2170" s="6" t="n"/>
      <c r="H2170" s="10">
        <f>IF(F2170="","",IFERROR(INDEX(Roster!$A$2:$A$600,MATCH(F2170,Roster!$E$2:$E$600,0)),""))</f>
        <v/>
      </c>
      <c r="I2170" s="10">
        <f>IF(AND(D2170="",C2170="",F2170=""),"",IF(G2170&lt;&gt;"","Void",IF(F2170="","Needs child",IF(H2170="","Child not found",IF(OR(B2170="",NOT(ISNUMBER(C2170))),"Needs month/pages","OK")))))</f>
        <v/>
      </c>
      <c r="J2170" s="10">
        <f>IF(I2170="","",IF(I2170="OK",IF(COUNTIFS(H2171:H$3001,H2170,B2171:B$3001,B2170,G2171:G$3001,"")=0,C2170,0),0))</f>
        <v/>
      </c>
    </row>
    <row r="2171">
      <c r="A2171" s="6" t="n"/>
      <c r="B2171" s="9" t="n"/>
      <c r="C2171" s="6" t="n"/>
      <c r="D2171" s="6" t="n"/>
      <c r="E2171" s="6" t="n"/>
      <c r="F2171" s="6" t="n"/>
      <c r="G2171" s="6" t="n"/>
      <c r="H2171" s="10">
        <f>IF(F2171="","",IFERROR(INDEX(Roster!$A$2:$A$600,MATCH(F2171,Roster!$E$2:$E$600,0)),""))</f>
        <v/>
      </c>
      <c r="I2171" s="10">
        <f>IF(AND(D2171="",C2171="",F2171=""),"",IF(G2171&lt;&gt;"","Void",IF(F2171="","Needs child",IF(H2171="","Child not found",IF(OR(B2171="",NOT(ISNUMBER(C2171))),"Needs month/pages","OK")))))</f>
        <v/>
      </c>
      <c r="J2171" s="10">
        <f>IF(I2171="","",IF(I2171="OK",IF(COUNTIFS(H2172:H$3001,H2171,B2172:B$3001,B2171,G2172:G$3001,"")=0,C2171,0),0))</f>
        <v/>
      </c>
    </row>
    <row r="2172">
      <c r="A2172" s="6" t="n"/>
      <c r="B2172" s="9" t="n"/>
      <c r="C2172" s="6" t="n"/>
      <c r="D2172" s="6" t="n"/>
      <c r="E2172" s="6" t="n"/>
      <c r="F2172" s="6" t="n"/>
      <c r="G2172" s="6" t="n"/>
      <c r="H2172" s="10">
        <f>IF(F2172="","",IFERROR(INDEX(Roster!$A$2:$A$600,MATCH(F2172,Roster!$E$2:$E$600,0)),""))</f>
        <v/>
      </c>
      <c r="I2172" s="10">
        <f>IF(AND(D2172="",C2172="",F2172=""),"",IF(G2172&lt;&gt;"","Void",IF(F2172="","Needs child",IF(H2172="","Child not found",IF(OR(B2172="",NOT(ISNUMBER(C2172))),"Needs month/pages","OK")))))</f>
        <v/>
      </c>
      <c r="J2172" s="10">
        <f>IF(I2172="","",IF(I2172="OK",IF(COUNTIFS(H2173:H$3001,H2172,B2173:B$3001,B2172,G2173:G$3001,"")=0,C2172,0),0))</f>
        <v/>
      </c>
    </row>
    <row r="2173">
      <c r="A2173" s="6" t="n"/>
      <c r="B2173" s="9" t="n"/>
      <c r="C2173" s="6" t="n"/>
      <c r="D2173" s="6" t="n"/>
      <c r="E2173" s="6" t="n"/>
      <c r="F2173" s="6" t="n"/>
      <c r="G2173" s="6" t="n"/>
      <c r="H2173" s="10">
        <f>IF(F2173="","",IFERROR(INDEX(Roster!$A$2:$A$600,MATCH(F2173,Roster!$E$2:$E$600,0)),""))</f>
        <v/>
      </c>
      <c r="I2173" s="10">
        <f>IF(AND(D2173="",C2173="",F2173=""),"",IF(G2173&lt;&gt;"","Void",IF(F2173="","Needs child",IF(H2173="","Child not found",IF(OR(B2173="",NOT(ISNUMBER(C2173))),"Needs month/pages","OK")))))</f>
        <v/>
      </c>
      <c r="J2173" s="10">
        <f>IF(I2173="","",IF(I2173="OK",IF(COUNTIFS(H2174:H$3001,H2173,B2174:B$3001,B2173,G2174:G$3001,"")=0,C2173,0),0))</f>
        <v/>
      </c>
    </row>
    <row r="2174">
      <c r="A2174" s="6" t="n"/>
      <c r="B2174" s="9" t="n"/>
      <c r="C2174" s="6" t="n"/>
      <c r="D2174" s="6" t="n"/>
      <c r="E2174" s="6" t="n"/>
      <c r="F2174" s="6" t="n"/>
      <c r="G2174" s="6" t="n"/>
      <c r="H2174" s="10">
        <f>IF(F2174="","",IFERROR(INDEX(Roster!$A$2:$A$600,MATCH(F2174,Roster!$E$2:$E$600,0)),""))</f>
        <v/>
      </c>
      <c r="I2174" s="10">
        <f>IF(AND(D2174="",C2174="",F2174=""),"",IF(G2174&lt;&gt;"","Void",IF(F2174="","Needs child",IF(H2174="","Child not found",IF(OR(B2174="",NOT(ISNUMBER(C2174))),"Needs month/pages","OK")))))</f>
        <v/>
      </c>
      <c r="J2174" s="10">
        <f>IF(I2174="","",IF(I2174="OK",IF(COUNTIFS(H2175:H$3001,H2174,B2175:B$3001,B2174,G2175:G$3001,"")=0,C2174,0),0))</f>
        <v/>
      </c>
    </row>
    <row r="2175">
      <c r="A2175" s="6" t="n"/>
      <c r="B2175" s="9" t="n"/>
      <c r="C2175" s="6" t="n"/>
      <c r="D2175" s="6" t="n"/>
      <c r="E2175" s="6" t="n"/>
      <c r="F2175" s="6" t="n"/>
      <c r="G2175" s="6" t="n"/>
      <c r="H2175" s="10">
        <f>IF(F2175="","",IFERROR(INDEX(Roster!$A$2:$A$600,MATCH(F2175,Roster!$E$2:$E$600,0)),""))</f>
        <v/>
      </c>
      <c r="I2175" s="10">
        <f>IF(AND(D2175="",C2175="",F2175=""),"",IF(G2175&lt;&gt;"","Void",IF(F2175="","Needs child",IF(H2175="","Child not found",IF(OR(B2175="",NOT(ISNUMBER(C2175))),"Needs month/pages","OK")))))</f>
        <v/>
      </c>
      <c r="J2175" s="10">
        <f>IF(I2175="","",IF(I2175="OK",IF(COUNTIFS(H2176:H$3001,H2175,B2176:B$3001,B2175,G2176:G$3001,"")=0,C2175,0),0))</f>
        <v/>
      </c>
    </row>
    <row r="2176">
      <c r="A2176" s="6" t="n"/>
      <c r="B2176" s="9" t="n"/>
      <c r="C2176" s="6" t="n"/>
      <c r="D2176" s="6" t="n"/>
      <c r="E2176" s="6" t="n"/>
      <c r="F2176" s="6" t="n"/>
      <c r="G2176" s="6" t="n"/>
      <c r="H2176" s="10">
        <f>IF(F2176="","",IFERROR(INDEX(Roster!$A$2:$A$600,MATCH(F2176,Roster!$E$2:$E$600,0)),""))</f>
        <v/>
      </c>
      <c r="I2176" s="10">
        <f>IF(AND(D2176="",C2176="",F2176=""),"",IF(G2176&lt;&gt;"","Void",IF(F2176="","Needs child",IF(H2176="","Child not found",IF(OR(B2176="",NOT(ISNUMBER(C2176))),"Needs month/pages","OK")))))</f>
        <v/>
      </c>
      <c r="J2176" s="10">
        <f>IF(I2176="","",IF(I2176="OK",IF(COUNTIFS(H2177:H$3001,H2176,B2177:B$3001,B2176,G2177:G$3001,"")=0,C2176,0),0))</f>
        <v/>
      </c>
    </row>
    <row r="2177">
      <c r="A2177" s="6" t="n"/>
      <c r="B2177" s="9" t="n"/>
      <c r="C2177" s="6" t="n"/>
      <c r="D2177" s="6" t="n"/>
      <c r="E2177" s="6" t="n"/>
      <c r="F2177" s="6" t="n"/>
      <c r="G2177" s="6" t="n"/>
      <c r="H2177" s="10">
        <f>IF(F2177="","",IFERROR(INDEX(Roster!$A$2:$A$600,MATCH(F2177,Roster!$E$2:$E$600,0)),""))</f>
        <v/>
      </c>
      <c r="I2177" s="10">
        <f>IF(AND(D2177="",C2177="",F2177=""),"",IF(G2177&lt;&gt;"","Void",IF(F2177="","Needs child",IF(H2177="","Child not found",IF(OR(B2177="",NOT(ISNUMBER(C2177))),"Needs month/pages","OK")))))</f>
        <v/>
      </c>
      <c r="J2177" s="10">
        <f>IF(I2177="","",IF(I2177="OK",IF(COUNTIFS(H2178:H$3001,H2177,B2178:B$3001,B2177,G2178:G$3001,"")=0,C2177,0),0))</f>
        <v/>
      </c>
    </row>
    <row r="2178">
      <c r="A2178" s="6" t="n"/>
      <c r="B2178" s="9" t="n"/>
      <c r="C2178" s="6" t="n"/>
      <c r="D2178" s="6" t="n"/>
      <c r="E2178" s="6" t="n"/>
      <c r="F2178" s="6" t="n"/>
      <c r="G2178" s="6" t="n"/>
      <c r="H2178" s="10">
        <f>IF(F2178="","",IFERROR(INDEX(Roster!$A$2:$A$600,MATCH(F2178,Roster!$E$2:$E$600,0)),""))</f>
        <v/>
      </c>
      <c r="I2178" s="10">
        <f>IF(AND(D2178="",C2178="",F2178=""),"",IF(G2178&lt;&gt;"","Void",IF(F2178="","Needs child",IF(H2178="","Child not found",IF(OR(B2178="",NOT(ISNUMBER(C2178))),"Needs month/pages","OK")))))</f>
        <v/>
      </c>
      <c r="J2178" s="10">
        <f>IF(I2178="","",IF(I2178="OK",IF(COUNTIFS(H2179:H$3001,H2178,B2179:B$3001,B2178,G2179:G$3001,"")=0,C2178,0),0))</f>
        <v/>
      </c>
    </row>
    <row r="2179">
      <c r="A2179" s="6" t="n"/>
      <c r="B2179" s="9" t="n"/>
      <c r="C2179" s="6" t="n"/>
      <c r="D2179" s="6" t="n"/>
      <c r="E2179" s="6" t="n"/>
      <c r="F2179" s="6" t="n"/>
      <c r="G2179" s="6" t="n"/>
      <c r="H2179" s="10">
        <f>IF(F2179="","",IFERROR(INDEX(Roster!$A$2:$A$600,MATCH(F2179,Roster!$E$2:$E$600,0)),""))</f>
        <v/>
      </c>
      <c r="I2179" s="10">
        <f>IF(AND(D2179="",C2179="",F2179=""),"",IF(G2179&lt;&gt;"","Void",IF(F2179="","Needs child",IF(H2179="","Child not found",IF(OR(B2179="",NOT(ISNUMBER(C2179))),"Needs month/pages","OK")))))</f>
        <v/>
      </c>
      <c r="J2179" s="10">
        <f>IF(I2179="","",IF(I2179="OK",IF(COUNTIFS(H2180:H$3001,H2179,B2180:B$3001,B2179,G2180:G$3001,"")=0,C2179,0),0))</f>
        <v/>
      </c>
    </row>
    <row r="2180">
      <c r="A2180" s="6" t="n"/>
      <c r="B2180" s="9" t="n"/>
      <c r="C2180" s="6" t="n"/>
      <c r="D2180" s="6" t="n"/>
      <c r="E2180" s="6" t="n"/>
      <c r="F2180" s="6" t="n"/>
      <c r="G2180" s="6" t="n"/>
      <c r="H2180" s="10">
        <f>IF(F2180="","",IFERROR(INDEX(Roster!$A$2:$A$600,MATCH(F2180,Roster!$E$2:$E$600,0)),""))</f>
        <v/>
      </c>
      <c r="I2180" s="10">
        <f>IF(AND(D2180="",C2180="",F2180=""),"",IF(G2180&lt;&gt;"","Void",IF(F2180="","Needs child",IF(H2180="","Child not found",IF(OR(B2180="",NOT(ISNUMBER(C2180))),"Needs month/pages","OK")))))</f>
        <v/>
      </c>
      <c r="J2180" s="10">
        <f>IF(I2180="","",IF(I2180="OK",IF(COUNTIFS(H2181:H$3001,H2180,B2181:B$3001,B2180,G2181:G$3001,"")=0,C2180,0),0))</f>
        <v/>
      </c>
    </row>
    <row r="2181">
      <c r="A2181" s="6" t="n"/>
      <c r="B2181" s="9" t="n"/>
      <c r="C2181" s="6" t="n"/>
      <c r="D2181" s="6" t="n"/>
      <c r="E2181" s="6" t="n"/>
      <c r="F2181" s="6" t="n"/>
      <c r="G2181" s="6" t="n"/>
      <c r="H2181" s="10">
        <f>IF(F2181="","",IFERROR(INDEX(Roster!$A$2:$A$600,MATCH(F2181,Roster!$E$2:$E$600,0)),""))</f>
        <v/>
      </c>
      <c r="I2181" s="10">
        <f>IF(AND(D2181="",C2181="",F2181=""),"",IF(G2181&lt;&gt;"","Void",IF(F2181="","Needs child",IF(H2181="","Child not found",IF(OR(B2181="",NOT(ISNUMBER(C2181))),"Needs month/pages","OK")))))</f>
        <v/>
      </c>
      <c r="J2181" s="10">
        <f>IF(I2181="","",IF(I2181="OK",IF(COUNTIFS(H2182:H$3001,H2181,B2182:B$3001,B2181,G2182:G$3001,"")=0,C2181,0),0))</f>
        <v/>
      </c>
    </row>
    <row r="2182">
      <c r="A2182" s="6" t="n"/>
      <c r="B2182" s="9" t="n"/>
      <c r="C2182" s="6" t="n"/>
      <c r="D2182" s="6" t="n"/>
      <c r="E2182" s="6" t="n"/>
      <c r="F2182" s="6" t="n"/>
      <c r="G2182" s="6" t="n"/>
      <c r="H2182" s="10">
        <f>IF(F2182="","",IFERROR(INDEX(Roster!$A$2:$A$600,MATCH(F2182,Roster!$E$2:$E$600,0)),""))</f>
        <v/>
      </c>
      <c r="I2182" s="10">
        <f>IF(AND(D2182="",C2182="",F2182=""),"",IF(G2182&lt;&gt;"","Void",IF(F2182="","Needs child",IF(H2182="","Child not found",IF(OR(B2182="",NOT(ISNUMBER(C2182))),"Needs month/pages","OK")))))</f>
        <v/>
      </c>
      <c r="J2182" s="10">
        <f>IF(I2182="","",IF(I2182="OK",IF(COUNTIFS(H2183:H$3001,H2182,B2183:B$3001,B2182,G2183:G$3001,"")=0,C2182,0),0))</f>
        <v/>
      </c>
    </row>
    <row r="2183">
      <c r="A2183" s="6" t="n"/>
      <c r="B2183" s="9" t="n"/>
      <c r="C2183" s="6" t="n"/>
      <c r="D2183" s="6" t="n"/>
      <c r="E2183" s="6" t="n"/>
      <c r="F2183" s="6" t="n"/>
      <c r="G2183" s="6" t="n"/>
      <c r="H2183" s="10">
        <f>IF(F2183="","",IFERROR(INDEX(Roster!$A$2:$A$600,MATCH(F2183,Roster!$E$2:$E$600,0)),""))</f>
        <v/>
      </c>
      <c r="I2183" s="10">
        <f>IF(AND(D2183="",C2183="",F2183=""),"",IF(G2183&lt;&gt;"","Void",IF(F2183="","Needs child",IF(H2183="","Child not found",IF(OR(B2183="",NOT(ISNUMBER(C2183))),"Needs month/pages","OK")))))</f>
        <v/>
      </c>
      <c r="J2183" s="10">
        <f>IF(I2183="","",IF(I2183="OK",IF(COUNTIFS(H2184:H$3001,H2183,B2184:B$3001,B2183,G2184:G$3001,"")=0,C2183,0),0))</f>
        <v/>
      </c>
    </row>
    <row r="2184">
      <c r="A2184" s="6" t="n"/>
      <c r="B2184" s="9" t="n"/>
      <c r="C2184" s="6" t="n"/>
      <c r="D2184" s="6" t="n"/>
      <c r="E2184" s="6" t="n"/>
      <c r="F2184" s="6" t="n"/>
      <c r="G2184" s="6" t="n"/>
      <c r="H2184" s="10">
        <f>IF(F2184="","",IFERROR(INDEX(Roster!$A$2:$A$600,MATCH(F2184,Roster!$E$2:$E$600,0)),""))</f>
        <v/>
      </c>
      <c r="I2184" s="10">
        <f>IF(AND(D2184="",C2184="",F2184=""),"",IF(G2184&lt;&gt;"","Void",IF(F2184="","Needs child",IF(H2184="","Child not found",IF(OR(B2184="",NOT(ISNUMBER(C2184))),"Needs month/pages","OK")))))</f>
        <v/>
      </c>
      <c r="J2184" s="10">
        <f>IF(I2184="","",IF(I2184="OK",IF(COUNTIFS(H2185:H$3001,H2184,B2185:B$3001,B2184,G2185:G$3001,"")=0,C2184,0),0))</f>
        <v/>
      </c>
    </row>
    <row r="2185">
      <c r="A2185" s="6" t="n"/>
      <c r="B2185" s="9" t="n"/>
      <c r="C2185" s="6" t="n"/>
      <c r="D2185" s="6" t="n"/>
      <c r="E2185" s="6" t="n"/>
      <c r="F2185" s="6" t="n"/>
      <c r="G2185" s="6" t="n"/>
      <c r="H2185" s="10">
        <f>IF(F2185="","",IFERROR(INDEX(Roster!$A$2:$A$600,MATCH(F2185,Roster!$E$2:$E$600,0)),""))</f>
        <v/>
      </c>
      <c r="I2185" s="10">
        <f>IF(AND(D2185="",C2185="",F2185=""),"",IF(G2185&lt;&gt;"","Void",IF(F2185="","Needs child",IF(H2185="","Child not found",IF(OR(B2185="",NOT(ISNUMBER(C2185))),"Needs month/pages","OK")))))</f>
        <v/>
      </c>
      <c r="J2185" s="10">
        <f>IF(I2185="","",IF(I2185="OK",IF(COUNTIFS(H2186:H$3001,H2185,B2186:B$3001,B2185,G2186:G$3001,"")=0,C2185,0),0))</f>
        <v/>
      </c>
    </row>
    <row r="2186">
      <c r="A2186" s="6" t="n"/>
      <c r="B2186" s="9" t="n"/>
      <c r="C2186" s="6" t="n"/>
      <c r="D2186" s="6" t="n"/>
      <c r="E2186" s="6" t="n"/>
      <c r="F2186" s="6" t="n"/>
      <c r="G2186" s="6" t="n"/>
      <c r="H2186" s="10">
        <f>IF(F2186="","",IFERROR(INDEX(Roster!$A$2:$A$600,MATCH(F2186,Roster!$E$2:$E$600,0)),""))</f>
        <v/>
      </c>
      <c r="I2186" s="10">
        <f>IF(AND(D2186="",C2186="",F2186=""),"",IF(G2186&lt;&gt;"","Void",IF(F2186="","Needs child",IF(H2186="","Child not found",IF(OR(B2186="",NOT(ISNUMBER(C2186))),"Needs month/pages","OK")))))</f>
        <v/>
      </c>
      <c r="J2186" s="10">
        <f>IF(I2186="","",IF(I2186="OK",IF(COUNTIFS(H2187:H$3001,H2186,B2187:B$3001,B2186,G2187:G$3001,"")=0,C2186,0),0))</f>
        <v/>
      </c>
    </row>
    <row r="2187">
      <c r="A2187" s="6" t="n"/>
      <c r="B2187" s="9" t="n"/>
      <c r="C2187" s="6" t="n"/>
      <c r="D2187" s="6" t="n"/>
      <c r="E2187" s="6" t="n"/>
      <c r="F2187" s="6" t="n"/>
      <c r="G2187" s="6" t="n"/>
      <c r="H2187" s="10">
        <f>IF(F2187="","",IFERROR(INDEX(Roster!$A$2:$A$600,MATCH(F2187,Roster!$E$2:$E$600,0)),""))</f>
        <v/>
      </c>
      <c r="I2187" s="10">
        <f>IF(AND(D2187="",C2187="",F2187=""),"",IF(G2187&lt;&gt;"","Void",IF(F2187="","Needs child",IF(H2187="","Child not found",IF(OR(B2187="",NOT(ISNUMBER(C2187))),"Needs month/pages","OK")))))</f>
        <v/>
      </c>
      <c r="J2187" s="10">
        <f>IF(I2187="","",IF(I2187="OK",IF(COUNTIFS(H2188:H$3001,H2187,B2188:B$3001,B2187,G2188:G$3001,"")=0,C2187,0),0))</f>
        <v/>
      </c>
    </row>
    <row r="2188">
      <c r="A2188" s="6" t="n"/>
      <c r="B2188" s="9" t="n"/>
      <c r="C2188" s="6" t="n"/>
      <c r="D2188" s="6" t="n"/>
      <c r="E2188" s="6" t="n"/>
      <c r="F2188" s="6" t="n"/>
      <c r="G2188" s="6" t="n"/>
      <c r="H2188" s="10">
        <f>IF(F2188="","",IFERROR(INDEX(Roster!$A$2:$A$600,MATCH(F2188,Roster!$E$2:$E$600,0)),""))</f>
        <v/>
      </c>
      <c r="I2188" s="10">
        <f>IF(AND(D2188="",C2188="",F2188=""),"",IF(G2188&lt;&gt;"","Void",IF(F2188="","Needs child",IF(H2188="","Child not found",IF(OR(B2188="",NOT(ISNUMBER(C2188))),"Needs month/pages","OK")))))</f>
        <v/>
      </c>
      <c r="J2188" s="10">
        <f>IF(I2188="","",IF(I2188="OK",IF(COUNTIFS(H2189:H$3001,H2188,B2189:B$3001,B2188,G2189:G$3001,"")=0,C2188,0),0))</f>
        <v/>
      </c>
    </row>
    <row r="2189">
      <c r="A2189" s="6" t="n"/>
      <c r="B2189" s="9" t="n"/>
      <c r="C2189" s="6" t="n"/>
      <c r="D2189" s="6" t="n"/>
      <c r="E2189" s="6" t="n"/>
      <c r="F2189" s="6" t="n"/>
      <c r="G2189" s="6" t="n"/>
      <c r="H2189" s="10">
        <f>IF(F2189="","",IFERROR(INDEX(Roster!$A$2:$A$600,MATCH(F2189,Roster!$E$2:$E$600,0)),""))</f>
        <v/>
      </c>
      <c r="I2189" s="10">
        <f>IF(AND(D2189="",C2189="",F2189=""),"",IF(G2189&lt;&gt;"","Void",IF(F2189="","Needs child",IF(H2189="","Child not found",IF(OR(B2189="",NOT(ISNUMBER(C2189))),"Needs month/pages","OK")))))</f>
        <v/>
      </c>
      <c r="J2189" s="10">
        <f>IF(I2189="","",IF(I2189="OK",IF(COUNTIFS(H2190:H$3001,H2189,B2190:B$3001,B2189,G2190:G$3001,"")=0,C2189,0),0))</f>
        <v/>
      </c>
    </row>
    <row r="2190">
      <c r="A2190" s="6" t="n"/>
      <c r="B2190" s="9" t="n"/>
      <c r="C2190" s="6" t="n"/>
      <c r="D2190" s="6" t="n"/>
      <c r="E2190" s="6" t="n"/>
      <c r="F2190" s="6" t="n"/>
      <c r="G2190" s="6" t="n"/>
      <c r="H2190" s="10">
        <f>IF(F2190="","",IFERROR(INDEX(Roster!$A$2:$A$600,MATCH(F2190,Roster!$E$2:$E$600,0)),""))</f>
        <v/>
      </c>
      <c r="I2190" s="10">
        <f>IF(AND(D2190="",C2190="",F2190=""),"",IF(G2190&lt;&gt;"","Void",IF(F2190="","Needs child",IF(H2190="","Child not found",IF(OR(B2190="",NOT(ISNUMBER(C2190))),"Needs month/pages","OK")))))</f>
        <v/>
      </c>
      <c r="J2190" s="10">
        <f>IF(I2190="","",IF(I2190="OK",IF(COUNTIFS(H2191:H$3001,H2190,B2191:B$3001,B2190,G2191:G$3001,"")=0,C2190,0),0))</f>
        <v/>
      </c>
    </row>
    <row r="2191">
      <c r="A2191" s="6" t="n"/>
      <c r="B2191" s="9" t="n"/>
      <c r="C2191" s="6" t="n"/>
      <c r="D2191" s="6" t="n"/>
      <c r="E2191" s="6" t="n"/>
      <c r="F2191" s="6" t="n"/>
      <c r="G2191" s="6" t="n"/>
      <c r="H2191" s="10">
        <f>IF(F2191="","",IFERROR(INDEX(Roster!$A$2:$A$600,MATCH(F2191,Roster!$E$2:$E$600,0)),""))</f>
        <v/>
      </c>
      <c r="I2191" s="10">
        <f>IF(AND(D2191="",C2191="",F2191=""),"",IF(G2191&lt;&gt;"","Void",IF(F2191="","Needs child",IF(H2191="","Child not found",IF(OR(B2191="",NOT(ISNUMBER(C2191))),"Needs month/pages","OK")))))</f>
        <v/>
      </c>
      <c r="J2191" s="10">
        <f>IF(I2191="","",IF(I2191="OK",IF(COUNTIFS(H2192:H$3001,H2191,B2192:B$3001,B2191,G2192:G$3001,"")=0,C2191,0),0))</f>
        <v/>
      </c>
    </row>
    <row r="2192">
      <c r="A2192" s="6" t="n"/>
      <c r="B2192" s="9" t="n"/>
      <c r="C2192" s="6" t="n"/>
      <c r="D2192" s="6" t="n"/>
      <c r="E2192" s="6" t="n"/>
      <c r="F2192" s="6" t="n"/>
      <c r="G2192" s="6" t="n"/>
      <c r="H2192" s="10">
        <f>IF(F2192="","",IFERROR(INDEX(Roster!$A$2:$A$600,MATCH(F2192,Roster!$E$2:$E$600,0)),""))</f>
        <v/>
      </c>
      <c r="I2192" s="10">
        <f>IF(AND(D2192="",C2192="",F2192=""),"",IF(G2192&lt;&gt;"","Void",IF(F2192="","Needs child",IF(H2192="","Child not found",IF(OR(B2192="",NOT(ISNUMBER(C2192))),"Needs month/pages","OK")))))</f>
        <v/>
      </c>
      <c r="J2192" s="10">
        <f>IF(I2192="","",IF(I2192="OK",IF(COUNTIFS(H2193:H$3001,H2192,B2193:B$3001,B2192,G2193:G$3001,"")=0,C2192,0),0))</f>
        <v/>
      </c>
    </row>
    <row r="2193">
      <c r="A2193" s="6" t="n"/>
      <c r="B2193" s="9" t="n"/>
      <c r="C2193" s="6" t="n"/>
      <c r="D2193" s="6" t="n"/>
      <c r="E2193" s="6" t="n"/>
      <c r="F2193" s="6" t="n"/>
      <c r="G2193" s="6" t="n"/>
      <c r="H2193" s="10">
        <f>IF(F2193="","",IFERROR(INDEX(Roster!$A$2:$A$600,MATCH(F2193,Roster!$E$2:$E$600,0)),""))</f>
        <v/>
      </c>
      <c r="I2193" s="10">
        <f>IF(AND(D2193="",C2193="",F2193=""),"",IF(G2193&lt;&gt;"","Void",IF(F2193="","Needs child",IF(H2193="","Child not found",IF(OR(B2193="",NOT(ISNUMBER(C2193))),"Needs month/pages","OK")))))</f>
        <v/>
      </c>
      <c r="J2193" s="10">
        <f>IF(I2193="","",IF(I2193="OK",IF(COUNTIFS(H2194:H$3001,H2193,B2194:B$3001,B2193,G2194:G$3001,"")=0,C2193,0),0))</f>
        <v/>
      </c>
    </row>
    <row r="2194">
      <c r="A2194" s="6" t="n"/>
      <c r="B2194" s="9" t="n"/>
      <c r="C2194" s="6" t="n"/>
      <c r="D2194" s="6" t="n"/>
      <c r="E2194" s="6" t="n"/>
      <c r="F2194" s="6" t="n"/>
      <c r="G2194" s="6" t="n"/>
      <c r="H2194" s="10">
        <f>IF(F2194="","",IFERROR(INDEX(Roster!$A$2:$A$600,MATCH(F2194,Roster!$E$2:$E$600,0)),""))</f>
        <v/>
      </c>
      <c r="I2194" s="10">
        <f>IF(AND(D2194="",C2194="",F2194=""),"",IF(G2194&lt;&gt;"","Void",IF(F2194="","Needs child",IF(H2194="","Child not found",IF(OR(B2194="",NOT(ISNUMBER(C2194))),"Needs month/pages","OK")))))</f>
        <v/>
      </c>
      <c r="J2194" s="10">
        <f>IF(I2194="","",IF(I2194="OK",IF(COUNTIFS(H2195:H$3001,H2194,B2195:B$3001,B2194,G2195:G$3001,"")=0,C2194,0),0))</f>
        <v/>
      </c>
    </row>
    <row r="2195">
      <c r="A2195" s="6" t="n"/>
      <c r="B2195" s="9" t="n"/>
      <c r="C2195" s="6" t="n"/>
      <c r="D2195" s="6" t="n"/>
      <c r="E2195" s="6" t="n"/>
      <c r="F2195" s="6" t="n"/>
      <c r="G2195" s="6" t="n"/>
      <c r="H2195" s="10">
        <f>IF(F2195="","",IFERROR(INDEX(Roster!$A$2:$A$600,MATCH(F2195,Roster!$E$2:$E$600,0)),""))</f>
        <v/>
      </c>
      <c r="I2195" s="10">
        <f>IF(AND(D2195="",C2195="",F2195=""),"",IF(G2195&lt;&gt;"","Void",IF(F2195="","Needs child",IF(H2195="","Child not found",IF(OR(B2195="",NOT(ISNUMBER(C2195))),"Needs month/pages","OK")))))</f>
        <v/>
      </c>
      <c r="J2195" s="10">
        <f>IF(I2195="","",IF(I2195="OK",IF(COUNTIFS(H2196:H$3001,H2195,B2196:B$3001,B2195,G2196:G$3001,"")=0,C2195,0),0))</f>
        <v/>
      </c>
    </row>
    <row r="2196">
      <c r="A2196" s="6" t="n"/>
      <c r="B2196" s="9" t="n"/>
      <c r="C2196" s="6" t="n"/>
      <c r="D2196" s="6" t="n"/>
      <c r="E2196" s="6" t="n"/>
      <c r="F2196" s="6" t="n"/>
      <c r="G2196" s="6" t="n"/>
      <c r="H2196" s="10">
        <f>IF(F2196="","",IFERROR(INDEX(Roster!$A$2:$A$600,MATCH(F2196,Roster!$E$2:$E$600,0)),""))</f>
        <v/>
      </c>
      <c r="I2196" s="10">
        <f>IF(AND(D2196="",C2196="",F2196=""),"",IF(G2196&lt;&gt;"","Void",IF(F2196="","Needs child",IF(H2196="","Child not found",IF(OR(B2196="",NOT(ISNUMBER(C2196))),"Needs month/pages","OK")))))</f>
        <v/>
      </c>
      <c r="J2196" s="10">
        <f>IF(I2196="","",IF(I2196="OK",IF(COUNTIFS(H2197:H$3001,H2196,B2197:B$3001,B2196,G2197:G$3001,"")=0,C2196,0),0))</f>
        <v/>
      </c>
    </row>
    <row r="2197">
      <c r="A2197" s="6" t="n"/>
      <c r="B2197" s="9" t="n"/>
      <c r="C2197" s="6" t="n"/>
      <c r="D2197" s="6" t="n"/>
      <c r="E2197" s="6" t="n"/>
      <c r="F2197" s="6" t="n"/>
      <c r="G2197" s="6" t="n"/>
      <c r="H2197" s="10">
        <f>IF(F2197="","",IFERROR(INDEX(Roster!$A$2:$A$600,MATCH(F2197,Roster!$E$2:$E$600,0)),""))</f>
        <v/>
      </c>
      <c r="I2197" s="10">
        <f>IF(AND(D2197="",C2197="",F2197=""),"",IF(G2197&lt;&gt;"","Void",IF(F2197="","Needs child",IF(H2197="","Child not found",IF(OR(B2197="",NOT(ISNUMBER(C2197))),"Needs month/pages","OK")))))</f>
        <v/>
      </c>
      <c r="J2197" s="10">
        <f>IF(I2197="","",IF(I2197="OK",IF(COUNTIFS(H2198:H$3001,H2197,B2198:B$3001,B2197,G2198:G$3001,"")=0,C2197,0),0))</f>
        <v/>
      </c>
    </row>
    <row r="2198">
      <c r="A2198" s="6" t="n"/>
      <c r="B2198" s="9" t="n"/>
      <c r="C2198" s="6" t="n"/>
      <c r="D2198" s="6" t="n"/>
      <c r="E2198" s="6" t="n"/>
      <c r="F2198" s="6" t="n"/>
      <c r="G2198" s="6" t="n"/>
      <c r="H2198" s="10">
        <f>IF(F2198="","",IFERROR(INDEX(Roster!$A$2:$A$600,MATCH(F2198,Roster!$E$2:$E$600,0)),""))</f>
        <v/>
      </c>
      <c r="I2198" s="10">
        <f>IF(AND(D2198="",C2198="",F2198=""),"",IF(G2198&lt;&gt;"","Void",IF(F2198="","Needs child",IF(H2198="","Child not found",IF(OR(B2198="",NOT(ISNUMBER(C2198))),"Needs month/pages","OK")))))</f>
        <v/>
      </c>
      <c r="J2198" s="10">
        <f>IF(I2198="","",IF(I2198="OK",IF(COUNTIFS(H2199:H$3001,H2198,B2199:B$3001,B2198,G2199:G$3001,"")=0,C2198,0),0))</f>
        <v/>
      </c>
    </row>
    <row r="2199">
      <c r="A2199" s="6" t="n"/>
      <c r="B2199" s="9" t="n"/>
      <c r="C2199" s="6" t="n"/>
      <c r="D2199" s="6" t="n"/>
      <c r="E2199" s="6" t="n"/>
      <c r="F2199" s="6" t="n"/>
      <c r="G2199" s="6" t="n"/>
      <c r="H2199" s="10">
        <f>IF(F2199="","",IFERROR(INDEX(Roster!$A$2:$A$600,MATCH(F2199,Roster!$E$2:$E$600,0)),""))</f>
        <v/>
      </c>
      <c r="I2199" s="10">
        <f>IF(AND(D2199="",C2199="",F2199=""),"",IF(G2199&lt;&gt;"","Void",IF(F2199="","Needs child",IF(H2199="","Child not found",IF(OR(B2199="",NOT(ISNUMBER(C2199))),"Needs month/pages","OK")))))</f>
        <v/>
      </c>
      <c r="J2199" s="10">
        <f>IF(I2199="","",IF(I2199="OK",IF(COUNTIFS(H2200:H$3001,H2199,B2200:B$3001,B2199,G2200:G$3001,"")=0,C2199,0),0))</f>
        <v/>
      </c>
    </row>
    <row r="2200">
      <c r="A2200" s="6" t="n"/>
      <c r="B2200" s="9" t="n"/>
      <c r="C2200" s="6" t="n"/>
      <c r="D2200" s="6" t="n"/>
      <c r="E2200" s="6" t="n"/>
      <c r="F2200" s="6" t="n"/>
      <c r="G2200" s="6" t="n"/>
      <c r="H2200" s="10">
        <f>IF(F2200="","",IFERROR(INDEX(Roster!$A$2:$A$600,MATCH(F2200,Roster!$E$2:$E$600,0)),""))</f>
        <v/>
      </c>
      <c r="I2200" s="10">
        <f>IF(AND(D2200="",C2200="",F2200=""),"",IF(G2200&lt;&gt;"","Void",IF(F2200="","Needs child",IF(H2200="","Child not found",IF(OR(B2200="",NOT(ISNUMBER(C2200))),"Needs month/pages","OK")))))</f>
        <v/>
      </c>
      <c r="J2200" s="10">
        <f>IF(I2200="","",IF(I2200="OK",IF(COUNTIFS(H2201:H$3001,H2200,B2201:B$3001,B2200,G2201:G$3001,"")=0,C2200,0),0))</f>
        <v/>
      </c>
    </row>
    <row r="2201">
      <c r="A2201" s="6" t="n"/>
      <c r="B2201" s="9" t="n"/>
      <c r="C2201" s="6" t="n"/>
      <c r="D2201" s="6" t="n"/>
      <c r="E2201" s="6" t="n"/>
      <c r="F2201" s="6" t="n"/>
      <c r="G2201" s="6" t="n"/>
      <c r="H2201" s="10">
        <f>IF(F2201="","",IFERROR(INDEX(Roster!$A$2:$A$600,MATCH(F2201,Roster!$E$2:$E$600,0)),""))</f>
        <v/>
      </c>
      <c r="I2201" s="10">
        <f>IF(AND(D2201="",C2201="",F2201=""),"",IF(G2201&lt;&gt;"","Void",IF(F2201="","Needs child",IF(H2201="","Child not found",IF(OR(B2201="",NOT(ISNUMBER(C2201))),"Needs month/pages","OK")))))</f>
        <v/>
      </c>
      <c r="J2201" s="10">
        <f>IF(I2201="","",IF(I2201="OK",IF(COUNTIFS(H2202:H$3001,H2201,B2202:B$3001,B2201,G2202:G$3001,"")=0,C2201,0),0))</f>
        <v/>
      </c>
    </row>
    <row r="2202">
      <c r="A2202" s="6" t="n"/>
      <c r="B2202" s="9" t="n"/>
      <c r="C2202" s="6" t="n"/>
      <c r="D2202" s="6" t="n"/>
      <c r="E2202" s="6" t="n"/>
      <c r="F2202" s="6" t="n"/>
      <c r="G2202" s="6" t="n"/>
      <c r="H2202" s="10">
        <f>IF(F2202="","",IFERROR(INDEX(Roster!$A$2:$A$600,MATCH(F2202,Roster!$E$2:$E$600,0)),""))</f>
        <v/>
      </c>
      <c r="I2202" s="10">
        <f>IF(AND(D2202="",C2202="",F2202=""),"",IF(G2202&lt;&gt;"","Void",IF(F2202="","Needs child",IF(H2202="","Child not found",IF(OR(B2202="",NOT(ISNUMBER(C2202))),"Needs month/pages","OK")))))</f>
        <v/>
      </c>
      <c r="J2202" s="10">
        <f>IF(I2202="","",IF(I2202="OK",IF(COUNTIFS(H2203:H$3001,H2202,B2203:B$3001,B2202,G2203:G$3001,"")=0,C2202,0),0))</f>
        <v/>
      </c>
    </row>
    <row r="2203">
      <c r="A2203" s="6" t="n"/>
      <c r="B2203" s="9" t="n"/>
      <c r="C2203" s="6" t="n"/>
      <c r="D2203" s="6" t="n"/>
      <c r="E2203" s="6" t="n"/>
      <c r="F2203" s="6" t="n"/>
      <c r="G2203" s="6" t="n"/>
      <c r="H2203" s="10">
        <f>IF(F2203="","",IFERROR(INDEX(Roster!$A$2:$A$600,MATCH(F2203,Roster!$E$2:$E$600,0)),""))</f>
        <v/>
      </c>
      <c r="I2203" s="10">
        <f>IF(AND(D2203="",C2203="",F2203=""),"",IF(G2203&lt;&gt;"","Void",IF(F2203="","Needs child",IF(H2203="","Child not found",IF(OR(B2203="",NOT(ISNUMBER(C2203))),"Needs month/pages","OK")))))</f>
        <v/>
      </c>
      <c r="J2203" s="10">
        <f>IF(I2203="","",IF(I2203="OK",IF(COUNTIFS(H2204:H$3001,H2203,B2204:B$3001,B2203,G2204:G$3001,"")=0,C2203,0),0))</f>
        <v/>
      </c>
    </row>
    <row r="2204">
      <c r="A2204" s="6" t="n"/>
      <c r="B2204" s="9" t="n"/>
      <c r="C2204" s="6" t="n"/>
      <c r="D2204" s="6" t="n"/>
      <c r="E2204" s="6" t="n"/>
      <c r="F2204" s="6" t="n"/>
      <c r="G2204" s="6" t="n"/>
      <c r="H2204" s="10">
        <f>IF(F2204="","",IFERROR(INDEX(Roster!$A$2:$A$600,MATCH(F2204,Roster!$E$2:$E$600,0)),""))</f>
        <v/>
      </c>
      <c r="I2204" s="10">
        <f>IF(AND(D2204="",C2204="",F2204=""),"",IF(G2204&lt;&gt;"","Void",IF(F2204="","Needs child",IF(H2204="","Child not found",IF(OR(B2204="",NOT(ISNUMBER(C2204))),"Needs month/pages","OK")))))</f>
        <v/>
      </c>
      <c r="J2204" s="10">
        <f>IF(I2204="","",IF(I2204="OK",IF(COUNTIFS(H2205:H$3001,H2204,B2205:B$3001,B2204,G2205:G$3001,"")=0,C2204,0),0))</f>
        <v/>
      </c>
    </row>
    <row r="2205">
      <c r="A2205" s="6" t="n"/>
      <c r="B2205" s="9" t="n"/>
      <c r="C2205" s="6" t="n"/>
      <c r="D2205" s="6" t="n"/>
      <c r="E2205" s="6" t="n"/>
      <c r="F2205" s="6" t="n"/>
      <c r="G2205" s="6" t="n"/>
      <c r="H2205" s="10">
        <f>IF(F2205="","",IFERROR(INDEX(Roster!$A$2:$A$600,MATCH(F2205,Roster!$E$2:$E$600,0)),""))</f>
        <v/>
      </c>
      <c r="I2205" s="10">
        <f>IF(AND(D2205="",C2205="",F2205=""),"",IF(G2205&lt;&gt;"","Void",IF(F2205="","Needs child",IF(H2205="","Child not found",IF(OR(B2205="",NOT(ISNUMBER(C2205))),"Needs month/pages","OK")))))</f>
        <v/>
      </c>
      <c r="J2205" s="10">
        <f>IF(I2205="","",IF(I2205="OK",IF(COUNTIFS(H2206:H$3001,H2205,B2206:B$3001,B2205,G2206:G$3001,"")=0,C2205,0),0))</f>
        <v/>
      </c>
    </row>
    <row r="2206">
      <c r="A2206" s="6" t="n"/>
      <c r="B2206" s="9" t="n"/>
      <c r="C2206" s="6" t="n"/>
      <c r="D2206" s="6" t="n"/>
      <c r="E2206" s="6" t="n"/>
      <c r="F2206" s="6" t="n"/>
      <c r="G2206" s="6" t="n"/>
      <c r="H2206" s="10">
        <f>IF(F2206="","",IFERROR(INDEX(Roster!$A$2:$A$600,MATCH(F2206,Roster!$E$2:$E$600,0)),""))</f>
        <v/>
      </c>
      <c r="I2206" s="10">
        <f>IF(AND(D2206="",C2206="",F2206=""),"",IF(G2206&lt;&gt;"","Void",IF(F2206="","Needs child",IF(H2206="","Child not found",IF(OR(B2206="",NOT(ISNUMBER(C2206))),"Needs month/pages","OK")))))</f>
        <v/>
      </c>
      <c r="J2206" s="10">
        <f>IF(I2206="","",IF(I2206="OK",IF(COUNTIFS(H2207:H$3001,H2206,B2207:B$3001,B2206,G2207:G$3001,"")=0,C2206,0),0))</f>
        <v/>
      </c>
    </row>
    <row r="2207">
      <c r="A2207" s="6" t="n"/>
      <c r="B2207" s="9" t="n"/>
      <c r="C2207" s="6" t="n"/>
      <c r="D2207" s="6" t="n"/>
      <c r="E2207" s="6" t="n"/>
      <c r="F2207" s="6" t="n"/>
      <c r="G2207" s="6" t="n"/>
      <c r="H2207" s="10">
        <f>IF(F2207="","",IFERROR(INDEX(Roster!$A$2:$A$600,MATCH(F2207,Roster!$E$2:$E$600,0)),""))</f>
        <v/>
      </c>
      <c r="I2207" s="10">
        <f>IF(AND(D2207="",C2207="",F2207=""),"",IF(G2207&lt;&gt;"","Void",IF(F2207="","Needs child",IF(H2207="","Child not found",IF(OR(B2207="",NOT(ISNUMBER(C2207))),"Needs month/pages","OK")))))</f>
        <v/>
      </c>
      <c r="J2207" s="10">
        <f>IF(I2207="","",IF(I2207="OK",IF(COUNTIFS(H2208:H$3001,H2207,B2208:B$3001,B2207,G2208:G$3001,"")=0,C2207,0),0))</f>
        <v/>
      </c>
    </row>
    <row r="2208">
      <c r="A2208" s="6" t="n"/>
      <c r="B2208" s="9" t="n"/>
      <c r="C2208" s="6" t="n"/>
      <c r="D2208" s="6" t="n"/>
      <c r="E2208" s="6" t="n"/>
      <c r="F2208" s="6" t="n"/>
      <c r="G2208" s="6" t="n"/>
      <c r="H2208" s="10">
        <f>IF(F2208="","",IFERROR(INDEX(Roster!$A$2:$A$600,MATCH(F2208,Roster!$E$2:$E$600,0)),""))</f>
        <v/>
      </c>
      <c r="I2208" s="10">
        <f>IF(AND(D2208="",C2208="",F2208=""),"",IF(G2208&lt;&gt;"","Void",IF(F2208="","Needs child",IF(H2208="","Child not found",IF(OR(B2208="",NOT(ISNUMBER(C2208))),"Needs month/pages","OK")))))</f>
        <v/>
      </c>
      <c r="J2208" s="10">
        <f>IF(I2208="","",IF(I2208="OK",IF(COUNTIFS(H2209:H$3001,H2208,B2209:B$3001,B2208,G2209:G$3001,"")=0,C2208,0),0))</f>
        <v/>
      </c>
    </row>
    <row r="2209">
      <c r="A2209" s="6" t="n"/>
      <c r="B2209" s="9" t="n"/>
      <c r="C2209" s="6" t="n"/>
      <c r="D2209" s="6" t="n"/>
      <c r="E2209" s="6" t="n"/>
      <c r="F2209" s="6" t="n"/>
      <c r="G2209" s="6" t="n"/>
      <c r="H2209" s="10">
        <f>IF(F2209="","",IFERROR(INDEX(Roster!$A$2:$A$600,MATCH(F2209,Roster!$E$2:$E$600,0)),""))</f>
        <v/>
      </c>
      <c r="I2209" s="10">
        <f>IF(AND(D2209="",C2209="",F2209=""),"",IF(G2209&lt;&gt;"","Void",IF(F2209="","Needs child",IF(H2209="","Child not found",IF(OR(B2209="",NOT(ISNUMBER(C2209))),"Needs month/pages","OK")))))</f>
        <v/>
      </c>
      <c r="J2209" s="10">
        <f>IF(I2209="","",IF(I2209="OK",IF(COUNTIFS(H2210:H$3001,H2209,B2210:B$3001,B2209,G2210:G$3001,"")=0,C2209,0),0))</f>
        <v/>
      </c>
    </row>
    <row r="2210">
      <c r="A2210" s="6" t="n"/>
      <c r="B2210" s="9" t="n"/>
      <c r="C2210" s="6" t="n"/>
      <c r="D2210" s="6" t="n"/>
      <c r="E2210" s="6" t="n"/>
      <c r="F2210" s="6" t="n"/>
      <c r="G2210" s="6" t="n"/>
      <c r="H2210" s="10">
        <f>IF(F2210="","",IFERROR(INDEX(Roster!$A$2:$A$600,MATCH(F2210,Roster!$E$2:$E$600,0)),""))</f>
        <v/>
      </c>
      <c r="I2210" s="10">
        <f>IF(AND(D2210="",C2210="",F2210=""),"",IF(G2210&lt;&gt;"","Void",IF(F2210="","Needs child",IF(H2210="","Child not found",IF(OR(B2210="",NOT(ISNUMBER(C2210))),"Needs month/pages","OK")))))</f>
        <v/>
      </c>
      <c r="J2210" s="10">
        <f>IF(I2210="","",IF(I2210="OK",IF(COUNTIFS(H2211:H$3001,H2210,B2211:B$3001,B2210,G2211:G$3001,"")=0,C2210,0),0))</f>
        <v/>
      </c>
    </row>
    <row r="2211">
      <c r="A2211" s="6" t="n"/>
      <c r="B2211" s="9" t="n"/>
      <c r="C2211" s="6" t="n"/>
      <c r="D2211" s="6" t="n"/>
      <c r="E2211" s="6" t="n"/>
      <c r="F2211" s="6" t="n"/>
      <c r="G2211" s="6" t="n"/>
      <c r="H2211" s="10">
        <f>IF(F2211="","",IFERROR(INDEX(Roster!$A$2:$A$600,MATCH(F2211,Roster!$E$2:$E$600,0)),""))</f>
        <v/>
      </c>
      <c r="I2211" s="10">
        <f>IF(AND(D2211="",C2211="",F2211=""),"",IF(G2211&lt;&gt;"","Void",IF(F2211="","Needs child",IF(H2211="","Child not found",IF(OR(B2211="",NOT(ISNUMBER(C2211))),"Needs month/pages","OK")))))</f>
        <v/>
      </c>
      <c r="J2211" s="10">
        <f>IF(I2211="","",IF(I2211="OK",IF(COUNTIFS(H2212:H$3001,H2211,B2212:B$3001,B2211,G2212:G$3001,"")=0,C2211,0),0))</f>
        <v/>
      </c>
    </row>
    <row r="2212">
      <c r="A2212" s="6" t="n"/>
      <c r="B2212" s="9" t="n"/>
      <c r="C2212" s="6" t="n"/>
      <c r="D2212" s="6" t="n"/>
      <c r="E2212" s="6" t="n"/>
      <c r="F2212" s="6" t="n"/>
      <c r="G2212" s="6" t="n"/>
      <c r="H2212" s="10">
        <f>IF(F2212="","",IFERROR(INDEX(Roster!$A$2:$A$600,MATCH(F2212,Roster!$E$2:$E$600,0)),""))</f>
        <v/>
      </c>
      <c r="I2212" s="10">
        <f>IF(AND(D2212="",C2212="",F2212=""),"",IF(G2212&lt;&gt;"","Void",IF(F2212="","Needs child",IF(H2212="","Child not found",IF(OR(B2212="",NOT(ISNUMBER(C2212))),"Needs month/pages","OK")))))</f>
        <v/>
      </c>
      <c r="J2212" s="10">
        <f>IF(I2212="","",IF(I2212="OK",IF(COUNTIFS(H2213:H$3001,H2212,B2213:B$3001,B2212,G2213:G$3001,"")=0,C2212,0),0))</f>
        <v/>
      </c>
    </row>
    <row r="2213">
      <c r="A2213" s="6" t="n"/>
      <c r="B2213" s="9" t="n"/>
      <c r="C2213" s="6" t="n"/>
      <c r="D2213" s="6" t="n"/>
      <c r="E2213" s="6" t="n"/>
      <c r="F2213" s="6" t="n"/>
      <c r="G2213" s="6" t="n"/>
      <c r="H2213" s="10">
        <f>IF(F2213="","",IFERROR(INDEX(Roster!$A$2:$A$600,MATCH(F2213,Roster!$E$2:$E$600,0)),""))</f>
        <v/>
      </c>
      <c r="I2213" s="10">
        <f>IF(AND(D2213="",C2213="",F2213=""),"",IF(G2213&lt;&gt;"","Void",IF(F2213="","Needs child",IF(H2213="","Child not found",IF(OR(B2213="",NOT(ISNUMBER(C2213))),"Needs month/pages","OK")))))</f>
        <v/>
      </c>
      <c r="J2213" s="10">
        <f>IF(I2213="","",IF(I2213="OK",IF(COUNTIFS(H2214:H$3001,H2213,B2214:B$3001,B2213,G2214:G$3001,"")=0,C2213,0),0))</f>
        <v/>
      </c>
    </row>
    <row r="2214">
      <c r="A2214" s="6" t="n"/>
      <c r="B2214" s="9" t="n"/>
      <c r="C2214" s="6" t="n"/>
      <c r="D2214" s="6" t="n"/>
      <c r="E2214" s="6" t="n"/>
      <c r="F2214" s="6" t="n"/>
      <c r="G2214" s="6" t="n"/>
      <c r="H2214" s="10">
        <f>IF(F2214="","",IFERROR(INDEX(Roster!$A$2:$A$600,MATCH(F2214,Roster!$E$2:$E$600,0)),""))</f>
        <v/>
      </c>
      <c r="I2214" s="10">
        <f>IF(AND(D2214="",C2214="",F2214=""),"",IF(G2214&lt;&gt;"","Void",IF(F2214="","Needs child",IF(H2214="","Child not found",IF(OR(B2214="",NOT(ISNUMBER(C2214))),"Needs month/pages","OK")))))</f>
        <v/>
      </c>
      <c r="J2214" s="10">
        <f>IF(I2214="","",IF(I2214="OK",IF(COUNTIFS(H2215:H$3001,H2214,B2215:B$3001,B2214,G2215:G$3001,"")=0,C2214,0),0))</f>
        <v/>
      </c>
    </row>
    <row r="2215">
      <c r="A2215" s="6" t="n"/>
      <c r="B2215" s="9" t="n"/>
      <c r="C2215" s="6" t="n"/>
      <c r="D2215" s="6" t="n"/>
      <c r="E2215" s="6" t="n"/>
      <c r="F2215" s="6" t="n"/>
      <c r="G2215" s="6" t="n"/>
      <c r="H2215" s="10">
        <f>IF(F2215="","",IFERROR(INDEX(Roster!$A$2:$A$600,MATCH(F2215,Roster!$E$2:$E$600,0)),""))</f>
        <v/>
      </c>
      <c r="I2215" s="10">
        <f>IF(AND(D2215="",C2215="",F2215=""),"",IF(G2215&lt;&gt;"","Void",IF(F2215="","Needs child",IF(H2215="","Child not found",IF(OR(B2215="",NOT(ISNUMBER(C2215))),"Needs month/pages","OK")))))</f>
        <v/>
      </c>
      <c r="J2215" s="10">
        <f>IF(I2215="","",IF(I2215="OK",IF(COUNTIFS(H2216:H$3001,H2215,B2216:B$3001,B2215,G2216:G$3001,"")=0,C2215,0),0))</f>
        <v/>
      </c>
    </row>
    <row r="2216">
      <c r="A2216" s="6" t="n"/>
      <c r="B2216" s="9" t="n"/>
      <c r="C2216" s="6" t="n"/>
      <c r="D2216" s="6" t="n"/>
      <c r="E2216" s="6" t="n"/>
      <c r="F2216" s="6" t="n"/>
      <c r="G2216" s="6" t="n"/>
      <c r="H2216" s="10">
        <f>IF(F2216="","",IFERROR(INDEX(Roster!$A$2:$A$600,MATCH(F2216,Roster!$E$2:$E$600,0)),""))</f>
        <v/>
      </c>
      <c r="I2216" s="10">
        <f>IF(AND(D2216="",C2216="",F2216=""),"",IF(G2216&lt;&gt;"","Void",IF(F2216="","Needs child",IF(H2216="","Child not found",IF(OR(B2216="",NOT(ISNUMBER(C2216))),"Needs month/pages","OK")))))</f>
        <v/>
      </c>
      <c r="J2216" s="10">
        <f>IF(I2216="","",IF(I2216="OK",IF(COUNTIFS(H2217:H$3001,H2216,B2217:B$3001,B2216,G2217:G$3001,"")=0,C2216,0),0))</f>
        <v/>
      </c>
    </row>
    <row r="2217">
      <c r="A2217" s="6" t="n"/>
      <c r="B2217" s="9" t="n"/>
      <c r="C2217" s="6" t="n"/>
      <c r="D2217" s="6" t="n"/>
      <c r="E2217" s="6" t="n"/>
      <c r="F2217" s="6" t="n"/>
      <c r="G2217" s="6" t="n"/>
      <c r="H2217" s="10">
        <f>IF(F2217="","",IFERROR(INDEX(Roster!$A$2:$A$600,MATCH(F2217,Roster!$E$2:$E$600,0)),""))</f>
        <v/>
      </c>
      <c r="I2217" s="10">
        <f>IF(AND(D2217="",C2217="",F2217=""),"",IF(G2217&lt;&gt;"","Void",IF(F2217="","Needs child",IF(H2217="","Child not found",IF(OR(B2217="",NOT(ISNUMBER(C2217))),"Needs month/pages","OK")))))</f>
        <v/>
      </c>
      <c r="J2217" s="10">
        <f>IF(I2217="","",IF(I2217="OK",IF(COUNTIFS(H2218:H$3001,H2217,B2218:B$3001,B2217,G2218:G$3001,"")=0,C2217,0),0))</f>
        <v/>
      </c>
    </row>
    <row r="2218">
      <c r="A2218" s="6" t="n"/>
      <c r="B2218" s="9" t="n"/>
      <c r="C2218" s="6" t="n"/>
      <c r="D2218" s="6" t="n"/>
      <c r="E2218" s="6" t="n"/>
      <c r="F2218" s="6" t="n"/>
      <c r="G2218" s="6" t="n"/>
      <c r="H2218" s="10">
        <f>IF(F2218="","",IFERROR(INDEX(Roster!$A$2:$A$600,MATCH(F2218,Roster!$E$2:$E$600,0)),""))</f>
        <v/>
      </c>
      <c r="I2218" s="10">
        <f>IF(AND(D2218="",C2218="",F2218=""),"",IF(G2218&lt;&gt;"","Void",IF(F2218="","Needs child",IF(H2218="","Child not found",IF(OR(B2218="",NOT(ISNUMBER(C2218))),"Needs month/pages","OK")))))</f>
        <v/>
      </c>
      <c r="J2218" s="10">
        <f>IF(I2218="","",IF(I2218="OK",IF(COUNTIFS(H2219:H$3001,H2218,B2219:B$3001,B2218,G2219:G$3001,"")=0,C2218,0),0))</f>
        <v/>
      </c>
    </row>
    <row r="2219">
      <c r="A2219" s="6" t="n"/>
      <c r="B2219" s="9" t="n"/>
      <c r="C2219" s="6" t="n"/>
      <c r="D2219" s="6" t="n"/>
      <c r="E2219" s="6" t="n"/>
      <c r="F2219" s="6" t="n"/>
      <c r="G2219" s="6" t="n"/>
      <c r="H2219" s="10">
        <f>IF(F2219="","",IFERROR(INDEX(Roster!$A$2:$A$600,MATCH(F2219,Roster!$E$2:$E$600,0)),""))</f>
        <v/>
      </c>
      <c r="I2219" s="10">
        <f>IF(AND(D2219="",C2219="",F2219=""),"",IF(G2219&lt;&gt;"","Void",IF(F2219="","Needs child",IF(H2219="","Child not found",IF(OR(B2219="",NOT(ISNUMBER(C2219))),"Needs month/pages","OK")))))</f>
        <v/>
      </c>
      <c r="J2219" s="10">
        <f>IF(I2219="","",IF(I2219="OK",IF(COUNTIFS(H2220:H$3001,H2219,B2220:B$3001,B2219,G2220:G$3001,"")=0,C2219,0),0))</f>
        <v/>
      </c>
    </row>
    <row r="2220">
      <c r="A2220" s="6" t="n"/>
      <c r="B2220" s="9" t="n"/>
      <c r="C2220" s="6" t="n"/>
      <c r="D2220" s="6" t="n"/>
      <c r="E2220" s="6" t="n"/>
      <c r="F2220" s="6" t="n"/>
      <c r="G2220" s="6" t="n"/>
      <c r="H2220" s="10">
        <f>IF(F2220="","",IFERROR(INDEX(Roster!$A$2:$A$600,MATCH(F2220,Roster!$E$2:$E$600,0)),""))</f>
        <v/>
      </c>
      <c r="I2220" s="10">
        <f>IF(AND(D2220="",C2220="",F2220=""),"",IF(G2220&lt;&gt;"","Void",IF(F2220="","Needs child",IF(H2220="","Child not found",IF(OR(B2220="",NOT(ISNUMBER(C2220))),"Needs month/pages","OK")))))</f>
        <v/>
      </c>
      <c r="J2220" s="10">
        <f>IF(I2220="","",IF(I2220="OK",IF(COUNTIFS(H2221:H$3001,H2220,B2221:B$3001,B2220,G2221:G$3001,"")=0,C2220,0),0))</f>
        <v/>
      </c>
    </row>
    <row r="2221">
      <c r="A2221" s="6" t="n"/>
      <c r="B2221" s="9" t="n"/>
      <c r="C2221" s="6" t="n"/>
      <c r="D2221" s="6" t="n"/>
      <c r="E2221" s="6" t="n"/>
      <c r="F2221" s="6" t="n"/>
      <c r="G2221" s="6" t="n"/>
      <c r="H2221" s="10">
        <f>IF(F2221="","",IFERROR(INDEX(Roster!$A$2:$A$600,MATCH(F2221,Roster!$E$2:$E$600,0)),""))</f>
        <v/>
      </c>
      <c r="I2221" s="10">
        <f>IF(AND(D2221="",C2221="",F2221=""),"",IF(G2221&lt;&gt;"","Void",IF(F2221="","Needs child",IF(H2221="","Child not found",IF(OR(B2221="",NOT(ISNUMBER(C2221))),"Needs month/pages","OK")))))</f>
        <v/>
      </c>
      <c r="J2221" s="10">
        <f>IF(I2221="","",IF(I2221="OK",IF(COUNTIFS(H2222:H$3001,H2221,B2222:B$3001,B2221,G2222:G$3001,"")=0,C2221,0),0))</f>
        <v/>
      </c>
    </row>
    <row r="2222">
      <c r="A2222" s="6" t="n"/>
      <c r="B2222" s="9" t="n"/>
      <c r="C2222" s="6" t="n"/>
      <c r="D2222" s="6" t="n"/>
      <c r="E2222" s="6" t="n"/>
      <c r="F2222" s="6" t="n"/>
      <c r="G2222" s="6" t="n"/>
      <c r="H2222" s="10">
        <f>IF(F2222="","",IFERROR(INDEX(Roster!$A$2:$A$600,MATCH(F2222,Roster!$E$2:$E$600,0)),""))</f>
        <v/>
      </c>
      <c r="I2222" s="10">
        <f>IF(AND(D2222="",C2222="",F2222=""),"",IF(G2222&lt;&gt;"","Void",IF(F2222="","Needs child",IF(H2222="","Child not found",IF(OR(B2222="",NOT(ISNUMBER(C2222))),"Needs month/pages","OK")))))</f>
        <v/>
      </c>
      <c r="J2222" s="10">
        <f>IF(I2222="","",IF(I2222="OK",IF(COUNTIFS(H2223:H$3001,H2222,B2223:B$3001,B2222,G2223:G$3001,"")=0,C2222,0),0))</f>
        <v/>
      </c>
    </row>
    <row r="2223">
      <c r="A2223" s="6" t="n"/>
      <c r="B2223" s="9" t="n"/>
      <c r="C2223" s="6" t="n"/>
      <c r="D2223" s="6" t="n"/>
      <c r="E2223" s="6" t="n"/>
      <c r="F2223" s="6" t="n"/>
      <c r="G2223" s="6" t="n"/>
      <c r="H2223" s="10">
        <f>IF(F2223="","",IFERROR(INDEX(Roster!$A$2:$A$600,MATCH(F2223,Roster!$E$2:$E$600,0)),""))</f>
        <v/>
      </c>
      <c r="I2223" s="10">
        <f>IF(AND(D2223="",C2223="",F2223=""),"",IF(G2223&lt;&gt;"","Void",IF(F2223="","Needs child",IF(H2223="","Child not found",IF(OR(B2223="",NOT(ISNUMBER(C2223))),"Needs month/pages","OK")))))</f>
        <v/>
      </c>
      <c r="J2223" s="10">
        <f>IF(I2223="","",IF(I2223="OK",IF(COUNTIFS(H2224:H$3001,H2223,B2224:B$3001,B2223,G2224:G$3001,"")=0,C2223,0),0))</f>
        <v/>
      </c>
    </row>
    <row r="2224">
      <c r="A2224" s="6" t="n"/>
      <c r="B2224" s="9" t="n"/>
      <c r="C2224" s="6" t="n"/>
      <c r="D2224" s="6" t="n"/>
      <c r="E2224" s="6" t="n"/>
      <c r="F2224" s="6" t="n"/>
      <c r="G2224" s="6" t="n"/>
      <c r="H2224" s="10">
        <f>IF(F2224="","",IFERROR(INDEX(Roster!$A$2:$A$600,MATCH(F2224,Roster!$E$2:$E$600,0)),""))</f>
        <v/>
      </c>
      <c r="I2224" s="10">
        <f>IF(AND(D2224="",C2224="",F2224=""),"",IF(G2224&lt;&gt;"","Void",IF(F2224="","Needs child",IF(H2224="","Child not found",IF(OR(B2224="",NOT(ISNUMBER(C2224))),"Needs month/pages","OK")))))</f>
        <v/>
      </c>
      <c r="J2224" s="10">
        <f>IF(I2224="","",IF(I2224="OK",IF(COUNTIFS(H2225:H$3001,H2224,B2225:B$3001,B2224,G2225:G$3001,"")=0,C2224,0),0))</f>
        <v/>
      </c>
    </row>
    <row r="2225">
      <c r="A2225" s="6" t="n"/>
      <c r="B2225" s="9" t="n"/>
      <c r="C2225" s="6" t="n"/>
      <c r="D2225" s="6" t="n"/>
      <c r="E2225" s="6" t="n"/>
      <c r="F2225" s="6" t="n"/>
      <c r="G2225" s="6" t="n"/>
      <c r="H2225" s="10">
        <f>IF(F2225="","",IFERROR(INDEX(Roster!$A$2:$A$600,MATCH(F2225,Roster!$E$2:$E$600,0)),""))</f>
        <v/>
      </c>
      <c r="I2225" s="10">
        <f>IF(AND(D2225="",C2225="",F2225=""),"",IF(G2225&lt;&gt;"","Void",IF(F2225="","Needs child",IF(H2225="","Child not found",IF(OR(B2225="",NOT(ISNUMBER(C2225))),"Needs month/pages","OK")))))</f>
        <v/>
      </c>
      <c r="J2225" s="10">
        <f>IF(I2225="","",IF(I2225="OK",IF(COUNTIFS(H2226:H$3001,H2225,B2226:B$3001,B2225,G2226:G$3001,"")=0,C2225,0),0))</f>
        <v/>
      </c>
    </row>
    <row r="2226">
      <c r="A2226" s="6" t="n"/>
      <c r="B2226" s="9" t="n"/>
      <c r="C2226" s="6" t="n"/>
      <c r="D2226" s="6" t="n"/>
      <c r="E2226" s="6" t="n"/>
      <c r="F2226" s="6" t="n"/>
      <c r="G2226" s="6" t="n"/>
      <c r="H2226" s="10">
        <f>IF(F2226="","",IFERROR(INDEX(Roster!$A$2:$A$600,MATCH(F2226,Roster!$E$2:$E$600,0)),""))</f>
        <v/>
      </c>
      <c r="I2226" s="10">
        <f>IF(AND(D2226="",C2226="",F2226=""),"",IF(G2226&lt;&gt;"","Void",IF(F2226="","Needs child",IF(H2226="","Child not found",IF(OR(B2226="",NOT(ISNUMBER(C2226))),"Needs month/pages","OK")))))</f>
        <v/>
      </c>
      <c r="J2226" s="10">
        <f>IF(I2226="","",IF(I2226="OK",IF(COUNTIFS(H2227:H$3001,H2226,B2227:B$3001,B2226,G2227:G$3001,"")=0,C2226,0),0))</f>
        <v/>
      </c>
    </row>
    <row r="2227">
      <c r="A2227" s="6" t="n"/>
      <c r="B2227" s="9" t="n"/>
      <c r="C2227" s="6" t="n"/>
      <c r="D2227" s="6" t="n"/>
      <c r="E2227" s="6" t="n"/>
      <c r="F2227" s="6" t="n"/>
      <c r="G2227" s="6" t="n"/>
      <c r="H2227" s="10">
        <f>IF(F2227="","",IFERROR(INDEX(Roster!$A$2:$A$600,MATCH(F2227,Roster!$E$2:$E$600,0)),""))</f>
        <v/>
      </c>
      <c r="I2227" s="10">
        <f>IF(AND(D2227="",C2227="",F2227=""),"",IF(G2227&lt;&gt;"","Void",IF(F2227="","Needs child",IF(H2227="","Child not found",IF(OR(B2227="",NOT(ISNUMBER(C2227))),"Needs month/pages","OK")))))</f>
        <v/>
      </c>
      <c r="J2227" s="10">
        <f>IF(I2227="","",IF(I2227="OK",IF(COUNTIFS(H2228:H$3001,H2227,B2228:B$3001,B2227,G2228:G$3001,"")=0,C2227,0),0))</f>
        <v/>
      </c>
    </row>
    <row r="2228">
      <c r="A2228" s="6" t="n"/>
      <c r="B2228" s="9" t="n"/>
      <c r="C2228" s="6" t="n"/>
      <c r="D2228" s="6" t="n"/>
      <c r="E2228" s="6" t="n"/>
      <c r="F2228" s="6" t="n"/>
      <c r="G2228" s="6" t="n"/>
      <c r="H2228" s="10">
        <f>IF(F2228="","",IFERROR(INDEX(Roster!$A$2:$A$600,MATCH(F2228,Roster!$E$2:$E$600,0)),""))</f>
        <v/>
      </c>
      <c r="I2228" s="10">
        <f>IF(AND(D2228="",C2228="",F2228=""),"",IF(G2228&lt;&gt;"","Void",IF(F2228="","Needs child",IF(H2228="","Child not found",IF(OR(B2228="",NOT(ISNUMBER(C2228))),"Needs month/pages","OK")))))</f>
        <v/>
      </c>
      <c r="J2228" s="10">
        <f>IF(I2228="","",IF(I2228="OK",IF(COUNTIFS(H2229:H$3001,H2228,B2229:B$3001,B2228,G2229:G$3001,"")=0,C2228,0),0))</f>
        <v/>
      </c>
    </row>
    <row r="2229">
      <c r="A2229" s="6" t="n"/>
      <c r="B2229" s="9" t="n"/>
      <c r="C2229" s="6" t="n"/>
      <c r="D2229" s="6" t="n"/>
      <c r="E2229" s="6" t="n"/>
      <c r="F2229" s="6" t="n"/>
      <c r="G2229" s="6" t="n"/>
      <c r="H2229" s="10">
        <f>IF(F2229="","",IFERROR(INDEX(Roster!$A$2:$A$600,MATCH(F2229,Roster!$E$2:$E$600,0)),""))</f>
        <v/>
      </c>
      <c r="I2229" s="10">
        <f>IF(AND(D2229="",C2229="",F2229=""),"",IF(G2229&lt;&gt;"","Void",IF(F2229="","Needs child",IF(H2229="","Child not found",IF(OR(B2229="",NOT(ISNUMBER(C2229))),"Needs month/pages","OK")))))</f>
        <v/>
      </c>
      <c r="J2229" s="10">
        <f>IF(I2229="","",IF(I2229="OK",IF(COUNTIFS(H2230:H$3001,H2229,B2230:B$3001,B2229,G2230:G$3001,"")=0,C2229,0),0))</f>
        <v/>
      </c>
    </row>
    <row r="2230">
      <c r="A2230" s="6" t="n"/>
      <c r="B2230" s="9" t="n"/>
      <c r="C2230" s="6" t="n"/>
      <c r="D2230" s="6" t="n"/>
      <c r="E2230" s="6" t="n"/>
      <c r="F2230" s="6" t="n"/>
      <c r="G2230" s="6" t="n"/>
      <c r="H2230" s="10">
        <f>IF(F2230="","",IFERROR(INDEX(Roster!$A$2:$A$600,MATCH(F2230,Roster!$E$2:$E$600,0)),""))</f>
        <v/>
      </c>
      <c r="I2230" s="10">
        <f>IF(AND(D2230="",C2230="",F2230=""),"",IF(G2230&lt;&gt;"","Void",IF(F2230="","Needs child",IF(H2230="","Child not found",IF(OR(B2230="",NOT(ISNUMBER(C2230))),"Needs month/pages","OK")))))</f>
        <v/>
      </c>
      <c r="J2230" s="10">
        <f>IF(I2230="","",IF(I2230="OK",IF(COUNTIFS(H2231:H$3001,H2230,B2231:B$3001,B2230,G2231:G$3001,"")=0,C2230,0),0))</f>
        <v/>
      </c>
    </row>
    <row r="2231">
      <c r="A2231" s="6" t="n"/>
      <c r="B2231" s="9" t="n"/>
      <c r="C2231" s="6" t="n"/>
      <c r="D2231" s="6" t="n"/>
      <c r="E2231" s="6" t="n"/>
      <c r="F2231" s="6" t="n"/>
      <c r="G2231" s="6" t="n"/>
      <c r="H2231" s="10">
        <f>IF(F2231="","",IFERROR(INDEX(Roster!$A$2:$A$600,MATCH(F2231,Roster!$E$2:$E$600,0)),""))</f>
        <v/>
      </c>
      <c r="I2231" s="10">
        <f>IF(AND(D2231="",C2231="",F2231=""),"",IF(G2231&lt;&gt;"","Void",IF(F2231="","Needs child",IF(H2231="","Child not found",IF(OR(B2231="",NOT(ISNUMBER(C2231))),"Needs month/pages","OK")))))</f>
        <v/>
      </c>
      <c r="J2231" s="10">
        <f>IF(I2231="","",IF(I2231="OK",IF(COUNTIFS(H2232:H$3001,H2231,B2232:B$3001,B2231,G2232:G$3001,"")=0,C2231,0),0))</f>
        <v/>
      </c>
    </row>
    <row r="2232">
      <c r="A2232" s="6" t="n"/>
      <c r="B2232" s="9" t="n"/>
      <c r="C2232" s="6" t="n"/>
      <c r="D2232" s="6" t="n"/>
      <c r="E2232" s="6" t="n"/>
      <c r="F2232" s="6" t="n"/>
      <c r="G2232" s="6" t="n"/>
      <c r="H2232" s="10">
        <f>IF(F2232="","",IFERROR(INDEX(Roster!$A$2:$A$600,MATCH(F2232,Roster!$E$2:$E$600,0)),""))</f>
        <v/>
      </c>
      <c r="I2232" s="10">
        <f>IF(AND(D2232="",C2232="",F2232=""),"",IF(G2232&lt;&gt;"","Void",IF(F2232="","Needs child",IF(H2232="","Child not found",IF(OR(B2232="",NOT(ISNUMBER(C2232))),"Needs month/pages","OK")))))</f>
        <v/>
      </c>
      <c r="J2232" s="10">
        <f>IF(I2232="","",IF(I2232="OK",IF(COUNTIFS(H2233:H$3001,H2232,B2233:B$3001,B2232,G2233:G$3001,"")=0,C2232,0),0))</f>
        <v/>
      </c>
    </row>
    <row r="2233">
      <c r="A2233" s="6" t="n"/>
      <c r="B2233" s="9" t="n"/>
      <c r="C2233" s="6" t="n"/>
      <c r="D2233" s="6" t="n"/>
      <c r="E2233" s="6" t="n"/>
      <c r="F2233" s="6" t="n"/>
      <c r="G2233" s="6" t="n"/>
      <c r="H2233" s="10">
        <f>IF(F2233="","",IFERROR(INDEX(Roster!$A$2:$A$600,MATCH(F2233,Roster!$E$2:$E$600,0)),""))</f>
        <v/>
      </c>
      <c r="I2233" s="10">
        <f>IF(AND(D2233="",C2233="",F2233=""),"",IF(G2233&lt;&gt;"","Void",IF(F2233="","Needs child",IF(H2233="","Child not found",IF(OR(B2233="",NOT(ISNUMBER(C2233))),"Needs month/pages","OK")))))</f>
        <v/>
      </c>
      <c r="J2233" s="10">
        <f>IF(I2233="","",IF(I2233="OK",IF(COUNTIFS(H2234:H$3001,H2233,B2234:B$3001,B2233,G2234:G$3001,"")=0,C2233,0),0))</f>
        <v/>
      </c>
    </row>
    <row r="2234">
      <c r="A2234" s="6" t="n"/>
      <c r="B2234" s="9" t="n"/>
      <c r="C2234" s="6" t="n"/>
      <c r="D2234" s="6" t="n"/>
      <c r="E2234" s="6" t="n"/>
      <c r="F2234" s="6" t="n"/>
      <c r="G2234" s="6" t="n"/>
      <c r="H2234" s="10">
        <f>IF(F2234="","",IFERROR(INDEX(Roster!$A$2:$A$600,MATCH(F2234,Roster!$E$2:$E$600,0)),""))</f>
        <v/>
      </c>
      <c r="I2234" s="10">
        <f>IF(AND(D2234="",C2234="",F2234=""),"",IF(G2234&lt;&gt;"","Void",IF(F2234="","Needs child",IF(H2234="","Child not found",IF(OR(B2234="",NOT(ISNUMBER(C2234))),"Needs month/pages","OK")))))</f>
        <v/>
      </c>
      <c r="J2234" s="10">
        <f>IF(I2234="","",IF(I2234="OK",IF(COUNTIFS(H2235:H$3001,H2234,B2235:B$3001,B2234,G2235:G$3001,"")=0,C2234,0),0))</f>
        <v/>
      </c>
    </row>
    <row r="2235">
      <c r="A2235" s="6" t="n"/>
      <c r="B2235" s="9" t="n"/>
      <c r="C2235" s="6" t="n"/>
      <c r="D2235" s="6" t="n"/>
      <c r="E2235" s="6" t="n"/>
      <c r="F2235" s="6" t="n"/>
      <c r="G2235" s="6" t="n"/>
      <c r="H2235" s="10">
        <f>IF(F2235="","",IFERROR(INDEX(Roster!$A$2:$A$600,MATCH(F2235,Roster!$E$2:$E$600,0)),""))</f>
        <v/>
      </c>
      <c r="I2235" s="10">
        <f>IF(AND(D2235="",C2235="",F2235=""),"",IF(G2235&lt;&gt;"","Void",IF(F2235="","Needs child",IF(H2235="","Child not found",IF(OR(B2235="",NOT(ISNUMBER(C2235))),"Needs month/pages","OK")))))</f>
        <v/>
      </c>
      <c r="J2235" s="10">
        <f>IF(I2235="","",IF(I2235="OK",IF(COUNTIFS(H2236:H$3001,H2235,B2236:B$3001,B2235,G2236:G$3001,"")=0,C2235,0),0))</f>
        <v/>
      </c>
    </row>
    <row r="2236">
      <c r="A2236" s="6" t="n"/>
      <c r="B2236" s="9" t="n"/>
      <c r="C2236" s="6" t="n"/>
      <c r="D2236" s="6" t="n"/>
      <c r="E2236" s="6" t="n"/>
      <c r="F2236" s="6" t="n"/>
      <c r="G2236" s="6" t="n"/>
      <c r="H2236" s="10">
        <f>IF(F2236="","",IFERROR(INDEX(Roster!$A$2:$A$600,MATCH(F2236,Roster!$E$2:$E$600,0)),""))</f>
        <v/>
      </c>
      <c r="I2236" s="10">
        <f>IF(AND(D2236="",C2236="",F2236=""),"",IF(G2236&lt;&gt;"","Void",IF(F2236="","Needs child",IF(H2236="","Child not found",IF(OR(B2236="",NOT(ISNUMBER(C2236))),"Needs month/pages","OK")))))</f>
        <v/>
      </c>
      <c r="J2236" s="10">
        <f>IF(I2236="","",IF(I2236="OK",IF(COUNTIFS(H2237:H$3001,H2236,B2237:B$3001,B2236,G2237:G$3001,"")=0,C2236,0),0))</f>
        <v/>
      </c>
    </row>
    <row r="2237">
      <c r="A2237" s="6" t="n"/>
      <c r="B2237" s="9" t="n"/>
      <c r="C2237" s="6" t="n"/>
      <c r="D2237" s="6" t="n"/>
      <c r="E2237" s="6" t="n"/>
      <c r="F2237" s="6" t="n"/>
      <c r="G2237" s="6" t="n"/>
      <c r="H2237" s="10">
        <f>IF(F2237="","",IFERROR(INDEX(Roster!$A$2:$A$600,MATCH(F2237,Roster!$E$2:$E$600,0)),""))</f>
        <v/>
      </c>
      <c r="I2237" s="10">
        <f>IF(AND(D2237="",C2237="",F2237=""),"",IF(G2237&lt;&gt;"","Void",IF(F2237="","Needs child",IF(H2237="","Child not found",IF(OR(B2237="",NOT(ISNUMBER(C2237))),"Needs month/pages","OK")))))</f>
        <v/>
      </c>
      <c r="J2237" s="10">
        <f>IF(I2237="","",IF(I2237="OK",IF(COUNTIFS(H2238:H$3001,H2237,B2238:B$3001,B2237,G2238:G$3001,"")=0,C2237,0),0))</f>
        <v/>
      </c>
    </row>
    <row r="2238">
      <c r="A2238" s="6" t="n"/>
      <c r="B2238" s="9" t="n"/>
      <c r="C2238" s="6" t="n"/>
      <c r="D2238" s="6" t="n"/>
      <c r="E2238" s="6" t="n"/>
      <c r="F2238" s="6" t="n"/>
      <c r="G2238" s="6" t="n"/>
      <c r="H2238" s="10">
        <f>IF(F2238="","",IFERROR(INDEX(Roster!$A$2:$A$600,MATCH(F2238,Roster!$E$2:$E$600,0)),""))</f>
        <v/>
      </c>
      <c r="I2238" s="10">
        <f>IF(AND(D2238="",C2238="",F2238=""),"",IF(G2238&lt;&gt;"","Void",IF(F2238="","Needs child",IF(H2238="","Child not found",IF(OR(B2238="",NOT(ISNUMBER(C2238))),"Needs month/pages","OK")))))</f>
        <v/>
      </c>
      <c r="J2238" s="10">
        <f>IF(I2238="","",IF(I2238="OK",IF(COUNTIFS(H2239:H$3001,H2238,B2239:B$3001,B2238,G2239:G$3001,"")=0,C2238,0),0))</f>
        <v/>
      </c>
    </row>
    <row r="2239">
      <c r="A2239" s="6" t="n"/>
      <c r="B2239" s="9" t="n"/>
      <c r="C2239" s="6" t="n"/>
      <c r="D2239" s="6" t="n"/>
      <c r="E2239" s="6" t="n"/>
      <c r="F2239" s="6" t="n"/>
      <c r="G2239" s="6" t="n"/>
      <c r="H2239" s="10">
        <f>IF(F2239="","",IFERROR(INDEX(Roster!$A$2:$A$600,MATCH(F2239,Roster!$E$2:$E$600,0)),""))</f>
        <v/>
      </c>
      <c r="I2239" s="10">
        <f>IF(AND(D2239="",C2239="",F2239=""),"",IF(G2239&lt;&gt;"","Void",IF(F2239="","Needs child",IF(H2239="","Child not found",IF(OR(B2239="",NOT(ISNUMBER(C2239))),"Needs month/pages","OK")))))</f>
        <v/>
      </c>
      <c r="J2239" s="10">
        <f>IF(I2239="","",IF(I2239="OK",IF(COUNTIFS(H2240:H$3001,H2239,B2240:B$3001,B2239,G2240:G$3001,"")=0,C2239,0),0))</f>
        <v/>
      </c>
    </row>
    <row r="2240">
      <c r="A2240" s="6" t="n"/>
      <c r="B2240" s="9" t="n"/>
      <c r="C2240" s="6" t="n"/>
      <c r="D2240" s="6" t="n"/>
      <c r="E2240" s="6" t="n"/>
      <c r="F2240" s="6" t="n"/>
      <c r="G2240" s="6" t="n"/>
      <c r="H2240" s="10">
        <f>IF(F2240="","",IFERROR(INDEX(Roster!$A$2:$A$600,MATCH(F2240,Roster!$E$2:$E$600,0)),""))</f>
        <v/>
      </c>
      <c r="I2240" s="10">
        <f>IF(AND(D2240="",C2240="",F2240=""),"",IF(G2240&lt;&gt;"","Void",IF(F2240="","Needs child",IF(H2240="","Child not found",IF(OR(B2240="",NOT(ISNUMBER(C2240))),"Needs month/pages","OK")))))</f>
        <v/>
      </c>
      <c r="J2240" s="10">
        <f>IF(I2240="","",IF(I2240="OK",IF(COUNTIFS(H2241:H$3001,H2240,B2241:B$3001,B2240,G2241:G$3001,"")=0,C2240,0),0))</f>
        <v/>
      </c>
    </row>
    <row r="2241">
      <c r="A2241" s="6" t="n"/>
      <c r="B2241" s="9" t="n"/>
      <c r="C2241" s="6" t="n"/>
      <c r="D2241" s="6" t="n"/>
      <c r="E2241" s="6" t="n"/>
      <c r="F2241" s="6" t="n"/>
      <c r="G2241" s="6" t="n"/>
      <c r="H2241" s="10">
        <f>IF(F2241="","",IFERROR(INDEX(Roster!$A$2:$A$600,MATCH(F2241,Roster!$E$2:$E$600,0)),""))</f>
        <v/>
      </c>
      <c r="I2241" s="10">
        <f>IF(AND(D2241="",C2241="",F2241=""),"",IF(G2241&lt;&gt;"","Void",IF(F2241="","Needs child",IF(H2241="","Child not found",IF(OR(B2241="",NOT(ISNUMBER(C2241))),"Needs month/pages","OK")))))</f>
        <v/>
      </c>
      <c r="J2241" s="10">
        <f>IF(I2241="","",IF(I2241="OK",IF(COUNTIFS(H2242:H$3001,H2241,B2242:B$3001,B2241,G2242:G$3001,"")=0,C2241,0),0))</f>
        <v/>
      </c>
    </row>
    <row r="2242">
      <c r="A2242" s="6" t="n"/>
      <c r="B2242" s="9" t="n"/>
      <c r="C2242" s="6" t="n"/>
      <c r="D2242" s="6" t="n"/>
      <c r="E2242" s="6" t="n"/>
      <c r="F2242" s="6" t="n"/>
      <c r="G2242" s="6" t="n"/>
      <c r="H2242" s="10">
        <f>IF(F2242="","",IFERROR(INDEX(Roster!$A$2:$A$600,MATCH(F2242,Roster!$E$2:$E$600,0)),""))</f>
        <v/>
      </c>
      <c r="I2242" s="10">
        <f>IF(AND(D2242="",C2242="",F2242=""),"",IF(G2242&lt;&gt;"","Void",IF(F2242="","Needs child",IF(H2242="","Child not found",IF(OR(B2242="",NOT(ISNUMBER(C2242))),"Needs month/pages","OK")))))</f>
        <v/>
      </c>
      <c r="J2242" s="10">
        <f>IF(I2242="","",IF(I2242="OK",IF(COUNTIFS(H2243:H$3001,H2242,B2243:B$3001,B2242,G2243:G$3001,"")=0,C2242,0),0))</f>
        <v/>
      </c>
    </row>
    <row r="2243">
      <c r="A2243" s="6" t="n"/>
      <c r="B2243" s="9" t="n"/>
      <c r="C2243" s="6" t="n"/>
      <c r="D2243" s="6" t="n"/>
      <c r="E2243" s="6" t="n"/>
      <c r="F2243" s="6" t="n"/>
      <c r="G2243" s="6" t="n"/>
      <c r="H2243" s="10">
        <f>IF(F2243="","",IFERROR(INDEX(Roster!$A$2:$A$600,MATCH(F2243,Roster!$E$2:$E$600,0)),""))</f>
        <v/>
      </c>
      <c r="I2243" s="10">
        <f>IF(AND(D2243="",C2243="",F2243=""),"",IF(G2243&lt;&gt;"","Void",IF(F2243="","Needs child",IF(H2243="","Child not found",IF(OR(B2243="",NOT(ISNUMBER(C2243))),"Needs month/pages","OK")))))</f>
        <v/>
      </c>
      <c r="J2243" s="10">
        <f>IF(I2243="","",IF(I2243="OK",IF(COUNTIFS(H2244:H$3001,H2243,B2244:B$3001,B2243,G2244:G$3001,"")=0,C2243,0),0))</f>
        <v/>
      </c>
    </row>
    <row r="2244">
      <c r="A2244" s="6" t="n"/>
      <c r="B2244" s="9" t="n"/>
      <c r="C2244" s="6" t="n"/>
      <c r="D2244" s="6" t="n"/>
      <c r="E2244" s="6" t="n"/>
      <c r="F2244" s="6" t="n"/>
      <c r="G2244" s="6" t="n"/>
      <c r="H2244" s="10">
        <f>IF(F2244="","",IFERROR(INDEX(Roster!$A$2:$A$600,MATCH(F2244,Roster!$E$2:$E$600,0)),""))</f>
        <v/>
      </c>
      <c r="I2244" s="10">
        <f>IF(AND(D2244="",C2244="",F2244=""),"",IF(G2244&lt;&gt;"","Void",IF(F2244="","Needs child",IF(H2244="","Child not found",IF(OR(B2244="",NOT(ISNUMBER(C2244))),"Needs month/pages","OK")))))</f>
        <v/>
      </c>
      <c r="J2244" s="10">
        <f>IF(I2244="","",IF(I2244="OK",IF(COUNTIFS(H2245:H$3001,H2244,B2245:B$3001,B2244,G2245:G$3001,"")=0,C2244,0),0))</f>
        <v/>
      </c>
    </row>
    <row r="2245">
      <c r="A2245" s="6" t="n"/>
      <c r="B2245" s="9" t="n"/>
      <c r="C2245" s="6" t="n"/>
      <c r="D2245" s="6" t="n"/>
      <c r="E2245" s="6" t="n"/>
      <c r="F2245" s="6" t="n"/>
      <c r="G2245" s="6" t="n"/>
      <c r="H2245" s="10">
        <f>IF(F2245="","",IFERROR(INDEX(Roster!$A$2:$A$600,MATCH(F2245,Roster!$E$2:$E$600,0)),""))</f>
        <v/>
      </c>
      <c r="I2245" s="10">
        <f>IF(AND(D2245="",C2245="",F2245=""),"",IF(G2245&lt;&gt;"","Void",IF(F2245="","Needs child",IF(H2245="","Child not found",IF(OR(B2245="",NOT(ISNUMBER(C2245))),"Needs month/pages","OK")))))</f>
        <v/>
      </c>
      <c r="J2245" s="10">
        <f>IF(I2245="","",IF(I2245="OK",IF(COUNTIFS(H2246:H$3001,H2245,B2246:B$3001,B2245,G2246:G$3001,"")=0,C2245,0),0))</f>
        <v/>
      </c>
    </row>
    <row r="2246">
      <c r="A2246" s="6" t="n"/>
      <c r="B2246" s="9" t="n"/>
      <c r="C2246" s="6" t="n"/>
      <c r="D2246" s="6" t="n"/>
      <c r="E2246" s="6" t="n"/>
      <c r="F2246" s="6" t="n"/>
      <c r="G2246" s="6" t="n"/>
      <c r="H2246" s="10">
        <f>IF(F2246="","",IFERROR(INDEX(Roster!$A$2:$A$600,MATCH(F2246,Roster!$E$2:$E$600,0)),""))</f>
        <v/>
      </c>
      <c r="I2246" s="10">
        <f>IF(AND(D2246="",C2246="",F2246=""),"",IF(G2246&lt;&gt;"","Void",IF(F2246="","Needs child",IF(H2246="","Child not found",IF(OR(B2246="",NOT(ISNUMBER(C2246))),"Needs month/pages","OK")))))</f>
        <v/>
      </c>
      <c r="J2246" s="10">
        <f>IF(I2246="","",IF(I2246="OK",IF(COUNTIFS(H2247:H$3001,H2246,B2247:B$3001,B2246,G2247:G$3001,"")=0,C2246,0),0))</f>
        <v/>
      </c>
    </row>
    <row r="2247">
      <c r="A2247" s="6" t="n"/>
      <c r="B2247" s="9" t="n"/>
      <c r="C2247" s="6" t="n"/>
      <c r="D2247" s="6" t="n"/>
      <c r="E2247" s="6" t="n"/>
      <c r="F2247" s="6" t="n"/>
      <c r="G2247" s="6" t="n"/>
      <c r="H2247" s="10">
        <f>IF(F2247="","",IFERROR(INDEX(Roster!$A$2:$A$600,MATCH(F2247,Roster!$E$2:$E$600,0)),""))</f>
        <v/>
      </c>
      <c r="I2247" s="10">
        <f>IF(AND(D2247="",C2247="",F2247=""),"",IF(G2247&lt;&gt;"","Void",IF(F2247="","Needs child",IF(H2247="","Child not found",IF(OR(B2247="",NOT(ISNUMBER(C2247))),"Needs month/pages","OK")))))</f>
        <v/>
      </c>
      <c r="J2247" s="10">
        <f>IF(I2247="","",IF(I2247="OK",IF(COUNTIFS(H2248:H$3001,H2247,B2248:B$3001,B2247,G2248:G$3001,"")=0,C2247,0),0))</f>
        <v/>
      </c>
    </row>
    <row r="2248">
      <c r="A2248" s="6" t="n"/>
      <c r="B2248" s="9" t="n"/>
      <c r="C2248" s="6" t="n"/>
      <c r="D2248" s="6" t="n"/>
      <c r="E2248" s="6" t="n"/>
      <c r="F2248" s="6" t="n"/>
      <c r="G2248" s="6" t="n"/>
      <c r="H2248" s="10">
        <f>IF(F2248="","",IFERROR(INDEX(Roster!$A$2:$A$600,MATCH(F2248,Roster!$E$2:$E$600,0)),""))</f>
        <v/>
      </c>
      <c r="I2248" s="10">
        <f>IF(AND(D2248="",C2248="",F2248=""),"",IF(G2248&lt;&gt;"","Void",IF(F2248="","Needs child",IF(H2248="","Child not found",IF(OR(B2248="",NOT(ISNUMBER(C2248))),"Needs month/pages","OK")))))</f>
        <v/>
      </c>
      <c r="J2248" s="10">
        <f>IF(I2248="","",IF(I2248="OK",IF(COUNTIFS(H2249:H$3001,H2248,B2249:B$3001,B2248,G2249:G$3001,"")=0,C2248,0),0))</f>
        <v/>
      </c>
    </row>
    <row r="2249">
      <c r="A2249" s="6" t="n"/>
      <c r="B2249" s="9" t="n"/>
      <c r="C2249" s="6" t="n"/>
      <c r="D2249" s="6" t="n"/>
      <c r="E2249" s="6" t="n"/>
      <c r="F2249" s="6" t="n"/>
      <c r="G2249" s="6" t="n"/>
      <c r="H2249" s="10">
        <f>IF(F2249="","",IFERROR(INDEX(Roster!$A$2:$A$600,MATCH(F2249,Roster!$E$2:$E$600,0)),""))</f>
        <v/>
      </c>
      <c r="I2249" s="10">
        <f>IF(AND(D2249="",C2249="",F2249=""),"",IF(G2249&lt;&gt;"","Void",IF(F2249="","Needs child",IF(H2249="","Child not found",IF(OR(B2249="",NOT(ISNUMBER(C2249))),"Needs month/pages","OK")))))</f>
        <v/>
      </c>
      <c r="J2249" s="10">
        <f>IF(I2249="","",IF(I2249="OK",IF(COUNTIFS(H2250:H$3001,H2249,B2250:B$3001,B2249,G2250:G$3001,"")=0,C2249,0),0))</f>
        <v/>
      </c>
    </row>
    <row r="2250">
      <c r="A2250" s="6" t="n"/>
      <c r="B2250" s="9" t="n"/>
      <c r="C2250" s="6" t="n"/>
      <c r="D2250" s="6" t="n"/>
      <c r="E2250" s="6" t="n"/>
      <c r="F2250" s="6" t="n"/>
      <c r="G2250" s="6" t="n"/>
      <c r="H2250" s="10">
        <f>IF(F2250="","",IFERROR(INDEX(Roster!$A$2:$A$600,MATCH(F2250,Roster!$E$2:$E$600,0)),""))</f>
        <v/>
      </c>
      <c r="I2250" s="10">
        <f>IF(AND(D2250="",C2250="",F2250=""),"",IF(G2250&lt;&gt;"","Void",IF(F2250="","Needs child",IF(H2250="","Child not found",IF(OR(B2250="",NOT(ISNUMBER(C2250))),"Needs month/pages","OK")))))</f>
        <v/>
      </c>
      <c r="J2250" s="10">
        <f>IF(I2250="","",IF(I2250="OK",IF(COUNTIFS(H2251:H$3001,H2250,B2251:B$3001,B2250,G2251:G$3001,"")=0,C2250,0),0))</f>
        <v/>
      </c>
    </row>
    <row r="2251">
      <c r="A2251" s="6" t="n"/>
      <c r="B2251" s="9" t="n"/>
      <c r="C2251" s="6" t="n"/>
      <c r="D2251" s="6" t="n"/>
      <c r="E2251" s="6" t="n"/>
      <c r="F2251" s="6" t="n"/>
      <c r="G2251" s="6" t="n"/>
      <c r="H2251" s="10">
        <f>IF(F2251="","",IFERROR(INDEX(Roster!$A$2:$A$600,MATCH(F2251,Roster!$E$2:$E$600,0)),""))</f>
        <v/>
      </c>
      <c r="I2251" s="10">
        <f>IF(AND(D2251="",C2251="",F2251=""),"",IF(G2251&lt;&gt;"","Void",IF(F2251="","Needs child",IF(H2251="","Child not found",IF(OR(B2251="",NOT(ISNUMBER(C2251))),"Needs month/pages","OK")))))</f>
        <v/>
      </c>
      <c r="J2251" s="10">
        <f>IF(I2251="","",IF(I2251="OK",IF(COUNTIFS(H2252:H$3001,H2251,B2252:B$3001,B2251,G2252:G$3001,"")=0,C2251,0),0))</f>
        <v/>
      </c>
    </row>
    <row r="2252">
      <c r="A2252" s="6" t="n"/>
      <c r="B2252" s="9" t="n"/>
      <c r="C2252" s="6" t="n"/>
      <c r="D2252" s="6" t="n"/>
      <c r="E2252" s="6" t="n"/>
      <c r="F2252" s="6" t="n"/>
      <c r="G2252" s="6" t="n"/>
      <c r="H2252" s="10">
        <f>IF(F2252="","",IFERROR(INDEX(Roster!$A$2:$A$600,MATCH(F2252,Roster!$E$2:$E$600,0)),""))</f>
        <v/>
      </c>
      <c r="I2252" s="10">
        <f>IF(AND(D2252="",C2252="",F2252=""),"",IF(G2252&lt;&gt;"","Void",IF(F2252="","Needs child",IF(H2252="","Child not found",IF(OR(B2252="",NOT(ISNUMBER(C2252))),"Needs month/pages","OK")))))</f>
        <v/>
      </c>
      <c r="J2252" s="10">
        <f>IF(I2252="","",IF(I2252="OK",IF(COUNTIFS(H2253:H$3001,H2252,B2253:B$3001,B2252,G2253:G$3001,"")=0,C2252,0),0))</f>
        <v/>
      </c>
    </row>
    <row r="2253">
      <c r="A2253" s="6" t="n"/>
      <c r="B2253" s="9" t="n"/>
      <c r="C2253" s="6" t="n"/>
      <c r="D2253" s="6" t="n"/>
      <c r="E2253" s="6" t="n"/>
      <c r="F2253" s="6" t="n"/>
      <c r="G2253" s="6" t="n"/>
      <c r="H2253" s="10">
        <f>IF(F2253="","",IFERROR(INDEX(Roster!$A$2:$A$600,MATCH(F2253,Roster!$E$2:$E$600,0)),""))</f>
        <v/>
      </c>
      <c r="I2253" s="10">
        <f>IF(AND(D2253="",C2253="",F2253=""),"",IF(G2253&lt;&gt;"","Void",IF(F2253="","Needs child",IF(H2253="","Child not found",IF(OR(B2253="",NOT(ISNUMBER(C2253))),"Needs month/pages","OK")))))</f>
        <v/>
      </c>
      <c r="J2253" s="10">
        <f>IF(I2253="","",IF(I2253="OK",IF(COUNTIFS(H2254:H$3001,H2253,B2254:B$3001,B2253,G2254:G$3001,"")=0,C2253,0),0))</f>
        <v/>
      </c>
    </row>
    <row r="2254">
      <c r="A2254" s="6" t="n"/>
      <c r="B2254" s="9" t="n"/>
      <c r="C2254" s="6" t="n"/>
      <c r="D2254" s="6" t="n"/>
      <c r="E2254" s="6" t="n"/>
      <c r="F2254" s="6" t="n"/>
      <c r="G2254" s="6" t="n"/>
      <c r="H2254" s="10">
        <f>IF(F2254="","",IFERROR(INDEX(Roster!$A$2:$A$600,MATCH(F2254,Roster!$E$2:$E$600,0)),""))</f>
        <v/>
      </c>
      <c r="I2254" s="10">
        <f>IF(AND(D2254="",C2254="",F2254=""),"",IF(G2254&lt;&gt;"","Void",IF(F2254="","Needs child",IF(H2254="","Child not found",IF(OR(B2254="",NOT(ISNUMBER(C2254))),"Needs month/pages","OK")))))</f>
        <v/>
      </c>
      <c r="J2254" s="10">
        <f>IF(I2254="","",IF(I2254="OK",IF(COUNTIFS(H2255:H$3001,H2254,B2255:B$3001,B2254,G2255:G$3001,"")=0,C2254,0),0))</f>
        <v/>
      </c>
    </row>
    <row r="2255">
      <c r="A2255" s="6" t="n"/>
      <c r="B2255" s="9" t="n"/>
      <c r="C2255" s="6" t="n"/>
      <c r="D2255" s="6" t="n"/>
      <c r="E2255" s="6" t="n"/>
      <c r="F2255" s="6" t="n"/>
      <c r="G2255" s="6" t="n"/>
      <c r="H2255" s="10">
        <f>IF(F2255="","",IFERROR(INDEX(Roster!$A$2:$A$600,MATCH(F2255,Roster!$E$2:$E$600,0)),""))</f>
        <v/>
      </c>
      <c r="I2255" s="10">
        <f>IF(AND(D2255="",C2255="",F2255=""),"",IF(G2255&lt;&gt;"","Void",IF(F2255="","Needs child",IF(H2255="","Child not found",IF(OR(B2255="",NOT(ISNUMBER(C2255))),"Needs month/pages","OK")))))</f>
        <v/>
      </c>
      <c r="J2255" s="10">
        <f>IF(I2255="","",IF(I2255="OK",IF(COUNTIFS(H2256:H$3001,H2255,B2256:B$3001,B2255,G2256:G$3001,"")=0,C2255,0),0))</f>
        <v/>
      </c>
    </row>
    <row r="2256">
      <c r="A2256" s="6" t="n"/>
      <c r="B2256" s="9" t="n"/>
      <c r="C2256" s="6" t="n"/>
      <c r="D2256" s="6" t="n"/>
      <c r="E2256" s="6" t="n"/>
      <c r="F2256" s="6" t="n"/>
      <c r="G2256" s="6" t="n"/>
      <c r="H2256" s="10">
        <f>IF(F2256="","",IFERROR(INDEX(Roster!$A$2:$A$600,MATCH(F2256,Roster!$E$2:$E$600,0)),""))</f>
        <v/>
      </c>
      <c r="I2256" s="10">
        <f>IF(AND(D2256="",C2256="",F2256=""),"",IF(G2256&lt;&gt;"","Void",IF(F2256="","Needs child",IF(H2256="","Child not found",IF(OR(B2256="",NOT(ISNUMBER(C2256))),"Needs month/pages","OK")))))</f>
        <v/>
      </c>
      <c r="J2256" s="10">
        <f>IF(I2256="","",IF(I2256="OK",IF(COUNTIFS(H2257:H$3001,H2256,B2257:B$3001,B2256,G2257:G$3001,"")=0,C2256,0),0))</f>
        <v/>
      </c>
    </row>
    <row r="2257">
      <c r="A2257" s="6" t="n"/>
      <c r="B2257" s="9" t="n"/>
      <c r="C2257" s="6" t="n"/>
      <c r="D2257" s="6" t="n"/>
      <c r="E2257" s="6" t="n"/>
      <c r="F2257" s="6" t="n"/>
      <c r="G2257" s="6" t="n"/>
      <c r="H2257" s="10">
        <f>IF(F2257="","",IFERROR(INDEX(Roster!$A$2:$A$600,MATCH(F2257,Roster!$E$2:$E$600,0)),""))</f>
        <v/>
      </c>
      <c r="I2257" s="10">
        <f>IF(AND(D2257="",C2257="",F2257=""),"",IF(G2257&lt;&gt;"","Void",IF(F2257="","Needs child",IF(H2257="","Child not found",IF(OR(B2257="",NOT(ISNUMBER(C2257))),"Needs month/pages","OK")))))</f>
        <v/>
      </c>
      <c r="J2257" s="10">
        <f>IF(I2257="","",IF(I2257="OK",IF(COUNTIFS(H2258:H$3001,H2257,B2258:B$3001,B2257,G2258:G$3001,"")=0,C2257,0),0))</f>
        <v/>
      </c>
    </row>
    <row r="2258">
      <c r="A2258" s="6" t="n"/>
      <c r="B2258" s="9" t="n"/>
      <c r="C2258" s="6" t="n"/>
      <c r="D2258" s="6" t="n"/>
      <c r="E2258" s="6" t="n"/>
      <c r="F2258" s="6" t="n"/>
      <c r="G2258" s="6" t="n"/>
      <c r="H2258" s="10">
        <f>IF(F2258="","",IFERROR(INDEX(Roster!$A$2:$A$600,MATCH(F2258,Roster!$E$2:$E$600,0)),""))</f>
        <v/>
      </c>
      <c r="I2258" s="10">
        <f>IF(AND(D2258="",C2258="",F2258=""),"",IF(G2258&lt;&gt;"","Void",IF(F2258="","Needs child",IF(H2258="","Child not found",IF(OR(B2258="",NOT(ISNUMBER(C2258))),"Needs month/pages","OK")))))</f>
        <v/>
      </c>
      <c r="J2258" s="10">
        <f>IF(I2258="","",IF(I2258="OK",IF(COUNTIFS(H2259:H$3001,H2258,B2259:B$3001,B2258,G2259:G$3001,"")=0,C2258,0),0))</f>
        <v/>
      </c>
    </row>
    <row r="2259">
      <c r="A2259" s="6" t="n"/>
      <c r="B2259" s="9" t="n"/>
      <c r="C2259" s="6" t="n"/>
      <c r="D2259" s="6" t="n"/>
      <c r="E2259" s="6" t="n"/>
      <c r="F2259" s="6" t="n"/>
      <c r="G2259" s="6" t="n"/>
      <c r="H2259" s="10">
        <f>IF(F2259="","",IFERROR(INDEX(Roster!$A$2:$A$600,MATCH(F2259,Roster!$E$2:$E$600,0)),""))</f>
        <v/>
      </c>
      <c r="I2259" s="10">
        <f>IF(AND(D2259="",C2259="",F2259=""),"",IF(G2259&lt;&gt;"","Void",IF(F2259="","Needs child",IF(H2259="","Child not found",IF(OR(B2259="",NOT(ISNUMBER(C2259))),"Needs month/pages","OK")))))</f>
        <v/>
      </c>
      <c r="J2259" s="10">
        <f>IF(I2259="","",IF(I2259="OK",IF(COUNTIFS(H2260:H$3001,H2259,B2260:B$3001,B2259,G2260:G$3001,"")=0,C2259,0),0))</f>
        <v/>
      </c>
    </row>
    <row r="2260">
      <c r="A2260" s="6" t="n"/>
      <c r="B2260" s="9" t="n"/>
      <c r="C2260" s="6" t="n"/>
      <c r="D2260" s="6" t="n"/>
      <c r="E2260" s="6" t="n"/>
      <c r="F2260" s="6" t="n"/>
      <c r="G2260" s="6" t="n"/>
      <c r="H2260" s="10">
        <f>IF(F2260="","",IFERROR(INDEX(Roster!$A$2:$A$600,MATCH(F2260,Roster!$E$2:$E$600,0)),""))</f>
        <v/>
      </c>
      <c r="I2260" s="10">
        <f>IF(AND(D2260="",C2260="",F2260=""),"",IF(G2260&lt;&gt;"","Void",IF(F2260="","Needs child",IF(H2260="","Child not found",IF(OR(B2260="",NOT(ISNUMBER(C2260))),"Needs month/pages","OK")))))</f>
        <v/>
      </c>
      <c r="J2260" s="10">
        <f>IF(I2260="","",IF(I2260="OK",IF(COUNTIFS(H2261:H$3001,H2260,B2261:B$3001,B2260,G2261:G$3001,"")=0,C2260,0),0))</f>
        <v/>
      </c>
    </row>
    <row r="2261">
      <c r="A2261" s="6" t="n"/>
      <c r="B2261" s="9" t="n"/>
      <c r="C2261" s="6" t="n"/>
      <c r="D2261" s="6" t="n"/>
      <c r="E2261" s="6" t="n"/>
      <c r="F2261" s="6" t="n"/>
      <c r="G2261" s="6" t="n"/>
      <c r="H2261" s="10">
        <f>IF(F2261="","",IFERROR(INDEX(Roster!$A$2:$A$600,MATCH(F2261,Roster!$E$2:$E$600,0)),""))</f>
        <v/>
      </c>
      <c r="I2261" s="10">
        <f>IF(AND(D2261="",C2261="",F2261=""),"",IF(G2261&lt;&gt;"","Void",IF(F2261="","Needs child",IF(H2261="","Child not found",IF(OR(B2261="",NOT(ISNUMBER(C2261))),"Needs month/pages","OK")))))</f>
        <v/>
      </c>
      <c r="J2261" s="10">
        <f>IF(I2261="","",IF(I2261="OK",IF(COUNTIFS(H2262:H$3001,H2261,B2262:B$3001,B2261,G2262:G$3001,"")=0,C2261,0),0))</f>
        <v/>
      </c>
    </row>
    <row r="2262">
      <c r="A2262" s="6" t="n"/>
      <c r="B2262" s="9" t="n"/>
      <c r="C2262" s="6" t="n"/>
      <c r="D2262" s="6" t="n"/>
      <c r="E2262" s="6" t="n"/>
      <c r="F2262" s="6" t="n"/>
      <c r="G2262" s="6" t="n"/>
      <c r="H2262" s="10">
        <f>IF(F2262="","",IFERROR(INDEX(Roster!$A$2:$A$600,MATCH(F2262,Roster!$E$2:$E$600,0)),""))</f>
        <v/>
      </c>
      <c r="I2262" s="10">
        <f>IF(AND(D2262="",C2262="",F2262=""),"",IF(G2262&lt;&gt;"","Void",IF(F2262="","Needs child",IF(H2262="","Child not found",IF(OR(B2262="",NOT(ISNUMBER(C2262))),"Needs month/pages","OK")))))</f>
        <v/>
      </c>
      <c r="J2262" s="10">
        <f>IF(I2262="","",IF(I2262="OK",IF(COUNTIFS(H2263:H$3001,H2262,B2263:B$3001,B2262,G2263:G$3001,"")=0,C2262,0),0))</f>
        <v/>
      </c>
    </row>
    <row r="2263">
      <c r="A2263" s="6" t="n"/>
      <c r="B2263" s="9" t="n"/>
      <c r="C2263" s="6" t="n"/>
      <c r="D2263" s="6" t="n"/>
      <c r="E2263" s="6" t="n"/>
      <c r="F2263" s="6" t="n"/>
      <c r="G2263" s="6" t="n"/>
      <c r="H2263" s="10">
        <f>IF(F2263="","",IFERROR(INDEX(Roster!$A$2:$A$600,MATCH(F2263,Roster!$E$2:$E$600,0)),""))</f>
        <v/>
      </c>
      <c r="I2263" s="10">
        <f>IF(AND(D2263="",C2263="",F2263=""),"",IF(G2263&lt;&gt;"","Void",IF(F2263="","Needs child",IF(H2263="","Child not found",IF(OR(B2263="",NOT(ISNUMBER(C2263))),"Needs month/pages","OK")))))</f>
        <v/>
      </c>
      <c r="J2263" s="10">
        <f>IF(I2263="","",IF(I2263="OK",IF(COUNTIFS(H2264:H$3001,H2263,B2264:B$3001,B2263,G2264:G$3001,"")=0,C2263,0),0))</f>
        <v/>
      </c>
    </row>
    <row r="2264">
      <c r="A2264" s="6" t="n"/>
      <c r="B2264" s="9" t="n"/>
      <c r="C2264" s="6" t="n"/>
      <c r="D2264" s="6" t="n"/>
      <c r="E2264" s="6" t="n"/>
      <c r="F2264" s="6" t="n"/>
      <c r="G2264" s="6" t="n"/>
      <c r="H2264" s="10">
        <f>IF(F2264="","",IFERROR(INDEX(Roster!$A$2:$A$600,MATCH(F2264,Roster!$E$2:$E$600,0)),""))</f>
        <v/>
      </c>
      <c r="I2264" s="10">
        <f>IF(AND(D2264="",C2264="",F2264=""),"",IF(G2264&lt;&gt;"","Void",IF(F2264="","Needs child",IF(H2264="","Child not found",IF(OR(B2264="",NOT(ISNUMBER(C2264))),"Needs month/pages","OK")))))</f>
        <v/>
      </c>
      <c r="J2264" s="10">
        <f>IF(I2264="","",IF(I2264="OK",IF(COUNTIFS(H2265:H$3001,H2264,B2265:B$3001,B2264,G2265:G$3001,"")=0,C2264,0),0))</f>
        <v/>
      </c>
    </row>
    <row r="2265">
      <c r="A2265" s="6" t="n"/>
      <c r="B2265" s="9" t="n"/>
      <c r="C2265" s="6" t="n"/>
      <c r="D2265" s="6" t="n"/>
      <c r="E2265" s="6" t="n"/>
      <c r="F2265" s="6" t="n"/>
      <c r="G2265" s="6" t="n"/>
      <c r="H2265" s="10">
        <f>IF(F2265="","",IFERROR(INDEX(Roster!$A$2:$A$600,MATCH(F2265,Roster!$E$2:$E$600,0)),""))</f>
        <v/>
      </c>
      <c r="I2265" s="10">
        <f>IF(AND(D2265="",C2265="",F2265=""),"",IF(G2265&lt;&gt;"","Void",IF(F2265="","Needs child",IF(H2265="","Child not found",IF(OR(B2265="",NOT(ISNUMBER(C2265))),"Needs month/pages","OK")))))</f>
        <v/>
      </c>
      <c r="J2265" s="10">
        <f>IF(I2265="","",IF(I2265="OK",IF(COUNTIFS(H2266:H$3001,H2265,B2266:B$3001,B2265,G2266:G$3001,"")=0,C2265,0),0))</f>
        <v/>
      </c>
    </row>
    <row r="2266">
      <c r="A2266" s="6" t="n"/>
      <c r="B2266" s="9" t="n"/>
      <c r="C2266" s="6" t="n"/>
      <c r="D2266" s="6" t="n"/>
      <c r="E2266" s="6" t="n"/>
      <c r="F2266" s="6" t="n"/>
      <c r="G2266" s="6" t="n"/>
      <c r="H2266" s="10">
        <f>IF(F2266="","",IFERROR(INDEX(Roster!$A$2:$A$600,MATCH(F2266,Roster!$E$2:$E$600,0)),""))</f>
        <v/>
      </c>
      <c r="I2266" s="10">
        <f>IF(AND(D2266="",C2266="",F2266=""),"",IF(G2266&lt;&gt;"","Void",IF(F2266="","Needs child",IF(H2266="","Child not found",IF(OR(B2266="",NOT(ISNUMBER(C2266))),"Needs month/pages","OK")))))</f>
        <v/>
      </c>
      <c r="J2266" s="10">
        <f>IF(I2266="","",IF(I2266="OK",IF(COUNTIFS(H2267:H$3001,H2266,B2267:B$3001,B2266,G2267:G$3001,"")=0,C2266,0),0))</f>
        <v/>
      </c>
    </row>
    <row r="2267">
      <c r="A2267" s="6" t="n"/>
      <c r="B2267" s="9" t="n"/>
      <c r="C2267" s="6" t="n"/>
      <c r="D2267" s="6" t="n"/>
      <c r="E2267" s="6" t="n"/>
      <c r="F2267" s="6" t="n"/>
      <c r="G2267" s="6" t="n"/>
      <c r="H2267" s="10">
        <f>IF(F2267="","",IFERROR(INDEX(Roster!$A$2:$A$600,MATCH(F2267,Roster!$E$2:$E$600,0)),""))</f>
        <v/>
      </c>
      <c r="I2267" s="10">
        <f>IF(AND(D2267="",C2267="",F2267=""),"",IF(G2267&lt;&gt;"","Void",IF(F2267="","Needs child",IF(H2267="","Child not found",IF(OR(B2267="",NOT(ISNUMBER(C2267))),"Needs month/pages","OK")))))</f>
        <v/>
      </c>
      <c r="J2267" s="10">
        <f>IF(I2267="","",IF(I2267="OK",IF(COUNTIFS(H2268:H$3001,H2267,B2268:B$3001,B2267,G2268:G$3001,"")=0,C2267,0),0))</f>
        <v/>
      </c>
    </row>
    <row r="2268">
      <c r="A2268" s="6" t="n"/>
      <c r="B2268" s="9" t="n"/>
      <c r="C2268" s="6" t="n"/>
      <c r="D2268" s="6" t="n"/>
      <c r="E2268" s="6" t="n"/>
      <c r="F2268" s="6" t="n"/>
      <c r="G2268" s="6" t="n"/>
      <c r="H2268" s="10">
        <f>IF(F2268="","",IFERROR(INDEX(Roster!$A$2:$A$600,MATCH(F2268,Roster!$E$2:$E$600,0)),""))</f>
        <v/>
      </c>
      <c r="I2268" s="10">
        <f>IF(AND(D2268="",C2268="",F2268=""),"",IF(G2268&lt;&gt;"","Void",IF(F2268="","Needs child",IF(H2268="","Child not found",IF(OR(B2268="",NOT(ISNUMBER(C2268))),"Needs month/pages","OK")))))</f>
        <v/>
      </c>
      <c r="J2268" s="10">
        <f>IF(I2268="","",IF(I2268="OK",IF(COUNTIFS(H2269:H$3001,H2268,B2269:B$3001,B2268,G2269:G$3001,"")=0,C2268,0),0))</f>
        <v/>
      </c>
    </row>
    <row r="2269">
      <c r="A2269" s="6" t="n"/>
      <c r="B2269" s="9" t="n"/>
      <c r="C2269" s="6" t="n"/>
      <c r="D2269" s="6" t="n"/>
      <c r="E2269" s="6" t="n"/>
      <c r="F2269" s="6" t="n"/>
      <c r="G2269" s="6" t="n"/>
      <c r="H2269" s="10">
        <f>IF(F2269="","",IFERROR(INDEX(Roster!$A$2:$A$600,MATCH(F2269,Roster!$E$2:$E$600,0)),""))</f>
        <v/>
      </c>
      <c r="I2269" s="10">
        <f>IF(AND(D2269="",C2269="",F2269=""),"",IF(G2269&lt;&gt;"","Void",IF(F2269="","Needs child",IF(H2269="","Child not found",IF(OR(B2269="",NOT(ISNUMBER(C2269))),"Needs month/pages","OK")))))</f>
        <v/>
      </c>
      <c r="J2269" s="10">
        <f>IF(I2269="","",IF(I2269="OK",IF(COUNTIFS(H2270:H$3001,H2269,B2270:B$3001,B2269,G2270:G$3001,"")=0,C2269,0),0))</f>
        <v/>
      </c>
    </row>
    <row r="2270">
      <c r="A2270" s="6" t="n"/>
      <c r="B2270" s="9" t="n"/>
      <c r="C2270" s="6" t="n"/>
      <c r="D2270" s="6" t="n"/>
      <c r="E2270" s="6" t="n"/>
      <c r="F2270" s="6" t="n"/>
      <c r="G2270" s="6" t="n"/>
      <c r="H2270" s="10">
        <f>IF(F2270="","",IFERROR(INDEX(Roster!$A$2:$A$600,MATCH(F2270,Roster!$E$2:$E$600,0)),""))</f>
        <v/>
      </c>
      <c r="I2270" s="10">
        <f>IF(AND(D2270="",C2270="",F2270=""),"",IF(G2270&lt;&gt;"","Void",IF(F2270="","Needs child",IF(H2270="","Child not found",IF(OR(B2270="",NOT(ISNUMBER(C2270))),"Needs month/pages","OK")))))</f>
        <v/>
      </c>
      <c r="J2270" s="10">
        <f>IF(I2270="","",IF(I2270="OK",IF(COUNTIFS(H2271:H$3001,H2270,B2271:B$3001,B2270,G2271:G$3001,"")=0,C2270,0),0))</f>
        <v/>
      </c>
    </row>
    <row r="2271">
      <c r="A2271" s="6" t="n"/>
      <c r="B2271" s="9" t="n"/>
      <c r="C2271" s="6" t="n"/>
      <c r="D2271" s="6" t="n"/>
      <c r="E2271" s="6" t="n"/>
      <c r="F2271" s="6" t="n"/>
      <c r="G2271" s="6" t="n"/>
      <c r="H2271" s="10">
        <f>IF(F2271="","",IFERROR(INDEX(Roster!$A$2:$A$600,MATCH(F2271,Roster!$E$2:$E$600,0)),""))</f>
        <v/>
      </c>
      <c r="I2271" s="10">
        <f>IF(AND(D2271="",C2271="",F2271=""),"",IF(G2271&lt;&gt;"","Void",IF(F2271="","Needs child",IF(H2271="","Child not found",IF(OR(B2271="",NOT(ISNUMBER(C2271))),"Needs month/pages","OK")))))</f>
        <v/>
      </c>
      <c r="J2271" s="10">
        <f>IF(I2271="","",IF(I2271="OK",IF(COUNTIFS(H2272:H$3001,H2271,B2272:B$3001,B2271,G2272:G$3001,"")=0,C2271,0),0))</f>
        <v/>
      </c>
    </row>
    <row r="2272">
      <c r="A2272" s="6" t="n"/>
      <c r="B2272" s="9" t="n"/>
      <c r="C2272" s="6" t="n"/>
      <c r="D2272" s="6" t="n"/>
      <c r="E2272" s="6" t="n"/>
      <c r="F2272" s="6" t="n"/>
      <c r="G2272" s="6" t="n"/>
      <c r="H2272" s="10">
        <f>IF(F2272="","",IFERROR(INDEX(Roster!$A$2:$A$600,MATCH(F2272,Roster!$E$2:$E$600,0)),""))</f>
        <v/>
      </c>
      <c r="I2272" s="10">
        <f>IF(AND(D2272="",C2272="",F2272=""),"",IF(G2272&lt;&gt;"","Void",IF(F2272="","Needs child",IF(H2272="","Child not found",IF(OR(B2272="",NOT(ISNUMBER(C2272))),"Needs month/pages","OK")))))</f>
        <v/>
      </c>
      <c r="J2272" s="10">
        <f>IF(I2272="","",IF(I2272="OK",IF(COUNTIFS(H2273:H$3001,H2272,B2273:B$3001,B2272,G2273:G$3001,"")=0,C2272,0),0))</f>
        <v/>
      </c>
    </row>
    <row r="2273">
      <c r="A2273" s="6" t="n"/>
      <c r="B2273" s="9" t="n"/>
      <c r="C2273" s="6" t="n"/>
      <c r="D2273" s="6" t="n"/>
      <c r="E2273" s="6" t="n"/>
      <c r="F2273" s="6" t="n"/>
      <c r="G2273" s="6" t="n"/>
      <c r="H2273" s="10">
        <f>IF(F2273="","",IFERROR(INDEX(Roster!$A$2:$A$600,MATCH(F2273,Roster!$E$2:$E$600,0)),""))</f>
        <v/>
      </c>
      <c r="I2273" s="10">
        <f>IF(AND(D2273="",C2273="",F2273=""),"",IF(G2273&lt;&gt;"","Void",IF(F2273="","Needs child",IF(H2273="","Child not found",IF(OR(B2273="",NOT(ISNUMBER(C2273))),"Needs month/pages","OK")))))</f>
        <v/>
      </c>
      <c r="J2273" s="10">
        <f>IF(I2273="","",IF(I2273="OK",IF(COUNTIFS(H2274:H$3001,H2273,B2274:B$3001,B2273,G2274:G$3001,"")=0,C2273,0),0))</f>
        <v/>
      </c>
    </row>
    <row r="2274">
      <c r="A2274" s="6" t="n"/>
      <c r="B2274" s="9" t="n"/>
      <c r="C2274" s="6" t="n"/>
      <c r="D2274" s="6" t="n"/>
      <c r="E2274" s="6" t="n"/>
      <c r="F2274" s="6" t="n"/>
      <c r="G2274" s="6" t="n"/>
      <c r="H2274" s="10">
        <f>IF(F2274="","",IFERROR(INDEX(Roster!$A$2:$A$600,MATCH(F2274,Roster!$E$2:$E$600,0)),""))</f>
        <v/>
      </c>
      <c r="I2274" s="10">
        <f>IF(AND(D2274="",C2274="",F2274=""),"",IF(G2274&lt;&gt;"","Void",IF(F2274="","Needs child",IF(H2274="","Child not found",IF(OR(B2274="",NOT(ISNUMBER(C2274))),"Needs month/pages","OK")))))</f>
        <v/>
      </c>
      <c r="J2274" s="10">
        <f>IF(I2274="","",IF(I2274="OK",IF(COUNTIFS(H2275:H$3001,H2274,B2275:B$3001,B2274,G2275:G$3001,"")=0,C2274,0),0))</f>
        <v/>
      </c>
    </row>
    <row r="2275">
      <c r="A2275" s="6" t="n"/>
      <c r="B2275" s="9" t="n"/>
      <c r="C2275" s="6" t="n"/>
      <c r="D2275" s="6" t="n"/>
      <c r="E2275" s="6" t="n"/>
      <c r="F2275" s="6" t="n"/>
      <c r="G2275" s="6" t="n"/>
      <c r="H2275" s="10">
        <f>IF(F2275="","",IFERROR(INDEX(Roster!$A$2:$A$600,MATCH(F2275,Roster!$E$2:$E$600,0)),""))</f>
        <v/>
      </c>
      <c r="I2275" s="10">
        <f>IF(AND(D2275="",C2275="",F2275=""),"",IF(G2275&lt;&gt;"","Void",IF(F2275="","Needs child",IF(H2275="","Child not found",IF(OR(B2275="",NOT(ISNUMBER(C2275))),"Needs month/pages","OK")))))</f>
        <v/>
      </c>
      <c r="J2275" s="10">
        <f>IF(I2275="","",IF(I2275="OK",IF(COUNTIFS(H2276:H$3001,H2275,B2276:B$3001,B2275,G2276:G$3001,"")=0,C2275,0),0))</f>
        <v/>
      </c>
    </row>
    <row r="2276">
      <c r="A2276" s="6" t="n"/>
      <c r="B2276" s="9" t="n"/>
      <c r="C2276" s="6" t="n"/>
      <c r="D2276" s="6" t="n"/>
      <c r="E2276" s="6" t="n"/>
      <c r="F2276" s="6" t="n"/>
      <c r="G2276" s="6" t="n"/>
      <c r="H2276" s="10">
        <f>IF(F2276="","",IFERROR(INDEX(Roster!$A$2:$A$600,MATCH(F2276,Roster!$E$2:$E$600,0)),""))</f>
        <v/>
      </c>
      <c r="I2276" s="10">
        <f>IF(AND(D2276="",C2276="",F2276=""),"",IF(G2276&lt;&gt;"","Void",IF(F2276="","Needs child",IF(H2276="","Child not found",IF(OR(B2276="",NOT(ISNUMBER(C2276))),"Needs month/pages","OK")))))</f>
        <v/>
      </c>
      <c r="J2276" s="10">
        <f>IF(I2276="","",IF(I2276="OK",IF(COUNTIFS(H2277:H$3001,H2276,B2277:B$3001,B2276,G2277:G$3001,"")=0,C2276,0),0))</f>
        <v/>
      </c>
    </row>
    <row r="2277">
      <c r="A2277" s="6" t="n"/>
      <c r="B2277" s="9" t="n"/>
      <c r="C2277" s="6" t="n"/>
      <c r="D2277" s="6" t="n"/>
      <c r="E2277" s="6" t="n"/>
      <c r="F2277" s="6" t="n"/>
      <c r="G2277" s="6" t="n"/>
      <c r="H2277" s="10">
        <f>IF(F2277="","",IFERROR(INDEX(Roster!$A$2:$A$600,MATCH(F2277,Roster!$E$2:$E$600,0)),""))</f>
        <v/>
      </c>
      <c r="I2277" s="10">
        <f>IF(AND(D2277="",C2277="",F2277=""),"",IF(G2277&lt;&gt;"","Void",IF(F2277="","Needs child",IF(H2277="","Child not found",IF(OR(B2277="",NOT(ISNUMBER(C2277))),"Needs month/pages","OK")))))</f>
        <v/>
      </c>
      <c r="J2277" s="10">
        <f>IF(I2277="","",IF(I2277="OK",IF(COUNTIFS(H2278:H$3001,H2277,B2278:B$3001,B2277,G2278:G$3001,"")=0,C2277,0),0))</f>
        <v/>
      </c>
    </row>
    <row r="2278">
      <c r="A2278" s="6" t="n"/>
      <c r="B2278" s="9" t="n"/>
      <c r="C2278" s="6" t="n"/>
      <c r="D2278" s="6" t="n"/>
      <c r="E2278" s="6" t="n"/>
      <c r="F2278" s="6" t="n"/>
      <c r="G2278" s="6" t="n"/>
      <c r="H2278" s="10">
        <f>IF(F2278="","",IFERROR(INDEX(Roster!$A$2:$A$600,MATCH(F2278,Roster!$E$2:$E$600,0)),""))</f>
        <v/>
      </c>
      <c r="I2278" s="10">
        <f>IF(AND(D2278="",C2278="",F2278=""),"",IF(G2278&lt;&gt;"","Void",IF(F2278="","Needs child",IF(H2278="","Child not found",IF(OR(B2278="",NOT(ISNUMBER(C2278))),"Needs month/pages","OK")))))</f>
        <v/>
      </c>
      <c r="J2278" s="10">
        <f>IF(I2278="","",IF(I2278="OK",IF(COUNTIFS(H2279:H$3001,H2278,B2279:B$3001,B2278,G2279:G$3001,"")=0,C2278,0),0))</f>
        <v/>
      </c>
    </row>
    <row r="2279">
      <c r="A2279" s="6" t="n"/>
      <c r="B2279" s="9" t="n"/>
      <c r="C2279" s="6" t="n"/>
      <c r="D2279" s="6" t="n"/>
      <c r="E2279" s="6" t="n"/>
      <c r="F2279" s="6" t="n"/>
      <c r="G2279" s="6" t="n"/>
      <c r="H2279" s="10">
        <f>IF(F2279="","",IFERROR(INDEX(Roster!$A$2:$A$600,MATCH(F2279,Roster!$E$2:$E$600,0)),""))</f>
        <v/>
      </c>
      <c r="I2279" s="10">
        <f>IF(AND(D2279="",C2279="",F2279=""),"",IF(G2279&lt;&gt;"","Void",IF(F2279="","Needs child",IF(H2279="","Child not found",IF(OR(B2279="",NOT(ISNUMBER(C2279))),"Needs month/pages","OK")))))</f>
        <v/>
      </c>
      <c r="J2279" s="10">
        <f>IF(I2279="","",IF(I2279="OK",IF(COUNTIFS(H2280:H$3001,H2279,B2280:B$3001,B2279,G2280:G$3001,"")=0,C2279,0),0))</f>
        <v/>
      </c>
    </row>
    <row r="2280">
      <c r="A2280" s="6" t="n"/>
      <c r="B2280" s="9" t="n"/>
      <c r="C2280" s="6" t="n"/>
      <c r="D2280" s="6" t="n"/>
      <c r="E2280" s="6" t="n"/>
      <c r="F2280" s="6" t="n"/>
      <c r="G2280" s="6" t="n"/>
      <c r="H2280" s="10">
        <f>IF(F2280="","",IFERROR(INDEX(Roster!$A$2:$A$600,MATCH(F2280,Roster!$E$2:$E$600,0)),""))</f>
        <v/>
      </c>
      <c r="I2280" s="10">
        <f>IF(AND(D2280="",C2280="",F2280=""),"",IF(G2280&lt;&gt;"","Void",IF(F2280="","Needs child",IF(H2280="","Child not found",IF(OR(B2280="",NOT(ISNUMBER(C2280))),"Needs month/pages","OK")))))</f>
        <v/>
      </c>
      <c r="J2280" s="10">
        <f>IF(I2280="","",IF(I2280="OK",IF(COUNTIFS(H2281:H$3001,H2280,B2281:B$3001,B2280,G2281:G$3001,"")=0,C2280,0),0))</f>
        <v/>
      </c>
    </row>
    <row r="2281">
      <c r="A2281" s="6" t="n"/>
      <c r="B2281" s="9" t="n"/>
      <c r="C2281" s="6" t="n"/>
      <c r="D2281" s="6" t="n"/>
      <c r="E2281" s="6" t="n"/>
      <c r="F2281" s="6" t="n"/>
      <c r="G2281" s="6" t="n"/>
      <c r="H2281" s="10">
        <f>IF(F2281="","",IFERROR(INDEX(Roster!$A$2:$A$600,MATCH(F2281,Roster!$E$2:$E$600,0)),""))</f>
        <v/>
      </c>
      <c r="I2281" s="10">
        <f>IF(AND(D2281="",C2281="",F2281=""),"",IF(G2281&lt;&gt;"","Void",IF(F2281="","Needs child",IF(H2281="","Child not found",IF(OR(B2281="",NOT(ISNUMBER(C2281))),"Needs month/pages","OK")))))</f>
        <v/>
      </c>
      <c r="J2281" s="10">
        <f>IF(I2281="","",IF(I2281="OK",IF(COUNTIFS(H2282:H$3001,H2281,B2282:B$3001,B2281,G2282:G$3001,"")=0,C2281,0),0))</f>
        <v/>
      </c>
    </row>
    <row r="2282">
      <c r="A2282" s="6" t="n"/>
      <c r="B2282" s="9" t="n"/>
      <c r="C2282" s="6" t="n"/>
      <c r="D2282" s="6" t="n"/>
      <c r="E2282" s="6" t="n"/>
      <c r="F2282" s="6" t="n"/>
      <c r="G2282" s="6" t="n"/>
      <c r="H2282" s="10">
        <f>IF(F2282="","",IFERROR(INDEX(Roster!$A$2:$A$600,MATCH(F2282,Roster!$E$2:$E$600,0)),""))</f>
        <v/>
      </c>
      <c r="I2282" s="10">
        <f>IF(AND(D2282="",C2282="",F2282=""),"",IF(G2282&lt;&gt;"","Void",IF(F2282="","Needs child",IF(H2282="","Child not found",IF(OR(B2282="",NOT(ISNUMBER(C2282))),"Needs month/pages","OK")))))</f>
        <v/>
      </c>
      <c r="J2282" s="10">
        <f>IF(I2282="","",IF(I2282="OK",IF(COUNTIFS(H2283:H$3001,H2282,B2283:B$3001,B2282,G2283:G$3001,"")=0,C2282,0),0))</f>
        <v/>
      </c>
    </row>
    <row r="2283">
      <c r="A2283" s="6" t="n"/>
      <c r="B2283" s="9" t="n"/>
      <c r="C2283" s="6" t="n"/>
      <c r="D2283" s="6" t="n"/>
      <c r="E2283" s="6" t="n"/>
      <c r="F2283" s="6" t="n"/>
      <c r="G2283" s="6" t="n"/>
      <c r="H2283" s="10">
        <f>IF(F2283="","",IFERROR(INDEX(Roster!$A$2:$A$600,MATCH(F2283,Roster!$E$2:$E$600,0)),""))</f>
        <v/>
      </c>
      <c r="I2283" s="10">
        <f>IF(AND(D2283="",C2283="",F2283=""),"",IF(G2283&lt;&gt;"","Void",IF(F2283="","Needs child",IF(H2283="","Child not found",IF(OR(B2283="",NOT(ISNUMBER(C2283))),"Needs month/pages","OK")))))</f>
        <v/>
      </c>
      <c r="J2283" s="10">
        <f>IF(I2283="","",IF(I2283="OK",IF(COUNTIFS(H2284:H$3001,H2283,B2284:B$3001,B2283,G2284:G$3001,"")=0,C2283,0),0))</f>
        <v/>
      </c>
    </row>
    <row r="2284">
      <c r="A2284" s="6" t="n"/>
      <c r="B2284" s="9" t="n"/>
      <c r="C2284" s="6" t="n"/>
      <c r="D2284" s="6" t="n"/>
      <c r="E2284" s="6" t="n"/>
      <c r="F2284" s="6" t="n"/>
      <c r="G2284" s="6" t="n"/>
      <c r="H2284" s="10">
        <f>IF(F2284="","",IFERROR(INDEX(Roster!$A$2:$A$600,MATCH(F2284,Roster!$E$2:$E$600,0)),""))</f>
        <v/>
      </c>
      <c r="I2284" s="10">
        <f>IF(AND(D2284="",C2284="",F2284=""),"",IF(G2284&lt;&gt;"","Void",IF(F2284="","Needs child",IF(H2284="","Child not found",IF(OR(B2284="",NOT(ISNUMBER(C2284))),"Needs month/pages","OK")))))</f>
        <v/>
      </c>
      <c r="J2284" s="10">
        <f>IF(I2284="","",IF(I2284="OK",IF(COUNTIFS(H2285:H$3001,H2284,B2285:B$3001,B2284,G2285:G$3001,"")=0,C2284,0),0))</f>
        <v/>
      </c>
    </row>
    <row r="2285">
      <c r="A2285" s="6" t="n"/>
      <c r="B2285" s="9" t="n"/>
      <c r="C2285" s="6" t="n"/>
      <c r="D2285" s="6" t="n"/>
      <c r="E2285" s="6" t="n"/>
      <c r="F2285" s="6" t="n"/>
      <c r="G2285" s="6" t="n"/>
      <c r="H2285" s="10">
        <f>IF(F2285="","",IFERROR(INDEX(Roster!$A$2:$A$600,MATCH(F2285,Roster!$E$2:$E$600,0)),""))</f>
        <v/>
      </c>
      <c r="I2285" s="10">
        <f>IF(AND(D2285="",C2285="",F2285=""),"",IF(G2285&lt;&gt;"","Void",IF(F2285="","Needs child",IF(H2285="","Child not found",IF(OR(B2285="",NOT(ISNUMBER(C2285))),"Needs month/pages","OK")))))</f>
        <v/>
      </c>
      <c r="J2285" s="10">
        <f>IF(I2285="","",IF(I2285="OK",IF(COUNTIFS(H2286:H$3001,H2285,B2286:B$3001,B2285,G2286:G$3001,"")=0,C2285,0),0))</f>
        <v/>
      </c>
    </row>
    <row r="2286">
      <c r="A2286" s="6" t="n"/>
      <c r="B2286" s="9" t="n"/>
      <c r="C2286" s="6" t="n"/>
      <c r="D2286" s="6" t="n"/>
      <c r="E2286" s="6" t="n"/>
      <c r="F2286" s="6" t="n"/>
      <c r="G2286" s="6" t="n"/>
      <c r="H2286" s="10">
        <f>IF(F2286="","",IFERROR(INDEX(Roster!$A$2:$A$600,MATCH(F2286,Roster!$E$2:$E$600,0)),""))</f>
        <v/>
      </c>
      <c r="I2286" s="10">
        <f>IF(AND(D2286="",C2286="",F2286=""),"",IF(G2286&lt;&gt;"","Void",IF(F2286="","Needs child",IF(H2286="","Child not found",IF(OR(B2286="",NOT(ISNUMBER(C2286))),"Needs month/pages","OK")))))</f>
        <v/>
      </c>
      <c r="J2286" s="10">
        <f>IF(I2286="","",IF(I2286="OK",IF(COUNTIFS(H2287:H$3001,H2286,B2287:B$3001,B2286,G2287:G$3001,"")=0,C2286,0),0))</f>
        <v/>
      </c>
    </row>
    <row r="2287">
      <c r="A2287" s="6" t="n"/>
      <c r="B2287" s="9" t="n"/>
      <c r="C2287" s="6" t="n"/>
      <c r="D2287" s="6" t="n"/>
      <c r="E2287" s="6" t="n"/>
      <c r="F2287" s="6" t="n"/>
      <c r="G2287" s="6" t="n"/>
      <c r="H2287" s="10">
        <f>IF(F2287="","",IFERROR(INDEX(Roster!$A$2:$A$600,MATCH(F2287,Roster!$E$2:$E$600,0)),""))</f>
        <v/>
      </c>
      <c r="I2287" s="10">
        <f>IF(AND(D2287="",C2287="",F2287=""),"",IF(G2287&lt;&gt;"","Void",IF(F2287="","Needs child",IF(H2287="","Child not found",IF(OR(B2287="",NOT(ISNUMBER(C2287))),"Needs month/pages","OK")))))</f>
        <v/>
      </c>
      <c r="J2287" s="10">
        <f>IF(I2287="","",IF(I2287="OK",IF(COUNTIFS(H2288:H$3001,H2287,B2288:B$3001,B2287,G2288:G$3001,"")=0,C2287,0),0))</f>
        <v/>
      </c>
    </row>
    <row r="2288">
      <c r="A2288" s="6" t="n"/>
      <c r="B2288" s="9" t="n"/>
      <c r="C2288" s="6" t="n"/>
      <c r="D2288" s="6" t="n"/>
      <c r="E2288" s="6" t="n"/>
      <c r="F2288" s="6" t="n"/>
      <c r="G2288" s="6" t="n"/>
      <c r="H2288" s="10">
        <f>IF(F2288="","",IFERROR(INDEX(Roster!$A$2:$A$600,MATCH(F2288,Roster!$E$2:$E$600,0)),""))</f>
        <v/>
      </c>
      <c r="I2288" s="10">
        <f>IF(AND(D2288="",C2288="",F2288=""),"",IF(G2288&lt;&gt;"","Void",IF(F2288="","Needs child",IF(H2288="","Child not found",IF(OR(B2288="",NOT(ISNUMBER(C2288))),"Needs month/pages","OK")))))</f>
        <v/>
      </c>
      <c r="J2288" s="10">
        <f>IF(I2288="","",IF(I2288="OK",IF(COUNTIFS(H2289:H$3001,H2288,B2289:B$3001,B2288,G2289:G$3001,"")=0,C2288,0),0))</f>
        <v/>
      </c>
    </row>
    <row r="2289">
      <c r="A2289" s="6" t="n"/>
      <c r="B2289" s="9" t="n"/>
      <c r="C2289" s="6" t="n"/>
      <c r="D2289" s="6" t="n"/>
      <c r="E2289" s="6" t="n"/>
      <c r="F2289" s="6" t="n"/>
      <c r="G2289" s="6" t="n"/>
      <c r="H2289" s="10">
        <f>IF(F2289="","",IFERROR(INDEX(Roster!$A$2:$A$600,MATCH(F2289,Roster!$E$2:$E$600,0)),""))</f>
        <v/>
      </c>
      <c r="I2289" s="10">
        <f>IF(AND(D2289="",C2289="",F2289=""),"",IF(G2289&lt;&gt;"","Void",IF(F2289="","Needs child",IF(H2289="","Child not found",IF(OR(B2289="",NOT(ISNUMBER(C2289))),"Needs month/pages","OK")))))</f>
        <v/>
      </c>
      <c r="J2289" s="10">
        <f>IF(I2289="","",IF(I2289="OK",IF(COUNTIFS(H2290:H$3001,H2289,B2290:B$3001,B2289,G2290:G$3001,"")=0,C2289,0),0))</f>
        <v/>
      </c>
    </row>
    <row r="2290">
      <c r="A2290" s="6" t="n"/>
      <c r="B2290" s="9" t="n"/>
      <c r="C2290" s="6" t="n"/>
      <c r="D2290" s="6" t="n"/>
      <c r="E2290" s="6" t="n"/>
      <c r="F2290" s="6" t="n"/>
      <c r="G2290" s="6" t="n"/>
      <c r="H2290" s="10">
        <f>IF(F2290="","",IFERROR(INDEX(Roster!$A$2:$A$600,MATCH(F2290,Roster!$E$2:$E$600,0)),""))</f>
        <v/>
      </c>
      <c r="I2290" s="10">
        <f>IF(AND(D2290="",C2290="",F2290=""),"",IF(G2290&lt;&gt;"","Void",IF(F2290="","Needs child",IF(H2290="","Child not found",IF(OR(B2290="",NOT(ISNUMBER(C2290))),"Needs month/pages","OK")))))</f>
        <v/>
      </c>
      <c r="J2290" s="10">
        <f>IF(I2290="","",IF(I2290="OK",IF(COUNTIFS(H2291:H$3001,H2290,B2291:B$3001,B2290,G2291:G$3001,"")=0,C2290,0),0))</f>
        <v/>
      </c>
    </row>
    <row r="2291">
      <c r="A2291" s="6" t="n"/>
      <c r="B2291" s="9" t="n"/>
      <c r="C2291" s="6" t="n"/>
      <c r="D2291" s="6" t="n"/>
      <c r="E2291" s="6" t="n"/>
      <c r="F2291" s="6" t="n"/>
      <c r="G2291" s="6" t="n"/>
      <c r="H2291" s="10">
        <f>IF(F2291="","",IFERROR(INDEX(Roster!$A$2:$A$600,MATCH(F2291,Roster!$E$2:$E$600,0)),""))</f>
        <v/>
      </c>
      <c r="I2291" s="10">
        <f>IF(AND(D2291="",C2291="",F2291=""),"",IF(G2291&lt;&gt;"","Void",IF(F2291="","Needs child",IF(H2291="","Child not found",IF(OR(B2291="",NOT(ISNUMBER(C2291))),"Needs month/pages","OK")))))</f>
        <v/>
      </c>
      <c r="J2291" s="10">
        <f>IF(I2291="","",IF(I2291="OK",IF(COUNTIFS(H2292:H$3001,H2291,B2292:B$3001,B2291,G2292:G$3001,"")=0,C2291,0),0))</f>
        <v/>
      </c>
    </row>
    <row r="2292">
      <c r="A2292" s="6" t="n"/>
      <c r="B2292" s="9" t="n"/>
      <c r="C2292" s="6" t="n"/>
      <c r="D2292" s="6" t="n"/>
      <c r="E2292" s="6" t="n"/>
      <c r="F2292" s="6" t="n"/>
      <c r="G2292" s="6" t="n"/>
      <c r="H2292" s="10">
        <f>IF(F2292="","",IFERROR(INDEX(Roster!$A$2:$A$600,MATCH(F2292,Roster!$E$2:$E$600,0)),""))</f>
        <v/>
      </c>
      <c r="I2292" s="10">
        <f>IF(AND(D2292="",C2292="",F2292=""),"",IF(G2292&lt;&gt;"","Void",IF(F2292="","Needs child",IF(H2292="","Child not found",IF(OR(B2292="",NOT(ISNUMBER(C2292))),"Needs month/pages","OK")))))</f>
        <v/>
      </c>
      <c r="J2292" s="10">
        <f>IF(I2292="","",IF(I2292="OK",IF(COUNTIFS(H2293:H$3001,H2292,B2293:B$3001,B2292,G2293:G$3001,"")=0,C2292,0),0))</f>
        <v/>
      </c>
    </row>
    <row r="2293">
      <c r="A2293" s="6" t="n"/>
      <c r="B2293" s="9" t="n"/>
      <c r="C2293" s="6" t="n"/>
      <c r="D2293" s="6" t="n"/>
      <c r="E2293" s="6" t="n"/>
      <c r="F2293" s="6" t="n"/>
      <c r="G2293" s="6" t="n"/>
      <c r="H2293" s="10">
        <f>IF(F2293="","",IFERROR(INDEX(Roster!$A$2:$A$600,MATCH(F2293,Roster!$E$2:$E$600,0)),""))</f>
        <v/>
      </c>
      <c r="I2293" s="10">
        <f>IF(AND(D2293="",C2293="",F2293=""),"",IF(G2293&lt;&gt;"","Void",IF(F2293="","Needs child",IF(H2293="","Child not found",IF(OR(B2293="",NOT(ISNUMBER(C2293))),"Needs month/pages","OK")))))</f>
        <v/>
      </c>
      <c r="J2293" s="10">
        <f>IF(I2293="","",IF(I2293="OK",IF(COUNTIFS(H2294:H$3001,H2293,B2294:B$3001,B2293,G2294:G$3001,"")=0,C2293,0),0))</f>
        <v/>
      </c>
    </row>
    <row r="2294">
      <c r="A2294" s="6" t="n"/>
      <c r="B2294" s="9" t="n"/>
      <c r="C2294" s="6" t="n"/>
      <c r="D2294" s="6" t="n"/>
      <c r="E2294" s="6" t="n"/>
      <c r="F2294" s="6" t="n"/>
      <c r="G2294" s="6" t="n"/>
      <c r="H2294" s="10">
        <f>IF(F2294="","",IFERROR(INDEX(Roster!$A$2:$A$600,MATCH(F2294,Roster!$E$2:$E$600,0)),""))</f>
        <v/>
      </c>
      <c r="I2294" s="10">
        <f>IF(AND(D2294="",C2294="",F2294=""),"",IF(G2294&lt;&gt;"","Void",IF(F2294="","Needs child",IF(H2294="","Child not found",IF(OR(B2294="",NOT(ISNUMBER(C2294))),"Needs month/pages","OK")))))</f>
        <v/>
      </c>
      <c r="J2294" s="10">
        <f>IF(I2294="","",IF(I2294="OK",IF(COUNTIFS(H2295:H$3001,H2294,B2295:B$3001,B2294,G2295:G$3001,"")=0,C2294,0),0))</f>
        <v/>
      </c>
    </row>
    <row r="2295">
      <c r="A2295" s="6" t="n"/>
      <c r="B2295" s="9" t="n"/>
      <c r="C2295" s="6" t="n"/>
      <c r="D2295" s="6" t="n"/>
      <c r="E2295" s="6" t="n"/>
      <c r="F2295" s="6" t="n"/>
      <c r="G2295" s="6" t="n"/>
      <c r="H2295" s="10">
        <f>IF(F2295="","",IFERROR(INDEX(Roster!$A$2:$A$600,MATCH(F2295,Roster!$E$2:$E$600,0)),""))</f>
        <v/>
      </c>
      <c r="I2295" s="10">
        <f>IF(AND(D2295="",C2295="",F2295=""),"",IF(G2295&lt;&gt;"","Void",IF(F2295="","Needs child",IF(H2295="","Child not found",IF(OR(B2295="",NOT(ISNUMBER(C2295))),"Needs month/pages","OK")))))</f>
        <v/>
      </c>
      <c r="J2295" s="10">
        <f>IF(I2295="","",IF(I2295="OK",IF(COUNTIFS(H2296:H$3001,H2295,B2296:B$3001,B2295,G2296:G$3001,"")=0,C2295,0),0))</f>
        <v/>
      </c>
    </row>
    <row r="2296">
      <c r="A2296" s="6" t="n"/>
      <c r="B2296" s="9" t="n"/>
      <c r="C2296" s="6" t="n"/>
      <c r="D2296" s="6" t="n"/>
      <c r="E2296" s="6" t="n"/>
      <c r="F2296" s="6" t="n"/>
      <c r="G2296" s="6" t="n"/>
      <c r="H2296" s="10">
        <f>IF(F2296="","",IFERROR(INDEX(Roster!$A$2:$A$600,MATCH(F2296,Roster!$E$2:$E$600,0)),""))</f>
        <v/>
      </c>
      <c r="I2296" s="10">
        <f>IF(AND(D2296="",C2296="",F2296=""),"",IF(G2296&lt;&gt;"","Void",IF(F2296="","Needs child",IF(H2296="","Child not found",IF(OR(B2296="",NOT(ISNUMBER(C2296))),"Needs month/pages","OK")))))</f>
        <v/>
      </c>
      <c r="J2296" s="10">
        <f>IF(I2296="","",IF(I2296="OK",IF(COUNTIFS(H2297:H$3001,H2296,B2297:B$3001,B2296,G2297:G$3001,"")=0,C2296,0),0))</f>
        <v/>
      </c>
    </row>
    <row r="2297">
      <c r="A2297" s="6" t="n"/>
      <c r="B2297" s="9" t="n"/>
      <c r="C2297" s="6" t="n"/>
      <c r="D2297" s="6" t="n"/>
      <c r="E2297" s="6" t="n"/>
      <c r="F2297" s="6" t="n"/>
      <c r="G2297" s="6" t="n"/>
      <c r="H2297" s="10">
        <f>IF(F2297="","",IFERROR(INDEX(Roster!$A$2:$A$600,MATCH(F2297,Roster!$E$2:$E$600,0)),""))</f>
        <v/>
      </c>
      <c r="I2297" s="10">
        <f>IF(AND(D2297="",C2297="",F2297=""),"",IF(G2297&lt;&gt;"","Void",IF(F2297="","Needs child",IF(H2297="","Child not found",IF(OR(B2297="",NOT(ISNUMBER(C2297))),"Needs month/pages","OK")))))</f>
        <v/>
      </c>
      <c r="J2297" s="10">
        <f>IF(I2297="","",IF(I2297="OK",IF(COUNTIFS(H2298:H$3001,H2297,B2298:B$3001,B2297,G2298:G$3001,"")=0,C2297,0),0))</f>
        <v/>
      </c>
    </row>
    <row r="2298">
      <c r="A2298" s="6" t="n"/>
      <c r="B2298" s="9" t="n"/>
      <c r="C2298" s="6" t="n"/>
      <c r="D2298" s="6" t="n"/>
      <c r="E2298" s="6" t="n"/>
      <c r="F2298" s="6" t="n"/>
      <c r="G2298" s="6" t="n"/>
      <c r="H2298" s="10">
        <f>IF(F2298="","",IFERROR(INDEX(Roster!$A$2:$A$600,MATCH(F2298,Roster!$E$2:$E$600,0)),""))</f>
        <v/>
      </c>
      <c r="I2298" s="10">
        <f>IF(AND(D2298="",C2298="",F2298=""),"",IF(G2298&lt;&gt;"","Void",IF(F2298="","Needs child",IF(H2298="","Child not found",IF(OR(B2298="",NOT(ISNUMBER(C2298))),"Needs month/pages","OK")))))</f>
        <v/>
      </c>
      <c r="J2298" s="10">
        <f>IF(I2298="","",IF(I2298="OK",IF(COUNTIFS(H2299:H$3001,H2298,B2299:B$3001,B2298,G2299:G$3001,"")=0,C2298,0),0))</f>
        <v/>
      </c>
    </row>
    <row r="2299">
      <c r="A2299" s="6" t="n"/>
      <c r="B2299" s="9" t="n"/>
      <c r="C2299" s="6" t="n"/>
      <c r="D2299" s="6" t="n"/>
      <c r="E2299" s="6" t="n"/>
      <c r="F2299" s="6" t="n"/>
      <c r="G2299" s="6" t="n"/>
      <c r="H2299" s="10">
        <f>IF(F2299="","",IFERROR(INDEX(Roster!$A$2:$A$600,MATCH(F2299,Roster!$E$2:$E$600,0)),""))</f>
        <v/>
      </c>
      <c r="I2299" s="10">
        <f>IF(AND(D2299="",C2299="",F2299=""),"",IF(G2299&lt;&gt;"","Void",IF(F2299="","Needs child",IF(H2299="","Child not found",IF(OR(B2299="",NOT(ISNUMBER(C2299))),"Needs month/pages","OK")))))</f>
        <v/>
      </c>
      <c r="J2299" s="10">
        <f>IF(I2299="","",IF(I2299="OK",IF(COUNTIFS(H2300:H$3001,H2299,B2300:B$3001,B2299,G2300:G$3001,"")=0,C2299,0),0))</f>
        <v/>
      </c>
    </row>
    <row r="2300">
      <c r="A2300" s="6" t="n"/>
      <c r="B2300" s="9" t="n"/>
      <c r="C2300" s="6" t="n"/>
      <c r="D2300" s="6" t="n"/>
      <c r="E2300" s="6" t="n"/>
      <c r="F2300" s="6" t="n"/>
      <c r="G2300" s="6" t="n"/>
      <c r="H2300" s="10">
        <f>IF(F2300="","",IFERROR(INDEX(Roster!$A$2:$A$600,MATCH(F2300,Roster!$E$2:$E$600,0)),""))</f>
        <v/>
      </c>
      <c r="I2300" s="10">
        <f>IF(AND(D2300="",C2300="",F2300=""),"",IF(G2300&lt;&gt;"","Void",IF(F2300="","Needs child",IF(H2300="","Child not found",IF(OR(B2300="",NOT(ISNUMBER(C2300))),"Needs month/pages","OK")))))</f>
        <v/>
      </c>
      <c r="J2300" s="10">
        <f>IF(I2300="","",IF(I2300="OK",IF(COUNTIFS(H2301:H$3001,H2300,B2301:B$3001,B2300,G2301:G$3001,"")=0,C2300,0),0))</f>
        <v/>
      </c>
    </row>
    <row r="2301">
      <c r="A2301" s="6" t="n"/>
      <c r="B2301" s="9" t="n"/>
      <c r="C2301" s="6" t="n"/>
      <c r="D2301" s="6" t="n"/>
      <c r="E2301" s="6" t="n"/>
      <c r="F2301" s="6" t="n"/>
      <c r="G2301" s="6" t="n"/>
      <c r="H2301" s="10">
        <f>IF(F2301="","",IFERROR(INDEX(Roster!$A$2:$A$600,MATCH(F2301,Roster!$E$2:$E$600,0)),""))</f>
        <v/>
      </c>
      <c r="I2301" s="10">
        <f>IF(AND(D2301="",C2301="",F2301=""),"",IF(G2301&lt;&gt;"","Void",IF(F2301="","Needs child",IF(H2301="","Child not found",IF(OR(B2301="",NOT(ISNUMBER(C2301))),"Needs month/pages","OK")))))</f>
        <v/>
      </c>
      <c r="J2301" s="10">
        <f>IF(I2301="","",IF(I2301="OK",IF(COUNTIFS(H2302:H$3001,H2301,B2302:B$3001,B2301,G2302:G$3001,"")=0,C2301,0),0))</f>
        <v/>
      </c>
    </row>
    <row r="2302">
      <c r="A2302" s="6" t="n"/>
      <c r="B2302" s="9" t="n"/>
      <c r="C2302" s="6" t="n"/>
      <c r="D2302" s="6" t="n"/>
      <c r="E2302" s="6" t="n"/>
      <c r="F2302" s="6" t="n"/>
      <c r="G2302" s="6" t="n"/>
      <c r="H2302" s="10">
        <f>IF(F2302="","",IFERROR(INDEX(Roster!$A$2:$A$600,MATCH(F2302,Roster!$E$2:$E$600,0)),""))</f>
        <v/>
      </c>
      <c r="I2302" s="10">
        <f>IF(AND(D2302="",C2302="",F2302=""),"",IF(G2302&lt;&gt;"","Void",IF(F2302="","Needs child",IF(H2302="","Child not found",IF(OR(B2302="",NOT(ISNUMBER(C2302))),"Needs month/pages","OK")))))</f>
        <v/>
      </c>
      <c r="J2302" s="10">
        <f>IF(I2302="","",IF(I2302="OK",IF(COUNTIFS(H2303:H$3001,H2302,B2303:B$3001,B2302,G2303:G$3001,"")=0,C2302,0),0))</f>
        <v/>
      </c>
    </row>
    <row r="2303">
      <c r="A2303" s="6" t="n"/>
      <c r="B2303" s="9" t="n"/>
      <c r="C2303" s="6" t="n"/>
      <c r="D2303" s="6" t="n"/>
      <c r="E2303" s="6" t="n"/>
      <c r="F2303" s="6" t="n"/>
      <c r="G2303" s="6" t="n"/>
      <c r="H2303" s="10">
        <f>IF(F2303="","",IFERROR(INDEX(Roster!$A$2:$A$600,MATCH(F2303,Roster!$E$2:$E$600,0)),""))</f>
        <v/>
      </c>
      <c r="I2303" s="10">
        <f>IF(AND(D2303="",C2303="",F2303=""),"",IF(G2303&lt;&gt;"","Void",IF(F2303="","Needs child",IF(H2303="","Child not found",IF(OR(B2303="",NOT(ISNUMBER(C2303))),"Needs month/pages","OK")))))</f>
        <v/>
      </c>
      <c r="J2303" s="10">
        <f>IF(I2303="","",IF(I2303="OK",IF(COUNTIFS(H2304:H$3001,H2303,B2304:B$3001,B2303,G2304:G$3001,"")=0,C2303,0),0))</f>
        <v/>
      </c>
    </row>
    <row r="2304">
      <c r="A2304" s="6" t="n"/>
      <c r="B2304" s="9" t="n"/>
      <c r="C2304" s="6" t="n"/>
      <c r="D2304" s="6" t="n"/>
      <c r="E2304" s="6" t="n"/>
      <c r="F2304" s="6" t="n"/>
      <c r="G2304" s="6" t="n"/>
      <c r="H2304" s="10">
        <f>IF(F2304="","",IFERROR(INDEX(Roster!$A$2:$A$600,MATCH(F2304,Roster!$E$2:$E$600,0)),""))</f>
        <v/>
      </c>
      <c r="I2304" s="10">
        <f>IF(AND(D2304="",C2304="",F2304=""),"",IF(G2304&lt;&gt;"","Void",IF(F2304="","Needs child",IF(H2304="","Child not found",IF(OR(B2304="",NOT(ISNUMBER(C2304))),"Needs month/pages","OK")))))</f>
        <v/>
      </c>
      <c r="J2304" s="10">
        <f>IF(I2304="","",IF(I2304="OK",IF(COUNTIFS(H2305:H$3001,H2304,B2305:B$3001,B2304,G2305:G$3001,"")=0,C2304,0),0))</f>
        <v/>
      </c>
    </row>
    <row r="2305">
      <c r="A2305" s="6" t="n"/>
      <c r="B2305" s="9" t="n"/>
      <c r="C2305" s="6" t="n"/>
      <c r="D2305" s="6" t="n"/>
      <c r="E2305" s="6" t="n"/>
      <c r="F2305" s="6" t="n"/>
      <c r="G2305" s="6" t="n"/>
      <c r="H2305" s="10">
        <f>IF(F2305="","",IFERROR(INDEX(Roster!$A$2:$A$600,MATCH(F2305,Roster!$E$2:$E$600,0)),""))</f>
        <v/>
      </c>
      <c r="I2305" s="10">
        <f>IF(AND(D2305="",C2305="",F2305=""),"",IF(G2305&lt;&gt;"","Void",IF(F2305="","Needs child",IF(H2305="","Child not found",IF(OR(B2305="",NOT(ISNUMBER(C2305))),"Needs month/pages","OK")))))</f>
        <v/>
      </c>
      <c r="J2305" s="10">
        <f>IF(I2305="","",IF(I2305="OK",IF(COUNTIFS(H2306:H$3001,H2305,B2306:B$3001,B2305,G2306:G$3001,"")=0,C2305,0),0))</f>
        <v/>
      </c>
    </row>
    <row r="2306">
      <c r="A2306" s="6" t="n"/>
      <c r="B2306" s="9" t="n"/>
      <c r="C2306" s="6" t="n"/>
      <c r="D2306" s="6" t="n"/>
      <c r="E2306" s="6" t="n"/>
      <c r="F2306" s="6" t="n"/>
      <c r="G2306" s="6" t="n"/>
      <c r="H2306" s="10">
        <f>IF(F2306="","",IFERROR(INDEX(Roster!$A$2:$A$600,MATCH(F2306,Roster!$E$2:$E$600,0)),""))</f>
        <v/>
      </c>
      <c r="I2306" s="10">
        <f>IF(AND(D2306="",C2306="",F2306=""),"",IF(G2306&lt;&gt;"","Void",IF(F2306="","Needs child",IF(H2306="","Child not found",IF(OR(B2306="",NOT(ISNUMBER(C2306))),"Needs month/pages","OK")))))</f>
        <v/>
      </c>
      <c r="J2306" s="10">
        <f>IF(I2306="","",IF(I2306="OK",IF(COUNTIFS(H2307:H$3001,H2306,B2307:B$3001,B2306,G2307:G$3001,"")=0,C2306,0),0))</f>
        <v/>
      </c>
    </row>
    <row r="2307">
      <c r="A2307" s="6" t="n"/>
      <c r="B2307" s="9" t="n"/>
      <c r="C2307" s="6" t="n"/>
      <c r="D2307" s="6" t="n"/>
      <c r="E2307" s="6" t="n"/>
      <c r="F2307" s="6" t="n"/>
      <c r="G2307" s="6" t="n"/>
      <c r="H2307" s="10">
        <f>IF(F2307="","",IFERROR(INDEX(Roster!$A$2:$A$600,MATCH(F2307,Roster!$E$2:$E$600,0)),""))</f>
        <v/>
      </c>
      <c r="I2307" s="10">
        <f>IF(AND(D2307="",C2307="",F2307=""),"",IF(G2307&lt;&gt;"","Void",IF(F2307="","Needs child",IF(H2307="","Child not found",IF(OR(B2307="",NOT(ISNUMBER(C2307))),"Needs month/pages","OK")))))</f>
        <v/>
      </c>
      <c r="J2307" s="10">
        <f>IF(I2307="","",IF(I2307="OK",IF(COUNTIFS(H2308:H$3001,H2307,B2308:B$3001,B2307,G2308:G$3001,"")=0,C2307,0),0))</f>
        <v/>
      </c>
    </row>
    <row r="2308">
      <c r="A2308" s="6" t="n"/>
      <c r="B2308" s="9" t="n"/>
      <c r="C2308" s="6" t="n"/>
      <c r="D2308" s="6" t="n"/>
      <c r="E2308" s="6" t="n"/>
      <c r="F2308" s="6" t="n"/>
      <c r="G2308" s="6" t="n"/>
      <c r="H2308" s="10">
        <f>IF(F2308="","",IFERROR(INDEX(Roster!$A$2:$A$600,MATCH(F2308,Roster!$E$2:$E$600,0)),""))</f>
        <v/>
      </c>
      <c r="I2308" s="10">
        <f>IF(AND(D2308="",C2308="",F2308=""),"",IF(G2308&lt;&gt;"","Void",IF(F2308="","Needs child",IF(H2308="","Child not found",IF(OR(B2308="",NOT(ISNUMBER(C2308))),"Needs month/pages","OK")))))</f>
        <v/>
      </c>
      <c r="J2308" s="10">
        <f>IF(I2308="","",IF(I2308="OK",IF(COUNTIFS(H2309:H$3001,H2308,B2309:B$3001,B2308,G2309:G$3001,"")=0,C2308,0),0))</f>
        <v/>
      </c>
    </row>
    <row r="2309">
      <c r="A2309" s="6" t="n"/>
      <c r="B2309" s="9" t="n"/>
      <c r="C2309" s="6" t="n"/>
      <c r="D2309" s="6" t="n"/>
      <c r="E2309" s="6" t="n"/>
      <c r="F2309" s="6" t="n"/>
      <c r="G2309" s="6" t="n"/>
      <c r="H2309" s="10">
        <f>IF(F2309="","",IFERROR(INDEX(Roster!$A$2:$A$600,MATCH(F2309,Roster!$E$2:$E$600,0)),""))</f>
        <v/>
      </c>
      <c r="I2309" s="10">
        <f>IF(AND(D2309="",C2309="",F2309=""),"",IF(G2309&lt;&gt;"","Void",IF(F2309="","Needs child",IF(H2309="","Child not found",IF(OR(B2309="",NOT(ISNUMBER(C2309))),"Needs month/pages","OK")))))</f>
        <v/>
      </c>
      <c r="J2309" s="10">
        <f>IF(I2309="","",IF(I2309="OK",IF(COUNTIFS(H2310:H$3001,H2309,B2310:B$3001,B2309,G2310:G$3001,"")=0,C2309,0),0))</f>
        <v/>
      </c>
    </row>
    <row r="2310">
      <c r="A2310" s="6" t="n"/>
      <c r="B2310" s="9" t="n"/>
      <c r="C2310" s="6" t="n"/>
      <c r="D2310" s="6" t="n"/>
      <c r="E2310" s="6" t="n"/>
      <c r="F2310" s="6" t="n"/>
      <c r="G2310" s="6" t="n"/>
      <c r="H2310" s="10">
        <f>IF(F2310="","",IFERROR(INDEX(Roster!$A$2:$A$600,MATCH(F2310,Roster!$E$2:$E$600,0)),""))</f>
        <v/>
      </c>
      <c r="I2310" s="10">
        <f>IF(AND(D2310="",C2310="",F2310=""),"",IF(G2310&lt;&gt;"","Void",IF(F2310="","Needs child",IF(H2310="","Child not found",IF(OR(B2310="",NOT(ISNUMBER(C2310))),"Needs month/pages","OK")))))</f>
        <v/>
      </c>
      <c r="J2310" s="10">
        <f>IF(I2310="","",IF(I2310="OK",IF(COUNTIFS(H2311:H$3001,H2310,B2311:B$3001,B2310,G2311:G$3001,"")=0,C2310,0),0))</f>
        <v/>
      </c>
    </row>
    <row r="2311">
      <c r="A2311" s="6" t="n"/>
      <c r="B2311" s="9" t="n"/>
      <c r="C2311" s="6" t="n"/>
      <c r="D2311" s="6" t="n"/>
      <c r="E2311" s="6" t="n"/>
      <c r="F2311" s="6" t="n"/>
      <c r="G2311" s="6" t="n"/>
      <c r="H2311" s="10">
        <f>IF(F2311="","",IFERROR(INDEX(Roster!$A$2:$A$600,MATCH(F2311,Roster!$E$2:$E$600,0)),""))</f>
        <v/>
      </c>
      <c r="I2311" s="10">
        <f>IF(AND(D2311="",C2311="",F2311=""),"",IF(G2311&lt;&gt;"","Void",IF(F2311="","Needs child",IF(H2311="","Child not found",IF(OR(B2311="",NOT(ISNUMBER(C2311))),"Needs month/pages","OK")))))</f>
        <v/>
      </c>
      <c r="J2311" s="10">
        <f>IF(I2311="","",IF(I2311="OK",IF(COUNTIFS(H2312:H$3001,H2311,B2312:B$3001,B2311,G2312:G$3001,"")=0,C2311,0),0))</f>
        <v/>
      </c>
    </row>
    <row r="2312">
      <c r="A2312" s="6" t="n"/>
      <c r="B2312" s="9" t="n"/>
      <c r="C2312" s="6" t="n"/>
      <c r="D2312" s="6" t="n"/>
      <c r="E2312" s="6" t="n"/>
      <c r="F2312" s="6" t="n"/>
      <c r="G2312" s="6" t="n"/>
      <c r="H2312" s="10">
        <f>IF(F2312="","",IFERROR(INDEX(Roster!$A$2:$A$600,MATCH(F2312,Roster!$E$2:$E$600,0)),""))</f>
        <v/>
      </c>
      <c r="I2312" s="10">
        <f>IF(AND(D2312="",C2312="",F2312=""),"",IF(G2312&lt;&gt;"","Void",IF(F2312="","Needs child",IF(H2312="","Child not found",IF(OR(B2312="",NOT(ISNUMBER(C2312))),"Needs month/pages","OK")))))</f>
        <v/>
      </c>
      <c r="J2312" s="10">
        <f>IF(I2312="","",IF(I2312="OK",IF(COUNTIFS(H2313:H$3001,H2312,B2313:B$3001,B2312,G2313:G$3001,"")=0,C2312,0),0))</f>
        <v/>
      </c>
    </row>
    <row r="2313">
      <c r="A2313" s="6" t="n"/>
      <c r="B2313" s="9" t="n"/>
      <c r="C2313" s="6" t="n"/>
      <c r="D2313" s="6" t="n"/>
      <c r="E2313" s="6" t="n"/>
      <c r="F2313" s="6" t="n"/>
      <c r="G2313" s="6" t="n"/>
      <c r="H2313" s="10">
        <f>IF(F2313="","",IFERROR(INDEX(Roster!$A$2:$A$600,MATCH(F2313,Roster!$E$2:$E$600,0)),""))</f>
        <v/>
      </c>
      <c r="I2313" s="10">
        <f>IF(AND(D2313="",C2313="",F2313=""),"",IF(G2313&lt;&gt;"","Void",IF(F2313="","Needs child",IF(H2313="","Child not found",IF(OR(B2313="",NOT(ISNUMBER(C2313))),"Needs month/pages","OK")))))</f>
        <v/>
      </c>
      <c r="J2313" s="10">
        <f>IF(I2313="","",IF(I2313="OK",IF(COUNTIFS(H2314:H$3001,H2313,B2314:B$3001,B2313,G2314:G$3001,"")=0,C2313,0),0))</f>
        <v/>
      </c>
    </row>
    <row r="2314">
      <c r="A2314" s="6" t="n"/>
      <c r="B2314" s="9" t="n"/>
      <c r="C2314" s="6" t="n"/>
      <c r="D2314" s="6" t="n"/>
      <c r="E2314" s="6" t="n"/>
      <c r="F2314" s="6" t="n"/>
      <c r="G2314" s="6" t="n"/>
      <c r="H2314" s="10">
        <f>IF(F2314="","",IFERROR(INDEX(Roster!$A$2:$A$600,MATCH(F2314,Roster!$E$2:$E$600,0)),""))</f>
        <v/>
      </c>
      <c r="I2314" s="10">
        <f>IF(AND(D2314="",C2314="",F2314=""),"",IF(G2314&lt;&gt;"","Void",IF(F2314="","Needs child",IF(H2314="","Child not found",IF(OR(B2314="",NOT(ISNUMBER(C2314))),"Needs month/pages","OK")))))</f>
        <v/>
      </c>
      <c r="J2314" s="10">
        <f>IF(I2314="","",IF(I2314="OK",IF(COUNTIFS(H2315:H$3001,H2314,B2315:B$3001,B2314,G2315:G$3001,"")=0,C2314,0),0))</f>
        <v/>
      </c>
    </row>
    <row r="2315">
      <c r="A2315" s="6" t="n"/>
      <c r="B2315" s="9" t="n"/>
      <c r="C2315" s="6" t="n"/>
      <c r="D2315" s="6" t="n"/>
      <c r="E2315" s="6" t="n"/>
      <c r="F2315" s="6" t="n"/>
      <c r="G2315" s="6" t="n"/>
      <c r="H2315" s="10">
        <f>IF(F2315="","",IFERROR(INDEX(Roster!$A$2:$A$600,MATCH(F2315,Roster!$E$2:$E$600,0)),""))</f>
        <v/>
      </c>
      <c r="I2315" s="10">
        <f>IF(AND(D2315="",C2315="",F2315=""),"",IF(G2315&lt;&gt;"","Void",IF(F2315="","Needs child",IF(H2315="","Child not found",IF(OR(B2315="",NOT(ISNUMBER(C2315))),"Needs month/pages","OK")))))</f>
        <v/>
      </c>
      <c r="J2315" s="10">
        <f>IF(I2315="","",IF(I2315="OK",IF(COUNTIFS(H2316:H$3001,H2315,B2316:B$3001,B2315,G2316:G$3001,"")=0,C2315,0),0))</f>
        <v/>
      </c>
    </row>
    <row r="2316">
      <c r="A2316" s="6" t="n"/>
      <c r="B2316" s="9" t="n"/>
      <c r="C2316" s="6" t="n"/>
      <c r="D2316" s="6" t="n"/>
      <c r="E2316" s="6" t="n"/>
      <c r="F2316" s="6" t="n"/>
      <c r="G2316" s="6" t="n"/>
      <c r="H2316" s="10">
        <f>IF(F2316="","",IFERROR(INDEX(Roster!$A$2:$A$600,MATCH(F2316,Roster!$E$2:$E$600,0)),""))</f>
        <v/>
      </c>
      <c r="I2316" s="10">
        <f>IF(AND(D2316="",C2316="",F2316=""),"",IF(G2316&lt;&gt;"","Void",IF(F2316="","Needs child",IF(H2316="","Child not found",IF(OR(B2316="",NOT(ISNUMBER(C2316))),"Needs month/pages","OK")))))</f>
        <v/>
      </c>
      <c r="J2316" s="10">
        <f>IF(I2316="","",IF(I2316="OK",IF(COUNTIFS(H2317:H$3001,H2316,B2317:B$3001,B2316,G2317:G$3001,"")=0,C2316,0),0))</f>
        <v/>
      </c>
    </row>
    <row r="2317">
      <c r="A2317" s="6" t="n"/>
      <c r="B2317" s="9" t="n"/>
      <c r="C2317" s="6" t="n"/>
      <c r="D2317" s="6" t="n"/>
      <c r="E2317" s="6" t="n"/>
      <c r="F2317" s="6" t="n"/>
      <c r="G2317" s="6" t="n"/>
      <c r="H2317" s="10">
        <f>IF(F2317="","",IFERROR(INDEX(Roster!$A$2:$A$600,MATCH(F2317,Roster!$E$2:$E$600,0)),""))</f>
        <v/>
      </c>
      <c r="I2317" s="10">
        <f>IF(AND(D2317="",C2317="",F2317=""),"",IF(G2317&lt;&gt;"","Void",IF(F2317="","Needs child",IF(H2317="","Child not found",IF(OR(B2317="",NOT(ISNUMBER(C2317))),"Needs month/pages","OK")))))</f>
        <v/>
      </c>
      <c r="J2317" s="10">
        <f>IF(I2317="","",IF(I2317="OK",IF(COUNTIFS(H2318:H$3001,H2317,B2318:B$3001,B2317,G2318:G$3001,"")=0,C2317,0),0))</f>
        <v/>
      </c>
    </row>
    <row r="2318">
      <c r="A2318" s="6" t="n"/>
      <c r="B2318" s="9" t="n"/>
      <c r="C2318" s="6" t="n"/>
      <c r="D2318" s="6" t="n"/>
      <c r="E2318" s="6" t="n"/>
      <c r="F2318" s="6" t="n"/>
      <c r="G2318" s="6" t="n"/>
      <c r="H2318" s="10">
        <f>IF(F2318="","",IFERROR(INDEX(Roster!$A$2:$A$600,MATCH(F2318,Roster!$E$2:$E$600,0)),""))</f>
        <v/>
      </c>
      <c r="I2318" s="10">
        <f>IF(AND(D2318="",C2318="",F2318=""),"",IF(G2318&lt;&gt;"","Void",IF(F2318="","Needs child",IF(H2318="","Child not found",IF(OR(B2318="",NOT(ISNUMBER(C2318))),"Needs month/pages","OK")))))</f>
        <v/>
      </c>
      <c r="J2318" s="10">
        <f>IF(I2318="","",IF(I2318="OK",IF(COUNTIFS(H2319:H$3001,H2318,B2319:B$3001,B2318,G2319:G$3001,"")=0,C2318,0),0))</f>
        <v/>
      </c>
    </row>
    <row r="2319">
      <c r="A2319" s="6" t="n"/>
      <c r="B2319" s="9" t="n"/>
      <c r="C2319" s="6" t="n"/>
      <c r="D2319" s="6" t="n"/>
      <c r="E2319" s="6" t="n"/>
      <c r="F2319" s="6" t="n"/>
      <c r="G2319" s="6" t="n"/>
      <c r="H2319" s="10">
        <f>IF(F2319="","",IFERROR(INDEX(Roster!$A$2:$A$600,MATCH(F2319,Roster!$E$2:$E$600,0)),""))</f>
        <v/>
      </c>
      <c r="I2319" s="10">
        <f>IF(AND(D2319="",C2319="",F2319=""),"",IF(G2319&lt;&gt;"","Void",IF(F2319="","Needs child",IF(H2319="","Child not found",IF(OR(B2319="",NOT(ISNUMBER(C2319))),"Needs month/pages","OK")))))</f>
        <v/>
      </c>
      <c r="J2319" s="10">
        <f>IF(I2319="","",IF(I2319="OK",IF(COUNTIFS(H2320:H$3001,H2319,B2320:B$3001,B2319,G2320:G$3001,"")=0,C2319,0),0))</f>
        <v/>
      </c>
    </row>
    <row r="2320">
      <c r="A2320" s="6" t="n"/>
      <c r="B2320" s="9" t="n"/>
      <c r="C2320" s="6" t="n"/>
      <c r="D2320" s="6" t="n"/>
      <c r="E2320" s="6" t="n"/>
      <c r="F2320" s="6" t="n"/>
      <c r="G2320" s="6" t="n"/>
      <c r="H2320" s="10">
        <f>IF(F2320="","",IFERROR(INDEX(Roster!$A$2:$A$600,MATCH(F2320,Roster!$E$2:$E$600,0)),""))</f>
        <v/>
      </c>
      <c r="I2320" s="10">
        <f>IF(AND(D2320="",C2320="",F2320=""),"",IF(G2320&lt;&gt;"","Void",IF(F2320="","Needs child",IF(H2320="","Child not found",IF(OR(B2320="",NOT(ISNUMBER(C2320))),"Needs month/pages","OK")))))</f>
        <v/>
      </c>
      <c r="J2320" s="10">
        <f>IF(I2320="","",IF(I2320="OK",IF(COUNTIFS(H2321:H$3001,H2320,B2321:B$3001,B2320,G2321:G$3001,"")=0,C2320,0),0))</f>
        <v/>
      </c>
    </row>
    <row r="2321">
      <c r="A2321" s="6" t="n"/>
      <c r="B2321" s="9" t="n"/>
      <c r="C2321" s="6" t="n"/>
      <c r="D2321" s="6" t="n"/>
      <c r="E2321" s="6" t="n"/>
      <c r="F2321" s="6" t="n"/>
      <c r="G2321" s="6" t="n"/>
      <c r="H2321" s="10">
        <f>IF(F2321="","",IFERROR(INDEX(Roster!$A$2:$A$600,MATCH(F2321,Roster!$E$2:$E$600,0)),""))</f>
        <v/>
      </c>
      <c r="I2321" s="10">
        <f>IF(AND(D2321="",C2321="",F2321=""),"",IF(G2321&lt;&gt;"","Void",IF(F2321="","Needs child",IF(H2321="","Child not found",IF(OR(B2321="",NOT(ISNUMBER(C2321))),"Needs month/pages","OK")))))</f>
        <v/>
      </c>
      <c r="J2321" s="10">
        <f>IF(I2321="","",IF(I2321="OK",IF(COUNTIFS(H2322:H$3001,H2321,B2322:B$3001,B2321,G2322:G$3001,"")=0,C2321,0),0))</f>
        <v/>
      </c>
    </row>
    <row r="2322">
      <c r="A2322" s="6" t="n"/>
      <c r="B2322" s="9" t="n"/>
      <c r="C2322" s="6" t="n"/>
      <c r="D2322" s="6" t="n"/>
      <c r="E2322" s="6" t="n"/>
      <c r="F2322" s="6" t="n"/>
      <c r="G2322" s="6" t="n"/>
      <c r="H2322" s="10">
        <f>IF(F2322="","",IFERROR(INDEX(Roster!$A$2:$A$600,MATCH(F2322,Roster!$E$2:$E$600,0)),""))</f>
        <v/>
      </c>
      <c r="I2322" s="10">
        <f>IF(AND(D2322="",C2322="",F2322=""),"",IF(G2322&lt;&gt;"","Void",IF(F2322="","Needs child",IF(H2322="","Child not found",IF(OR(B2322="",NOT(ISNUMBER(C2322))),"Needs month/pages","OK")))))</f>
        <v/>
      </c>
      <c r="J2322" s="10">
        <f>IF(I2322="","",IF(I2322="OK",IF(COUNTIFS(H2323:H$3001,H2322,B2323:B$3001,B2322,G2323:G$3001,"")=0,C2322,0),0))</f>
        <v/>
      </c>
    </row>
    <row r="2323">
      <c r="A2323" s="6" t="n"/>
      <c r="B2323" s="9" t="n"/>
      <c r="C2323" s="6" t="n"/>
      <c r="D2323" s="6" t="n"/>
      <c r="E2323" s="6" t="n"/>
      <c r="F2323" s="6" t="n"/>
      <c r="G2323" s="6" t="n"/>
      <c r="H2323" s="10">
        <f>IF(F2323="","",IFERROR(INDEX(Roster!$A$2:$A$600,MATCH(F2323,Roster!$E$2:$E$600,0)),""))</f>
        <v/>
      </c>
      <c r="I2323" s="10">
        <f>IF(AND(D2323="",C2323="",F2323=""),"",IF(G2323&lt;&gt;"","Void",IF(F2323="","Needs child",IF(H2323="","Child not found",IF(OR(B2323="",NOT(ISNUMBER(C2323))),"Needs month/pages","OK")))))</f>
        <v/>
      </c>
      <c r="J2323" s="10">
        <f>IF(I2323="","",IF(I2323="OK",IF(COUNTIFS(H2324:H$3001,H2323,B2324:B$3001,B2323,G2324:G$3001,"")=0,C2323,0),0))</f>
        <v/>
      </c>
    </row>
    <row r="2324">
      <c r="A2324" s="6" t="n"/>
      <c r="B2324" s="9" t="n"/>
      <c r="C2324" s="6" t="n"/>
      <c r="D2324" s="6" t="n"/>
      <c r="E2324" s="6" t="n"/>
      <c r="F2324" s="6" t="n"/>
      <c r="G2324" s="6" t="n"/>
      <c r="H2324" s="10">
        <f>IF(F2324="","",IFERROR(INDEX(Roster!$A$2:$A$600,MATCH(F2324,Roster!$E$2:$E$600,0)),""))</f>
        <v/>
      </c>
      <c r="I2324" s="10">
        <f>IF(AND(D2324="",C2324="",F2324=""),"",IF(G2324&lt;&gt;"","Void",IF(F2324="","Needs child",IF(H2324="","Child not found",IF(OR(B2324="",NOT(ISNUMBER(C2324))),"Needs month/pages","OK")))))</f>
        <v/>
      </c>
      <c r="J2324" s="10">
        <f>IF(I2324="","",IF(I2324="OK",IF(COUNTIFS(H2325:H$3001,H2324,B2325:B$3001,B2324,G2325:G$3001,"")=0,C2324,0),0))</f>
        <v/>
      </c>
    </row>
    <row r="2325">
      <c r="A2325" s="6" t="n"/>
      <c r="B2325" s="9" t="n"/>
      <c r="C2325" s="6" t="n"/>
      <c r="D2325" s="6" t="n"/>
      <c r="E2325" s="6" t="n"/>
      <c r="F2325" s="6" t="n"/>
      <c r="G2325" s="6" t="n"/>
      <c r="H2325" s="10">
        <f>IF(F2325="","",IFERROR(INDEX(Roster!$A$2:$A$600,MATCH(F2325,Roster!$E$2:$E$600,0)),""))</f>
        <v/>
      </c>
      <c r="I2325" s="10">
        <f>IF(AND(D2325="",C2325="",F2325=""),"",IF(G2325&lt;&gt;"","Void",IF(F2325="","Needs child",IF(H2325="","Child not found",IF(OR(B2325="",NOT(ISNUMBER(C2325))),"Needs month/pages","OK")))))</f>
        <v/>
      </c>
      <c r="J2325" s="10">
        <f>IF(I2325="","",IF(I2325="OK",IF(COUNTIFS(H2326:H$3001,H2325,B2326:B$3001,B2325,G2326:G$3001,"")=0,C2325,0),0))</f>
        <v/>
      </c>
    </row>
    <row r="2326">
      <c r="A2326" s="6" t="n"/>
      <c r="B2326" s="9" t="n"/>
      <c r="C2326" s="6" t="n"/>
      <c r="D2326" s="6" t="n"/>
      <c r="E2326" s="6" t="n"/>
      <c r="F2326" s="6" t="n"/>
      <c r="G2326" s="6" t="n"/>
      <c r="H2326" s="10">
        <f>IF(F2326="","",IFERROR(INDEX(Roster!$A$2:$A$600,MATCH(F2326,Roster!$E$2:$E$600,0)),""))</f>
        <v/>
      </c>
      <c r="I2326" s="10">
        <f>IF(AND(D2326="",C2326="",F2326=""),"",IF(G2326&lt;&gt;"","Void",IF(F2326="","Needs child",IF(H2326="","Child not found",IF(OR(B2326="",NOT(ISNUMBER(C2326))),"Needs month/pages","OK")))))</f>
        <v/>
      </c>
      <c r="J2326" s="10">
        <f>IF(I2326="","",IF(I2326="OK",IF(COUNTIFS(H2327:H$3001,H2326,B2327:B$3001,B2326,G2327:G$3001,"")=0,C2326,0),0))</f>
        <v/>
      </c>
    </row>
    <row r="2327">
      <c r="A2327" s="6" t="n"/>
      <c r="B2327" s="9" t="n"/>
      <c r="C2327" s="6" t="n"/>
      <c r="D2327" s="6" t="n"/>
      <c r="E2327" s="6" t="n"/>
      <c r="F2327" s="6" t="n"/>
      <c r="G2327" s="6" t="n"/>
      <c r="H2327" s="10">
        <f>IF(F2327="","",IFERROR(INDEX(Roster!$A$2:$A$600,MATCH(F2327,Roster!$E$2:$E$600,0)),""))</f>
        <v/>
      </c>
      <c r="I2327" s="10">
        <f>IF(AND(D2327="",C2327="",F2327=""),"",IF(G2327&lt;&gt;"","Void",IF(F2327="","Needs child",IF(H2327="","Child not found",IF(OR(B2327="",NOT(ISNUMBER(C2327))),"Needs month/pages","OK")))))</f>
        <v/>
      </c>
      <c r="J2327" s="10">
        <f>IF(I2327="","",IF(I2327="OK",IF(COUNTIFS(H2328:H$3001,H2327,B2328:B$3001,B2327,G2328:G$3001,"")=0,C2327,0),0))</f>
        <v/>
      </c>
    </row>
    <row r="2328">
      <c r="A2328" s="6" t="n"/>
      <c r="B2328" s="9" t="n"/>
      <c r="C2328" s="6" t="n"/>
      <c r="D2328" s="6" t="n"/>
      <c r="E2328" s="6" t="n"/>
      <c r="F2328" s="6" t="n"/>
      <c r="G2328" s="6" t="n"/>
      <c r="H2328" s="10">
        <f>IF(F2328="","",IFERROR(INDEX(Roster!$A$2:$A$600,MATCH(F2328,Roster!$E$2:$E$600,0)),""))</f>
        <v/>
      </c>
      <c r="I2328" s="10">
        <f>IF(AND(D2328="",C2328="",F2328=""),"",IF(G2328&lt;&gt;"","Void",IF(F2328="","Needs child",IF(H2328="","Child not found",IF(OR(B2328="",NOT(ISNUMBER(C2328))),"Needs month/pages","OK")))))</f>
        <v/>
      </c>
      <c r="J2328" s="10">
        <f>IF(I2328="","",IF(I2328="OK",IF(COUNTIFS(H2329:H$3001,H2328,B2329:B$3001,B2328,G2329:G$3001,"")=0,C2328,0),0))</f>
        <v/>
      </c>
    </row>
    <row r="2329">
      <c r="A2329" s="6" t="n"/>
      <c r="B2329" s="9" t="n"/>
      <c r="C2329" s="6" t="n"/>
      <c r="D2329" s="6" t="n"/>
      <c r="E2329" s="6" t="n"/>
      <c r="F2329" s="6" t="n"/>
      <c r="G2329" s="6" t="n"/>
      <c r="H2329" s="10">
        <f>IF(F2329="","",IFERROR(INDEX(Roster!$A$2:$A$600,MATCH(F2329,Roster!$E$2:$E$600,0)),""))</f>
        <v/>
      </c>
      <c r="I2329" s="10">
        <f>IF(AND(D2329="",C2329="",F2329=""),"",IF(G2329&lt;&gt;"","Void",IF(F2329="","Needs child",IF(H2329="","Child not found",IF(OR(B2329="",NOT(ISNUMBER(C2329))),"Needs month/pages","OK")))))</f>
        <v/>
      </c>
      <c r="J2329" s="10">
        <f>IF(I2329="","",IF(I2329="OK",IF(COUNTIFS(H2330:H$3001,H2329,B2330:B$3001,B2329,G2330:G$3001,"")=0,C2329,0),0))</f>
        <v/>
      </c>
    </row>
    <row r="2330">
      <c r="A2330" s="6" t="n"/>
      <c r="B2330" s="9" t="n"/>
      <c r="C2330" s="6" t="n"/>
      <c r="D2330" s="6" t="n"/>
      <c r="E2330" s="6" t="n"/>
      <c r="F2330" s="6" t="n"/>
      <c r="G2330" s="6" t="n"/>
      <c r="H2330" s="10">
        <f>IF(F2330="","",IFERROR(INDEX(Roster!$A$2:$A$600,MATCH(F2330,Roster!$E$2:$E$600,0)),""))</f>
        <v/>
      </c>
      <c r="I2330" s="10">
        <f>IF(AND(D2330="",C2330="",F2330=""),"",IF(G2330&lt;&gt;"","Void",IF(F2330="","Needs child",IF(H2330="","Child not found",IF(OR(B2330="",NOT(ISNUMBER(C2330))),"Needs month/pages","OK")))))</f>
        <v/>
      </c>
      <c r="J2330" s="10">
        <f>IF(I2330="","",IF(I2330="OK",IF(COUNTIFS(H2331:H$3001,H2330,B2331:B$3001,B2330,G2331:G$3001,"")=0,C2330,0),0))</f>
        <v/>
      </c>
    </row>
    <row r="2331">
      <c r="A2331" s="6" t="n"/>
      <c r="B2331" s="9" t="n"/>
      <c r="C2331" s="6" t="n"/>
      <c r="D2331" s="6" t="n"/>
      <c r="E2331" s="6" t="n"/>
      <c r="F2331" s="6" t="n"/>
      <c r="G2331" s="6" t="n"/>
      <c r="H2331" s="10">
        <f>IF(F2331="","",IFERROR(INDEX(Roster!$A$2:$A$600,MATCH(F2331,Roster!$E$2:$E$600,0)),""))</f>
        <v/>
      </c>
      <c r="I2331" s="10">
        <f>IF(AND(D2331="",C2331="",F2331=""),"",IF(G2331&lt;&gt;"","Void",IF(F2331="","Needs child",IF(H2331="","Child not found",IF(OR(B2331="",NOT(ISNUMBER(C2331))),"Needs month/pages","OK")))))</f>
        <v/>
      </c>
      <c r="J2331" s="10">
        <f>IF(I2331="","",IF(I2331="OK",IF(COUNTIFS(H2332:H$3001,H2331,B2332:B$3001,B2331,G2332:G$3001,"")=0,C2331,0),0))</f>
        <v/>
      </c>
    </row>
    <row r="2332">
      <c r="A2332" s="6" t="n"/>
      <c r="B2332" s="9" t="n"/>
      <c r="C2332" s="6" t="n"/>
      <c r="D2332" s="6" t="n"/>
      <c r="E2332" s="6" t="n"/>
      <c r="F2332" s="6" t="n"/>
      <c r="G2332" s="6" t="n"/>
      <c r="H2332" s="10">
        <f>IF(F2332="","",IFERROR(INDEX(Roster!$A$2:$A$600,MATCH(F2332,Roster!$E$2:$E$600,0)),""))</f>
        <v/>
      </c>
      <c r="I2332" s="10">
        <f>IF(AND(D2332="",C2332="",F2332=""),"",IF(G2332&lt;&gt;"","Void",IF(F2332="","Needs child",IF(H2332="","Child not found",IF(OR(B2332="",NOT(ISNUMBER(C2332))),"Needs month/pages","OK")))))</f>
        <v/>
      </c>
      <c r="J2332" s="10">
        <f>IF(I2332="","",IF(I2332="OK",IF(COUNTIFS(H2333:H$3001,H2332,B2333:B$3001,B2332,G2333:G$3001,"")=0,C2332,0),0))</f>
        <v/>
      </c>
    </row>
    <row r="2333">
      <c r="A2333" s="6" t="n"/>
      <c r="B2333" s="9" t="n"/>
      <c r="C2333" s="6" t="n"/>
      <c r="D2333" s="6" t="n"/>
      <c r="E2333" s="6" t="n"/>
      <c r="F2333" s="6" t="n"/>
      <c r="G2333" s="6" t="n"/>
      <c r="H2333" s="10">
        <f>IF(F2333="","",IFERROR(INDEX(Roster!$A$2:$A$600,MATCH(F2333,Roster!$E$2:$E$600,0)),""))</f>
        <v/>
      </c>
      <c r="I2333" s="10">
        <f>IF(AND(D2333="",C2333="",F2333=""),"",IF(G2333&lt;&gt;"","Void",IF(F2333="","Needs child",IF(H2333="","Child not found",IF(OR(B2333="",NOT(ISNUMBER(C2333))),"Needs month/pages","OK")))))</f>
        <v/>
      </c>
      <c r="J2333" s="10">
        <f>IF(I2333="","",IF(I2333="OK",IF(COUNTIFS(H2334:H$3001,H2333,B2334:B$3001,B2333,G2334:G$3001,"")=0,C2333,0),0))</f>
        <v/>
      </c>
    </row>
    <row r="2334">
      <c r="A2334" s="6" t="n"/>
      <c r="B2334" s="9" t="n"/>
      <c r="C2334" s="6" t="n"/>
      <c r="D2334" s="6" t="n"/>
      <c r="E2334" s="6" t="n"/>
      <c r="F2334" s="6" t="n"/>
      <c r="G2334" s="6" t="n"/>
      <c r="H2334" s="10">
        <f>IF(F2334="","",IFERROR(INDEX(Roster!$A$2:$A$600,MATCH(F2334,Roster!$E$2:$E$600,0)),""))</f>
        <v/>
      </c>
      <c r="I2334" s="10">
        <f>IF(AND(D2334="",C2334="",F2334=""),"",IF(G2334&lt;&gt;"","Void",IF(F2334="","Needs child",IF(H2334="","Child not found",IF(OR(B2334="",NOT(ISNUMBER(C2334))),"Needs month/pages","OK")))))</f>
        <v/>
      </c>
      <c r="J2334" s="10">
        <f>IF(I2334="","",IF(I2334="OK",IF(COUNTIFS(H2335:H$3001,H2334,B2335:B$3001,B2334,G2335:G$3001,"")=0,C2334,0),0))</f>
        <v/>
      </c>
    </row>
    <row r="2335">
      <c r="A2335" s="6" t="n"/>
      <c r="B2335" s="9" t="n"/>
      <c r="C2335" s="6" t="n"/>
      <c r="D2335" s="6" t="n"/>
      <c r="E2335" s="6" t="n"/>
      <c r="F2335" s="6" t="n"/>
      <c r="G2335" s="6" t="n"/>
      <c r="H2335" s="10">
        <f>IF(F2335="","",IFERROR(INDEX(Roster!$A$2:$A$600,MATCH(F2335,Roster!$E$2:$E$600,0)),""))</f>
        <v/>
      </c>
      <c r="I2335" s="10">
        <f>IF(AND(D2335="",C2335="",F2335=""),"",IF(G2335&lt;&gt;"","Void",IF(F2335="","Needs child",IF(H2335="","Child not found",IF(OR(B2335="",NOT(ISNUMBER(C2335))),"Needs month/pages","OK")))))</f>
        <v/>
      </c>
      <c r="J2335" s="10">
        <f>IF(I2335="","",IF(I2335="OK",IF(COUNTIFS(H2336:H$3001,H2335,B2336:B$3001,B2335,G2336:G$3001,"")=0,C2335,0),0))</f>
        <v/>
      </c>
    </row>
    <row r="2336">
      <c r="A2336" s="6" t="n"/>
      <c r="B2336" s="9" t="n"/>
      <c r="C2336" s="6" t="n"/>
      <c r="D2336" s="6" t="n"/>
      <c r="E2336" s="6" t="n"/>
      <c r="F2336" s="6" t="n"/>
      <c r="G2336" s="6" t="n"/>
      <c r="H2336" s="10">
        <f>IF(F2336="","",IFERROR(INDEX(Roster!$A$2:$A$600,MATCH(F2336,Roster!$E$2:$E$600,0)),""))</f>
        <v/>
      </c>
      <c r="I2336" s="10">
        <f>IF(AND(D2336="",C2336="",F2336=""),"",IF(G2336&lt;&gt;"","Void",IF(F2336="","Needs child",IF(H2336="","Child not found",IF(OR(B2336="",NOT(ISNUMBER(C2336))),"Needs month/pages","OK")))))</f>
        <v/>
      </c>
      <c r="J2336" s="10">
        <f>IF(I2336="","",IF(I2336="OK",IF(COUNTIFS(H2337:H$3001,H2336,B2337:B$3001,B2336,G2337:G$3001,"")=0,C2336,0),0))</f>
        <v/>
      </c>
    </row>
    <row r="2337">
      <c r="A2337" s="6" t="n"/>
      <c r="B2337" s="9" t="n"/>
      <c r="C2337" s="6" t="n"/>
      <c r="D2337" s="6" t="n"/>
      <c r="E2337" s="6" t="n"/>
      <c r="F2337" s="6" t="n"/>
      <c r="G2337" s="6" t="n"/>
      <c r="H2337" s="10">
        <f>IF(F2337="","",IFERROR(INDEX(Roster!$A$2:$A$600,MATCH(F2337,Roster!$E$2:$E$600,0)),""))</f>
        <v/>
      </c>
      <c r="I2337" s="10">
        <f>IF(AND(D2337="",C2337="",F2337=""),"",IF(G2337&lt;&gt;"","Void",IF(F2337="","Needs child",IF(H2337="","Child not found",IF(OR(B2337="",NOT(ISNUMBER(C2337))),"Needs month/pages","OK")))))</f>
        <v/>
      </c>
      <c r="J2337" s="10">
        <f>IF(I2337="","",IF(I2337="OK",IF(COUNTIFS(H2338:H$3001,H2337,B2338:B$3001,B2337,G2338:G$3001,"")=0,C2337,0),0))</f>
        <v/>
      </c>
    </row>
    <row r="2338">
      <c r="A2338" s="6" t="n"/>
      <c r="B2338" s="9" t="n"/>
      <c r="C2338" s="6" t="n"/>
      <c r="D2338" s="6" t="n"/>
      <c r="E2338" s="6" t="n"/>
      <c r="F2338" s="6" t="n"/>
      <c r="G2338" s="6" t="n"/>
      <c r="H2338" s="10">
        <f>IF(F2338="","",IFERROR(INDEX(Roster!$A$2:$A$600,MATCH(F2338,Roster!$E$2:$E$600,0)),""))</f>
        <v/>
      </c>
      <c r="I2338" s="10">
        <f>IF(AND(D2338="",C2338="",F2338=""),"",IF(G2338&lt;&gt;"","Void",IF(F2338="","Needs child",IF(H2338="","Child not found",IF(OR(B2338="",NOT(ISNUMBER(C2338))),"Needs month/pages","OK")))))</f>
        <v/>
      </c>
      <c r="J2338" s="10">
        <f>IF(I2338="","",IF(I2338="OK",IF(COUNTIFS(H2339:H$3001,H2338,B2339:B$3001,B2338,G2339:G$3001,"")=0,C2338,0),0))</f>
        <v/>
      </c>
    </row>
    <row r="2339">
      <c r="A2339" s="6" t="n"/>
      <c r="B2339" s="9" t="n"/>
      <c r="C2339" s="6" t="n"/>
      <c r="D2339" s="6" t="n"/>
      <c r="E2339" s="6" t="n"/>
      <c r="F2339" s="6" t="n"/>
      <c r="G2339" s="6" t="n"/>
      <c r="H2339" s="10">
        <f>IF(F2339="","",IFERROR(INDEX(Roster!$A$2:$A$600,MATCH(F2339,Roster!$E$2:$E$600,0)),""))</f>
        <v/>
      </c>
      <c r="I2339" s="10">
        <f>IF(AND(D2339="",C2339="",F2339=""),"",IF(G2339&lt;&gt;"","Void",IF(F2339="","Needs child",IF(H2339="","Child not found",IF(OR(B2339="",NOT(ISNUMBER(C2339))),"Needs month/pages","OK")))))</f>
        <v/>
      </c>
      <c r="J2339" s="10">
        <f>IF(I2339="","",IF(I2339="OK",IF(COUNTIFS(H2340:H$3001,H2339,B2340:B$3001,B2339,G2340:G$3001,"")=0,C2339,0),0))</f>
        <v/>
      </c>
    </row>
    <row r="2340">
      <c r="A2340" s="6" t="n"/>
      <c r="B2340" s="9" t="n"/>
      <c r="C2340" s="6" t="n"/>
      <c r="D2340" s="6" t="n"/>
      <c r="E2340" s="6" t="n"/>
      <c r="F2340" s="6" t="n"/>
      <c r="G2340" s="6" t="n"/>
      <c r="H2340" s="10">
        <f>IF(F2340="","",IFERROR(INDEX(Roster!$A$2:$A$600,MATCH(F2340,Roster!$E$2:$E$600,0)),""))</f>
        <v/>
      </c>
      <c r="I2340" s="10">
        <f>IF(AND(D2340="",C2340="",F2340=""),"",IF(G2340&lt;&gt;"","Void",IF(F2340="","Needs child",IF(H2340="","Child not found",IF(OR(B2340="",NOT(ISNUMBER(C2340))),"Needs month/pages","OK")))))</f>
        <v/>
      </c>
      <c r="J2340" s="10">
        <f>IF(I2340="","",IF(I2340="OK",IF(COUNTIFS(H2341:H$3001,H2340,B2341:B$3001,B2340,G2341:G$3001,"")=0,C2340,0),0))</f>
        <v/>
      </c>
    </row>
    <row r="2341">
      <c r="A2341" s="6" t="n"/>
      <c r="B2341" s="9" t="n"/>
      <c r="C2341" s="6" t="n"/>
      <c r="D2341" s="6" t="n"/>
      <c r="E2341" s="6" t="n"/>
      <c r="F2341" s="6" t="n"/>
      <c r="G2341" s="6" t="n"/>
      <c r="H2341" s="10">
        <f>IF(F2341="","",IFERROR(INDEX(Roster!$A$2:$A$600,MATCH(F2341,Roster!$E$2:$E$600,0)),""))</f>
        <v/>
      </c>
      <c r="I2341" s="10">
        <f>IF(AND(D2341="",C2341="",F2341=""),"",IF(G2341&lt;&gt;"","Void",IF(F2341="","Needs child",IF(H2341="","Child not found",IF(OR(B2341="",NOT(ISNUMBER(C2341))),"Needs month/pages","OK")))))</f>
        <v/>
      </c>
      <c r="J2341" s="10">
        <f>IF(I2341="","",IF(I2341="OK",IF(COUNTIFS(H2342:H$3001,H2341,B2342:B$3001,B2341,G2342:G$3001,"")=0,C2341,0),0))</f>
        <v/>
      </c>
    </row>
    <row r="2342">
      <c r="A2342" s="6" t="n"/>
      <c r="B2342" s="9" t="n"/>
      <c r="C2342" s="6" t="n"/>
      <c r="D2342" s="6" t="n"/>
      <c r="E2342" s="6" t="n"/>
      <c r="F2342" s="6" t="n"/>
      <c r="G2342" s="6" t="n"/>
      <c r="H2342" s="10">
        <f>IF(F2342="","",IFERROR(INDEX(Roster!$A$2:$A$600,MATCH(F2342,Roster!$E$2:$E$600,0)),""))</f>
        <v/>
      </c>
      <c r="I2342" s="10">
        <f>IF(AND(D2342="",C2342="",F2342=""),"",IF(G2342&lt;&gt;"","Void",IF(F2342="","Needs child",IF(H2342="","Child not found",IF(OR(B2342="",NOT(ISNUMBER(C2342))),"Needs month/pages","OK")))))</f>
        <v/>
      </c>
      <c r="J2342" s="10">
        <f>IF(I2342="","",IF(I2342="OK",IF(COUNTIFS(H2343:H$3001,H2342,B2343:B$3001,B2342,G2343:G$3001,"")=0,C2342,0),0))</f>
        <v/>
      </c>
    </row>
    <row r="2343">
      <c r="A2343" s="6" t="n"/>
      <c r="B2343" s="9" t="n"/>
      <c r="C2343" s="6" t="n"/>
      <c r="D2343" s="6" t="n"/>
      <c r="E2343" s="6" t="n"/>
      <c r="F2343" s="6" t="n"/>
      <c r="G2343" s="6" t="n"/>
      <c r="H2343" s="10">
        <f>IF(F2343="","",IFERROR(INDEX(Roster!$A$2:$A$600,MATCH(F2343,Roster!$E$2:$E$600,0)),""))</f>
        <v/>
      </c>
      <c r="I2343" s="10">
        <f>IF(AND(D2343="",C2343="",F2343=""),"",IF(G2343&lt;&gt;"","Void",IF(F2343="","Needs child",IF(H2343="","Child not found",IF(OR(B2343="",NOT(ISNUMBER(C2343))),"Needs month/pages","OK")))))</f>
        <v/>
      </c>
      <c r="J2343" s="10">
        <f>IF(I2343="","",IF(I2343="OK",IF(COUNTIFS(H2344:H$3001,H2343,B2344:B$3001,B2343,G2344:G$3001,"")=0,C2343,0),0))</f>
        <v/>
      </c>
    </row>
    <row r="2344">
      <c r="A2344" s="6" t="n"/>
      <c r="B2344" s="9" t="n"/>
      <c r="C2344" s="6" t="n"/>
      <c r="D2344" s="6" t="n"/>
      <c r="E2344" s="6" t="n"/>
      <c r="F2344" s="6" t="n"/>
      <c r="G2344" s="6" t="n"/>
      <c r="H2344" s="10">
        <f>IF(F2344="","",IFERROR(INDEX(Roster!$A$2:$A$600,MATCH(F2344,Roster!$E$2:$E$600,0)),""))</f>
        <v/>
      </c>
      <c r="I2344" s="10">
        <f>IF(AND(D2344="",C2344="",F2344=""),"",IF(G2344&lt;&gt;"","Void",IF(F2344="","Needs child",IF(H2344="","Child not found",IF(OR(B2344="",NOT(ISNUMBER(C2344))),"Needs month/pages","OK")))))</f>
        <v/>
      </c>
      <c r="J2344" s="10">
        <f>IF(I2344="","",IF(I2344="OK",IF(COUNTIFS(H2345:H$3001,H2344,B2345:B$3001,B2344,G2345:G$3001,"")=0,C2344,0),0))</f>
        <v/>
      </c>
    </row>
    <row r="2345">
      <c r="A2345" s="6" t="n"/>
      <c r="B2345" s="9" t="n"/>
      <c r="C2345" s="6" t="n"/>
      <c r="D2345" s="6" t="n"/>
      <c r="E2345" s="6" t="n"/>
      <c r="F2345" s="6" t="n"/>
      <c r="G2345" s="6" t="n"/>
      <c r="H2345" s="10">
        <f>IF(F2345="","",IFERROR(INDEX(Roster!$A$2:$A$600,MATCH(F2345,Roster!$E$2:$E$600,0)),""))</f>
        <v/>
      </c>
      <c r="I2345" s="10">
        <f>IF(AND(D2345="",C2345="",F2345=""),"",IF(G2345&lt;&gt;"","Void",IF(F2345="","Needs child",IF(H2345="","Child not found",IF(OR(B2345="",NOT(ISNUMBER(C2345))),"Needs month/pages","OK")))))</f>
        <v/>
      </c>
      <c r="J2345" s="10">
        <f>IF(I2345="","",IF(I2345="OK",IF(COUNTIFS(H2346:H$3001,H2345,B2346:B$3001,B2345,G2346:G$3001,"")=0,C2345,0),0))</f>
        <v/>
      </c>
    </row>
    <row r="2346">
      <c r="A2346" s="6" t="n"/>
      <c r="B2346" s="9" t="n"/>
      <c r="C2346" s="6" t="n"/>
      <c r="D2346" s="6" t="n"/>
      <c r="E2346" s="6" t="n"/>
      <c r="F2346" s="6" t="n"/>
      <c r="G2346" s="6" t="n"/>
      <c r="H2346" s="10">
        <f>IF(F2346="","",IFERROR(INDEX(Roster!$A$2:$A$600,MATCH(F2346,Roster!$E$2:$E$600,0)),""))</f>
        <v/>
      </c>
      <c r="I2346" s="10">
        <f>IF(AND(D2346="",C2346="",F2346=""),"",IF(G2346&lt;&gt;"","Void",IF(F2346="","Needs child",IF(H2346="","Child not found",IF(OR(B2346="",NOT(ISNUMBER(C2346))),"Needs month/pages","OK")))))</f>
        <v/>
      </c>
      <c r="J2346" s="10">
        <f>IF(I2346="","",IF(I2346="OK",IF(COUNTIFS(H2347:H$3001,H2346,B2347:B$3001,B2346,G2347:G$3001,"")=0,C2346,0),0))</f>
        <v/>
      </c>
    </row>
    <row r="2347">
      <c r="A2347" s="6" t="n"/>
      <c r="B2347" s="9" t="n"/>
      <c r="C2347" s="6" t="n"/>
      <c r="D2347" s="6" t="n"/>
      <c r="E2347" s="6" t="n"/>
      <c r="F2347" s="6" t="n"/>
      <c r="G2347" s="6" t="n"/>
      <c r="H2347" s="10">
        <f>IF(F2347="","",IFERROR(INDEX(Roster!$A$2:$A$600,MATCH(F2347,Roster!$E$2:$E$600,0)),""))</f>
        <v/>
      </c>
      <c r="I2347" s="10">
        <f>IF(AND(D2347="",C2347="",F2347=""),"",IF(G2347&lt;&gt;"","Void",IF(F2347="","Needs child",IF(H2347="","Child not found",IF(OR(B2347="",NOT(ISNUMBER(C2347))),"Needs month/pages","OK")))))</f>
        <v/>
      </c>
      <c r="J2347" s="10">
        <f>IF(I2347="","",IF(I2347="OK",IF(COUNTIFS(H2348:H$3001,H2347,B2348:B$3001,B2347,G2348:G$3001,"")=0,C2347,0),0))</f>
        <v/>
      </c>
    </row>
    <row r="2348">
      <c r="A2348" s="6" t="n"/>
      <c r="B2348" s="9" t="n"/>
      <c r="C2348" s="6" t="n"/>
      <c r="D2348" s="6" t="n"/>
      <c r="E2348" s="6" t="n"/>
      <c r="F2348" s="6" t="n"/>
      <c r="G2348" s="6" t="n"/>
      <c r="H2348" s="10">
        <f>IF(F2348="","",IFERROR(INDEX(Roster!$A$2:$A$600,MATCH(F2348,Roster!$E$2:$E$600,0)),""))</f>
        <v/>
      </c>
      <c r="I2348" s="10">
        <f>IF(AND(D2348="",C2348="",F2348=""),"",IF(G2348&lt;&gt;"","Void",IF(F2348="","Needs child",IF(H2348="","Child not found",IF(OR(B2348="",NOT(ISNUMBER(C2348))),"Needs month/pages","OK")))))</f>
        <v/>
      </c>
      <c r="J2348" s="10">
        <f>IF(I2348="","",IF(I2348="OK",IF(COUNTIFS(H2349:H$3001,H2348,B2349:B$3001,B2348,G2349:G$3001,"")=0,C2348,0),0))</f>
        <v/>
      </c>
    </row>
    <row r="2349">
      <c r="A2349" s="6" t="n"/>
      <c r="B2349" s="9" t="n"/>
      <c r="C2349" s="6" t="n"/>
      <c r="D2349" s="6" t="n"/>
      <c r="E2349" s="6" t="n"/>
      <c r="F2349" s="6" t="n"/>
      <c r="G2349" s="6" t="n"/>
      <c r="H2349" s="10">
        <f>IF(F2349="","",IFERROR(INDEX(Roster!$A$2:$A$600,MATCH(F2349,Roster!$E$2:$E$600,0)),""))</f>
        <v/>
      </c>
      <c r="I2349" s="10">
        <f>IF(AND(D2349="",C2349="",F2349=""),"",IF(G2349&lt;&gt;"","Void",IF(F2349="","Needs child",IF(H2349="","Child not found",IF(OR(B2349="",NOT(ISNUMBER(C2349))),"Needs month/pages","OK")))))</f>
        <v/>
      </c>
      <c r="J2349" s="10">
        <f>IF(I2349="","",IF(I2349="OK",IF(COUNTIFS(H2350:H$3001,H2349,B2350:B$3001,B2349,G2350:G$3001,"")=0,C2349,0),0))</f>
        <v/>
      </c>
    </row>
    <row r="2350">
      <c r="A2350" s="6" t="n"/>
      <c r="B2350" s="9" t="n"/>
      <c r="C2350" s="6" t="n"/>
      <c r="D2350" s="6" t="n"/>
      <c r="E2350" s="6" t="n"/>
      <c r="F2350" s="6" t="n"/>
      <c r="G2350" s="6" t="n"/>
      <c r="H2350" s="10">
        <f>IF(F2350="","",IFERROR(INDEX(Roster!$A$2:$A$600,MATCH(F2350,Roster!$E$2:$E$600,0)),""))</f>
        <v/>
      </c>
      <c r="I2350" s="10">
        <f>IF(AND(D2350="",C2350="",F2350=""),"",IF(G2350&lt;&gt;"","Void",IF(F2350="","Needs child",IF(H2350="","Child not found",IF(OR(B2350="",NOT(ISNUMBER(C2350))),"Needs month/pages","OK")))))</f>
        <v/>
      </c>
      <c r="J2350" s="10">
        <f>IF(I2350="","",IF(I2350="OK",IF(COUNTIFS(H2351:H$3001,H2350,B2351:B$3001,B2350,G2351:G$3001,"")=0,C2350,0),0))</f>
        <v/>
      </c>
    </row>
    <row r="2351">
      <c r="A2351" s="6" t="n"/>
      <c r="B2351" s="9" t="n"/>
      <c r="C2351" s="6" t="n"/>
      <c r="D2351" s="6" t="n"/>
      <c r="E2351" s="6" t="n"/>
      <c r="F2351" s="6" t="n"/>
      <c r="G2351" s="6" t="n"/>
      <c r="H2351" s="10">
        <f>IF(F2351="","",IFERROR(INDEX(Roster!$A$2:$A$600,MATCH(F2351,Roster!$E$2:$E$600,0)),""))</f>
        <v/>
      </c>
      <c r="I2351" s="10">
        <f>IF(AND(D2351="",C2351="",F2351=""),"",IF(G2351&lt;&gt;"","Void",IF(F2351="","Needs child",IF(H2351="","Child not found",IF(OR(B2351="",NOT(ISNUMBER(C2351))),"Needs month/pages","OK")))))</f>
        <v/>
      </c>
      <c r="J2351" s="10">
        <f>IF(I2351="","",IF(I2351="OK",IF(COUNTIFS(H2352:H$3001,H2351,B2352:B$3001,B2351,G2352:G$3001,"")=0,C2351,0),0))</f>
        <v/>
      </c>
    </row>
    <row r="2352">
      <c r="A2352" s="6" t="n"/>
      <c r="B2352" s="9" t="n"/>
      <c r="C2352" s="6" t="n"/>
      <c r="D2352" s="6" t="n"/>
      <c r="E2352" s="6" t="n"/>
      <c r="F2352" s="6" t="n"/>
      <c r="G2352" s="6" t="n"/>
      <c r="H2352" s="10">
        <f>IF(F2352="","",IFERROR(INDEX(Roster!$A$2:$A$600,MATCH(F2352,Roster!$E$2:$E$600,0)),""))</f>
        <v/>
      </c>
      <c r="I2352" s="10">
        <f>IF(AND(D2352="",C2352="",F2352=""),"",IF(G2352&lt;&gt;"","Void",IF(F2352="","Needs child",IF(H2352="","Child not found",IF(OR(B2352="",NOT(ISNUMBER(C2352))),"Needs month/pages","OK")))))</f>
        <v/>
      </c>
      <c r="J2352" s="10">
        <f>IF(I2352="","",IF(I2352="OK",IF(COUNTIFS(H2353:H$3001,H2352,B2353:B$3001,B2352,G2353:G$3001,"")=0,C2352,0),0))</f>
        <v/>
      </c>
    </row>
    <row r="2353">
      <c r="A2353" s="6" t="n"/>
      <c r="B2353" s="9" t="n"/>
      <c r="C2353" s="6" t="n"/>
      <c r="D2353" s="6" t="n"/>
      <c r="E2353" s="6" t="n"/>
      <c r="F2353" s="6" t="n"/>
      <c r="G2353" s="6" t="n"/>
      <c r="H2353" s="10">
        <f>IF(F2353="","",IFERROR(INDEX(Roster!$A$2:$A$600,MATCH(F2353,Roster!$E$2:$E$600,0)),""))</f>
        <v/>
      </c>
      <c r="I2353" s="10">
        <f>IF(AND(D2353="",C2353="",F2353=""),"",IF(G2353&lt;&gt;"","Void",IF(F2353="","Needs child",IF(H2353="","Child not found",IF(OR(B2353="",NOT(ISNUMBER(C2353))),"Needs month/pages","OK")))))</f>
        <v/>
      </c>
      <c r="J2353" s="10">
        <f>IF(I2353="","",IF(I2353="OK",IF(COUNTIFS(H2354:H$3001,H2353,B2354:B$3001,B2353,G2354:G$3001,"")=0,C2353,0),0))</f>
        <v/>
      </c>
    </row>
    <row r="2354">
      <c r="A2354" s="6" t="n"/>
      <c r="B2354" s="9" t="n"/>
      <c r="C2354" s="6" t="n"/>
      <c r="D2354" s="6" t="n"/>
      <c r="E2354" s="6" t="n"/>
      <c r="F2354" s="6" t="n"/>
      <c r="G2354" s="6" t="n"/>
      <c r="H2354" s="10">
        <f>IF(F2354="","",IFERROR(INDEX(Roster!$A$2:$A$600,MATCH(F2354,Roster!$E$2:$E$600,0)),""))</f>
        <v/>
      </c>
      <c r="I2354" s="10">
        <f>IF(AND(D2354="",C2354="",F2354=""),"",IF(G2354&lt;&gt;"","Void",IF(F2354="","Needs child",IF(H2354="","Child not found",IF(OR(B2354="",NOT(ISNUMBER(C2354))),"Needs month/pages","OK")))))</f>
        <v/>
      </c>
      <c r="J2354" s="10">
        <f>IF(I2354="","",IF(I2354="OK",IF(COUNTIFS(H2355:H$3001,H2354,B2355:B$3001,B2354,G2355:G$3001,"")=0,C2354,0),0))</f>
        <v/>
      </c>
    </row>
    <row r="2355">
      <c r="A2355" s="6" t="n"/>
      <c r="B2355" s="9" t="n"/>
      <c r="C2355" s="6" t="n"/>
      <c r="D2355" s="6" t="n"/>
      <c r="E2355" s="6" t="n"/>
      <c r="F2355" s="6" t="n"/>
      <c r="G2355" s="6" t="n"/>
      <c r="H2355" s="10">
        <f>IF(F2355="","",IFERROR(INDEX(Roster!$A$2:$A$600,MATCH(F2355,Roster!$E$2:$E$600,0)),""))</f>
        <v/>
      </c>
      <c r="I2355" s="10">
        <f>IF(AND(D2355="",C2355="",F2355=""),"",IF(G2355&lt;&gt;"","Void",IF(F2355="","Needs child",IF(H2355="","Child not found",IF(OR(B2355="",NOT(ISNUMBER(C2355))),"Needs month/pages","OK")))))</f>
        <v/>
      </c>
      <c r="J2355" s="10">
        <f>IF(I2355="","",IF(I2355="OK",IF(COUNTIFS(H2356:H$3001,H2355,B2356:B$3001,B2355,G2356:G$3001,"")=0,C2355,0),0))</f>
        <v/>
      </c>
    </row>
    <row r="2356">
      <c r="A2356" s="6" t="n"/>
      <c r="B2356" s="9" t="n"/>
      <c r="C2356" s="6" t="n"/>
      <c r="D2356" s="6" t="n"/>
      <c r="E2356" s="6" t="n"/>
      <c r="F2356" s="6" t="n"/>
      <c r="G2356" s="6" t="n"/>
      <c r="H2356" s="10">
        <f>IF(F2356="","",IFERROR(INDEX(Roster!$A$2:$A$600,MATCH(F2356,Roster!$E$2:$E$600,0)),""))</f>
        <v/>
      </c>
      <c r="I2356" s="10">
        <f>IF(AND(D2356="",C2356="",F2356=""),"",IF(G2356&lt;&gt;"","Void",IF(F2356="","Needs child",IF(H2356="","Child not found",IF(OR(B2356="",NOT(ISNUMBER(C2356))),"Needs month/pages","OK")))))</f>
        <v/>
      </c>
      <c r="J2356" s="10">
        <f>IF(I2356="","",IF(I2356="OK",IF(COUNTIFS(H2357:H$3001,H2356,B2357:B$3001,B2356,G2357:G$3001,"")=0,C2356,0),0))</f>
        <v/>
      </c>
    </row>
    <row r="2357">
      <c r="A2357" s="6" t="n"/>
      <c r="B2357" s="9" t="n"/>
      <c r="C2357" s="6" t="n"/>
      <c r="D2357" s="6" t="n"/>
      <c r="E2357" s="6" t="n"/>
      <c r="F2357" s="6" t="n"/>
      <c r="G2357" s="6" t="n"/>
      <c r="H2357" s="10">
        <f>IF(F2357="","",IFERROR(INDEX(Roster!$A$2:$A$600,MATCH(F2357,Roster!$E$2:$E$600,0)),""))</f>
        <v/>
      </c>
      <c r="I2357" s="10">
        <f>IF(AND(D2357="",C2357="",F2357=""),"",IF(G2357&lt;&gt;"","Void",IF(F2357="","Needs child",IF(H2357="","Child not found",IF(OR(B2357="",NOT(ISNUMBER(C2357))),"Needs month/pages","OK")))))</f>
        <v/>
      </c>
      <c r="J2357" s="10">
        <f>IF(I2357="","",IF(I2357="OK",IF(COUNTIFS(H2358:H$3001,H2357,B2358:B$3001,B2357,G2358:G$3001,"")=0,C2357,0),0))</f>
        <v/>
      </c>
    </row>
    <row r="2358">
      <c r="A2358" s="6" t="n"/>
      <c r="B2358" s="9" t="n"/>
      <c r="C2358" s="6" t="n"/>
      <c r="D2358" s="6" t="n"/>
      <c r="E2358" s="6" t="n"/>
      <c r="F2358" s="6" t="n"/>
      <c r="G2358" s="6" t="n"/>
      <c r="H2358" s="10">
        <f>IF(F2358="","",IFERROR(INDEX(Roster!$A$2:$A$600,MATCH(F2358,Roster!$E$2:$E$600,0)),""))</f>
        <v/>
      </c>
      <c r="I2358" s="10">
        <f>IF(AND(D2358="",C2358="",F2358=""),"",IF(G2358&lt;&gt;"","Void",IF(F2358="","Needs child",IF(H2358="","Child not found",IF(OR(B2358="",NOT(ISNUMBER(C2358))),"Needs month/pages","OK")))))</f>
        <v/>
      </c>
      <c r="J2358" s="10">
        <f>IF(I2358="","",IF(I2358="OK",IF(COUNTIFS(H2359:H$3001,H2358,B2359:B$3001,B2358,G2359:G$3001,"")=0,C2358,0),0))</f>
        <v/>
      </c>
    </row>
    <row r="2359">
      <c r="A2359" s="6" t="n"/>
      <c r="B2359" s="9" t="n"/>
      <c r="C2359" s="6" t="n"/>
      <c r="D2359" s="6" t="n"/>
      <c r="E2359" s="6" t="n"/>
      <c r="F2359" s="6" t="n"/>
      <c r="G2359" s="6" t="n"/>
      <c r="H2359" s="10">
        <f>IF(F2359="","",IFERROR(INDEX(Roster!$A$2:$A$600,MATCH(F2359,Roster!$E$2:$E$600,0)),""))</f>
        <v/>
      </c>
      <c r="I2359" s="10">
        <f>IF(AND(D2359="",C2359="",F2359=""),"",IF(G2359&lt;&gt;"","Void",IF(F2359="","Needs child",IF(H2359="","Child not found",IF(OR(B2359="",NOT(ISNUMBER(C2359))),"Needs month/pages","OK")))))</f>
        <v/>
      </c>
      <c r="J2359" s="10">
        <f>IF(I2359="","",IF(I2359="OK",IF(COUNTIFS(H2360:H$3001,H2359,B2360:B$3001,B2359,G2360:G$3001,"")=0,C2359,0),0))</f>
        <v/>
      </c>
    </row>
    <row r="2360">
      <c r="A2360" s="6" t="n"/>
      <c r="B2360" s="9" t="n"/>
      <c r="C2360" s="6" t="n"/>
      <c r="D2360" s="6" t="n"/>
      <c r="E2360" s="6" t="n"/>
      <c r="F2360" s="6" t="n"/>
      <c r="G2360" s="6" t="n"/>
      <c r="H2360" s="10">
        <f>IF(F2360="","",IFERROR(INDEX(Roster!$A$2:$A$600,MATCH(F2360,Roster!$E$2:$E$600,0)),""))</f>
        <v/>
      </c>
      <c r="I2360" s="10">
        <f>IF(AND(D2360="",C2360="",F2360=""),"",IF(G2360&lt;&gt;"","Void",IF(F2360="","Needs child",IF(H2360="","Child not found",IF(OR(B2360="",NOT(ISNUMBER(C2360))),"Needs month/pages","OK")))))</f>
        <v/>
      </c>
      <c r="J2360" s="10">
        <f>IF(I2360="","",IF(I2360="OK",IF(COUNTIFS(H2361:H$3001,H2360,B2361:B$3001,B2360,G2361:G$3001,"")=0,C2360,0),0))</f>
        <v/>
      </c>
    </row>
    <row r="2361">
      <c r="A2361" s="6" t="n"/>
      <c r="B2361" s="9" t="n"/>
      <c r="C2361" s="6" t="n"/>
      <c r="D2361" s="6" t="n"/>
      <c r="E2361" s="6" t="n"/>
      <c r="F2361" s="6" t="n"/>
      <c r="G2361" s="6" t="n"/>
      <c r="H2361" s="10">
        <f>IF(F2361="","",IFERROR(INDEX(Roster!$A$2:$A$600,MATCH(F2361,Roster!$E$2:$E$600,0)),""))</f>
        <v/>
      </c>
      <c r="I2361" s="10">
        <f>IF(AND(D2361="",C2361="",F2361=""),"",IF(G2361&lt;&gt;"","Void",IF(F2361="","Needs child",IF(H2361="","Child not found",IF(OR(B2361="",NOT(ISNUMBER(C2361))),"Needs month/pages","OK")))))</f>
        <v/>
      </c>
      <c r="J2361" s="10">
        <f>IF(I2361="","",IF(I2361="OK",IF(COUNTIFS(H2362:H$3001,H2361,B2362:B$3001,B2361,G2362:G$3001,"")=0,C2361,0),0))</f>
        <v/>
      </c>
    </row>
    <row r="2362">
      <c r="A2362" s="6" t="n"/>
      <c r="B2362" s="9" t="n"/>
      <c r="C2362" s="6" t="n"/>
      <c r="D2362" s="6" t="n"/>
      <c r="E2362" s="6" t="n"/>
      <c r="F2362" s="6" t="n"/>
      <c r="G2362" s="6" t="n"/>
      <c r="H2362" s="10">
        <f>IF(F2362="","",IFERROR(INDEX(Roster!$A$2:$A$600,MATCH(F2362,Roster!$E$2:$E$600,0)),""))</f>
        <v/>
      </c>
      <c r="I2362" s="10">
        <f>IF(AND(D2362="",C2362="",F2362=""),"",IF(G2362&lt;&gt;"","Void",IF(F2362="","Needs child",IF(H2362="","Child not found",IF(OR(B2362="",NOT(ISNUMBER(C2362))),"Needs month/pages","OK")))))</f>
        <v/>
      </c>
      <c r="J2362" s="10">
        <f>IF(I2362="","",IF(I2362="OK",IF(COUNTIFS(H2363:H$3001,H2362,B2363:B$3001,B2362,G2363:G$3001,"")=0,C2362,0),0))</f>
        <v/>
      </c>
    </row>
    <row r="2363">
      <c r="A2363" s="6" t="n"/>
      <c r="B2363" s="9" t="n"/>
      <c r="C2363" s="6" t="n"/>
      <c r="D2363" s="6" t="n"/>
      <c r="E2363" s="6" t="n"/>
      <c r="F2363" s="6" t="n"/>
      <c r="G2363" s="6" t="n"/>
      <c r="H2363" s="10">
        <f>IF(F2363="","",IFERROR(INDEX(Roster!$A$2:$A$600,MATCH(F2363,Roster!$E$2:$E$600,0)),""))</f>
        <v/>
      </c>
      <c r="I2363" s="10">
        <f>IF(AND(D2363="",C2363="",F2363=""),"",IF(G2363&lt;&gt;"","Void",IF(F2363="","Needs child",IF(H2363="","Child not found",IF(OR(B2363="",NOT(ISNUMBER(C2363))),"Needs month/pages","OK")))))</f>
        <v/>
      </c>
      <c r="J2363" s="10">
        <f>IF(I2363="","",IF(I2363="OK",IF(COUNTIFS(H2364:H$3001,H2363,B2364:B$3001,B2363,G2364:G$3001,"")=0,C2363,0),0))</f>
        <v/>
      </c>
    </row>
    <row r="2364">
      <c r="A2364" s="6" t="n"/>
      <c r="B2364" s="9" t="n"/>
      <c r="C2364" s="6" t="n"/>
      <c r="D2364" s="6" t="n"/>
      <c r="E2364" s="6" t="n"/>
      <c r="F2364" s="6" t="n"/>
      <c r="G2364" s="6" t="n"/>
      <c r="H2364" s="10">
        <f>IF(F2364="","",IFERROR(INDEX(Roster!$A$2:$A$600,MATCH(F2364,Roster!$E$2:$E$600,0)),""))</f>
        <v/>
      </c>
      <c r="I2364" s="10">
        <f>IF(AND(D2364="",C2364="",F2364=""),"",IF(G2364&lt;&gt;"","Void",IF(F2364="","Needs child",IF(H2364="","Child not found",IF(OR(B2364="",NOT(ISNUMBER(C2364))),"Needs month/pages","OK")))))</f>
        <v/>
      </c>
      <c r="J2364" s="10">
        <f>IF(I2364="","",IF(I2364="OK",IF(COUNTIFS(H2365:H$3001,H2364,B2365:B$3001,B2364,G2365:G$3001,"")=0,C2364,0),0))</f>
        <v/>
      </c>
    </row>
    <row r="2365">
      <c r="A2365" s="6" t="n"/>
      <c r="B2365" s="9" t="n"/>
      <c r="C2365" s="6" t="n"/>
      <c r="D2365" s="6" t="n"/>
      <c r="E2365" s="6" t="n"/>
      <c r="F2365" s="6" t="n"/>
      <c r="G2365" s="6" t="n"/>
      <c r="H2365" s="10">
        <f>IF(F2365="","",IFERROR(INDEX(Roster!$A$2:$A$600,MATCH(F2365,Roster!$E$2:$E$600,0)),""))</f>
        <v/>
      </c>
      <c r="I2365" s="10">
        <f>IF(AND(D2365="",C2365="",F2365=""),"",IF(G2365&lt;&gt;"","Void",IF(F2365="","Needs child",IF(H2365="","Child not found",IF(OR(B2365="",NOT(ISNUMBER(C2365))),"Needs month/pages","OK")))))</f>
        <v/>
      </c>
      <c r="J2365" s="10">
        <f>IF(I2365="","",IF(I2365="OK",IF(COUNTIFS(H2366:H$3001,H2365,B2366:B$3001,B2365,G2366:G$3001,"")=0,C2365,0),0))</f>
        <v/>
      </c>
    </row>
    <row r="2366">
      <c r="A2366" s="6" t="n"/>
      <c r="B2366" s="9" t="n"/>
      <c r="C2366" s="6" t="n"/>
      <c r="D2366" s="6" t="n"/>
      <c r="E2366" s="6" t="n"/>
      <c r="F2366" s="6" t="n"/>
      <c r="G2366" s="6" t="n"/>
      <c r="H2366" s="10">
        <f>IF(F2366="","",IFERROR(INDEX(Roster!$A$2:$A$600,MATCH(F2366,Roster!$E$2:$E$600,0)),""))</f>
        <v/>
      </c>
      <c r="I2366" s="10">
        <f>IF(AND(D2366="",C2366="",F2366=""),"",IF(G2366&lt;&gt;"","Void",IF(F2366="","Needs child",IF(H2366="","Child not found",IF(OR(B2366="",NOT(ISNUMBER(C2366))),"Needs month/pages","OK")))))</f>
        <v/>
      </c>
      <c r="J2366" s="10">
        <f>IF(I2366="","",IF(I2366="OK",IF(COUNTIFS(H2367:H$3001,H2366,B2367:B$3001,B2366,G2367:G$3001,"")=0,C2366,0),0))</f>
        <v/>
      </c>
    </row>
    <row r="2367">
      <c r="A2367" s="6" t="n"/>
      <c r="B2367" s="9" t="n"/>
      <c r="C2367" s="6" t="n"/>
      <c r="D2367" s="6" t="n"/>
      <c r="E2367" s="6" t="n"/>
      <c r="F2367" s="6" t="n"/>
      <c r="G2367" s="6" t="n"/>
      <c r="H2367" s="10">
        <f>IF(F2367="","",IFERROR(INDEX(Roster!$A$2:$A$600,MATCH(F2367,Roster!$E$2:$E$600,0)),""))</f>
        <v/>
      </c>
      <c r="I2367" s="10">
        <f>IF(AND(D2367="",C2367="",F2367=""),"",IF(G2367&lt;&gt;"","Void",IF(F2367="","Needs child",IF(H2367="","Child not found",IF(OR(B2367="",NOT(ISNUMBER(C2367))),"Needs month/pages","OK")))))</f>
        <v/>
      </c>
      <c r="J2367" s="10">
        <f>IF(I2367="","",IF(I2367="OK",IF(COUNTIFS(H2368:H$3001,H2367,B2368:B$3001,B2367,G2368:G$3001,"")=0,C2367,0),0))</f>
        <v/>
      </c>
    </row>
    <row r="2368">
      <c r="A2368" s="6" t="n"/>
      <c r="B2368" s="9" t="n"/>
      <c r="C2368" s="6" t="n"/>
      <c r="D2368" s="6" t="n"/>
      <c r="E2368" s="6" t="n"/>
      <c r="F2368" s="6" t="n"/>
      <c r="G2368" s="6" t="n"/>
      <c r="H2368" s="10">
        <f>IF(F2368="","",IFERROR(INDEX(Roster!$A$2:$A$600,MATCH(F2368,Roster!$E$2:$E$600,0)),""))</f>
        <v/>
      </c>
      <c r="I2368" s="10">
        <f>IF(AND(D2368="",C2368="",F2368=""),"",IF(G2368&lt;&gt;"","Void",IF(F2368="","Needs child",IF(H2368="","Child not found",IF(OR(B2368="",NOT(ISNUMBER(C2368))),"Needs month/pages","OK")))))</f>
        <v/>
      </c>
      <c r="J2368" s="10">
        <f>IF(I2368="","",IF(I2368="OK",IF(COUNTIFS(H2369:H$3001,H2368,B2369:B$3001,B2368,G2369:G$3001,"")=0,C2368,0),0))</f>
        <v/>
      </c>
    </row>
    <row r="2369">
      <c r="A2369" s="6" t="n"/>
      <c r="B2369" s="9" t="n"/>
      <c r="C2369" s="6" t="n"/>
      <c r="D2369" s="6" t="n"/>
      <c r="E2369" s="6" t="n"/>
      <c r="F2369" s="6" t="n"/>
      <c r="G2369" s="6" t="n"/>
      <c r="H2369" s="10">
        <f>IF(F2369="","",IFERROR(INDEX(Roster!$A$2:$A$600,MATCH(F2369,Roster!$E$2:$E$600,0)),""))</f>
        <v/>
      </c>
      <c r="I2369" s="10">
        <f>IF(AND(D2369="",C2369="",F2369=""),"",IF(G2369&lt;&gt;"","Void",IF(F2369="","Needs child",IF(H2369="","Child not found",IF(OR(B2369="",NOT(ISNUMBER(C2369))),"Needs month/pages","OK")))))</f>
        <v/>
      </c>
      <c r="J2369" s="10">
        <f>IF(I2369="","",IF(I2369="OK",IF(COUNTIFS(H2370:H$3001,H2369,B2370:B$3001,B2369,G2370:G$3001,"")=0,C2369,0),0))</f>
        <v/>
      </c>
    </row>
    <row r="2370">
      <c r="A2370" s="6" t="n"/>
      <c r="B2370" s="9" t="n"/>
      <c r="C2370" s="6" t="n"/>
      <c r="D2370" s="6" t="n"/>
      <c r="E2370" s="6" t="n"/>
      <c r="F2370" s="6" t="n"/>
      <c r="G2370" s="6" t="n"/>
      <c r="H2370" s="10">
        <f>IF(F2370="","",IFERROR(INDEX(Roster!$A$2:$A$600,MATCH(F2370,Roster!$E$2:$E$600,0)),""))</f>
        <v/>
      </c>
      <c r="I2370" s="10">
        <f>IF(AND(D2370="",C2370="",F2370=""),"",IF(G2370&lt;&gt;"","Void",IF(F2370="","Needs child",IF(H2370="","Child not found",IF(OR(B2370="",NOT(ISNUMBER(C2370))),"Needs month/pages","OK")))))</f>
        <v/>
      </c>
      <c r="J2370" s="10">
        <f>IF(I2370="","",IF(I2370="OK",IF(COUNTIFS(H2371:H$3001,H2370,B2371:B$3001,B2370,G2371:G$3001,"")=0,C2370,0),0))</f>
        <v/>
      </c>
    </row>
    <row r="2371">
      <c r="A2371" s="6" t="n"/>
      <c r="B2371" s="9" t="n"/>
      <c r="C2371" s="6" t="n"/>
      <c r="D2371" s="6" t="n"/>
      <c r="E2371" s="6" t="n"/>
      <c r="F2371" s="6" t="n"/>
      <c r="G2371" s="6" t="n"/>
      <c r="H2371" s="10">
        <f>IF(F2371="","",IFERROR(INDEX(Roster!$A$2:$A$600,MATCH(F2371,Roster!$E$2:$E$600,0)),""))</f>
        <v/>
      </c>
      <c r="I2371" s="10">
        <f>IF(AND(D2371="",C2371="",F2371=""),"",IF(G2371&lt;&gt;"","Void",IF(F2371="","Needs child",IF(H2371="","Child not found",IF(OR(B2371="",NOT(ISNUMBER(C2371))),"Needs month/pages","OK")))))</f>
        <v/>
      </c>
      <c r="J2371" s="10">
        <f>IF(I2371="","",IF(I2371="OK",IF(COUNTIFS(H2372:H$3001,H2371,B2372:B$3001,B2371,G2372:G$3001,"")=0,C2371,0),0))</f>
        <v/>
      </c>
    </row>
    <row r="2372">
      <c r="A2372" s="6" t="n"/>
      <c r="B2372" s="9" t="n"/>
      <c r="C2372" s="6" t="n"/>
      <c r="D2372" s="6" t="n"/>
      <c r="E2372" s="6" t="n"/>
      <c r="F2372" s="6" t="n"/>
      <c r="G2372" s="6" t="n"/>
      <c r="H2372" s="10">
        <f>IF(F2372="","",IFERROR(INDEX(Roster!$A$2:$A$600,MATCH(F2372,Roster!$E$2:$E$600,0)),""))</f>
        <v/>
      </c>
      <c r="I2372" s="10">
        <f>IF(AND(D2372="",C2372="",F2372=""),"",IF(G2372&lt;&gt;"","Void",IF(F2372="","Needs child",IF(H2372="","Child not found",IF(OR(B2372="",NOT(ISNUMBER(C2372))),"Needs month/pages","OK")))))</f>
        <v/>
      </c>
      <c r="J2372" s="10">
        <f>IF(I2372="","",IF(I2372="OK",IF(COUNTIFS(H2373:H$3001,H2372,B2373:B$3001,B2372,G2373:G$3001,"")=0,C2372,0),0))</f>
        <v/>
      </c>
    </row>
    <row r="2373">
      <c r="A2373" s="6" t="n"/>
      <c r="B2373" s="9" t="n"/>
      <c r="C2373" s="6" t="n"/>
      <c r="D2373" s="6" t="n"/>
      <c r="E2373" s="6" t="n"/>
      <c r="F2373" s="6" t="n"/>
      <c r="G2373" s="6" t="n"/>
      <c r="H2373" s="10">
        <f>IF(F2373="","",IFERROR(INDEX(Roster!$A$2:$A$600,MATCH(F2373,Roster!$E$2:$E$600,0)),""))</f>
        <v/>
      </c>
      <c r="I2373" s="10">
        <f>IF(AND(D2373="",C2373="",F2373=""),"",IF(G2373&lt;&gt;"","Void",IF(F2373="","Needs child",IF(H2373="","Child not found",IF(OR(B2373="",NOT(ISNUMBER(C2373))),"Needs month/pages","OK")))))</f>
        <v/>
      </c>
      <c r="J2373" s="10">
        <f>IF(I2373="","",IF(I2373="OK",IF(COUNTIFS(H2374:H$3001,H2373,B2374:B$3001,B2373,G2374:G$3001,"")=0,C2373,0),0))</f>
        <v/>
      </c>
    </row>
    <row r="2374">
      <c r="A2374" s="6" t="n"/>
      <c r="B2374" s="9" t="n"/>
      <c r="C2374" s="6" t="n"/>
      <c r="D2374" s="6" t="n"/>
      <c r="E2374" s="6" t="n"/>
      <c r="F2374" s="6" t="n"/>
      <c r="G2374" s="6" t="n"/>
      <c r="H2374" s="10">
        <f>IF(F2374="","",IFERROR(INDEX(Roster!$A$2:$A$600,MATCH(F2374,Roster!$E$2:$E$600,0)),""))</f>
        <v/>
      </c>
      <c r="I2374" s="10">
        <f>IF(AND(D2374="",C2374="",F2374=""),"",IF(G2374&lt;&gt;"","Void",IF(F2374="","Needs child",IF(H2374="","Child not found",IF(OR(B2374="",NOT(ISNUMBER(C2374))),"Needs month/pages","OK")))))</f>
        <v/>
      </c>
      <c r="J2374" s="10">
        <f>IF(I2374="","",IF(I2374="OK",IF(COUNTIFS(H2375:H$3001,H2374,B2375:B$3001,B2374,G2375:G$3001,"")=0,C2374,0),0))</f>
        <v/>
      </c>
    </row>
    <row r="2375">
      <c r="A2375" s="6" t="n"/>
      <c r="B2375" s="9" t="n"/>
      <c r="C2375" s="6" t="n"/>
      <c r="D2375" s="6" t="n"/>
      <c r="E2375" s="6" t="n"/>
      <c r="F2375" s="6" t="n"/>
      <c r="G2375" s="6" t="n"/>
      <c r="H2375" s="10">
        <f>IF(F2375="","",IFERROR(INDEX(Roster!$A$2:$A$600,MATCH(F2375,Roster!$E$2:$E$600,0)),""))</f>
        <v/>
      </c>
      <c r="I2375" s="10">
        <f>IF(AND(D2375="",C2375="",F2375=""),"",IF(G2375&lt;&gt;"","Void",IF(F2375="","Needs child",IF(H2375="","Child not found",IF(OR(B2375="",NOT(ISNUMBER(C2375))),"Needs month/pages","OK")))))</f>
        <v/>
      </c>
      <c r="J2375" s="10">
        <f>IF(I2375="","",IF(I2375="OK",IF(COUNTIFS(H2376:H$3001,H2375,B2376:B$3001,B2375,G2376:G$3001,"")=0,C2375,0),0))</f>
        <v/>
      </c>
    </row>
    <row r="2376">
      <c r="A2376" s="6" t="n"/>
      <c r="B2376" s="9" t="n"/>
      <c r="C2376" s="6" t="n"/>
      <c r="D2376" s="6" t="n"/>
      <c r="E2376" s="6" t="n"/>
      <c r="F2376" s="6" t="n"/>
      <c r="G2376" s="6" t="n"/>
      <c r="H2376" s="10">
        <f>IF(F2376="","",IFERROR(INDEX(Roster!$A$2:$A$600,MATCH(F2376,Roster!$E$2:$E$600,0)),""))</f>
        <v/>
      </c>
      <c r="I2376" s="10">
        <f>IF(AND(D2376="",C2376="",F2376=""),"",IF(G2376&lt;&gt;"","Void",IF(F2376="","Needs child",IF(H2376="","Child not found",IF(OR(B2376="",NOT(ISNUMBER(C2376))),"Needs month/pages","OK")))))</f>
        <v/>
      </c>
      <c r="J2376" s="10">
        <f>IF(I2376="","",IF(I2376="OK",IF(COUNTIFS(H2377:H$3001,H2376,B2377:B$3001,B2376,G2377:G$3001,"")=0,C2376,0),0))</f>
        <v/>
      </c>
    </row>
    <row r="2377">
      <c r="A2377" s="6" t="n"/>
      <c r="B2377" s="9" t="n"/>
      <c r="C2377" s="6" t="n"/>
      <c r="D2377" s="6" t="n"/>
      <c r="E2377" s="6" t="n"/>
      <c r="F2377" s="6" t="n"/>
      <c r="G2377" s="6" t="n"/>
      <c r="H2377" s="10">
        <f>IF(F2377="","",IFERROR(INDEX(Roster!$A$2:$A$600,MATCH(F2377,Roster!$E$2:$E$600,0)),""))</f>
        <v/>
      </c>
      <c r="I2377" s="10">
        <f>IF(AND(D2377="",C2377="",F2377=""),"",IF(G2377&lt;&gt;"","Void",IF(F2377="","Needs child",IF(H2377="","Child not found",IF(OR(B2377="",NOT(ISNUMBER(C2377))),"Needs month/pages","OK")))))</f>
        <v/>
      </c>
      <c r="J2377" s="10">
        <f>IF(I2377="","",IF(I2377="OK",IF(COUNTIFS(H2378:H$3001,H2377,B2378:B$3001,B2377,G2378:G$3001,"")=0,C2377,0),0))</f>
        <v/>
      </c>
    </row>
    <row r="2378">
      <c r="A2378" s="6" t="n"/>
      <c r="B2378" s="9" t="n"/>
      <c r="C2378" s="6" t="n"/>
      <c r="D2378" s="6" t="n"/>
      <c r="E2378" s="6" t="n"/>
      <c r="F2378" s="6" t="n"/>
      <c r="G2378" s="6" t="n"/>
      <c r="H2378" s="10">
        <f>IF(F2378="","",IFERROR(INDEX(Roster!$A$2:$A$600,MATCH(F2378,Roster!$E$2:$E$600,0)),""))</f>
        <v/>
      </c>
      <c r="I2378" s="10">
        <f>IF(AND(D2378="",C2378="",F2378=""),"",IF(G2378&lt;&gt;"","Void",IF(F2378="","Needs child",IF(H2378="","Child not found",IF(OR(B2378="",NOT(ISNUMBER(C2378))),"Needs month/pages","OK")))))</f>
        <v/>
      </c>
      <c r="J2378" s="10">
        <f>IF(I2378="","",IF(I2378="OK",IF(COUNTIFS(H2379:H$3001,H2378,B2379:B$3001,B2378,G2379:G$3001,"")=0,C2378,0),0))</f>
        <v/>
      </c>
    </row>
    <row r="2379">
      <c r="A2379" s="6" t="n"/>
      <c r="B2379" s="9" t="n"/>
      <c r="C2379" s="6" t="n"/>
      <c r="D2379" s="6" t="n"/>
      <c r="E2379" s="6" t="n"/>
      <c r="F2379" s="6" t="n"/>
      <c r="G2379" s="6" t="n"/>
      <c r="H2379" s="10">
        <f>IF(F2379="","",IFERROR(INDEX(Roster!$A$2:$A$600,MATCH(F2379,Roster!$E$2:$E$600,0)),""))</f>
        <v/>
      </c>
      <c r="I2379" s="10">
        <f>IF(AND(D2379="",C2379="",F2379=""),"",IF(G2379&lt;&gt;"","Void",IF(F2379="","Needs child",IF(H2379="","Child not found",IF(OR(B2379="",NOT(ISNUMBER(C2379))),"Needs month/pages","OK")))))</f>
        <v/>
      </c>
      <c r="J2379" s="10">
        <f>IF(I2379="","",IF(I2379="OK",IF(COUNTIFS(H2380:H$3001,H2379,B2380:B$3001,B2379,G2380:G$3001,"")=0,C2379,0),0))</f>
        <v/>
      </c>
    </row>
    <row r="2380">
      <c r="A2380" s="6" t="n"/>
      <c r="B2380" s="9" t="n"/>
      <c r="C2380" s="6" t="n"/>
      <c r="D2380" s="6" t="n"/>
      <c r="E2380" s="6" t="n"/>
      <c r="F2380" s="6" t="n"/>
      <c r="G2380" s="6" t="n"/>
      <c r="H2380" s="10">
        <f>IF(F2380="","",IFERROR(INDEX(Roster!$A$2:$A$600,MATCH(F2380,Roster!$E$2:$E$600,0)),""))</f>
        <v/>
      </c>
      <c r="I2380" s="10">
        <f>IF(AND(D2380="",C2380="",F2380=""),"",IF(G2380&lt;&gt;"","Void",IF(F2380="","Needs child",IF(H2380="","Child not found",IF(OR(B2380="",NOT(ISNUMBER(C2380))),"Needs month/pages","OK")))))</f>
        <v/>
      </c>
      <c r="J2380" s="10">
        <f>IF(I2380="","",IF(I2380="OK",IF(COUNTIFS(H2381:H$3001,H2380,B2381:B$3001,B2380,G2381:G$3001,"")=0,C2380,0),0))</f>
        <v/>
      </c>
    </row>
    <row r="2381">
      <c r="A2381" s="6" t="n"/>
      <c r="B2381" s="9" t="n"/>
      <c r="C2381" s="6" t="n"/>
      <c r="D2381" s="6" t="n"/>
      <c r="E2381" s="6" t="n"/>
      <c r="F2381" s="6" t="n"/>
      <c r="G2381" s="6" t="n"/>
      <c r="H2381" s="10">
        <f>IF(F2381="","",IFERROR(INDEX(Roster!$A$2:$A$600,MATCH(F2381,Roster!$E$2:$E$600,0)),""))</f>
        <v/>
      </c>
      <c r="I2381" s="10">
        <f>IF(AND(D2381="",C2381="",F2381=""),"",IF(G2381&lt;&gt;"","Void",IF(F2381="","Needs child",IF(H2381="","Child not found",IF(OR(B2381="",NOT(ISNUMBER(C2381))),"Needs month/pages","OK")))))</f>
        <v/>
      </c>
      <c r="J2381" s="10">
        <f>IF(I2381="","",IF(I2381="OK",IF(COUNTIFS(H2382:H$3001,H2381,B2382:B$3001,B2381,G2382:G$3001,"")=0,C2381,0),0))</f>
        <v/>
      </c>
    </row>
    <row r="2382">
      <c r="A2382" s="6" t="n"/>
      <c r="B2382" s="9" t="n"/>
      <c r="C2382" s="6" t="n"/>
      <c r="D2382" s="6" t="n"/>
      <c r="E2382" s="6" t="n"/>
      <c r="F2382" s="6" t="n"/>
      <c r="G2382" s="6" t="n"/>
      <c r="H2382" s="10">
        <f>IF(F2382="","",IFERROR(INDEX(Roster!$A$2:$A$600,MATCH(F2382,Roster!$E$2:$E$600,0)),""))</f>
        <v/>
      </c>
      <c r="I2382" s="10">
        <f>IF(AND(D2382="",C2382="",F2382=""),"",IF(G2382&lt;&gt;"","Void",IF(F2382="","Needs child",IF(H2382="","Child not found",IF(OR(B2382="",NOT(ISNUMBER(C2382))),"Needs month/pages","OK")))))</f>
        <v/>
      </c>
      <c r="J2382" s="10">
        <f>IF(I2382="","",IF(I2382="OK",IF(COUNTIFS(H2383:H$3001,H2382,B2383:B$3001,B2382,G2383:G$3001,"")=0,C2382,0),0))</f>
        <v/>
      </c>
    </row>
    <row r="2383">
      <c r="A2383" s="6" t="n"/>
      <c r="B2383" s="9" t="n"/>
      <c r="C2383" s="6" t="n"/>
      <c r="D2383" s="6" t="n"/>
      <c r="E2383" s="6" t="n"/>
      <c r="F2383" s="6" t="n"/>
      <c r="G2383" s="6" t="n"/>
      <c r="H2383" s="10">
        <f>IF(F2383="","",IFERROR(INDEX(Roster!$A$2:$A$600,MATCH(F2383,Roster!$E$2:$E$600,0)),""))</f>
        <v/>
      </c>
      <c r="I2383" s="10">
        <f>IF(AND(D2383="",C2383="",F2383=""),"",IF(G2383&lt;&gt;"","Void",IF(F2383="","Needs child",IF(H2383="","Child not found",IF(OR(B2383="",NOT(ISNUMBER(C2383))),"Needs month/pages","OK")))))</f>
        <v/>
      </c>
      <c r="J2383" s="10">
        <f>IF(I2383="","",IF(I2383="OK",IF(COUNTIFS(H2384:H$3001,H2383,B2384:B$3001,B2383,G2384:G$3001,"")=0,C2383,0),0))</f>
        <v/>
      </c>
    </row>
    <row r="2384">
      <c r="A2384" s="6" t="n"/>
      <c r="B2384" s="9" t="n"/>
      <c r="C2384" s="6" t="n"/>
      <c r="D2384" s="6" t="n"/>
      <c r="E2384" s="6" t="n"/>
      <c r="F2384" s="6" t="n"/>
      <c r="G2384" s="6" t="n"/>
      <c r="H2384" s="10">
        <f>IF(F2384="","",IFERROR(INDEX(Roster!$A$2:$A$600,MATCH(F2384,Roster!$E$2:$E$600,0)),""))</f>
        <v/>
      </c>
      <c r="I2384" s="10">
        <f>IF(AND(D2384="",C2384="",F2384=""),"",IF(G2384&lt;&gt;"","Void",IF(F2384="","Needs child",IF(H2384="","Child not found",IF(OR(B2384="",NOT(ISNUMBER(C2384))),"Needs month/pages","OK")))))</f>
        <v/>
      </c>
      <c r="J2384" s="10">
        <f>IF(I2384="","",IF(I2384="OK",IF(COUNTIFS(H2385:H$3001,H2384,B2385:B$3001,B2384,G2385:G$3001,"")=0,C2384,0),0))</f>
        <v/>
      </c>
    </row>
    <row r="2385">
      <c r="A2385" s="6" t="n"/>
      <c r="B2385" s="9" t="n"/>
      <c r="C2385" s="6" t="n"/>
      <c r="D2385" s="6" t="n"/>
      <c r="E2385" s="6" t="n"/>
      <c r="F2385" s="6" t="n"/>
      <c r="G2385" s="6" t="n"/>
      <c r="H2385" s="10">
        <f>IF(F2385="","",IFERROR(INDEX(Roster!$A$2:$A$600,MATCH(F2385,Roster!$E$2:$E$600,0)),""))</f>
        <v/>
      </c>
      <c r="I2385" s="10">
        <f>IF(AND(D2385="",C2385="",F2385=""),"",IF(G2385&lt;&gt;"","Void",IF(F2385="","Needs child",IF(H2385="","Child not found",IF(OR(B2385="",NOT(ISNUMBER(C2385))),"Needs month/pages","OK")))))</f>
        <v/>
      </c>
      <c r="J2385" s="10">
        <f>IF(I2385="","",IF(I2385="OK",IF(COUNTIFS(H2386:H$3001,H2385,B2386:B$3001,B2385,G2386:G$3001,"")=0,C2385,0),0))</f>
        <v/>
      </c>
    </row>
    <row r="2386">
      <c r="A2386" s="6" t="n"/>
      <c r="B2386" s="9" t="n"/>
      <c r="C2386" s="6" t="n"/>
      <c r="D2386" s="6" t="n"/>
      <c r="E2386" s="6" t="n"/>
      <c r="F2386" s="6" t="n"/>
      <c r="G2386" s="6" t="n"/>
      <c r="H2386" s="10">
        <f>IF(F2386="","",IFERROR(INDEX(Roster!$A$2:$A$600,MATCH(F2386,Roster!$E$2:$E$600,0)),""))</f>
        <v/>
      </c>
      <c r="I2386" s="10">
        <f>IF(AND(D2386="",C2386="",F2386=""),"",IF(G2386&lt;&gt;"","Void",IF(F2386="","Needs child",IF(H2386="","Child not found",IF(OR(B2386="",NOT(ISNUMBER(C2386))),"Needs month/pages","OK")))))</f>
        <v/>
      </c>
      <c r="J2386" s="10">
        <f>IF(I2386="","",IF(I2386="OK",IF(COUNTIFS(H2387:H$3001,H2386,B2387:B$3001,B2386,G2387:G$3001,"")=0,C2386,0),0))</f>
        <v/>
      </c>
    </row>
    <row r="2387">
      <c r="A2387" s="6" t="n"/>
      <c r="B2387" s="9" t="n"/>
      <c r="C2387" s="6" t="n"/>
      <c r="D2387" s="6" t="n"/>
      <c r="E2387" s="6" t="n"/>
      <c r="F2387" s="6" t="n"/>
      <c r="G2387" s="6" t="n"/>
      <c r="H2387" s="10">
        <f>IF(F2387="","",IFERROR(INDEX(Roster!$A$2:$A$600,MATCH(F2387,Roster!$E$2:$E$600,0)),""))</f>
        <v/>
      </c>
      <c r="I2387" s="10">
        <f>IF(AND(D2387="",C2387="",F2387=""),"",IF(G2387&lt;&gt;"","Void",IF(F2387="","Needs child",IF(H2387="","Child not found",IF(OR(B2387="",NOT(ISNUMBER(C2387))),"Needs month/pages","OK")))))</f>
        <v/>
      </c>
      <c r="J2387" s="10">
        <f>IF(I2387="","",IF(I2387="OK",IF(COUNTIFS(H2388:H$3001,H2387,B2388:B$3001,B2387,G2388:G$3001,"")=0,C2387,0),0))</f>
        <v/>
      </c>
    </row>
    <row r="2388">
      <c r="A2388" s="6" t="n"/>
      <c r="B2388" s="9" t="n"/>
      <c r="C2388" s="6" t="n"/>
      <c r="D2388" s="6" t="n"/>
      <c r="E2388" s="6" t="n"/>
      <c r="F2388" s="6" t="n"/>
      <c r="G2388" s="6" t="n"/>
      <c r="H2388" s="10">
        <f>IF(F2388="","",IFERROR(INDEX(Roster!$A$2:$A$600,MATCH(F2388,Roster!$E$2:$E$600,0)),""))</f>
        <v/>
      </c>
      <c r="I2388" s="10">
        <f>IF(AND(D2388="",C2388="",F2388=""),"",IF(G2388&lt;&gt;"","Void",IF(F2388="","Needs child",IF(H2388="","Child not found",IF(OR(B2388="",NOT(ISNUMBER(C2388))),"Needs month/pages","OK")))))</f>
        <v/>
      </c>
      <c r="J2388" s="10">
        <f>IF(I2388="","",IF(I2388="OK",IF(COUNTIFS(H2389:H$3001,H2388,B2389:B$3001,B2388,G2389:G$3001,"")=0,C2388,0),0))</f>
        <v/>
      </c>
    </row>
    <row r="2389">
      <c r="A2389" s="6" t="n"/>
      <c r="B2389" s="9" t="n"/>
      <c r="C2389" s="6" t="n"/>
      <c r="D2389" s="6" t="n"/>
      <c r="E2389" s="6" t="n"/>
      <c r="F2389" s="6" t="n"/>
      <c r="G2389" s="6" t="n"/>
      <c r="H2389" s="10">
        <f>IF(F2389="","",IFERROR(INDEX(Roster!$A$2:$A$600,MATCH(F2389,Roster!$E$2:$E$600,0)),""))</f>
        <v/>
      </c>
      <c r="I2389" s="10">
        <f>IF(AND(D2389="",C2389="",F2389=""),"",IF(G2389&lt;&gt;"","Void",IF(F2389="","Needs child",IF(H2389="","Child not found",IF(OR(B2389="",NOT(ISNUMBER(C2389))),"Needs month/pages","OK")))))</f>
        <v/>
      </c>
      <c r="J2389" s="10">
        <f>IF(I2389="","",IF(I2389="OK",IF(COUNTIFS(H2390:H$3001,H2389,B2390:B$3001,B2389,G2390:G$3001,"")=0,C2389,0),0))</f>
        <v/>
      </c>
    </row>
    <row r="2390">
      <c r="A2390" s="6" t="n"/>
      <c r="B2390" s="9" t="n"/>
      <c r="C2390" s="6" t="n"/>
      <c r="D2390" s="6" t="n"/>
      <c r="E2390" s="6" t="n"/>
      <c r="F2390" s="6" t="n"/>
      <c r="G2390" s="6" t="n"/>
      <c r="H2390" s="10">
        <f>IF(F2390="","",IFERROR(INDEX(Roster!$A$2:$A$600,MATCH(F2390,Roster!$E$2:$E$600,0)),""))</f>
        <v/>
      </c>
      <c r="I2390" s="10">
        <f>IF(AND(D2390="",C2390="",F2390=""),"",IF(G2390&lt;&gt;"","Void",IF(F2390="","Needs child",IF(H2390="","Child not found",IF(OR(B2390="",NOT(ISNUMBER(C2390))),"Needs month/pages","OK")))))</f>
        <v/>
      </c>
      <c r="J2390" s="10">
        <f>IF(I2390="","",IF(I2390="OK",IF(COUNTIFS(H2391:H$3001,H2390,B2391:B$3001,B2390,G2391:G$3001,"")=0,C2390,0),0))</f>
        <v/>
      </c>
    </row>
    <row r="2391">
      <c r="A2391" s="6" t="n"/>
      <c r="B2391" s="9" t="n"/>
      <c r="C2391" s="6" t="n"/>
      <c r="D2391" s="6" t="n"/>
      <c r="E2391" s="6" t="n"/>
      <c r="F2391" s="6" t="n"/>
      <c r="G2391" s="6" t="n"/>
      <c r="H2391" s="10">
        <f>IF(F2391="","",IFERROR(INDEX(Roster!$A$2:$A$600,MATCH(F2391,Roster!$E$2:$E$600,0)),""))</f>
        <v/>
      </c>
      <c r="I2391" s="10">
        <f>IF(AND(D2391="",C2391="",F2391=""),"",IF(G2391&lt;&gt;"","Void",IF(F2391="","Needs child",IF(H2391="","Child not found",IF(OR(B2391="",NOT(ISNUMBER(C2391))),"Needs month/pages","OK")))))</f>
        <v/>
      </c>
      <c r="J2391" s="10">
        <f>IF(I2391="","",IF(I2391="OK",IF(COUNTIFS(H2392:H$3001,H2391,B2392:B$3001,B2391,G2392:G$3001,"")=0,C2391,0),0))</f>
        <v/>
      </c>
    </row>
    <row r="2392">
      <c r="A2392" s="6" t="n"/>
      <c r="B2392" s="9" t="n"/>
      <c r="C2392" s="6" t="n"/>
      <c r="D2392" s="6" t="n"/>
      <c r="E2392" s="6" t="n"/>
      <c r="F2392" s="6" t="n"/>
      <c r="G2392" s="6" t="n"/>
      <c r="H2392" s="10">
        <f>IF(F2392="","",IFERROR(INDEX(Roster!$A$2:$A$600,MATCH(F2392,Roster!$E$2:$E$600,0)),""))</f>
        <v/>
      </c>
      <c r="I2392" s="10">
        <f>IF(AND(D2392="",C2392="",F2392=""),"",IF(G2392&lt;&gt;"","Void",IF(F2392="","Needs child",IF(H2392="","Child not found",IF(OR(B2392="",NOT(ISNUMBER(C2392))),"Needs month/pages","OK")))))</f>
        <v/>
      </c>
      <c r="J2392" s="10">
        <f>IF(I2392="","",IF(I2392="OK",IF(COUNTIFS(H2393:H$3001,H2392,B2393:B$3001,B2392,G2393:G$3001,"")=0,C2392,0),0))</f>
        <v/>
      </c>
    </row>
    <row r="2393">
      <c r="A2393" s="6" t="n"/>
      <c r="B2393" s="9" t="n"/>
      <c r="C2393" s="6" t="n"/>
      <c r="D2393" s="6" t="n"/>
      <c r="E2393" s="6" t="n"/>
      <c r="F2393" s="6" t="n"/>
      <c r="G2393" s="6" t="n"/>
      <c r="H2393" s="10">
        <f>IF(F2393="","",IFERROR(INDEX(Roster!$A$2:$A$600,MATCH(F2393,Roster!$E$2:$E$600,0)),""))</f>
        <v/>
      </c>
      <c r="I2393" s="10">
        <f>IF(AND(D2393="",C2393="",F2393=""),"",IF(G2393&lt;&gt;"","Void",IF(F2393="","Needs child",IF(H2393="","Child not found",IF(OR(B2393="",NOT(ISNUMBER(C2393))),"Needs month/pages","OK")))))</f>
        <v/>
      </c>
      <c r="J2393" s="10">
        <f>IF(I2393="","",IF(I2393="OK",IF(COUNTIFS(H2394:H$3001,H2393,B2394:B$3001,B2393,G2394:G$3001,"")=0,C2393,0),0))</f>
        <v/>
      </c>
    </row>
    <row r="2394">
      <c r="A2394" s="6" t="n"/>
      <c r="B2394" s="9" t="n"/>
      <c r="C2394" s="6" t="n"/>
      <c r="D2394" s="6" t="n"/>
      <c r="E2394" s="6" t="n"/>
      <c r="F2394" s="6" t="n"/>
      <c r="G2394" s="6" t="n"/>
      <c r="H2394" s="10">
        <f>IF(F2394="","",IFERROR(INDEX(Roster!$A$2:$A$600,MATCH(F2394,Roster!$E$2:$E$600,0)),""))</f>
        <v/>
      </c>
      <c r="I2394" s="10">
        <f>IF(AND(D2394="",C2394="",F2394=""),"",IF(G2394&lt;&gt;"","Void",IF(F2394="","Needs child",IF(H2394="","Child not found",IF(OR(B2394="",NOT(ISNUMBER(C2394))),"Needs month/pages","OK")))))</f>
        <v/>
      </c>
      <c r="J2394" s="10">
        <f>IF(I2394="","",IF(I2394="OK",IF(COUNTIFS(H2395:H$3001,H2394,B2395:B$3001,B2394,G2395:G$3001,"")=0,C2394,0),0))</f>
        <v/>
      </c>
    </row>
    <row r="2395">
      <c r="A2395" s="6" t="n"/>
      <c r="B2395" s="9" t="n"/>
      <c r="C2395" s="6" t="n"/>
      <c r="D2395" s="6" t="n"/>
      <c r="E2395" s="6" t="n"/>
      <c r="F2395" s="6" t="n"/>
      <c r="G2395" s="6" t="n"/>
      <c r="H2395" s="10">
        <f>IF(F2395="","",IFERROR(INDEX(Roster!$A$2:$A$600,MATCH(F2395,Roster!$E$2:$E$600,0)),""))</f>
        <v/>
      </c>
      <c r="I2395" s="10">
        <f>IF(AND(D2395="",C2395="",F2395=""),"",IF(G2395&lt;&gt;"","Void",IF(F2395="","Needs child",IF(H2395="","Child not found",IF(OR(B2395="",NOT(ISNUMBER(C2395))),"Needs month/pages","OK")))))</f>
        <v/>
      </c>
      <c r="J2395" s="10">
        <f>IF(I2395="","",IF(I2395="OK",IF(COUNTIFS(H2396:H$3001,H2395,B2396:B$3001,B2395,G2396:G$3001,"")=0,C2395,0),0))</f>
        <v/>
      </c>
    </row>
    <row r="2396">
      <c r="A2396" s="6" t="n"/>
      <c r="B2396" s="9" t="n"/>
      <c r="C2396" s="6" t="n"/>
      <c r="D2396" s="6" t="n"/>
      <c r="E2396" s="6" t="n"/>
      <c r="F2396" s="6" t="n"/>
      <c r="G2396" s="6" t="n"/>
      <c r="H2396" s="10">
        <f>IF(F2396="","",IFERROR(INDEX(Roster!$A$2:$A$600,MATCH(F2396,Roster!$E$2:$E$600,0)),""))</f>
        <v/>
      </c>
      <c r="I2396" s="10">
        <f>IF(AND(D2396="",C2396="",F2396=""),"",IF(G2396&lt;&gt;"","Void",IF(F2396="","Needs child",IF(H2396="","Child not found",IF(OR(B2396="",NOT(ISNUMBER(C2396))),"Needs month/pages","OK")))))</f>
        <v/>
      </c>
      <c r="J2396" s="10">
        <f>IF(I2396="","",IF(I2396="OK",IF(COUNTIFS(H2397:H$3001,H2396,B2397:B$3001,B2396,G2397:G$3001,"")=0,C2396,0),0))</f>
        <v/>
      </c>
    </row>
    <row r="2397">
      <c r="A2397" s="6" t="n"/>
      <c r="B2397" s="9" t="n"/>
      <c r="C2397" s="6" t="n"/>
      <c r="D2397" s="6" t="n"/>
      <c r="E2397" s="6" t="n"/>
      <c r="F2397" s="6" t="n"/>
      <c r="G2397" s="6" t="n"/>
      <c r="H2397" s="10">
        <f>IF(F2397="","",IFERROR(INDEX(Roster!$A$2:$A$600,MATCH(F2397,Roster!$E$2:$E$600,0)),""))</f>
        <v/>
      </c>
      <c r="I2397" s="10">
        <f>IF(AND(D2397="",C2397="",F2397=""),"",IF(G2397&lt;&gt;"","Void",IF(F2397="","Needs child",IF(H2397="","Child not found",IF(OR(B2397="",NOT(ISNUMBER(C2397))),"Needs month/pages","OK")))))</f>
        <v/>
      </c>
      <c r="J2397" s="10">
        <f>IF(I2397="","",IF(I2397="OK",IF(COUNTIFS(H2398:H$3001,H2397,B2398:B$3001,B2397,G2398:G$3001,"")=0,C2397,0),0))</f>
        <v/>
      </c>
    </row>
    <row r="2398">
      <c r="A2398" s="6" t="n"/>
      <c r="B2398" s="9" t="n"/>
      <c r="C2398" s="6" t="n"/>
      <c r="D2398" s="6" t="n"/>
      <c r="E2398" s="6" t="n"/>
      <c r="F2398" s="6" t="n"/>
      <c r="G2398" s="6" t="n"/>
      <c r="H2398" s="10">
        <f>IF(F2398="","",IFERROR(INDEX(Roster!$A$2:$A$600,MATCH(F2398,Roster!$E$2:$E$600,0)),""))</f>
        <v/>
      </c>
      <c r="I2398" s="10">
        <f>IF(AND(D2398="",C2398="",F2398=""),"",IF(G2398&lt;&gt;"","Void",IF(F2398="","Needs child",IF(H2398="","Child not found",IF(OR(B2398="",NOT(ISNUMBER(C2398))),"Needs month/pages","OK")))))</f>
        <v/>
      </c>
      <c r="J2398" s="10">
        <f>IF(I2398="","",IF(I2398="OK",IF(COUNTIFS(H2399:H$3001,H2398,B2399:B$3001,B2398,G2399:G$3001,"")=0,C2398,0),0))</f>
        <v/>
      </c>
    </row>
    <row r="2399">
      <c r="A2399" s="6" t="n"/>
      <c r="B2399" s="9" t="n"/>
      <c r="C2399" s="6" t="n"/>
      <c r="D2399" s="6" t="n"/>
      <c r="E2399" s="6" t="n"/>
      <c r="F2399" s="6" t="n"/>
      <c r="G2399" s="6" t="n"/>
      <c r="H2399" s="10">
        <f>IF(F2399="","",IFERROR(INDEX(Roster!$A$2:$A$600,MATCH(F2399,Roster!$E$2:$E$600,0)),""))</f>
        <v/>
      </c>
      <c r="I2399" s="10">
        <f>IF(AND(D2399="",C2399="",F2399=""),"",IF(G2399&lt;&gt;"","Void",IF(F2399="","Needs child",IF(H2399="","Child not found",IF(OR(B2399="",NOT(ISNUMBER(C2399))),"Needs month/pages","OK")))))</f>
        <v/>
      </c>
      <c r="J2399" s="10">
        <f>IF(I2399="","",IF(I2399="OK",IF(COUNTIFS(H2400:H$3001,H2399,B2400:B$3001,B2399,G2400:G$3001,"")=0,C2399,0),0))</f>
        <v/>
      </c>
    </row>
    <row r="2400">
      <c r="A2400" s="6" t="n"/>
      <c r="B2400" s="9" t="n"/>
      <c r="C2400" s="6" t="n"/>
      <c r="D2400" s="6" t="n"/>
      <c r="E2400" s="6" t="n"/>
      <c r="F2400" s="6" t="n"/>
      <c r="G2400" s="6" t="n"/>
      <c r="H2400" s="10">
        <f>IF(F2400="","",IFERROR(INDEX(Roster!$A$2:$A$600,MATCH(F2400,Roster!$E$2:$E$600,0)),""))</f>
        <v/>
      </c>
      <c r="I2400" s="10">
        <f>IF(AND(D2400="",C2400="",F2400=""),"",IF(G2400&lt;&gt;"","Void",IF(F2400="","Needs child",IF(H2400="","Child not found",IF(OR(B2400="",NOT(ISNUMBER(C2400))),"Needs month/pages","OK")))))</f>
        <v/>
      </c>
      <c r="J2400" s="10">
        <f>IF(I2400="","",IF(I2400="OK",IF(COUNTIFS(H2401:H$3001,H2400,B2401:B$3001,B2400,G2401:G$3001,"")=0,C2400,0),0))</f>
        <v/>
      </c>
    </row>
    <row r="2401">
      <c r="A2401" s="6" t="n"/>
      <c r="B2401" s="9" t="n"/>
      <c r="C2401" s="6" t="n"/>
      <c r="D2401" s="6" t="n"/>
      <c r="E2401" s="6" t="n"/>
      <c r="F2401" s="6" t="n"/>
      <c r="G2401" s="6" t="n"/>
      <c r="H2401" s="10">
        <f>IF(F2401="","",IFERROR(INDEX(Roster!$A$2:$A$600,MATCH(F2401,Roster!$E$2:$E$600,0)),""))</f>
        <v/>
      </c>
      <c r="I2401" s="10">
        <f>IF(AND(D2401="",C2401="",F2401=""),"",IF(G2401&lt;&gt;"","Void",IF(F2401="","Needs child",IF(H2401="","Child not found",IF(OR(B2401="",NOT(ISNUMBER(C2401))),"Needs month/pages","OK")))))</f>
        <v/>
      </c>
      <c r="J2401" s="10">
        <f>IF(I2401="","",IF(I2401="OK",IF(COUNTIFS(H2402:H$3001,H2401,B2402:B$3001,B2401,G2402:G$3001,"")=0,C2401,0),0))</f>
        <v/>
      </c>
    </row>
    <row r="2402">
      <c r="A2402" s="6" t="n"/>
      <c r="B2402" s="9" t="n"/>
      <c r="C2402" s="6" t="n"/>
      <c r="D2402" s="6" t="n"/>
      <c r="E2402" s="6" t="n"/>
      <c r="F2402" s="6" t="n"/>
      <c r="G2402" s="6" t="n"/>
      <c r="H2402" s="10">
        <f>IF(F2402="","",IFERROR(INDEX(Roster!$A$2:$A$600,MATCH(F2402,Roster!$E$2:$E$600,0)),""))</f>
        <v/>
      </c>
      <c r="I2402" s="10">
        <f>IF(AND(D2402="",C2402="",F2402=""),"",IF(G2402&lt;&gt;"","Void",IF(F2402="","Needs child",IF(H2402="","Child not found",IF(OR(B2402="",NOT(ISNUMBER(C2402))),"Needs month/pages","OK")))))</f>
        <v/>
      </c>
      <c r="J2402" s="10">
        <f>IF(I2402="","",IF(I2402="OK",IF(COUNTIFS(H2403:H$3001,H2402,B2403:B$3001,B2402,G2403:G$3001,"")=0,C2402,0),0))</f>
        <v/>
      </c>
    </row>
    <row r="2403">
      <c r="A2403" s="6" t="n"/>
      <c r="B2403" s="9" t="n"/>
      <c r="C2403" s="6" t="n"/>
      <c r="D2403" s="6" t="n"/>
      <c r="E2403" s="6" t="n"/>
      <c r="F2403" s="6" t="n"/>
      <c r="G2403" s="6" t="n"/>
      <c r="H2403" s="10">
        <f>IF(F2403="","",IFERROR(INDEX(Roster!$A$2:$A$600,MATCH(F2403,Roster!$E$2:$E$600,0)),""))</f>
        <v/>
      </c>
      <c r="I2403" s="10">
        <f>IF(AND(D2403="",C2403="",F2403=""),"",IF(G2403&lt;&gt;"","Void",IF(F2403="","Needs child",IF(H2403="","Child not found",IF(OR(B2403="",NOT(ISNUMBER(C2403))),"Needs month/pages","OK")))))</f>
        <v/>
      </c>
      <c r="J2403" s="10">
        <f>IF(I2403="","",IF(I2403="OK",IF(COUNTIFS(H2404:H$3001,H2403,B2404:B$3001,B2403,G2404:G$3001,"")=0,C2403,0),0))</f>
        <v/>
      </c>
    </row>
    <row r="2404">
      <c r="A2404" s="6" t="n"/>
      <c r="B2404" s="9" t="n"/>
      <c r="C2404" s="6" t="n"/>
      <c r="D2404" s="6" t="n"/>
      <c r="E2404" s="6" t="n"/>
      <c r="F2404" s="6" t="n"/>
      <c r="G2404" s="6" t="n"/>
      <c r="H2404" s="10">
        <f>IF(F2404="","",IFERROR(INDEX(Roster!$A$2:$A$600,MATCH(F2404,Roster!$E$2:$E$600,0)),""))</f>
        <v/>
      </c>
      <c r="I2404" s="10">
        <f>IF(AND(D2404="",C2404="",F2404=""),"",IF(G2404&lt;&gt;"","Void",IF(F2404="","Needs child",IF(H2404="","Child not found",IF(OR(B2404="",NOT(ISNUMBER(C2404))),"Needs month/pages","OK")))))</f>
        <v/>
      </c>
      <c r="J2404" s="10">
        <f>IF(I2404="","",IF(I2404="OK",IF(COUNTIFS(H2405:H$3001,H2404,B2405:B$3001,B2404,G2405:G$3001,"")=0,C2404,0),0))</f>
        <v/>
      </c>
    </row>
    <row r="2405">
      <c r="A2405" s="6" t="n"/>
      <c r="B2405" s="9" t="n"/>
      <c r="C2405" s="6" t="n"/>
      <c r="D2405" s="6" t="n"/>
      <c r="E2405" s="6" t="n"/>
      <c r="F2405" s="6" t="n"/>
      <c r="G2405" s="6" t="n"/>
      <c r="H2405" s="10">
        <f>IF(F2405="","",IFERROR(INDEX(Roster!$A$2:$A$600,MATCH(F2405,Roster!$E$2:$E$600,0)),""))</f>
        <v/>
      </c>
      <c r="I2405" s="10">
        <f>IF(AND(D2405="",C2405="",F2405=""),"",IF(G2405&lt;&gt;"","Void",IF(F2405="","Needs child",IF(H2405="","Child not found",IF(OR(B2405="",NOT(ISNUMBER(C2405))),"Needs month/pages","OK")))))</f>
        <v/>
      </c>
      <c r="J2405" s="10">
        <f>IF(I2405="","",IF(I2405="OK",IF(COUNTIFS(H2406:H$3001,H2405,B2406:B$3001,B2405,G2406:G$3001,"")=0,C2405,0),0))</f>
        <v/>
      </c>
    </row>
    <row r="2406">
      <c r="A2406" s="6" t="n"/>
      <c r="B2406" s="9" t="n"/>
      <c r="C2406" s="6" t="n"/>
      <c r="D2406" s="6" t="n"/>
      <c r="E2406" s="6" t="n"/>
      <c r="F2406" s="6" t="n"/>
      <c r="G2406" s="6" t="n"/>
      <c r="H2406" s="10">
        <f>IF(F2406="","",IFERROR(INDEX(Roster!$A$2:$A$600,MATCH(F2406,Roster!$E$2:$E$600,0)),""))</f>
        <v/>
      </c>
      <c r="I2406" s="10">
        <f>IF(AND(D2406="",C2406="",F2406=""),"",IF(G2406&lt;&gt;"","Void",IF(F2406="","Needs child",IF(H2406="","Child not found",IF(OR(B2406="",NOT(ISNUMBER(C2406))),"Needs month/pages","OK")))))</f>
        <v/>
      </c>
      <c r="J2406" s="10">
        <f>IF(I2406="","",IF(I2406="OK",IF(COUNTIFS(H2407:H$3001,H2406,B2407:B$3001,B2406,G2407:G$3001,"")=0,C2406,0),0))</f>
        <v/>
      </c>
    </row>
    <row r="2407">
      <c r="A2407" s="6" t="n"/>
      <c r="B2407" s="9" t="n"/>
      <c r="C2407" s="6" t="n"/>
      <c r="D2407" s="6" t="n"/>
      <c r="E2407" s="6" t="n"/>
      <c r="F2407" s="6" t="n"/>
      <c r="G2407" s="6" t="n"/>
      <c r="H2407" s="10">
        <f>IF(F2407="","",IFERROR(INDEX(Roster!$A$2:$A$600,MATCH(F2407,Roster!$E$2:$E$600,0)),""))</f>
        <v/>
      </c>
      <c r="I2407" s="10">
        <f>IF(AND(D2407="",C2407="",F2407=""),"",IF(G2407&lt;&gt;"","Void",IF(F2407="","Needs child",IF(H2407="","Child not found",IF(OR(B2407="",NOT(ISNUMBER(C2407))),"Needs month/pages","OK")))))</f>
        <v/>
      </c>
      <c r="J2407" s="10">
        <f>IF(I2407="","",IF(I2407="OK",IF(COUNTIFS(H2408:H$3001,H2407,B2408:B$3001,B2407,G2408:G$3001,"")=0,C2407,0),0))</f>
        <v/>
      </c>
    </row>
    <row r="2408">
      <c r="A2408" s="6" t="n"/>
      <c r="B2408" s="9" t="n"/>
      <c r="C2408" s="6" t="n"/>
      <c r="D2408" s="6" t="n"/>
      <c r="E2408" s="6" t="n"/>
      <c r="F2408" s="6" t="n"/>
      <c r="G2408" s="6" t="n"/>
      <c r="H2408" s="10">
        <f>IF(F2408="","",IFERROR(INDEX(Roster!$A$2:$A$600,MATCH(F2408,Roster!$E$2:$E$600,0)),""))</f>
        <v/>
      </c>
      <c r="I2408" s="10">
        <f>IF(AND(D2408="",C2408="",F2408=""),"",IF(G2408&lt;&gt;"","Void",IF(F2408="","Needs child",IF(H2408="","Child not found",IF(OR(B2408="",NOT(ISNUMBER(C2408))),"Needs month/pages","OK")))))</f>
        <v/>
      </c>
      <c r="J2408" s="10">
        <f>IF(I2408="","",IF(I2408="OK",IF(COUNTIFS(H2409:H$3001,H2408,B2409:B$3001,B2408,G2409:G$3001,"")=0,C2408,0),0))</f>
        <v/>
      </c>
    </row>
    <row r="2409">
      <c r="A2409" s="6" t="n"/>
      <c r="B2409" s="9" t="n"/>
      <c r="C2409" s="6" t="n"/>
      <c r="D2409" s="6" t="n"/>
      <c r="E2409" s="6" t="n"/>
      <c r="F2409" s="6" t="n"/>
      <c r="G2409" s="6" t="n"/>
      <c r="H2409" s="10">
        <f>IF(F2409="","",IFERROR(INDEX(Roster!$A$2:$A$600,MATCH(F2409,Roster!$E$2:$E$600,0)),""))</f>
        <v/>
      </c>
      <c r="I2409" s="10">
        <f>IF(AND(D2409="",C2409="",F2409=""),"",IF(G2409&lt;&gt;"","Void",IF(F2409="","Needs child",IF(H2409="","Child not found",IF(OR(B2409="",NOT(ISNUMBER(C2409))),"Needs month/pages","OK")))))</f>
        <v/>
      </c>
      <c r="J2409" s="10">
        <f>IF(I2409="","",IF(I2409="OK",IF(COUNTIFS(H2410:H$3001,H2409,B2410:B$3001,B2409,G2410:G$3001,"")=0,C2409,0),0))</f>
        <v/>
      </c>
    </row>
    <row r="2410">
      <c r="A2410" s="6" t="n"/>
      <c r="B2410" s="9" t="n"/>
      <c r="C2410" s="6" t="n"/>
      <c r="D2410" s="6" t="n"/>
      <c r="E2410" s="6" t="n"/>
      <c r="F2410" s="6" t="n"/>
      <c r="G2410" s="6" t="n"/>
      <c r="H2410" s="10">
        <f>IF(F2410="","",IFERROR(INDEX(Roster!$A$2:$A$600,MATCH(F2410,Roster!$E$2:$E$600,0)),""))</f>
        <v/>
      </c>
      <c r="I2410" s="10">
        <f>IF(AND(D2410="",C2410="",F2410=""),"",IF(G2410&lt;&gt;"","Void",IF(F2410="","Needs child",IF(H2410="","Child not found",IF(OR(B2410="",NOT(ISNUMBER(C2410))),"Needs month/pages","OK")))))</f>
        <v/>
      </c>
      <c r="J2410" s="10">
        <f>IF(I2410="","",IF(I2410="OK",IF(COUNTIFS(H2411:H$3001,H2410,B2411:B$3001,B2410,G2411:G$3001,"")=0,C2410,0),0))</f>
        <v/>
      </c>
    </row>
    <row r="2411">
      <c r="A2411" s="6" t="n"/>
      <c r="B2411" s="9" t="n"/>
      <c r="C2411" s="6" t="n"/>
      <c r="D2411" s="6" t="n"/>
      <c r="E2411" s="6" t="n"/>
      <c r="F2411" s="6" t="n"/>
      <c r="G2411" s="6" t="n"/>
      <c r="H2411" s="10">
        <f>IF(F2411="","",IFERROR(INDEX(Roster!$A$2:$A$600,MATCH(F2411,Roster!$E$2:$E$600,0)),""))</f>
        <v/>
      </c>
      <c r="I2411" s="10">
        <f>IF(AND(D2411="",C2411="",F2411=""),"",IF(G2411&lt;&gt;"","Void",IF(F2411="","Needs child",IF(H2411="","Child not found",IF(OR(B2411="",NOT(ISNUMBER(C2411))),"Needs month/pages","OK")))))</f>
        <v/>
      </c>
      <c r="J2411" s="10">
        <f>IF(I2411="","",IF(I2411="OK",IF(COUNTIFS(H2412:H$3001,H2411,B2412:B$3001,B2411,G2412:G$3001,"")=0,C2411,0),0))</f>
        <v/>
      </c>
    </row>
    <row r="2412">
      <c r="A2412" s="6" t="n"/>
      <c r="B2412" s="9" t="n"/>
      <c r="C2412" s="6" t="n"/>
      <c r="D2412" s="6" t="n"/>
      <c r="E2412" s="6" t="n"/>
      <c r="F2412" s="6" t="n"/>
      <c r="G2412" s="6" t="n"/>
      <c r="H2412" s="10">
        <f>IF(F2412="","",IFERROR(INDEX(Roster!$A$2:$A$600,MATCH(F2412,Roster!$E$2:$E$600,0)),""))</f>
        <v/>
      </c>
      <c r="I2412" s="10">
        <f>IF(AND(D2412="",C2412="",F2412=""),"",IF(G2412&lt;&gt;"","Void",IF(F2412="","Needs child",IF(H2412="","Child not found",IF(OR(B2412="",NOT(ISNUMBER(C2412))),"Needs month/pages","OK")))))</f>
        <v/>
      </c>
      <c r="J2412" s="10">
        <f>IF(I2412="","",IF(I2412="OK",IF(COUNTIFS(H2413:H$3001,H2412,B2413:B$3001,B2412,G2413:G$3001,"")=0,C2412,0),0))</f>
        <v/>
      </c>
    </row>
    <row r="2413">
      <c r="A2413" s="6" t="n"/>
      <c r="B2413" s="9" t="n"/>
      <c r="C2413" s="6" t="n"/>
      <c r="D2413" s="6" t="n"/>
      <c r="E2413" s="6" t="n"/>
      <c r="F2413" s="6" t="n"/>
      <c r="G2413" s="6" t="n"/>
      <c r="H2413" s="10">
        <f>IF(F2413="","",IFERROR(INDEX(Roster!$A$2:$A$600,MATCH(F2413,Roster!$E$2:$E$600,0)),""))</f>
        <v/>
      </c>
      <c r="I2413" s="10">
        <f>IF(AND(D2413="",C2413="",F2413=""),"",IF(G2413&lt;&gt;"","Void",IF(F2413="","Needs child",IF(H2413="","Child not found",IF(OR(B2413="",NOT(ISNUMBER(C2413))),"Needs month/pages","OK")))))</f>
        <v/>
      </c>
      <c r="J2413" s="10">
        <f>IF(I2413="","",IF(I2413="OK",IF(COUNTIFS(H2414:H$3001,H2413,B2414:B$3001,B2413,G2414:G$3001,"")=0,C2413,0),0))</f>
        <v/>
      </c>
    </row>
    <row r="2414">
      <c r="A2414" s="6" t="n"/>
      <c r="B2414" s="9" t="n"/>
      <c r="C2414" s="6" t="n"/>
      <c r="D2414" s="6" t="n"/>
      <c r="E2414" s="6" t="n"/>
      <c r="F2414" s="6" t="n"/>
      <c r="G2414" s="6" t="n"/>
      <c r="H2414" s="10">
        <f>IF(F2414="","",IFERROR(INDEX(Roster!$A$2:$A$600,MATCH(F2414,Roster!$E$2:$E$600,0)),""))</f>
        <v/>
      </c>
      <c r="I2414" s="10">
        <f>IF(AND(D2414="",C2414="",F2414=""),"",IF(G2414&lt;&gt;"","Void",IF(F2414="","Needs child",IF(H2414="","Child not found",IF(OR(B2414="",NOT(ISNUMBER(C2414))),"Needs month/pages","OK")))))</f>
        <v/>
      </c>
      <c r="J2414" s="10">
        <f>IF(I2414="","",IF(I2414="OK",IF(COUNTIFS(H2415:H$3001,H2414,B2415:B$3001,B2414,G2415:G$3001,"")=0,C2414,0),0))</f>
        <v/>
      </c>
    </row>
    <row r="2415">
      <c r="A2415" s="6" t="n"/>
      <c r="B2415" s="9" t="n"/>
      <c r="C2415" s="6" t="n"/>
      <c r="D2415" s="6" t="n"/>
      <c r="E2415" s="6" t="n"/>
      <c r="F2415" s="6" t="n"/>
      <c r="G2415" s="6" t="n"/>
      <c r="H2415" s="10">
        <f>IF(F2415="","",IFERROR(INDEX(Roster!$A$2:$A$600,MATCH(F2415,Roster!$E$2:$E$600,0)),""))</f>
        <v/>
      </c>
      <c r="I2415" s="10">
        <f>IF(AND(D2415="",C2415="",F2415=""),"",IF(G2415&lt;&gt;"","Void",IF(F2415="","Needs child",IF(H2415="","Child not found",IF(OR(B2415="",NOT(ISNUMBER(C2415))),"Needs month/pages","OK")))))</f>
        <v/>
      </c>
      <c r="J2415" s="10">
        <f>IF(I2415="","",IF(I2415="OK",IF(COUNTIFS(H2416:H$3001,H2415,B2416:B$3001,B2415,G2416:G$3001,"")=0,C2415,0),0))</f>
        <v/>
      </c>
    </row>
    <row r="2416">
      <c r="A2416" s="6" t="n"/>
      <c r="B2416" s="9" t="n"/>
      <c r="C2416" s="6" t="n"/>
      <c r="D2416" s="6" t="n"/>
      <c r="E2416" s="6" t="n"/>
      <c r="F2416" s="6" t="n"/>
      <c r="G2416" s="6" t="n"/>
      <c r="H2416" s="10">
        <f>IF(F2416="","",IFERROR(INDEX(Roster!$A$2:$A$600,MATCH(F2416,Roster!$E$2:$E$600,0)),""))</f>
        <v/>
      </c>
      <c r="I2416" s="10">
        <f>IF(AND(D2416="",C2416="",F2416=""),"",IF(G2416&lt;&gt;"","Void",IF(F2416="","Needs child",IF(H2416="","Child not found",IF(OR(B2416="",NOT(ISNUMBER(C2416))),"Needs month/pages","OK")))))</f>
        <v/>
      </c>
      <c r="J2416" s="10">
        <f>IF(I2416="","",IF(I2416="OK",IF(COUNTIFS(H2417:H$3001,H2416,B2417:B$3001,B2416,G2417:G$3001,"")=0,C2416,0),0))</f>
        <v/>
      </c>
    </row>
    <row r="2417">
      <c r="A2417" s="6" t="n"/>
      <c r="B2417" s="9" t="n"/>
      <c r="C2417" s="6" t="n"/>
      <c r="D2417" s="6" t="n"/>
      <c r="E2417" s="6" t="n"/>
      <c r="F2417" s="6" t="n"/>
      <c r="G2417" s="6" t="n"/>
      <c r="H2417" s="10">
        <f>IF(F2417="","",IFERROR(INDEX(Roster!$A$2:$A$600,MATCH(F2417,Roster!$E$2:$E$600,0)),""))</f>
        <v/>
      </c>
      <c r="I2417" s="10">
        <f>IF(AND(D2417="",C2417="",F2417=""),"",IF(G2417&lt;&gt;"","Void",IF(F2417="","Needs child",IF(H2417="","Child not found",IF(OR(B2417="",NOT(ISNUMBER(C2417))),"Needs month/pages","OK")))))</f>
        <v/>
      </c>
      <c r="J2417" s="10">
        <f>IF(I2417="","",IF(I2417="OK",IF(COUNTIFS(H2418:H$3001,H2417,B2418:B$3001,B2417,G2418:G$3001,"")=0,C2417,0),0))</f>
        <v/>
      </c>
    </row>
    <row r="2418">
      <c r="A2418" s="6" t="n"/>
      <c r="B2418" s="9" t="n"/>
      <c r="C2418" s="6" t="n"/>
      <c r="D2418" s="6" t="n"/>
      <c r="E2418" s="6" t="n"/>
      <c r="F2418" s="6" t="n"/>
      <c r="G2418" s="6" t="n"/>
      <c r="H2418" s="10">
        <f>IF(F2418="","",IFERROR(INDEX(Roster!$A$2:$A$600,MATCH(F2418,Roster!$E$2:$E$600,0)),""))</f>
        <v/>
      </c>
      <c r="I2418" s="10">
        <f>IF(AND(D2418="",C2418="",F2418=""),"",IF(G2418&lt;&gt;"","Void",IF(F2418="","Needs child",IF(H2418="","Child not found",IF(OR(B2418="",NOT(ISNUMBER(C2418))),"Needs month/pages","OK")))))</f>
        <v/>
      </c>
      <c r="J2418" s="10">
        <f>IF(I2418="","",IF(I2418="OK",IF(COUNTIFS(H2419:H$3001,H2418,B2419:B$3001,B2418,G2419:G$3001,"")=0,C2418,0),0))</f>
        <v/>
      </c>
    </row>
    <row r="2419">
      <c r="A2419" s="6" t="n"/>
      <c r="B2419" s="9" t="n"/>
      <c r="C2419" s="6" t="n"/>
      <c r="D2419" s="6" t="n"/>
      <c r="E2419" s="6" t="n"/>
      <c r="F2419" s="6" t="n"/>
      <c r="G2419" s="6" t="n"/>
      <c r="H2419" s="10">
        <f>IF(F2419="","",IFERROR(INDEX(Roster!$A$2:$A$600,MATCH(F2419,Roster!$E$2:$E$600,0)),""))</f>
        <v/>
      </c>
      <c r="I2419" s="10">
        <f>IF(AND(D2419="",C2419="",F2419=""),"",IF(G2419&lt;&gt;"","Void",IF(F2419="","Needs child",IF(H2419="","Child not found",IF(OR(B2419="",NOT(ISNUMBER(C2419))),"Needs month/pages","OK")))))</f>
        <v/>
      </c>
      <c r="J2419" s="10">
        <f>IF(I2419="","",IF(I2419="OK",IF(COUNTIFS(H2420:H$3001,H2419,B2420:B$3001,B2419,G2420:G$3001,"")=0,C2419,0),0))</f>
        <v/>
      </c>
    </row>
    <row r="2420">
      <c r="A2420" s="6" t="n"/>
      <c r="B2420" s="9" t="n"/>
      <c r="C2420" s="6" t="n"/>
      <c r="D2420" s="6" t="n"/>
      <c r="E2420" s="6" t="n"/>
      <c r="F2420" s="6" t="n"/>
      <c r="G2420" s="6" t="n"/>
      <c r="H2420" s="10">
        <f>IF(F2420="","",IFERROR(INDEX(Roster!$A$2:$A$600,MATCH(F2420,Roster!$E$2:$E$600,0)),""))</f>
        <v/>
      </c>
      <c r="I2420" s="10">
        <f>IF(AND(D2420="",C2420="",F2420=""),"",IF(G2420&lt;&gt;"","Void",IF(F2420="","Needs child",IF(H2420="","Child not found",IF(OR(B2420="",NOT(ISNUMBER(C2420))),"Needs month/pages","OK")))))</f>
        <v/>
      </c>
      <c r="J2420" s="10">
        <f>IF(I2420="","",IF(I2420="OK",IF(COUNTIFS(H2421:H$3001,H2420,B2421:B$3001,B2420,G2421:G$3001,"")=0,C2420,0),0))</f>
        <v/>
      </c>
    </row>
    <row r="2421">
      <c r="A2421" s="6" t="n"/>
      <c r="B2421" s="9" t="n"/>
      <c r="C2421" s="6" t="n"/>
      <c r="D2421" s="6" t="n"/>
      <c r="E2421" s="6" t="n"/>
      <c r="F2421" s="6" t="n"/>
      <c r="G2421" s="6" t="n"/>
      <c r="H2421" s="10">
        <f>IF(F2421="","",IFERROR(INDEX(Roster!$A$2:$A$600,MATCH(F2421,Roster!$E$2:$E$600,0)),""))</f>
        <v/>
      </c>
      <c r="I2421" s="10">
        <f>IF(AND(D2421="",C2421="",F2421=""),"",IF(G2421&lt;&gt;"","Void",IF(F2421="","Needs child",IF(H2421="","Child not found",IF(OR(B2421="",NOT(ISNUMBER(C2421))),"Needs month/pages","OK")))))</f>
        <v/>
      </c>
      <c r="J2421" s="10">
        <f>IF(I2421="","",IF(I2421="OK",IF(COUNTIFS(H2422:H$3001,H2421,B2422:B$3001,B2421,G2422:G$3001,"")=0,C2421,0),0))</f>
        <v/>
      </c>
    </row>
    <row r="2422">
      <c r="A2422" s="6" t="n"/>
      <c r="B2422" s="9" t="n"/>
      <c r="C2422" s="6" t="n"/>
      <c r="D2422" s="6" t="n"/>
      <c r="E2422" s="6" t="n"/>
      <c r="F2422" s="6" t="n"/>
      <c r="G2422" s="6" t="n"/>
      <c r="H2422" s="10">
        <f>IF(F2422="","",IFERROR(INDEX(Roster!$A$2:$A$600,MATCH(F2422,Roster!$E$2:$E$600,0)),""))</f>
        <v/>
      </c>
      <c r="I2422" s="10">
        <f>IF(AND(D2422="",C2422="",F2422=""),"",IF(G2422&lt;&gt;"","Void",IF(F2422="","Needs child",IF(H2422="","Child not found",IF(OR(B2422="",NOT(ISNUMBER(C2422))),"Needs month/pages","OK")))))</f>
        <v/>
      </c>
      <c r="J2422" s="10">
        <f>IF(I2422="","",IF(I2422="OK",IF(COUNTIFS(H2423:H$3001,H2422,B2423:B$3001,B2422,G2423:G$3001,"")=0,C2422,0),0))</f>
        <v/>
      </c>
    </row>
    <row r="2423">
      <c r="A2423" s="6" t="n"/>
      <c r="B2423" s="9" t="n"/>
      <c r="C2423" s="6" t="n"/>
      <c r="D2423" s="6" t="n"/>
      <c r="E2423" s="6" t="n"/>
      <c r="F2423" s="6" t="n"/>
      <c r="G2423" s="6" t="n"/>
      <c r="H2423" s="10">
        <f>IF(F2423="","",IFERROR(INDEX(Roster!$A$2:$A$600,MATCH(F2423,Roster!$E$2:$E$600,0)),""))</f>
        <v/>
      </c>
      <c r="I2423" s="10">
        <f>IF(AND(D2423="",C2423="",F2423=""),"",IF(G2423&lt;&gt;"","Void",IF(F2423="","Needs child",IF(H2423="","Child not found",IF(OR(B2423="",NOT(ISNUMBER(C2423))),"Needs month/pages","OK")))))</f>
        <v/>
      </c>
      <c r="J2423" s="10">
        <f>IF(I2423="","",IF(I2423="OK",IF(COUNTIFS(H2424:H$3001,H2423,B2424:B$3001,B2423,G2424:G$3001,"")=0,C2423,0),0))</f>
        <v/>
      </c>
    </row>
    <row r="2424">
      <c r="A2424" s="6" t="n"/>
      <c r="B2424" s="9" t="n"/>
      <c r="C2424" s="6" t="n"/>
      <c r="D2424" s="6" t="n"/>
      <c r="E2424" s="6" t="n"/>
      <c r="F2424" s="6" t="n"/>
      <c r="G2424" s="6" t="n"/>
      <c r="H2424" s="10">
        <f>IF(F2424="","",IFERROR(INDEX(Roster!$A$2:$A$600,MATCH(F2424,Roster!$E$2:$E$600,0)),""))</f>
        <v/>
      </c>
      <c r="I2424" s="10">
        <f>IF(AND(D2424="",C2424="",F2424=""),"",IF(G2424&lt;&gt;"","Void",IF(F2424="","Needs child",IF(H2424="","Child not found",IF(OR(B2424="",NOT(ISNUMBER(C2424))),"Needs month/pages","OK")))))</f>
        <v/>
      </c>
      <c r="J2424" s="10">
        <f>IF(I2424="","",IF(I2424="OK",IF(COUNTIFS(H2425:H$3001,H2424,B2425:B$3001,B2424,G2425:G$3001,"")=0,C2424,0),0))</f>
        <v/>
      </c>
    </row>
    <row r="2425">
      <c r="A2425" s="6" t="n"/>
      <c r="B2425" s="9" t="n"/>
      <c r="C2425" s="6" t="n"/>
      <c r="D2425" s="6" t="n"/>
      <c r="E2425" s="6" t="n"/>
      <c r="F2425" s="6" t="n"/>
      <c r="G2425" s="6" t="n"/>
      <c r="H2425" s="10">
        <f>IF(F2425="","",IFERROR(INDEX(Roster!$A$2:$A$600,MATCH(F2425,Roster!$E$2:$E$600,0)),""))</f>
        <v/>
      </c>
      <c r="I2425" s="10">
        <f>IF(AND(D2425="",C2425="",F2425=""),"",IF(G2425&lt;&gt;"","Void",IF(F2425="","Needs child",IF(H2425="","Child not found",IF(OR(B2425="",NOT(ISNUMBER(C2425))),"Needs month/pages","OK")))))</f>
        <v/>
      </c>
      <c r="J2425" s="10">
        <f>IF(I2425="","",IF(I2425="OK",IF(COUNTIFS(H2426:H$3001,H2425,B2426:B$3001,B2425,G2426:G$3001,"")=0,C2425,0),0))</f>
        <v/>
      </c>
    </row>
    <row r="2426">
      <c r="A2426" s="6" t="n"/>
      <c r="B2426" s="9" t="n"/>
      <c r="C2426" s="6" t="n"/>
      <c r="D2426" s="6" t="n"/>
      <c r="E2426" s="6" t="n"/>
      <c r="F2426" s="6" t="n"/>
      <c r="G2426" s="6" t="n"/>
      <c r="H2426" s="10">
        <f>IF(F2426="","",IFERROR(INDEX(Roster!$A$2:$A$600,MATCH(F2426,Roster!$E$2:$E$600,0)),""))</f>
        <v/>
      </c>
      <c r="I2426" s="10">
        <f>IF(AND(D2426="",C2426="",F2426=""),"",IF(G2426&lt;&gt;"","Void",IF(F2426="","Needs child",IF(H2426="","Child not found",IF(OR(B2426="",NOT(ISNUMBER(C2426))),"Needs month/pages","OK")))))</f>
        <v/>
      </c>
      <c r="J2426" s="10">
        <f>IF(I2426="","",IF(I2426="OK",IF(COUNTIFS(H2427:H$3001,H2426,B2427:B$3001,B2426,G2427:G$3001,"")=0,C2426,0),0))</f>
        <v/>
      </c>
    </row>
    <row r="2427">
      <c r="A2427" s="6" t="n"/>
      <c r="B2427" s="9" t="n"/>
      <c r="C2427" s="6" t="n"/>
      <c r="D2427" s="6" t="n"/>
      <c r="E2427" s="6" t="n"/>
      <c r="F2427" s="6" t="n"/>
      <c r="G2427" s="6" t="n"/>
      <c r="H2427" s="10">
        <f>IF(F2427="","",IFERROR(INDEX(Roster!$A$2:$A$600,MATCH(F2427,Roster!$E$2:$E$600,0)),""))</f>
        <v/>
      </c>
      <c r="I2427" s="10">
        <f>IF(AND(D2427="",C2427="",F2427=""),"",IF(G2427&lt;&gt;"","Void",IF(F2427="","Needs child",IF(H2427="","Child not found",IF(OR(B2427="",NOT(ISNUMBER(C2427))),"Needs month/pages","OK")))))</f>
        <v/>
      </c>
      <c r="J2427" s="10">
        <f>IF(I2427="","",IF(I2427="OK",IF(COUNTIFS(H2428:H$3001,H2427,B2428:B$3001,B2427,G2428:G$3001,"")=0,C2427,0),0))</f>
        <v/>
      </c>
    </row>
    <row r="2428">
      <c r="A2428" s="6" t="n"/>
      <c r="B2428" s="9" t="n"/>
      <c r="C2428" s="6" t="n"/>
      <c r="D2428" s="6" t="n"/>
      <c r="E2428" s="6" t="n"/>
      <c r="F2428" s="6" t="n"/>
      <c r="G2428" s="6" t="n"/>
      <c r="H2428" s="10">
        <f>IF(F2428="","",IFERROR(INDEX(Roster!$A$2:$A$600,MATCH(F2428,Roster!$E$2:$E$600,0)),""))</f>
        <v/>
      </c>
      <c r="I2428" s="10">
        <f>IF(AND(D2428="",C2428="",F2428=""),"",IF(G2428&lt;&gt;"","Void",IF(F2428="","Needs child",IF(H2428="","Child not found",IF(OR(B2428="",NOT(ISNUMBER(C2428))),"Needs month/pages","OK")))))</f>
        <v/>
      </c>
      <c r="J2428" s="10">
        <f>IF(I2428="","",IF(I2428="OK",IF(COUNTIFS(H2429:H$3001,H2428,B2429:B$3001,B2428,G2429:G$3001,"")=0,C2428,0),0))</f>
        <v/>
      </c>
    </row>
    <row r="2429">
      <c r="A2429" s="6" t="n"/>
      <c r="B2429" s="9" t="n"/>
      <c r="C2429" s="6" t="n"/>
      <c r="D2429" s="6" t="n"/>
      <c r="E2429" s="6" t="n"/>
      <c r="F2429" s="6" t="n"/>
      <c r="G2429" s="6" t="n"/>
      <c r="H2429" s="10">
        <f>IF(F2429="","",IFERROR(INDEX(Roster!$A$2:$A$600,MATCH(F2429,Roster!$E$2:$E$600,0)),""))</f>
        <v/>
      </c>
      <c r="I2429" s="10">
        <f>IF(AND(D2429="",C2429="",F2429=""),"",IF(G2429&lt;&gt;"","Void",IF(F2429="","Needs child",IF(H2429="","Child not found",IF(OR(B2429="",NOT(ISNUMBER(C2429))),"Needs month/pages","OK")))))</f>
        <v/>
      </c>
      <c r="J2429" s="10">
        <f>IF(I2429="","",IF(I2429="OK",IF(COUNTIFS(H2430:H$3001,H2429,B2430:B$3001,B2429,G2430:G$3001,"")=0,C2429,0),0))</f>
        <v/>
      </c>
    </row>
    <row r="2430">
      <c r="A2430" s="6" t="n"/>
      <c r="B2430" s="9" t="n"/>
      <c r="C2430" s="6" t="n"/>
      <c r="D2430" s="6" t="n"/>
      <c r="E2430" s="6" t="n"/>
      <c r="F2430" s="6" t="n"/>
      <c r="G2430" s="6" t="n"/>
      <c r="H2430" s="10">
        <f>IF(F2430="","",IFERROR(INDEX(Roster!$A$2:$A$600,MATCH(F2430,Roster!$E$2:$E$600,0)),""))</f>
        <v/>
      </c>
      <c r="I2430" s="10">
        <f>IF(AND(D2430="",C2430="",F2430=""),"",IF(G2430&lt;&gt;"","Void",IF(F2430="","Needs child",IF(H2430="","Child not found",IF(OR(B2430="",NOT(ISNUMBER(C2430))),"Needs month/pages","OK")))))</f>
        <v/>
      </c>
      <c r="J2430" s="10">
        <f>IF(I2430="","",IF(I2430="OK",IF(COUNTIFS(H2431:H$3001,H2430,B2431:B$3001,B2430,G2431:G$3001,"")=0,C2430,0),0))</f>
        <v/>
      </c>
    </row>
    <row r="2431">
      <c r="A2431" s="6" t="n"/>
      <c r="B2431" s="9" t="n"/>
      <c r="C2431" s="6" t="n"/>
      <c r="D2431" s="6" t="n"/>
      <c r="E2431" s="6" t="n"/>
      <c r="F2431" s="6" t="n"/>
      <c r="G2431" s="6" t="n"/>
      <c r="H2431" s="10">
        <f>IF(F2431="","",IFERROR(INDEX(Roster!$A$2:$A$600,MATCH(F2431,Roster!$E$2:$E$600,0)),""))</f>
        <v/>
      </c>
      <c r="I2431" s="10">
        <f>IF(AND(D2431="",C2431="",F2431=""),"",IF(G2431&lt;&gt;"","Void",IF(F2431="","Needs child",IF(H2431="","Child not found",IF(OR(B2431="",NOT(ISNUMBER(C2431))),"Needs month/pages","OK")))))</f>
        <v/>
      </c>
      <c r="J2431" s="10">
        <f>IF(I2431="","",IF(I2431="OK",IF(COUNTIFS(H2432:H$3001,H2431,B2432:B$3001,B2431,G2432:G$3001,"")=0,C2431,0),0))</f>
        <v/>
      </c>
    </row>
    <row r="2432">
      <c r="A2432" s="6" t="n"/>
      <c r="B2432" s="9" t="n"/>
      <c r="C2432" s="6" t="n"/>
      <c r="D2432" s="6" t="n"/>
      <c r="E2432" s="6" t="n"/>
      <c r="F2432" s="6" t="n"/>
      <c r="G2432" s="6" t="n"/>
      <c r="H2432" s="10">
        <f>IF(F2432="","",IFERROR(INDEX(Roster!$A$2:$A$600,MATCH(F2432,Roster!$E$2:$E$600,0)),""))</f>
        <v/>
      </c>
      <c r="I2432" s="10">
        <f>IF(AND(D2432="",C2432="",F2432=""),"",IF(G2432&lt;&gt;"","Void",IF(F2432="","Needs child",IF(H2432="","Child not found",IF(OR(B2432="",NOT(ISNUMBER(C2432))),"Needs month/pages","OK")))))</f>
        <v/>
      </c>
      <c r="J2432" s="10">
        <f>IF(I2432="","",IF(I2432="OK",IF(COUNTIFS(H2433:H$3001,H2432,B2433:B$3001,B2432,G2433:G$3001,"")=0,C2432,0),0))</f>
        <v/>
      </c>
    </row>
    <row r="2433">
      <c r="A2433" s="6" t="n"/>
      <c r="B2433" s="9" t="n"/>
      <c r="C2433" s="6" t="n"/>
      <c r="D2433" s="6" t="n"/>
      <c r="E2433" s="6" t="n"/>
      <c r="F2433" s="6" t="n"/>
      <c r="G2433" s="6" t="n"/>
      <c r="H2433" s="10">
        <f>IF(F2433="","",IFERROR(INDEX(Roster!$A$2:$A$600,MATCH(F2433,Roster!$E$2:$E$600,0)),""))</f>
        <v/>
      </c>
      <c r="I2433" s="10">
        <f>IF(AND(D2433="",C2433="",F2433=""),"",IF(G2433&lt;&gt;"","Void",IF(F2433="","Needs child",IF(H2433="","Child not found",IF(OR(B2433="",NOT(ISNUMBER(C2433))),"Needs month/pages","OK")))))</f>
        <v/>
      </c>
      <c r="J2433" s="10">
        <f>IF(I2433="","",IF(I2433="OK",IF(COUNTIFS(H2434:H$3001,H2433,B2434:B$3001,B2433,G2434:G$3001,"")=0,C2433,0),0))</f>
        <v/>
      </c>
    </row>
    <row r="2434">
      <c r="A2434" s="6" t="n"/>
      <c r="B2434" s="9" t="n"/>
      <c r="C2434" s="6" t="n"/>
      <c r="D2434" s="6" t="n"/>
      <c r="E2434" s="6" t="n"/>
      <c r="F2434" s="6" t="n"/>
      <c r="G2434" s="6" t="n"/>
      <c r="H2434" s="10">
        <f>IF(F2434="","",IFERROR(INDEX(Roster!$A$2:$A$600,MATCH(F2434,Roster!$E$2:$E$600,0)),""))</f>
        <v/>
      </c>
      <c r="I2434" s="10">
        <f>IF(AND(D2434="",C2434="",F2434=""),"",IF(G2434&lt;&gt;"","Void",IF(F2434="","Needs child",IF(H2434="","Child not found",IF(OR(B2434="",NOT(ISNUMBER(C2434))),"Needs month/pages","OK")))))</f>
        <v/>
      </c>
      <c r="J2434" s="10">
        <f>IF(I2434="","",IF(I2434="OK",IF(COUNTIFS(H2435:H$3001,H2434,B2435:B$3001,B2434,G2435:G$3001,"")=0,C2434,0),0))</f>
        <v/>
      </c>
    </row>
    <row r="2435">
      <c r="A2435" s="6" t="n"/>
      <c r="B2435" s="9" t="n"/>
      <c r="C2435" s="6" t="n"/>
      <c r="D2435" s="6" t="n"/>
      <c r="E2435" s="6" t="n"/>
      <c r="F2435" s="6" t="n"/>
      <c r="G2435" s="6" t="n"/>
      <c r="H2435" s="10">
        <f>IF(F2435="","",IFERROR(INDEX(Roster!$A$2:$A$600,MATCH(F2435,Roster!$E$2:$E$600,0)),""))</f>
        <v/>
      </c>
      <c r="I2435" s="10">
        <f>IF(AND(D2435="",C2435="",F2435=""),"",IF(G2435&lt;&gt;"","Void",IF(F2435="","Needs child",IF(H2435="","Child not found",IF(OR(B2435="",NOT(ISNUMBER(C2435))),"Needs month/pages","OK")))))</f>
        <v/>
      </c>
      <c r="J2435" s="10">
        <f>IF(I2435="","",IF(I2435="OK",IF(COUNTIFS(H2436:H$3001,H2435,B2436:B$3001,B2435,G2436:G$3001,"")=0,C2435,0),0))</f>
        <v/>
      </c>
    </row>
    <row r="2436">
      <c r="A2436" s="6" t="n"/>
      <c r="B2436" s="9" t="n"/>
      <c r="C2436" s="6" t="n"/>
      <c r="D2436" s="6" t="n"/>
      <c r="E2436" s="6" t="n"/>
      <c r="F2436" s="6" t="n"/>
      <c r="G2436" s="6" t="n"/>
      <c r="H2436" s="10">
        <f>IF(F2436="","",IFERROR(INDEX(Roster!$A$2:$A$600,MATCH(F2436,Roster!$E$2:$E$600,0)),""))</f>
        <v/>
      </c>
      <c r="I2436" s="10">
        <f>IF(AND(D2436="",C2436="",F2436=""),"",IF(G2436&lt;&gt;"","Void",IF(F2436="","Needs child",IF(H2436="","Child not found",IF(OR(B2436="",NOT(ISNUMBER(C2436))),"Needs month/pages","OK")))))</f>
        <v/>
      </c>
      <c r="J2436" s="10">
        <f>IF(I2436="","",IF(I2436="OK",IF(COUNTIFS(H2437:H$3001,H2436,B2437:B$3001,B2436,G2437:G$3001,"")=0,C2436,0),0))</f>
        <v/>
      </c>
    </row>
    <row r="2437">
      <c r="A2437" s="6" t="n"/>
      <c r="B2437" s="9" t="n"/>
      <c r="C2437" s="6" t="n"/>
      <c r="D2437" s="6" t="n"/>
      <c r="E2437" s="6" t="n"/>
      <c r="F2437" s="6" t="n"/>
      <c r="G2437" s="6" t="n"/>
      <c r="H2437" s="10">
        <f>IF(F2437="","",IFERROR(INDEX(Roster!$A$2:$A$600,MATCH(F2437,Roster!$E$2:$E$600,0)),""))</f>
        <v/>
      </c>
      <c r="I2437" s="10">
        <f>IF(AND(D2437="",C2437="",F2437=""),"",IF(G2437&lt;&gt;"","Void",IF(F2437="","Needs child",IF(H2437="","Child not found",IF(OR(B2437="",NOT(ISNUMBER(C2437))),"Needs month/pages","OK")))))</f>
        <v/>
      </c>
      <c r="J2437" s="10">
        <f>IF(I2437="","",IF(I2437="OK",IF(COUNTIFS(H2438:H$3001,H2437,B2438:B$3001,B2437,G2438:G$3001,"")=0,C2437,0),0))</f>
        <v/>
      </c>
    </row>
    <row r="2438">
      <c r="A2438" s="6" t="n"/>
      <c r="B2438" s="9" t="n"/>
      <c r="C2438" s="6" t="n"/>
      <c r="D2438" s="6" t="n"/>
      <c r="E2438" s="6" t="n"/>
      <c r="F2438" s="6" t="n"/>
      <c r="G2438" s="6" t="n"/>
      <c r="H2438" s="10">
        <f>IF(F2438="","",IFERROR(INDEX(Roster!$A$2:$A$600,MATCH(F2438,Roster!$E$2:$E$600,0)),""))</f>
        <v/>
      </c>
      <c r="I2438" s="10">
        <f>IF(AND(D2438="",C2438="",F2438=""),"",IF(G2438&lt;&gt;"","Void",IF(F2438="","Needs child",IF(H2438="","Child not found",IF(OR(B2438="",NOT(ISNUMBER(C2438))),"Needs month/pages","OK")))))</f>
        <v/>
      </c>
      <c r="J2438" s="10">
        <f>IF(I2438="","",IF(I2438="OK",IF(COUNTIFS(H2439:H$3001,H2438,B2439:B$3001,B2438,G2439:G$3001,"")=0,C2438,0),0))</f>
        <v/>
      </c>
    </row>
    <row r="2439">
      <c r="A2439" s="6" t="n"/>
      <c r="B2439" s="9" t="n"/>
      <c r="C2439" s="6" t="n"/>
      <c r="D2439" s="6" t="n"/>
      <c r="E2439" s="6" t="n"/>
      <c r="F2439" s="6" t="n"/>
      <c r="G2439" s="6" t="n"/>
      <c r="H2439" s="10">
        <f>IF(F2439="","",IFERROR(INDEX(Roster!$A$2:$A$600,MATCH(F2439,Roster!$E$2:$E$600,0)),""))</f>
        <v/>
      </c>
      <c r="I2439" s="10">
        <f>IF(AND(D2439="",C2439="",F2439=""),"",IF(G2439&lt;&gt;"","Void",IF(F2439="","Needs child",IF(H2439="","Child not found",IF(OR(B2439="",NOT(ISNUMBER(C2439))),"Needs month/pages","OK")))))</f>
        <v/>
      </c>
      <c r="J2439" s="10">
        <f>IF(I2439="","",IF(I2439="OK",IF(COUNTIFS(H2440:H$3001,H2439,B2440:B$3001,B2439,G2440:G$3001,"")=0,C2439,0),0))</f>
        <v/>
      </c>
    </row>
    <row r="2440">
      <c r="A2440" s="6" t="n"/>
      <c r="B2440" s="9" t="n"/>
      <c r="C2440" s="6" t="n"/>
      <c r="D2440" s="6" t="n"/>
      <c r="E2440" s="6" t="n"/>
      <c r="F2440" s="6" t="n"/>
      <c r="G2440" s="6" t="n"/>
      <c r="H2440" s="10">
        <f>IF(F2440="","",IFERROR(INDEX(Roster!$A$2:$A$600,MATCH(F2440,Roster!$E$2:$E$600,0)),""))</f>
        <v/>
      </c>
      <c r="I2440" s="10">
        <f>IF(AND(D2440="",C2440="",F2440=""),"",IF(G2440&lt;&gt;"","Void",IF(F2440="","Needs child",IF(H2440="","Child not found",IF(OR(B2440="",NOT(ISNUMBER(C2440))),"Needs month/pages","OK")))))</f>
        <v/>
      </c>
      <c r="J2440" s="10">
        <f>IF(I2440="","",IF(I2440="OK",IF(COUNTIFS(H2441:H$3001,H2440,B2441:B$3001,B2440,G2441:G$3001,"")=0,C2440,0),0))</f>
        <v/>
      </c>
    </row>
    <row r="2441">
      <c r="A2441" s="6" t="n"/>
      <c r="B2441" s="9" t="n"/>
      <c r="C2441" s="6" t="n"/>
      <c r="D2441" s="6" t="n"/>
      <c r="E2441" s="6" t="n"/>
      <c r="F2441" s="6" t="n"/>
      <c r="G2441" s="6" t="n"/>
      <c r="H2441" s="10">
        <f>IF(F2441="","",IFERROR(INDEX(Roster!$A$2:$A$600,MATCH(F2441,Roster!$E$2:$E$600,0)),""))</f>
        <v/>
      </c>
      <c r="I2441" s="10">
        <f>IF(AND(D2441="",C2441="",F2441=""),"",IF(G2441&lt;&gt;"","Void",IF(F2441="","Needs child",IF(H2441="","Child not found",IF(OR(B2441="",NOT(ISNUMBER(C2441))),"Needs month/pages","OK")))))</f>
        <v/>
      </c>
      <c r="J2441" s="10">
        <f>IF(I2441="","",IF(I2441="OK",IF(COUNTIFS(H2442:H$3001,H2441,B2442:B$3001,B2441,G2442:G$3001,"")=0,C2441,0),0))</f>
        <v/>
      </c>
    </row>
    <row r="2442">
      <c r="A2442" s="6" t="n"/>
      <c r="B2442" s="9" t="n"/>
      <c r="C2442" s="6" t="n"/>
      <c r="D2442" s="6" t="n"/>
      <c r="E2442" s="6" t="n"/>
      <c r="F2442" s="6" t="n"/>
      <c r="G2442" s="6" t="n"/>
      <c r="H2442" s="10">
        <f>IF(F2442="","",IFERROR(INDEX(Roster!$A$2:$A$600,MATCH(F2442,Roster!$E$2:$E$600,0)),""))</f>
        <v/>
      </c>
      <c r="I2442" s="10">
        <f>IF(AND(D2442="",C2442="",F2442=""),"",IF(G2442&lt;&gt;"","Void",IF(F2442="","Needs child",IF(H2442="","Child not found",IF(OR(B2442="",NOT(ISNUMBER(C2442))),"Needs month/pages","OK")))))</f>
        <v/>
      </c>
      <c r="J2442" s="10">
        <f>IF(I2442="","",IF(I2442="OK",IF(COUNTIFS(H2443:H$3001,H2442,B2443:B$3001,B2442,G2443:G$3001,"")=0,C2442,0),0))</f>
        <v/>
      </c>
    </row>
    <row r="2443">
      <c r="A2443" s="6" t="n"/>
      <c r="B2443" s="9" t="n"/>
      <c r="C2443" s="6" t="n"/>
      <c r="D2443" s="6" t="n"/>
      <c r="E2443" s="6" t="n"/>
      <c r="F2443" s="6" t="n"/>
      <c r="G2443" s="6" t="n"/>
      <c r="H2443" s="10">
        <f>IF(F2443="","",IFERROR(INDEX(Roster!$A$2:$A$600,MATCH(F2443,Roster!$E$2:$E$600,0)),""))</f>
        <v/>
      </c>
      <c r="I2443" s="10">
        <f>IF(AND(D2443="",C2443="",F2443=""),"",IF(G2443&lt;&gt;"","Void",IF(F2443="","Needs child",IF(H2443="","Child not found",IF(OR(B2443="",NOT(ISNUMBER(C2443))),"Needs month/pages","OK")))))</f>
        <v/>
      </c>
      <c r="J2443" s="10">
        <f>IF(I2443="","",IF(I2443="OK",IF(COUNTIFS(H2444:H$3001,H2443,B2444:B$3001,B2443,G2444:G$3001,"")=0,C2443,0),0))</f>
        <v/>
      </c>
    </row>
    <row r="2444">
      <c r="A2444" s="6" t="n"/>
      <c r="B2444" s="9" t="n"/>
      <c r="C2444" s="6" t="n"/>
      <c r="D2444" s="6" t="n"/>
      <c r="E2444" s="6" t="n"/>
      <c r="F2444" s="6" t="n"/>
      <c r="G2444" s="6" t="n"/>
      <c r="H2444" s="10">
        <f>IF(F2444="","",IFERROR(INDEX(Roster!$A$2:$A$600,MATCH(F2444,Roster!$E$2:$E$600,0)),""))</f>
        <v/>
      </c>
      <c r="I2444" s="10">
        <f>IF(AND(D2444="",C2444="",F2444=""),"",IF(G2444&lt;&gt;"","Void",IF(F2444="","Needs child",IF(H2444="","Child not found",IF(OR(B2444="",NOT(ISNUMBER(C2444))),"Needs month/pages","OK")))))</f>
        <v/>
      </c>
      <c r="J2444" s="10">
        <f>IF(I2444="","",IF(I2444="OK",IF(COUNTIFS(H2445:H$3001,H2444,B2445:B$3001,B2444,G2445:G$3001,"")=0,C2444,0),0))</f>
        <v/>
      </c>
    </row>
    <row r="2445">
      <c r="A2445" s="6" t="n"/>
      <c r="B2445" s="9" t="n"/>
      <c r="C2445" s="6" t="n"/>
      <c r="D2445" s="6" t="n"/>
      <c r="E2445" s="6" t="n"/>
      <c r="F2445" s="6" t="n"/>
      <c r="G2445" s="6" t="n"/>
      <c r="H2445" s="10">
        <f>IF(F2445="","",IFERROR(INDEX(Roster!$A$2:$A$600,MATCH(F2445,Roster!$E$2:$E$600,0)),""))</f>
        <v/>
      </c>
      <c r="I2445" s="10">
        <f>IF(AND(D2445="",C2445="",F2445=""),"",IF(G2445&lt;&gt;"","Void",IF(F2445="","Needs child",IF(H2445="","Child not found",IF(OR(B2445="",NOT(ISNUMBER(C2445))),"Needs month/pages","OK")))))</f>
        <v/>
      </c>
      <c r="J2445" s="10">
        <f>IF(I2445="","",IF(I2445="OK",IF(COUNTIFS(H2446:H$3001,H2445,B2446:B$3001,B2445,G2446:G$3001,"")=0,C2445,0),0))</f>
        <v/>
      </c>
    </row>
    <row r="2446">
      <c r="A2446" s="6" t="n"/>
      <c r="B2446" s="9" t="n"/>
      <c r="C2446" s="6" t="n"/>
      <c r="D2446" s="6" t="n"/>
      <c r="E2446" s="6" t="n"/>
      <c r="F2446" s="6" t="n"/>
      <c r="G2446" s="6" t="n"/>
      <c r="H2446" s="10">
        <f>IF(F2446="","",IFERROR(INDEX(Roster!$A$2:$A$600,MATCH(F2446,Roster!$E$2:$E$600,0)),""))</f>
        <v/>
      </c>
      <c r="I2446" s="10">
        <f>IF(AND(D2446="",C2446="",F2446=""),"",IF(G2446&lt;&gt;"","Void",IF(F2446="","Needs child",IF(H2446="","Child not found",IF(OR(B2446="",NOT(ISNUMBER(C2446))),"Needs month/pages","OK")))))</f>
        <v/>
      </c>
      <c r="J2446" s="10">
        <f>IF(I2446="","",IF(I2446="OK",IF(COUNTIFS(H2447:H$3001,H2446,B2447:B$3001,B2446,G2447:G$3001,"")=0,C2446,0),0))</f>
        <v/>
      </c>
    </row>
    <row r="2447">
      <c r="A2447" s="6" t="n"/>
      <c r="B2447" s="9" t="n"/>
      <c r="C2447" s="6" t="n"/>
      <c r="D2447" s="6" t="n"/>
      <c r="E2447" s="6" t="n"/>
      <c r="F2447" s="6" t="n"/>
      <c r="G2447" s="6" t="n"/>
      <c r="H2447" s="10">
        <f>IF(F2447="","",IFERROR(INDEX(Roster!$A$2:$A$600,MATCH(F2447,Roster!$E$2:$E$600,0)),""))</f>
        <v/>
      </c>
      <c r="I2447" s="10">
        <f>IF(AND(D2447="",C2447="",F2447=""),"",IF(G2447&lt;&gt;"","Void",IF(F2447="","Needs child",IF(H2447="","Child not found",IF(OR(B2447="",NOT(ISNUMBER(C2447))),"Needs month/pages","OK")))))</f>
        <v/>
      </c>
      <c r="J2447" s="10">
        <f>IF(I2447="","",IF(I2447="OK",IF(COUNTIFS(H2448:H$3001,H2447,B2448:B$3001,B2447,G2448:G$3001,"")=0,C2447,0),0))</f>
        <v/>
      </c>
    </row>
    <row r="2448">
      <c r="A2448" s="6" t="n"/>
      <c r="B2448" s="9" t="n"/>
      <c r="C2448" s="6" t="n"/>
      <c r="D2448" s="6" t="n"/>
      <c r="E2448" s="6" t="n"/>
      <c r="F2448" s="6" t="n"/>
      <c r="G2448" s="6" t="n"/>
      <c r="H2448" s="10">
        <f>IF(F2448="","",IFERROR(INDEX(Roster!$A$2:$A$600,MATCH(F2448,Roster!$E$2:$E$600,0)),""))</f>
        <v/>
      </c>
      <c r="I2448" s="10">
        <f>IF(AND(D2448="",C2448="",F2448=""),"",IF(G2448&lt;&gt;"","Void",IF(F2448="","Needs child",IF(H2448="","Child not found",IF(OR(B2448="",NOT(ISNUMBER(C2448))),"Needs month/pages","OK")))))</f>
        <v/>
      </c>
      <c r="J2448" s="10">
        <f>IF(I2448="","",IF(I2448="OK",IF(COUNTIFS(H2449:H$3001,H2448,B2449:B$3001,B2448,G2449:G$3001,"")=0,C2448,0),0))</f>
        <v/>
      </c>
    </row>
    <row r="2449">
      <c r="A2449" s="6" t="n"/>
      <c r="B2449" s="9" t="n"/>
      <c r="C2449" s="6" t="n"/>
      <c r="D2449" s="6" t="n"/>
      <c r="E2449" s="6" t="n"/>
      <c r="F2449" s="6" t="n"/>
      <c r="G2449" s="6" t="n"/>
      <c r="H2449" s="10">
        <f>IF(F2449="","",IFERROR(INDEX(Roster!$A$2:$A$600,MATCH(F2449,Roster!$E$2:$E$600,0)),""))</f>
        <v/>
      </c>
      <c r="I2449" s="10">
        <f>IF(AND(D2449="",C2449="",F2449=""),"",IF(G2449&lt;&gt;"","Void",IF(F2449="","Needs child",IF(H2449="","Child not found",IF(OR(B2449="",NOT(ISNUMBER(C2449))),"Needs month/pages","OK")))))</f>
        <v/>
      </c>
      <c r="J2449" s="10">
        <f>IF(I2449="","",IF(I2449="OK",IF(COUNTIFS(H2450:H$3001,H2449,B2450:B$3001,B2449,G2450:G$3001,"")=0,C2449,0),0))</f>
        <v/>
      </c>
    </row>
    <row r="2450">
      <c r="A2450" s="6" t="n"/>
      <c r="B2450" s="9" t="n"/>
      <c r="C2450" s="6" t="n"/>
      <c r="D2450" s="6" t="n"/>
      <c r="E2450" s="6" t="n"/>
      <c r="F2450" s="6" t="n"/>
      <c r="G2450" s="6" t="n"/>
      <c r="H2450" s="10">
        <f>IF(F2450="","",IFERROR(INDEX(Roster!$A$2:$A$600,MATCH(F2450,Roster!$E$2:$E$600,0)),""))</f>
        <v/>
      </c>
      <c r="I2450" s="10">
        <f>IF(AND(D2450="",C2450="",F2450=""),"",IF(G2450&lt;&gt;"","Void",IF(F2450="","Needs child",IF(H2450="","Child not found",IF(OR(B2450="",NOT(ISNUMBER(C2450))),"Needs month/pages","OK")))))</f>
        <v/>
      </c>
      <c r="J2450" s="10">
        <f>IF(I2450="","",IF(I2450="OK",IF(COUNTIFS(H2451:H$3001,H2450,B2451:B$3001,B2450,G2451:G$3001,"")=0,C2450,0),0))</f>
        <v/>
      </c>
    </row>
    <row r="2451">
      <c r="A2451" s="6" t="n"/>
      <c r="B2451" s="9" t="n"/>
      <c r="C2451" s="6" t="n"/>
      <c r="D2451" s="6" t="n"/>
      <c r="E2451" s="6" t="n"/>
      <c r="F2451" s="6" t="n"/>
      <c r="G2451" s="6" t="n"/>
      <c r="H2451" s="10">
        <f>IF(F2451="","",IFERROR(INDEX(Roster!$A$2:$A$600,MATCH(F2451,Roster!$E$2:$E$600,0)),""))</f>
        <v/>
      </c>
      <c r="I2451" s="10">
        <f>IF(AND(D2451="",C2451="",F2451=""),"",IF(G2451&lt;&gt;"","Void",IF(F2451="","Needs child",IF(H2451="","Child not found",IF(OR(B2451="",NOT(ISNUMBER(C2451))),"Needs month/pages","OK")))))</f>
        <v/>
      </c>
      <c r="J2451" s="10">
        <f>IF(I2451="","",IF(I2451="OK",IF(COUNTIFS(H2452:H$3001,H2451,B2452:B$3001,B2451,G2452:G$3001,"")=0,C2451,0),0))</f>
        <v/>
      </c>
    </row>
    <row r="2452">
      <c r="A2452" s="6" t="n"/>
      <c r="B2452" s="9" t="n"/>
      <c r="C2452" s="6" t="n"/>
      <c r="D2452" s="6" t="n"/>
      <c r="E2452" s="6" t="n"/>
      <c r="F2452" s="6" t="n"/>
      <c r="G2452" s="6" t="n"/>
      <c r="H2452" s="10">
        <f>IF(F2452="","",IFERROR(INDEX(Roster!$A$2:$A$600,MATCH(F2452,Roster!$E$2:$E$600,0)),""))</f>
        <v/>
      </c>
      <c r="I2452" s="10">
        <f>IF(AND(D2452="",C2452="",F2452=""),"",IF(G2452&lt;&gt;"","Void",IF(F2452="","Needs child",IF(H2452="","Child not found",IF(OR(B2452="",NOT(ISNUMBER(C2452))),"Needs month/pages","OK")))))</f>
        <v/>
      </c>
      <c r="J2452" s="10">
        <f>IF(I2452="","",IF(I2452="OK",IF(COUNTIFS(H2453:H$3001,H2452,B2453:B$3001,B2452,G2453:G$3001,"")=0,C2452,0),0))</f>
        <v/>
      </c>
    </row>
    <row r="2453">
      <c r="A2453" s="6" t="n"/>
      <c r="B2453" s="9" t="n"/>
      <c r="C2453" s="6" t="n"/>
      <c r="D2453" s="6" t="n"/>
      <c r="E2453" s="6" t="n"/>
      <c r="F2453" s="6" t="n"/>
      <c r="G2453" s="6" t="n"/>
      <c r="H2453" s="10">
        <f>IF(F2453="","",IFERROR(INDEX(Roster!$A$2:$A$600,MATCH(F2453,Roster!$E$2:$E$600,0)),""))</f>
        <v/>
      </c>
      <c r="I2453" s="10">
        <f>IF(AND(D2453="",C2453="",F2453=""),"",IF(G2453&lt;&gt;"","Void",IF(F2453="","Needs child",IF(H2453="","Child not found",IF(OR(B2453="",NOT(ISNUMBER(C2453))),"Needs month/pages","OK")))))</f>
        <v/>
      </c>
      <c r="J2453" s="10">
        <f>IF(I2453="","",IF(I2453="OK",IF(COUNTIFS(H2454:H$3001,H2453,B2454:B$3001,B2453,G2454:G$3001,"")=0,C2453,0),0))</f>
        <v/>
      </c>
    </row>
    <row r="2454">
      <c r="A2454" s="6" t="n"/>
      <c r="B2454" s="9" t="n"/>
      <c r="C2454" s="6" t="n"/>
      <c r="D2454" s="6" t="n"/>
      <c r="E2454" s="6" t="n"/>
      <c r="F2454" s="6" t="n"/>
      <c r="G2454" s="6" t="n"/>
      <c r="H2454" s="10">
        <f>IF(F2454="","",IFERROR(INDEX(Roster!$A$2:$A$600,MATCH(F2454,Roster!$E$2:$E$600,0)),""))</f>
        <v/>
      </c>
      <c r="I2454" s="10">
        <f>IF(AND(D2454="",C2454="",F2454=""),"",IF(G2454&lt;&gt;"","Void",IF(F2454="","Needs child",IF(H2454="","Child not found",IF(OR(B2454="",NOT(ISNUMBER(C2454))),"Needs month/pages","OK")))))</f>
        <v/>
      </c>
      <c r="J2454" s="10">
        <f>IF(I2454="","",IF(I2454="OK",IF(COUNTIFS(H2455:H$3001,H2454,B2455:B$3001,B2454,G2455:G$3001,"")=0,C2454,0),0))</f>
        <v/>
      </c>
    </row>
    <row r="2455">
      <c r="A2455" s="6" t="n"/>
      <c r="B2455" s="9" t="n"/>
      <c r="C2455" s="6" t="n"/>
      <c r="D2455" s="6" t="n"/>
      <c r="E2455" s="6" t="n"/>
      <c r="F2455" s="6" t="n"/>
      <c r="G2455" s="6" t="n"/>
      <c r="H2455" s="10">
        <f>IF(F2455="","",IFERROR(INDEX(Roster!$A$2:$A$600,MATCH(F2455,Roster!$E$2:$E$600,0)),""))</f>
        <v/>
      </c>
      <c r="I2455" s="10">
        <f>IF(AND(D2455="",C2455="",F2455=""),"",IF(G2455&lt;&gt;"","Void",IF(F2455="","Needs child",IF(H2455="","Child not found",IF(OR(B2455="",NOT(ISNUMBER(C2455))),"Needs month/pages","OK")))))</f>
        <v/>
      </c>
      <c r="J2455" s="10">
        <f>IF(I2455="","",IF(I2455="OK",IF(COUNTIFS(H2456:H$3001,H2455,B2456:B$3001,B2455,G2456:G$3001,"")=0,C2455,0),0))</f>
        <v/>
      </c>
    </row>
    <row r="2456">
      <c r="A2456" s="6" t="n"/>
      <c r="B2456" s="9" t="n"/>
      <c r="C2456" s="6" t="n"/>
      <c r="D2456" s="6" t="n"/>
      <c r="E2456" s="6" t="n"/>
      <c r="F2456" s="6" t="n"/>
      <c r="G2456" s="6" t="n"/>
      <c r="H2456" s="10">
        <f>IF(F2456="","",IFERROR(INDEX(Roster!$A$2:$A$600,MATCH(F2456,Roster!$E$2:$E$600,0)),""))</f>
        <v/>
      </c>
      <c r="I2456" s="10">
        <f>IF(AND(D2456="",C2456="",F2456=""),"",IF(G2456&lt;&gt;"","Void",IF(F2456="","Needs child",IF(H2456="","Child not found",IF(OR(B2456="",NOT(ISNUMBER(C2456))),"Needs month/pages","OK")))))</f>
        <v/>
      </c>
      <c r="J2456" s="10">
        <f>IF(I2456="","",IF(I2456="OK",IF(COUNTIFS(H2457:H$3001,H2456,B2457:B$3001,B2456,G2457:G$3001,"")=0,C2456,0),0))</f>
        <v/>
      </c>
    </row>
    <row r="2457">
      <c r="A2457" s="6" t="n"/>
      <c r="B2457" s="9" t="n"/>
      <c r="C2457" s="6" t="n"/>
      <c r="D2457" s="6" t="n"/>
      <c r="E2457" s="6" t="n"/>
      <c r="F2457" s="6" t="n"/>
      <c r="G2457" s="6" t="n"/>
      <c r="H2457" s="10">
        <f>IF(F2457="","",IFERROR(INDEX(Roster!$A$2:$A$600,MATCH(F2457,Roster!$E$2:$E$600,0)),""))</f>
        <v/>
      </c>
      <c r="I2457" s="10">
        <f>IF(AND(D2457="",C2457="",F2457=""),"",IF(G2457&lt;&gt;"","Void",IF(F2457="","Needs child",IF(H2457="","Child not found",IF(OR(B2457="",NOT(ISNUMBER(C2457))),"Needs month/pages","OK")))))</f>
        <v/>
      </c>
      <c r="J2457" s="10">
        <f>IF(I2457="","",IF(I2457="OK",IF(COUNTIFS(H2458:H$3001,H2457,B2458:B$3001,B2457,G2458:G$3001,"")=0,C2457,0),0))</f>
        <v/>
      </c>
    </row>
    <row r="2458">
      <c r="A2458" s="6" t="n"/>
      <c r="B2458" s="9" t="n"/>
      <c r="C2458" s="6" t="n"/>
      <c r="D2458" s="6" t="n"/>
      <c r="E2458" s="6" t="n"/>
      <c r="F2458" s="6" t="n"/>
      <c r="G2458" s="6" t="n"/>
      <c r="H2458" s="10">
        <f>IF(F2458="","",IFERROR(INDEX(Roster!$A$2:$A$600,MATCH(F2458,Roster!$E$2:$E$600,0)),""))</f>
        <v/>
      </c>
      <c r="I2458" s="10">
        <f>IF(AND(D2458="",C2458="",F2458=""),"",IF(G2458&lt;&gt;"","Void",IF(F2458="","Needs child",IF(H2458="","Child not found",IF(OR(B2458="",NOT(ISNUMBER(C2458))),"Needs month/pages","OK")))))</f>
        <v/>
      </c>
      <c r="J2458" s="10">
        <f>IF(I2458="","",IF(I2458="OK",IF(COUNTIFS(H2459:H$3001,H2458,B2459:B$3001,B2458,G2459:G$3001,"")=0,C2458,0),0))</f>
        <v/>
      </c>
    </row>
    <row r="2459">
      <c r="A2459" s="6" t="n"/>
      <c r="B2459" s="9" t="n"/>
      <c r="C2459" s="6" t="n"/>
      <c r="D2459" s="6" t="n"/>
      <c r="E2459" s="6" t="n"/>
      <c r="F2459" s="6" t="n"/>
      <c r="G2459" s="6" t="n"/>
      <c r="H2459" s="10">
        <f>IF(F2459="","",IFERROR(INDEX(Roster!$A$2:$A$600,MATCH(F2459,Roster!$E$2:$E$600,0)),""))</f>
        <v/>
      </c>
      <c r="I2459" s="10">
        <f>IF(AND(D2459="",C2459="",F2459=""),"",IF(G2459&lt;&gt;"","Void",IF(F2459="","Needs child",IF(H2459="","Child not found",IF(OR(B2459="",NOT(ISNUMBER(C2459))),"Needs month/pages","OK")))))</f>
        <v/>
      </c>
      <c r="J2459" s="10">
        <f>IF(I2459="","",IF(I2459="OK",IF(COUNTIFS(H2460:H$3001,H2459,B2460:B$3001,B2459,G2460:G$3001,"")=0,C2459,0),0))</f>
        <v/>
      </c>
    </row>
    <row r="2460">
      <c r="A2460" s="6" t="n"/>
      <c r="B2460" s="9" t="n"/>
      <c r="C2460" s="6" t="n"/>
      <c r="D2460" s="6" t="n"/>
      <c r="E2460" s="6" t="n"/>
      <c r="F2460" s="6" t="n"/>
      <c r="G2460" s="6" t="n"/>
      <c r="H2460" s="10">
        <f>IF(F2460="","",IFERROR(INDEX(Roster!$A$2:$A$600,MATCH(F2460,Roster!$E$2:$E$600,0)),""))</f>
        <v/>
      </c>
      <c r="I2460" s="10">
        <f>IF(AND(D2460="",C2460="",F2460=""),"",IF(G2460&lt;&gt;"","Void",IF(F2460="","Needs child",IF(H2460="","Child not found",IF(OR(B2460="",NOT(ISNUMBER(C2460))),"Needs month/pages","OK")))))</f>
        <v/>
      </c>
      <c r="J2460" s="10">
        <f>IF(I2460="","",IF(I2460="OK",IF(COUNTIFS(H2461:H$3001,H2460,B2461:B$3001,B2460,G2461:G$3001,"")=0,C2460,0),0))</f>
        <v/>
      </c>
    </row>
    <row r="2461">
      <c r="A2461" s="6" t="n"/>
      <c r="B2461" s="9" t="n"/>
      <c r="C2461" s="6" t="n"/>
      <c r="D2461" s="6" t="n"/>
      <c r="E2461" s="6" t="n"/>
      <c r="F2461" s="6" t="n"/>
      <c r="G2461" s="6" t="n"/>
      <c r="H2461" s="10">
        <f>IF(F2461="","",IFERROR(INDEX(Roster!$A$2:$A$600,MATCH(F2461,Roster!$E$2:$E$600,0)),""))</f>
        <v/>
      </c>
      <c r="I2461" s="10">
        <f>IF(AND(D2461="",C2461="",F2461=""),"",IF(G2461&lt;&gt;"","Void",IF(F2461="","Needs child",IF(H2461="","Child not found",IF(OR(B2461="",NOT(ISNUMBER(C2461))),"Needs month/pages","OK")))))</f>
        <v/>
      </c>
      <c r="J2461" s="10">
        <f>IF(I2461="","",IF(I2461="OK",IF(COUNTIFS(H2462:H$3001,H2461,B2462:B$3001,B2461,G2462:G$3001,"")=0,C2461,0),0))</f>
        <v/>
      </c>
    </row>
    <row r="2462">
      <c r="A2462" s="6" t="n"/>
      <c r="B2462" s="9" t="n"/>
      <c r="C2462" s="6" t="n"/>
      <c r="D2462" s="6" t="n"/>
      <c r="E2462" s="6" t="n"/>
      <c r="F2462" s="6" t="n"/>
      <c r="G2462" s="6" t="n"/>
      <c r="H2462" s="10">
        <f>IF(F2462="","",IFERROR(INDEX(Roster!$A$2:$A$600,MATCH(F2462,Roster!$E$2:$E$600,0)),""))</f>
        <v/>
      </c>
      <c r="I2462" s="10">
        <f>IF(AND(D2462="",C2462="",F2462=""),"",IF(G2462&lt;&gt;"","Void",IF(F2462="","Needs child",IF(H2462="","Child not found",IF(OR(B2462="",NOT(ISNUMBER(C2462))),"Needs month/pages","OK")))))</f>
        <v/>
      </c>
      <c r="J2462" s="10">
        <f>IF(I2462="","",IF(I2462="OK",IF(COUNTIFS(H2463:H$3001,H2462,B2463:B$3001,B2462,G2463:G$3001,"")=0,C2462,0),0))</f>
        <v/>
      </c>
    </row>
    <row r="2463">
      <c r="A2463" s="6" t="n"/>
      <c r="B2463" s="9" t="n"/>
      <c r="C2463" s="6" t="n"/>
      <c r="D2463" s="6" t="n"/>
      <c r="E2463" s="6" t="n"/>
      <c r="F2463" s="6" t="n"/>
      <c r="G2463" s="6" t="n"/>
      <c r="H2463" s="10">
        <f>IF(F2463="","",IFERROR(INDEX(Roster!$A$2:$A$600,MATCH(F2463,Roster!$E$2:$E$600,0)),""))</f>
        <v/>
      </c>
      <c r="I2463" s="10">
        <f>IF(AND(D2463="",C2463="",F2463=""),"",IF(G2463&lt;&gt;"","Void",IF(F2463="","Needs child",IF(H2463="","Child not found",IF(OR(B2463="",NOT(ISNUMBER(C2463))),"Needs month/pages","OK")))))</f>
        <v/>
      </c>
      <c r="J2463" s="10">
        <f>IF(I2463="","",IF(I2463="OK",IF(COUNTIFS(H2464:H$3001,H2463,B2464:B$3001,B2463,G2464:G$3001,"")=0,C2463,0),0))</f>
        <v/>
      </c>
    </row>
    <row r="2464">
      <c r="A2464" s="6" t="n"/>
      <c r="B2464" s="9" t="n"/>
      <c r="C2464" s="6" t="n"/>
      <c r="D2464" s="6" t="n"/>
      <c r="E2464" s="6" t="n"/>
      <c r="F2464" s="6" t="n"/>
      <c r="G2464" s="6" t="n"/>
      <c r="H2464" s="10">
        <f>IF(F2464="","",IFERROR(INDEX(Roster!$A$2:$A$600,MATCH(F2464,Roster!$E$2:$E$600,0)),""))</f>
        <v/>
      </c>
      <c r="I2464" s="10">
        <f>IF(AND(D2464="",C2464="",F2464=""),"",IF(G2464&lt;&gt;"","Void",IF(F2464="","Needs child",IF(H2464="","Child not found",IF(OR(B2464="",NOT(ISNUMBER(C2464))),"Needs month/pages","OK")))))</f>
        <v/>
      </c>
      <c r="J2464" s="10">
        <f>IF(I2464="","",IF(I2464="OK",IF(COUNTIFS(H2465:H$3001,H2464,B2465:B$3001,B2464,G2465:G$3001,"")=0,C2464,0),0))</f>
        <v/>
      </c>
    </row>
    <row r="2465">
      <c r="A2465" s="6" t="n"/>
      <c r="B2465" s="9" t="n"/>
      <c r="C2465" s="6" t="n"/>
      <c r="D2465" s="6" t="n"/>
      <c r="E2465" s="6" t="n"/>
      <c r="F2465" s="6" t="n"/>
      <c r="G2465" s="6" t="n"/>
      <c r="H2465" s="10">
        <f>IF(F2465="","",IFERROR(INDEX(Roster!$A$2:$A$600,MATCH(F2465,Roster!$E$2:$E$600,0)),""))</f>
        <v/>
      </c>
      <c r="I2465" s="10">
        <f>IF(AND(D2465="",C2465="",F2465=""),"",IF(G2465&lt;&gt;"","Void",IF(F2465="","Needs child",IF(H2465="","Child not found",IF(OR(B2465="",NOT(ISNUMBER(C2465))),"Needs month/pages","OK")))))</f>
        <v/>
      </c>
      <c r="J2465" s="10">
        <f>IF(I2465="","",IF(I2465="OK",IF(COUNTIFS(H2466:H$3001,H2465,B2466:B$3001,B2465,G2466:G$3001,"")=0,C2465,0),0))</f>
        <v/>
      </c>
    </row>
    <row r="2466">
      <c r="A2466" s="6" t="n"/>
      <c r="B2466" s="9" t="n"/>
      <c r="C2466" s="6" t="n"/>
      <c r="D2466" s="6" t="n"/>
      <c r="E2466" s="6" t="n"/>
      <c r="F2466" s="6" t="n"/>
      <c r="G2466" s="6" t="n"/>
      <c r="H2466" s="10">
        <f>IF(F2466="","",IFERROR(INDEX(Roster!$A$2:$A$600,MATCH(F2466,Roster!$E$2:$E$600,0)),""))</f>
        <v/>
      </c>
      <c r="I2466" s="10">
        <f>IF(AND(D2466="",C2466="",F2466=""),"",IF(G2466&lt;&gt;"","Void",IF(F2466="","Needs child",IF(H2466="","Child not found",IF(OR(B2466="",NOT(ISNUMBER(C2466))),"Needs month/pages","OK")))))</f>
        <v/>
      </c>
      <c r="J2466" s="10">
        <f>IF(I2466="","",IF(I2466="OK",IF(COUNTIFS(H2467:H$3001,H2466,B2467:B$3001,B2466,G2467:G$3001,"")=0,C2466,0),0))</f>
        <v/>
      </c>
    </row>
    <row r="2467">
      <c r="A2467" s="6" t="n"/>
      <c r="B2467" s="9" t="n"/>
      <c r="C2467" s="6" t="n"/>
      <c r="D2467" s="6" t="n"/>
      <c r="E2467" s="6" t="n"/>
      <c r="F2467" s="6" t="n"/>
      <c r="G2467" s="6" t="n"/>
      <c r="H2467" s="10">
        <f>IF(F2467="","",IFERROR(INDEX(Roster!$A$2:$A$600,MATCH(F2467,Roster!$E$2:$E$600,0)),""))</f>
        <v/>
      </c>
      <c r="I2467" s="10">
        <f>IF(AND(D2467="",C2467="",F2467=""),"",IF(G2467&lt;&gt;"","Void",IF(F2467="","Needs child",IF(H2467="","Child not found",IF(OR(B2467="",NOT(ISNUMBER(C2467))),"Needs month/pages","OK")))))</f>
        <v/>
      </c>
      <c r="J2467" s="10">
        <f>IF(I2467="","",IF(I2467="OK",IF(COUNTIFS(H2468:H$3001,H2467,B2468:B$3001,B2467,G2468:G$3001,"")=0,C2467,0),0))</f>
        <v/>
      </c>
    </row>
    <row r="2468">
      <c r="A2468" s="6" t="n"/>
      <c r="B2468" s="9" t="n"/>
      <c r="C2468" s="6" t="n"/>
      <c r="D2468" s="6" t="n"/>
      <c r="E2468" s="6" t="n"/>
      <c r="F2468" s="6" t="n"/>
      <c r="G2468" s="6" t="n"/>
      <c r="H2468" s="10">
        <f>IF(F2468="","",IFERROR(INDEX(Roster!$A$2:$A$600,MATCH(F2468,Roster!$E$2:$E$600,0)),""))</f>
        <v/>
      </c>
      <c r="I2468" s="10">
        <f>IF(AND(D2468="",C2468="",F2468=""),"",IF(G2468&lt;&gt;"","Void",IF(F2468="","Needs child",IF(H2468="","Child not found",IF(OR(B2468="",NOT(ISNUMBER(C2468))),"Needs month/pages","OK")))))</f>
        <v/>
      </c>
      <c r="J2468" s="10">
        <f>IF(I2468="","",IF(I2468="OK",IF(COUNTIFS(H2469:H$3001,H2468,B2469:B$3001,B2468,G2469:G$3001,"")=0,C2468,0),0))</f>
        <v/>
      </c>
    </row>
    <row r="2469">
      <c r="A2469" s="6" t="n"/>
      <c r="B2469" s="9" t="n"/>
      <c r="C2469" s="6" t="n"/>
      <c r="D2469" s="6" t="n"/>
      <c r="E2469" s="6" t="n"/>
      <c r="F2469" s="6" t="n"/>
      <c r="G2469" s="6" t="n"/>
      <c r="H2469" s="10">
        <f>IF(F2469="","",IFERROR(INDEX(Roster!$A$2:$A$600,MATCH(F2469,Roster!$E$2:$E$600,0)),""))</f>
        <v/>
      </c>
      <c r="I2469" s="10">
        <f>IF(AND(D2469="",C2469="",F2469=""),"",IF(G2469&lt;&gt;"","Void",IF(F2469="","Needs child",IF(H2469="","Child not found",IF(OR(B2469="",NOT(ISNUMBER(C2469))),"Needs month/pages","OK")))))</f>
        <v/>
      </c>
      <c r="J2469" s="10">
        <f>IF(I2469="","",IF(I2469="OK",IF(COUNTIFS(H2470:H$3001,H2469,B2470:B$3001,B2469,G2470:G$3001,"")=0,C2469,0),0))</f>
        <v/>
      </c>
    </row>
    <row r="2470">
      <c r="A2470" s="6" t="n"/>
      <c r="B2470" s="9" t="n"/>
      <c r="C2470" s="6" t="n"/>
      <c r="D2470" s="6" t="n"/>
      <c r="E2470" s="6" t="n"/>
      <c r="F2470" s="6" t="n"/>
      <c r="G2470" s="6" t="n"/>
      <c r="H2470" s="10">
        <f>IF(F2470="","",IFERROR(INDEX(Roster!$A$2:$A$600,MATCH(F2470,Roster!$E$2:$E$600,0)),""))</f>
        <v/>
      </c>
      <c r="I2470" s="10">
        <f>IF(AND(D2470="",C2470="",F2470=""),"",IF(G2470&lt;&gt;"","Void",IF(F2470="","Needs child",IF(H2470="","Child not found",IF(OR(B2470="",NOT(ISNUMBER(C2470))),"Needs month/pages","OK")))))</f>
        <v/>
      </c>
      <c r="J2470" s="10">
        <f>IF(I2470="","",IF(I2470="OK",IF(COUNTIFS(H2471:H$3001,H2470,B2471:B$3001,B2470,G2471:G$3001,"")=0,C2470,0),0))</f>
        <v/>
      </c>
    </row>
    <row r="2471">
      <c r="A2471" s="6" t="n"/>
      <c r="B2471" s="9" t="n"/>
      <c r="C2471" s="6" t="n"/>
      <c r="D2471" s="6" t="n"/>
      <c r="E2471" s="6" t="n"/>
      <c r="F2471" s="6" t="n"/>
      <c r="G2471" s="6" t="n"/>
      <c r="H2471" s="10">
        <f>IF(F2471="","",IFERROR(INDEX(Roster!$A$2:$A$600,MATCH(F2471,Roster!$E$2:$E$600,0)),""))</f>
        <v/>
      </c>
      <c r="I2471" s="10">
        <f>IF(AND(D2471="",C2471="",F2471=""),"",IF(G2471&lt;&gt;"","Void",IF(F2471="","Needs child",IF(H2471="","Child not found",IF(OR(B2471="",NOT(ISNUMBER(C2471))),"Needs month/pages","OK")))))</f>
        <v/>
      </c>
      <c r="J2471" s="10">
        <f>IF(I2471="","",IF(I2471="OK",IF(COUNTIFS(H2472:H$3001,H2471,B2472:B$3001,B2471,G2472:G$3001,"")=0,C2471,0),0))</f>
        <v/>
      </c>
    </row>
    <row r="2472">
      <c r="A2472" s="6" t="n"/>
      <c r="B2472" s="9" t="n"/>
      <c r="C2472" s="6" t="n"/>
      <c r="D2472" s="6" t="n"/>
      <c r="E2472" s="6" t="n"/>
      <c r="F2472" s="6" t="n"/>
      <c r="G2472" s="6" t="n"/>
      <c r="H2472" s="10">
        <f>IF(F2472="","",IFERROR(INDEX(Roster!$A$2:$A$600,MATCH(F2472,Roster!$E$2:$E$600,0)),""))</f>
        <v/>
      </c>
      <c r="I2472" s="10">
        <f>IF(AND(D2472="",C2472="",F2472=""),"",IF(G2472&lt;&gt;"","Void",IF(F2472="","Needs child",IF(H2472="","Child not found",IF(OR(B2472="",NOT(ISNUMBER(C2472))),"Needs month/pages","OK")))))</f>
        <v/>
      </c>
      <c r="J2472" s="10">
        <f>IF(I2472="","",IF(I2472="OK",IF(COUNTIFS(H2473:H$3001,H2472,B2473:B$3001,B2472,G2473:G$3001,"")=0,C2472,0),0))</f>
        <v/>
      </c>
    </row>
    <row r="2473">
      <c r="A2473" s="6" t="n"/>
      <c r="B2473" s="9" t="n"/>
      <c r="C2473" s="6" t="n"/>
      <c r="D2473" s="6" t="n"/>
      <c r="E2473" s="6" t="n"/>
      <c r="F2473" s="6" t="n"/>
      <c r="G2473" s="6" t="n"/>
      <c r="H2473" s="10">
        <f>IF(F2473="","",IFERROR(INDEX(Roster!$A$2:$A$600,MATCH(F2473,Roster!$E$2:$E$600,0)),""))</f>
        <v/>
      </c>
      <c r="I2473" s="10">
        <f>IF(AND(D2473="",C2473="",F2473=""),"",IF(G2473&lt;&gt;"","Void",IF(F2473="","Needs child",IF(H2473="","Child not found",IF(OR(B2473="",NOT(ISNUMBER(C2473))),"Needs month/pages","OK")))))</f>
        <v/>
      </c>
      <c r="J2473" s="10">
        <f>IF(I2473="","",IF(I2473="OK",IF(COUNTIFS(H2474:H$3001,H2473,B2474:B$3001,B2473,G2474:G$3001,"")=0,C2473,0),0))</f>
        <v/>
      </c>
    </row>
    <row r="2474">
      <c r="A2474" s="6" t="n"/>
      <c r="B2474" s="9" t="n"/>
      <c r="C2474" s="6" t="n"/>
      <c r="D2474" s="6" t="n"/>
      <c r="E2474" s="6" t="n"/>
      <c r="F2474" s="6" t="n"/>
      <c r="G2474" s="6" t="n"/>
      <c r="H2474" s="10">
        <f>IF(F2474="","",IFERROR(INDEX(Roster!$A$2:$A$600,MATCH(F2474,Roster!$E$2:$E$600,0)),""))</f>
        <v/>
      </c>
      <c r="I2474" s="10">
        <f>IF(AND(D2474="",C2474="",F2474=""),"",IF(G2474&lt;&gt;"","Void",IF(F2474="","Needs child",IF(H2474="","Child not found",IF(OR(B2474="",NOT(ISNUMBER(C2474))),"Needs month/pages","OK")))))</f>
        <v/>
      </c>
      <c r="J2474" s="10">
        <f>IF(I2474="","",IF(I2474="OK",IF(COUNTIFS(H2475:H$3001,H2474,B2475:B$3001,B2474,G2475:G$3001,"")=0,C2474,0),0))</f>
        <v/>
      </c>
    </row>
    <row r="2475">
      <c r="A2475" s="6" t="n"/>
      <c r="B2475" s="9" t="n"/>
      <c r="C2475" s="6" t="n"/>
      <c r="D2475" s="6" t="n"/>
      <c r="E2475" s="6" t="n"/>
      <c r="F2475" s="6" t="n"/>
      <c r="G2475" s="6" t="n"/>
      <c r="H2475" s="10">
        <f>IF(F2475="","",IFERROR(INDEX(Roster!$A$2:$A$600,MATCH(F2475,Roster!$E$2:$E$600,0)),""))</f>
        <v/>
      </c>
      <c r="I2475" s="10">
        <f>IF(AND(D2475="",C2475="",F2475=""),"",IF(G2475&lt;&gt;"","Void",IF(F2475="","Needs child",IF(H2475="","Child not found",IF(OR(B2475="",NOT(ISNUMBER(C2475))),"Needs month/pages","OK")))))</f>
        <v/>
      </c>
      <c r="J2475" s="10">
        <f>IF(I2475="","",IF(I2475="OK",IF(COUNTIFS(H2476:H$3001,H2475,B2476:B$3001,B2475,G2476:G$3001,"")=0,C2475,0),0))</f>
        <v/>
      </c>
    </row>
    <row r="2476">
      <c r="A2476" s="6" t="n"/>
      <c r="B2476" s="9" t="n"/>
      <c r="C2476" s="6" t="n"/>
      <c r="D2476" s="6" t="n"/>
      <c r="E2476" s="6" t="n"/>
      <c r="F2476" s="6" t="n"/>
      <c r="G2476" s="6" t="n"/>
      <c r="H2476" s="10">
        <f>IF(F2476="","",IFERROR(INDEX(Roster!$A$2:$A$600,MATCH(F2476,Roster!$E$2:$E$600,0)),""))</f>
        <v/>
      </c>
      <c r="I2476" s="10">
        <f>IF(AND(D2476="",C2476="",F2476=""),"",IF(G2476&lt;&gt;"","Void",IF(F2476="","Needs child",IF(H2476="","Child not found",IF(OR(B2476="",NOT(ISNUMBER(C2476))),"Needs month/pages","OK")))))</f>
        <v/>
      </c>
      <c r="J2476" s="10">
        <f>IF(I2476="","",IF(I2476="OK",IF(COUNTIFS(H2477:H$3001,H2476,B2477:B$3001,B2476,G2477:G$3001,"")=0,C2476,0),0))</f>
        <v/>
      </c>
    </row>
    <row r="2477">
      <c r="A2477" s="6" t="n"/>
      <c r="B2477" s="9" t="n"/>
      <c r="C2477" s="6" t="n"/>
      <c r="D2477" s="6" t="n"/>
      <c r="E2477" s="6" t="n"/>
      <c r="F2477" s="6" t="n"/>
      <c r="G2477" s="6" t="n"/>
      <c r="H2477" s="10">
        <f>IF(F2477="","",IFERROR(INDEX(Roster!$A$2:$A$600,MATCH(F2477,Roster!$E$2:$E$600,0)),""))</f>
        <v/>
      </c>
      <c r="I2477" s="10">
        <f>IF(AND(D2477="",C2477="",F2477=""),"",IF(G2477&lt;&gt;"","Void",IF(F2477="","Needs child",IF(H2477="","Child not found",IF(OR(B2477="",NOT(ISNUMBER(C2477))),"Needs month/pages","OK")))))</f>
        <v/>
      </c>
      <c r="J2477" s="10">
        <f>IF(I2477="","",IF(I2477="OK",IF(COUNTIFS(H2478:H$3001,H2477,B2478:B$3001,B2477,G2478:G$3001,"")=0,C2477,0),0))</f>
        <v/>
      </c>
    </row>
    <row r="2478">
      <c r="A2478" s="6" t="n"/>
      <c r="B2478" s="9" t="n"/>
      <c r="C2478" s="6" t="n"/>
      <c r="D2478" s="6" t="n"/>
      <c r="E2478" s="6" t="n"/>
      <c r="F2478" s="6" t="n"/>
      <c r="G2478" s="6" t="n"/>
      <c r="H2478" s="10">
        <f>IF(F2478="","",IFERROR(INDEX(Roster!$A$2:$A$600,MATCH(F2478,Roster!$E$2:$E$600,0)),""))</f>
        <v/>
      </c>
      <c r="I2478" s="10">
        <f>IF(AND(D2478="",C2478="",F2478=""),"",IF(G2478&lt;&gt;"","Void",IF(F2478="","Needs child",IF(H2478="","Child not found",IF(OR(B2478="",NOT(ISNUMBER(C2478))),"Needs month/pages","OK")))))</f>
        <v/>
      </c>
      <c r="J2478" s="10">
        <f>IF(I2478="","",IF(I2478="OK",IF(COUNTIFS(H2479:H$3001,H2478,B2479:B$3001,B2478,G2479:G$3001,"")=0,C2478,0),0))</f>
        <v/>
      </c>
    </row>
    <row r="2479">
      <c r="A2479" s="6" t="n"/>
      <c r="B2479" s="9" t="n"/>
      <c r="C2479" s="6" t="n"/>
      <c r="D2479" s="6" t="n"/>
      <c r="E2479" s="6" t="n"/>
      <c r="F2479" s="6" t="n"/>
      <c r="G2479" s="6" t="n"/>
      <c r="H2479" s="10">
        <f>IF(F2479="","",IFERROR(INDEX(Roster!$A$2:$A$600,MATCH(F2479,Roster!$E$2:$E$600,0)),""))</f>
        <v/>
      </c>
      <c r="I2479" s="10">
        <f>IF(AND(D2479="",C2479="",F2479=""),"",IF(G2479&lt;&gt;"","Void",IF(F2479="","Needs child",IF(H2479="","Child not found",IF(OR(B2479="",NOT(ISNUMBER(C2479))),"Needs month/pages","OK")))))</f>
        <v/>
      </c>
      <c r="J2479" s="10">
        <f>IF(I2479="","",IF(I2479="OK",IF(COUNTIFS(H2480:H$3001,H2479,B2480:B$3001,B2479,G2480:G$3001,"")=0,C2479,0),0))</f>
        <v/>
      </c>
    </row>
    <row r="2480">
      <c r="A2480" s="6" t="n"/>
      <c r="B2480" s="9" t="n"/>
      <c r="C2480" s="6" t="n"/>
      <c r="D2480" s="6" t="n"/>
      <c r="E2480" s="6" t="n"/>
      <c r="F2480" s="6" t="n"/>
      <c r="G2480" s="6" t="n"/>
      <c r="H2480" s="10">
        <f>IF(F2480="","",IFERROR(INDEX(Roster!$A$2:$A$600,MATCH(F2480,Roster!$E$2:$E$600,0)),""))</f>
        <v/>
      </c>
      <c r="I2480" s="10">
        <f>IF(AND(D2480="",C2480="",F2480=""),"",IF(G2480&lt;&gt;"","Void",IF(F2480="","Needs child",IF(H2480="","Child not found",IF(OR(B2480="",NOT(ISNUMBER(C2480))),"Needs month/pages","OK")))))</f>
        <v/>
      </c>
      <c r="J2480" s="10">
        <f>IF(I2480="","",IF(I2480="OK",IF(COUNTIFS(H2481:H$3001,H2480,B2481:B$3001,B2480,G2481:G$3001,"")=0,C2480,0),0))</f>
        <v/>
      </c>
    </row>
    <row r="2481">
      <c r="A2481" s="6" t="n"/>
      <c r="B2481" s="9" t="n"/>
      <c r="C2481" s="6" t="n"/>
      <c r="D2481" s="6" t="n"/>
      <c r="E2481" s="6" t="n"/>
      <c r="F2481" s="6" t="n"/>
      <c r="G2481" s="6" t="n"/>
      <c r="H2481" s="10">
        <f>IF(F2481="","",IFERROR(INDEX(Roster!$A$2:$A$600,MATCH(F2481,Roster!$E$2:$E$600,0)),""))</f>
        <v/>
      </c>
      <c r="I2481" s="10">
        <f>IF(AND(D2481="",C2481="",F2481=""),"",IF(G2481&lt;&gt;"","Void",IF(F2481="","Needs child",IF(H2481="","Child not found",IF(OR(B2481="",NOT(ISNUMBER(C2481))),"Needs month/pages","OK")))))</f>
        <v/>
      </c>
      <c r="J2481" s="10">
        <f>IF(I2481="","",IF(I2481="OK",IF(COUNTIFS(H2482:H$3001,H2481,B2482:B$3001,B2481,G2482:G$3001,"")=0,C2481,0),0))</f>
        <v/>
      </c>
    </row>
    <row r="2482">
      <c r="A2482" s="6" t="n"/>
      <c r="B2482" s="9" t="n"/>
      <c r="C2482" s="6" t="n"/>
      <c r="D2482" s="6" t="n"/>
      <c r="E2482" s="6" t="n"/>
      <c r="F2482" s="6" t="n"/>
      <c r="G2482" s="6" t="n"/>
      <c r="H2482" s="10">
        <f>IF(F2482="","",IFERROR(INDEX(Roster!$A$2:$A$600,MATCH(F2482,Roster!$E$2:$E$600,0)),""))</f>
        <v/>
      </c>
      <c r="I2482" s="10">
        <f>IF(AND(D2482="",C2482="",F2482=""),"",IF(G2482&lt;&gt;"","Void",IF(F2482="","Needs child",IF(H2482="","Child not found",IF(OR(B2482="",NOT(ISNUMBER(C2482))),"Needs month/pages","OK")))))</f>
        <v/>
      </c>
      <c r="J2482" s="10">
        <f>IF(I2482="","",IF(I2482="OK",IF(COUNTIFS(H2483:H$3001,H2482,B2483:B$3001,B2482,G2483:G$3001,"")=0,C2482,0),0))</f>
        <v/>
      </c>
    </row>
    <row r="2483">
      <c r="A2483" s="6" t="n"/>
      <c r="B2483" s="9" t="n"/>
      <c r="C2483" s="6" t="n"/>
      <c r="D2483" s="6" t="n"/>
      <c r="E2483" s="6" t="n"/>
      <c r="F2483" s="6" t="n"/>
      <c r="G2483" s="6" t="n"/>
      <c r="H2483" s="10">
        <f>IF(F2483="","",IFERROR(INDEX(Roster!$A$2:$A$600,MATCH(F2483,Roster!$E$2:$E$600,0)),""))</f>
        <v/>
      </c>
      <c r="I2483" s="10">
        <f>IF(AND(D2483="",C2483="",F2483=""),"",IF(G2483&lt;&gt;"","Void",IF(F2483="","Needs child",IF(H2483="","Child not found",IF(OR(B2483="",NOT(ISNUMBER(C2483))),"Needs month/pages","OK")))))</f>
        <v/>
      </c>
      <c r="J2483" s="10">
        <f>IF(I2483="","",IF(I2483="OK",IF(COUNTIFS(H2484:H$3001,H2483,B2484:B$3001,B2483,G2484:G$3001,"")=0,C2483,0),0))</f>
        <v/>
      </c>
    </row>
    <row r="2484">
      <c r="A2484" s="6" t="n"/>
      <c r="B2484" s="9" t="n"/>
      <c r="C2484" s="6" t="n"/>
      <c r="D2484" s="6" t="n"/>
      <c r="E2484" s="6" t="n"/>
      <c r="F2484" s="6" t="n"/>
      <c r="G2484" s="6" t="n"/>
      <c r="H2484" s="10">
        <f>IF(F2484="","",IFERROR(INDEX(Roster!$A$2:$A$600,MATCH(F2484,Roster!$E$2:$E$600,0)),""))</f>
        <v/>
      </c>
      <c r="I2484" s="10">
        <f>IF(AND(D2484="",C2484="",F2484=""),"",IF(G2484&lt;&gt;"","Void",IF(F2484="","Needs child",IF(H2484="","Child not found",IF(OR(B2484="",NOT(ISNUMBER(C2484))),"Needs month/pages","OK")))))</f>
        <v/>
      </c>
      <c r="J2484" s="10">
        <f>IF(I2484="","",IF(I2484="OK",IF(COUNTIFS(H2485:H$3001,H2484,B2485:B$3001,B2484,G2485:G$3001,"")=0,C2484,0),0))</f>
        <v/>
      </c>
    </row>
    <row r="2485">
      <c r="A2485" s="6" t="n"/>
      <c r="B2485" s="9" t="n"/>
      <c r="C2485" s="6" t="n"/>
      <c r="D2485" s="6" t="n"/>
      <c r="E2485" s="6" t="n"/>
      <c r="F2485" s="6" t="n"/>
      <c r="G2485" s="6" t="n"/>
      <c r="H2485" s="10">
        <f>IF(F2485="","",IFERROR(INDEX(Roster!$A$2:$A$600,MATCH(F2485,Roster!$E$2:$E$600,0)),""))</f>
        <v/>
      </c>
      <c r="I2485" s="10">
        <f>IF(AND(D2485="",C2485="",F2485=""),"",IF(G2485&lt;&gt;"","Void",IF(F2485="","Needs child",IF(H2485="","Child not found",IF(OR(B2485="",NOT(ISNUMBER(C2485))),"Needs month/pages","OK")))))</f>
        <v/>
      </c>
      <c r="J2485" s="10">
        <f>IF(I2485="","",IF(I2485="OK",IF(COUNTIFS(H2486:H$3001,H2485,B2486:B$3001,B2485,G2486:G$3001,"")=0,C2485,0),0))</f>
        <v/>
      </c>
    </row>
    <row r="2486">
      <c r="A2486" s="6" t="n"/>
      <c r="B2486" s="9" t="n"/>
      <c r="C2486" s="6" t="n"/>
      <c r="D2486" s="6" t="n"/>
      <c r="E2486" s="6" t="n"/>
      <c r="F2486" s="6" t="n"/>
      <c r="G2486" s="6" t="n"/>
      <c r="H2486" s="10">
        <f>IF(F2486="","",IFERROR(INDEX(Roster!$A$2:$A$600,MATCH(F2486,Roster!$E$2:$E$600,0)),""))</f>
        <v/>
      </c>
      <c r="I2486" s="10">
        <f>IF(AND(D2486="",C2486="",F2486=""),"",IF(G2486&lt;&gt;"","Void",IF(F2486="","Needs child",IF(H2486="","Child not found",IF(OR(B2486="",NOT(ISNUMBER(C2486))),"Needs month/pages","OK")))))</f>
        <v/>
      </c>
      <c r="J2486" s="10">
        <f>IF(I2486="","",IF(I2486="OK",IF(COUNTIFS(H2487:H$3001,H2486,B2487:B$3001,B2486,G2487:G$3001,"")=0,C2486,0),0))</f>
        <v/>
      </c>
    </row>
    <row r="2487">
      <c r="A2487" s="6" t="n"/>
      <c r="B2487" s="9" t="n"/>
      <c r="C2487" s="6" t="n"/>
      <c r="D2487" s="6" t="n"/>
      <c r="E2487" s="6" t="n"/>
      <c r="F2487" s="6" t="n"/>
      <c r="G2487" s="6" t="n"/>
      <c r="H2487" s="10">
        <f>IF(F2487="","",IFERROR(INDEX(Roster!$A$2:$A$600,MATCH(F2487,Roster!$E$2:$E$600,0)),""))</f>
        <v/>
      </c>
      <c r="I2487" s="10">
        <f>IF(AND(D2487="",C2487="",F2487=""),"",IF(G2487&lt;&gt;"","Void",IF(F2487="","Needs child",IF(H2487="","Child not found",IF(OR(B2487="",NOT(ISNUMBER(C2487))),"Needs month/pages","OK")))))</f>
        <v/>
      </c>
      <c r="J2487" s="10">
        <f>IF(I2487="","",IF(I2487="OK",IF(COUNTIFS(H2488:H$3001,H2487,B2488:B$3001,B2487,G2488:G$3001,"")=0,C2487,0),0))</f>
        <v/>
      </c>
    </row>
    <row r="2488">
      <c r="A2488" s="6" t="n"/>
      <c r="B2488" s="9" t="n"/>
      <c r="C2488" s="6" t="n"/>
      <c r="D2488" s="6" t="n"/>
      <c r="E2488" s="6" t="n"/>
      <c r="F2488" s="6" t="n"/>
      <c r="G2488" s="6" t="n"/>
      <c r="H2488" s="10">
        <f>IF(F2488="","",IFERROR(INDEX(Roster!$A$2:$A$600,MATCH(F2488,Roster!$E$2:$E$600,0)),""))</f>
        <v/>
      </c>
      <c r="I2488" s="10">
        <f>IF(AND(D2488="",C2488="",F2488=""),"",IF(G2488&lt;&gt;"","Void",IF(F2488="","Needs child",IF(H2488="","Child not found",IF(OR(B2488="",NOT(ISNUMBER(C2488))),"Needs month/pages","OK")))))</f>
        <v/>
      </c>
      <c r="J2488" s="10">
        <f>IF(I2488="","",IF(I2488="OK",IF(COUNTIFS(H2489:H$3001,H2488,B2489:B$3001,B2488,G2489:G$3001,"")=0,C2488,0),0))</f>
        <v/>
      </c>
    </row>
    <row r="2489">
      <c r="A2489" s="6" t="n"/>
      <c r="B2489" s="9" t="n"/>
      <c r="C2489" s="6" t="n"/>
      <c r="D2489" s="6" t="n"/>
      <c r="E2489" s="6" t="n"/>
      <c r="F2489" s="6" t="n"/>
      <c r="G2489" s="6" t="n"/>
      <c r="H2489" s="10">
        <f>IF(F2489="","",IFERROR(INDEX(Roster!$A$2:$A$600,MATCH(F2489,Roster!$E$2:$E$600,0)),""))</f>
        <v/>
      </c>
      <c r="I2489" s="10">
        <f>IF(AND(D2489="",C2489="",F2489=""),"",IF(G2489&lt;&gt;"","Void",IF(F2489="","Needs child",IF(H2489="","Child not found",IF(OR(B2489="",NOT(ISNUMBER(C2489))),"Needs month/pages","OK")))))</f>
        <v/>
      </c>
      <c r="J2489" s="10">
        <f>IF(I2489="","",IF(I2489="OK",IF(COUNTIFS(H2490:H$3001,H2489,B2490:B$3001,B2489,G2490:G$3001,"")=0,C2489,0),0))</f>
        <v/>
      </c>
    </row>
    <row r="2490">
      <c r="A2490" s="6" t="n"/>
      <c r="B2490" s="9" t="n"/>
      <c r="C2490" s="6" t="n"/>
      <c r="D2490" s="6" t="n"/>
      <c r="E2490" s="6" t="n"/>
      <c r="F2490" s="6" t="n"/>
      <c r="G2490" s="6" t="n"/>
      <c r="H2490" s="10">
        <f>IF(F2490="","",IFERROR(INDEX(Roster!$A$2:$A$600,MATCH(F2490,Roster!$E$2:$E$600,0)),""))</f>
        <v/>
      </c>
      <c r="I2490" s="10">
        <f>IF(AND(D2490="",C2490="",F2490=""),"",IF(G2490&lt;&gt;"","Void",IF(F2490="","Needs child",IF(H2490="","Child not found",IF(OR(B2490="",NOT(ISNUMBER(C2490))),"Needs month/pages","OK")))))</f>
        <v/>
      </c>
      <c r="J2490" s="10">
        <f>IF(I2490="","",IF(I2490="OK",IF(COUNTIFS(H2491:H$3001,H2490,B2491:B$3001,B2490,G2491:G$3001,"")=0,C2490,0),0))</f>
        <v/>
      </c>
    </row>
    <row r="2491">
      <c r="A2491" s="6" t="n"/>
      <c r="B2491" s="9" t="n"/>
      <c r="C2491" s="6" t="n"/>
      <c r="D2491" s="6" t="n"/>
      <c r="E2491" s="6" t="n"/>
      <c r="F2491" s="6" t="n"/>
      <c r="G2491" s="6" t="n"/>
      <c r="H2491" s="10">
        <f>IF(F2491="","",IFERROR(INDEX(Roster!$A$2:$A$600,MATCH(F2491,Roster!$E$2:$E$600,0)),""))</f>
        <v/>
      </c>
      <c r="I2491" s="10">
        <f>IF(AND(D2491="",C2491="",F2491=""),"",IF(G2491&lt;&gt;"","Void",IF(F2491="","Needs child",IF(H2491="","Child not found",IF(OR(B2491="",NOT(ISNUMBER(C2491))),"Needs month/pages","OK")))))</f>
        <v/>
      </c>
      <c r="J2491" s="10">
        <f>IF(I2491="","",IF(I2491="OK",IF(COUNTIFS(H2492:H$3001,H2491,B2492:B$3001,B2491,G2492:G$3001,"")=0,C2491,0),0))</f>
        <v/>
      </c>
    </row>
    <row r="2492">
      <c r="A2492" s="6" t="n"/>
      <c r="B2492" s="9" t="n"/>
      <c r="C2492" s="6" t="n"/>
      <c r="D2492" s="6" t="n"/>
      <c r="E2492" s="6" t="n"/>
      <c r="F2492" s="6" t="n"/>
      <c r="G2492" s="6" t="n"/>
      <c r="H2492" s="10">
        <f>IF(F2492="","",IFERROR(INDEX(Roster!$A$2:$A$600,MATCH(F2492,Roster!$E$2:$E$600,0)),""))</f>
        <v/>
      </c>
      <c r="I2492" s="10">
        <f>IF(AND(D2492="",C2492="",F2492=""),"",IF(G2492&lt;&gt;"","Void",IF(F2492="","Needs child",IF(H2492="","Child not found",IF(OR(B2492="",NOT(ISNUMBER(C2492))),"Needs month/pages","OK")))))</f>
        <v/>
      </c>
      <c r="J2492" s="10">
        <f>IF(I2492="","",IF(I2492="OK",IF(COUNTIFS(H2493:H$3001,H2492,B2493:B$3001,B2492,G2493:G$3001,"")=0,C2492,0),0))</f>
        <v/>
      </c>
    </row>
    <row r="2493">
      <c r="A2493" s="6" t="n"/>
      <c r="B2493" s="9" t="n"/>
      <c r="C2493" s="6" t="n"/>
      <c r="D2493" s="6" t="n"/>
      <c r="E2493" s="6" t="n"/>
      <c r="F2493" s="6" t="n"/>
      <c r="G2493" s="6" t="n"/>
      <c r="H2493" s="10">
        <f>IF(F2493="","",IFERROR(INDEX(Roster!$A$2:$A$600,MATCH(F2493,Roster!$E$2:$E$600,0)),""))</f>
        <v/>
      </c>
      <c r="I2493" s="10">
        <f>IF(AND(D2493="",C2493="",F2493=""),"",IF(G2493&lt;&gt;"","Void",IF(F2493="","Needs child",IF(H2493="","Child not found",IF(OR(B2493="",NOT(ISNUMBER(C2493))),"Needs month/pages","OK")))))</f>
        <v/>
      </c>
      <c r="J2493" s="10">
        <f>IF(I2493="","",IF(I2493="OK",IF(COUNTIFS(H2494:H$3001,H2493,B2494:B$3001,B2493,G2494:G$3001,"")=0,C2493,0),0))</f>
        <v/>
      </c>
    </row>
    <row r="2494">
      <c r="A2494" s="6" t="n"/>
      <c r="B2494" s="9" t="n"/>
      <c r="C2494" s="6" t="n"/>
      <c r="D2494" s="6" t="n"/>
      <c r="E2494" s="6" t="n"/>
      <c r="F2494" s="6" t="n"/>
      <c r="G2494" s="6" t="n"/>
      <c r="H2494" s="10">
        <f>IF(F2494="","",IFERROR(INDEX(Roster!$A$2:$A$600,MATCH(F2494,Roster!$E$2:$E$600,0)),""))</f>
        <v/>
      </c>
      <c r="I2494" s="10">
        <f>IF(AND(D2494="",C2494="",F2494=""),"",IF(G2494&lt;&gt;"","Void",IF(F2494="","Needs child",IF(H2494="","Child not found",IF(OR(B2494="",NOT(ISNUMBER(C2494))),"Needs month/pages","OK")))))</f>
        <v/>
      </c>
      <c r="J2494" s="10">
        <f>IF(I2494="","",IF(I2494="OK",IF(COUNTIFS(H2495:H$3001,H2494,B2495:B$3001,B2494,G2495:G$3001,"")=0,C2494,0),0))</f>
        <v/>
      </c>
    </row>
    <row r="2495">
      <c r="A2495" s="6" t="n"/>
      <c r="B2495" s="9" t="n"/>
      <c r="C2495" s="6" t="n"/>
      <c r="D2495" s="6" t="n"/>
      <c r="E2495" s="6" t="n"/>
      <c r="F2495" s="6" t="n"/>
      <c r="G2495" s="6" t="n"/>
      <c r="H2495" s="10">
        <f>IF(F2495="","",IFERROR(INDEX(Roster!$A$2:$A$600,MATCH(F2495,Roster!$E$2:$E$600,0)),""))</f>
        <v/>
      </c>
      <c r="I2495" s="10">
        <f>IF(AND(D2495="",C2495="",F2495=""),"",IF(G2495&lt;&gt;"","Void",IF(F2495="","Needs child",IF(H2495="","Child not found",IF(OR(B2495="",NOT(ISNUMBER(C2495))),"Needs month/pages","OK")))))</f>
        <v/>
      </c>
      <c r="J2495" s="10">
        <f>IF(I2495="","",IF(I2495="OK",IF(COUNTIFS(H2496:H$3001,H2495,B2496:B$3001,B2495,G2496:G$3001,"")=0,C2495,0),0))</f>
        <v/>
      </c>
    </row>
    <row r="2496">
      <c r="A2496" s="6" t="n"/>
      <c r="B2496" s="9" t="n"/>
      <c r="C2496" s="6" t="n"/>
      <c r="D2496" s="6" t="n"/>
      <c r="E2496" s="6" t="n"/>
      <c r="F2496" s="6" t="n"/>
      <c r="G2496" s="6" t="n"/>
      <c r="H2496" s="10">
        <f>IF(F2496="","",IFERROR(INDEX(Roster!$A$2:$A$600,MATCH(F2496,Roster!$E$2:$E$600,0)),""))</f>
        <v/>
      </c>
      <c r="I2496" s="10">
        <f>IF(AND(D2496="",C2496="",F2496=""),"",IF(G2496&lt;&gt;"","Void",IF(F2496="","Needs child",IF(H2496="","Child not found",IF(OR(B2496="",NOT(ISNUMBER(C2496))),"Needs month/pages","OK")))))</f>
        <v/>
      </c>
      <c r="J2496" s="10">
        <f>IF(I2496="","",IF(I2496="OK",IF(COUNTIFS(H2497:H$3001,H2496,B2497:B$3001,B2496,G2497:G$3001,"")=0,C2496,0),0))</f>
        <v/>
      </c>
    </row>
    <row r="2497">
      <c r="A2497" s="6" t="n"/>
      <c r="B2497" s="9" t="n"/>
      <c r="C2497" s="6" t="n"/>
      <c r="D2497" s="6" t="n"/>
      <c r="E2497" s="6" t="n"/>
      <c r="F2497" s="6" t="n"/>
      <c r="G2497" s="6" t="n"/>
      <c r="H2497" s="10">
        <f>IF(F2497="","",IFERROR(INDEX(Roster!$A$2:$A$600,MATCH(F2497,Roster!$E$2:$E$600,0)),""))</f>
        <v/>
      </c>
      <c r="I2497" s="10">
        <f>IF(AND(D2497="",C2497="",F2497=""),"",IF(G2497&lt;&gt;"","Void",IF(F2497="","Needs child",IF(H2497="","Child not found",IF(OR(B2497="",NOT(ISNUMBER(C2497))),"Needs month/pages","OK")))))</f>
        <v/>
      </c>
      <c r="J2497" s="10">
        <f>IF(I2497="","",IF(I2497="OK",IF(COUNTIFS(H2498:H$3001,H2497,B2498:B$3001,B2497,G2498:G$3001,"")=0,C2497,0),0))</f>
        <v/>
      </c>
    </row>
    <row r="2498">
      <c r="A2498" s="6" t="n"/>
      <c r="B2498" s="9" t="n"/>
      <c r="C2498" s="6" t="n"/>
      <c r="D2498" s="6" t="n"/>
      <c r="E2498" s="6" t="n"/>
      <c r="F2498" s="6" t="n"/>
      <c r="G2498" s="6" t="n"/>
      <c r="H2498" s="10">
        <f>IF(F2498="","",IFERROR(INDEX(Roster!$A$2:$A$600,MATCH(F2498,Roster!$E$2:$E$600,0)),""))</f>
        <v/>
      </c>
      <c r="I2498" s="10">
        <f>IF(AND(D2498="",C2498="",F2498=""),"",IF(G2498&lt;&gt;"","Void",IF(F2498="","Needs child",IF(H2498="","Child not found",IF(OR(B2498="",NOT(ISNUMBER(C2498))),"Needs month/pages","OK")))))</f>
        <v/>
      </c>
      <c r="J2498" s="10">
        <f>IF(I2498="","",IF(I2498="OK",IF(COUNTIFS(H2499:H$3001,H2498,B2499:B$3001,B2498,G2499:G$3001,"")=0,C2498,0),0))</f>
        <v/>
      </c>
    </row>
    <row r="2499">
      <c r="A2499" s="6" t="n"/>
      <c r="B2499" s="9" t="n"/>
      <c r="C2499" s="6" t="n"/>
      <c r="D2499" s="6" t="n"/>
      <c r="E2499" s="6" t="n"/>
      <c r="F2499" s="6" t="n"/>
      <c r="G2499" s="6" t="n"/>
      <c r="H2499" s="10">
        <f>IF(F2499="","",IFERROR(INDEX(Roster!$A$2:$A$600,MATCH(F2499,Roster!$E$2:$E$600,0)),""))</f>
        <v/>
      </c>
      <c r="I2499" s="10">
        <f>IF(AND(D2499="",C2499="",F2499=""),"",IF(G2499&lt;&gt;"","Void",IF(F2499="","Needs child",IF(H2499="","Child not found",IF(OR(B2499="",NOT(ISNUMBER(C2499))),"Needs month/pages","OK")))))</f>
        <v/>
      </c>
      <c r="J2499" s="10">
        <f>IF(I2499="","",IF(I2499="OK",IF(COUNTIFS(H2500:H$3001,H2499,B2500:B$3001,B2499,G2500:G$3001,"")=0,C2499,0),0))</f>
        <v/>
      </c>
    </row>
    <row r="2500">
      <c r="A2500" s="6" t="n"/>
      <c r="B2500" s="9" t="n"/>
      <c r="C2500" s="6" t="n"/>
      <c r="D2500" s="6" t="n"/>
      <c r="E2500" s="6" t="n"/>
      <c r="F2500" s="6" t="n"/>
      <c r="G2500" s="6" t="n"/>
      <c r="H2500" s="10">
        <f>IF(F2500="","",IFERROR(INDEX(Roster!$A$2:$A$600,MATCH(F2500,Roster!$E$2:$E$600,0)),""))</f>
        <v/>
      </c>
      <c r="I2500" s="10">
        <f>IF(AND(D2500="",C2500="",F2500=""),"",IF(G2500&lt;&gt;"","Void",IF(F2500="","Needs child",IF(H2500="","Child not found",IF(OR(B2500="",NOT(ISNUMBER(C2500))),"Needs month/pages","OK")))))</f>
        <v/>
      </c>
      <c r="J2500" s="10">
        <f>IF(I2500="","",IF(I2500="OK",IF(COUNTIFS(H2501:H$3001,H2500,B2501:B$3001,B2500,G2501:G$3001,"")=0,C2500,0),0))</f>
        <v/>
      </c>
    </row>
    <row r="2501">
      <c r="A2501" s="6" t="n"/>
      <c r="B2501" s="9" t="n"/>
      <c r="C2501" s="6" t="n"/>
      <c r="D2501" s="6" t="n"/>
      <c r="E2501" s="6" t="n"/>
      <c r="F2501" s="6" t="n"/>
      <c r="G2501" s="6" t="n"/>
      <c r="H2501" s="10">
        <f>IF(F2501="","",IFERROR(INDEX(Roster!$A$2:$A$600,MATCH(F2501,Roster!$E$2:$E$600,0)),""))</f>
        <v/>
      </c>
      <c r="I2501" s="10">
        <f>IF(AND(D2501="",C2501="",F2501=""),"",IF(G2501&lt;&gt;"","Void",IF(F2501="","Needs child",IF(H2501="","Child not found",IF(OR(B2501="",NOT(ISNUMBER(C2501))),"Needs month/pages","OK")))))</f>
        <v/>
      </c>
      <c r="J2501" s="10">
        <f>IF(I2501="","",IF(I2501="OK",IF(COUNTIFS(H2502:H$3001,H2501,B2502:B$3001,B2501,G2502:G$3001,"")=0,C2501,0),0))</f>
        <v/>
      </c>
    </row>
    <row r="2502">
      <c r="A2502" s="6" t="n"/>
      <c r="B2502" s="9" t="n"/>
      <c r="C2502" s="6" t="n"/>
      <c r="D2502" s="6" t="n"/>
      <c r="E2502" s="6" t="n"/>
      <c r="F2502" s="6" t="n"/>
      <c r="G2502" s="6" t="n"/>
      <c r="H2502" s="10">
        <f>IF(F2502="","",IFERROR(INDEX(Roster!$A$2:$A$600,MATCH(F2502,Roster!$E$2:$E$600,0)),""))</f>
        <v/>
      </c>
      <c r="I2502" s="10">
        <f>IF(AND(D2502="",C2502="",F2502=""),"",IF(G2502&lt;&gt;"","Void",IF(F2502="","Needs child",IF(H2502="","Child not found",IF(OR(B2502="",NOT(ISNUMBER(C2502))),"Needs month/pages","OK")))))</f>
        <v/>
      </c>
      <c r="J2502" s="10">
        <f>IF(I2502="","",IF(I2502="OK",IF(COUNTIFS(H2503:H$3001,H2502,B2503:B$3001,B2502,G2503:G$3001,"")=0,C2502,0),0))</f>
        <v/>
      </c>
    </row>
    <row r="2503">
      <c r="A2503" s="6" t="n"/>
      <c r="B2503" s="9" t="n"/>
      <c r="C2503" s="6" t="n"/>
      <c r="D2503" s="6" t="n"/>
      <c r="E2503" s="6" t="n"/>
      <c r="F2503" s="6" t="n"/>
      <c r="G2503" s="6" t="n"/>
      <c r="H2503" s="10">
        <f>IF(F2503="","",IFERROR(INDEX(Roster!$A$2:$A$600,MATCH(F2503,Roster!$E$2:$E$600,0)),""))</f>
        <v/>
      </c>
      <c r="I2503" s="10">
        <f>IF(AND(D2503="",C2503="",F2503=""),"",IF(G2503&lt;&gt;"","Void",IF(F2503="","Needs child",IF(H2503="","Child not found",IF(OR(B2503="",NOT(ISNUMBER(C2503))),"Needs month/pages","OK")))))</f>
        <v/>
      </c>
      <c r="J2503" s="10">
        <f>IF(I2503="","",IF(I2503="OK",IF(COUNTIFS(H2504:H$3001,H2503,B2504:B$3001,B2503,G2504:G$3001,"")=0,C2503,0),0))</f>
        <v/>
      </c>
    </row>
    <row r="2504">
      <c r="A2504" s="6" t="n"/>
      <c r="B2504" s="9" t="n"/>
      <c r="C2504" s="6" t="n"/>
      <c r="D2504" s="6" t="n"/>
      <c r="E2504" s="6" t="n"/>
      <c r="F2504" s="6" t="n"/>
      <c r="G2504" s="6" t="n"/>
      <c r="H2504" s="10">
        <f>IF(F2504="","",IFERROR(INDEX(Roster!$A$2:$A$600,MATCH(F2504,Roster!$E$2:$E$600,0)),""))</f>
        <v/>
      </c>
      <c r="I2504" s="10">
        <f>IF(AND(D2504="",C2504="",F2504=""),"",IF(G2504&lt;&gt;"","Void",IF(F2504="","Needs child",IF(H2504="","Child not found",IF(OR(B2504="",NOT(ISNUMBER(C2504))),"Needs month/pages","OK")))))</f>
        <v/>
      </c>
      <c r="J2504" s="10">
        <f>IF(I2504="","",IF(I2504="OK",IF(COUNTIFS(H2505:H$3001,H2504,B2505:B$3001,B2504,G2505:G$3001,"")=0,C2504,0),0))</f>
        <v/>
      </c>
    </row>
    <row r="2505">
      <c r="A2505" s="6" t="n"/>
      <c r="B2505" s="9" t="n"/>
      <c r="C2505" s="6" t="n"/>
      <c r="D2505" s="6" t="n"/>
      <c r="E2505" s="6" t="n"/>
      <c r="F2505" s="6" t="n"/>
      <c r="G2505" s="6" t="n"/>
      <c r="H2505" s="10">
        <f>IF(F2505="","",IFERROR(INDEX(Roster!$A$2:$A$600,MATCH(F2505,Roster!$E$2:$E$600,0)),""))</f>
        <v/>
      </c>
      <c r="I2505" s="10">
        <f>IF(AND(D2505="",C2505="",F2505=""),"",IF(G2505&lt;&gt;"","Void",IF(F2505="","Needs child",IF(H2505="","Child not found",IF(OR(B2505="",NOT(ISNUMBER(C2505))),"Needs month/pages","OK")))))</f>
        <v/>
      </c>
      <c r="J2505" s="10">
        <f>IF(I2505="","",IF(I2505="OK",IF(COUNTIFS(H2506:H$3001,H2505,B2506:B$3001,B2505,G2506:G$3001,"")=0,C2505,0),0))</f>
        <v/>
      </c>
    </row>
    <row r="2506">
      <c r="A2506" s="6" t="n"/>
      <c r="B2506" s="9" t="n"/>
      <c r="C2506" s="6" t="n"/>
      <c r="D2506" s="6" t="n"/>
      <c r="E2506" s="6" t="n"/>
      <c r="F2506" s="6" t="n"/>
      <c r="G2506" s="6" t="n"/>
      <c r="H2506" s="10">
        <f>IF(F2506="","",IFERROR(INDEX(Roster!$A$2:$A$600,MATCH(F2506,Roster!$E$2:$E$600,0)),""))</f>
        <v/>
      </c>
      <c r="I2506" s="10">
        <f>IF(AND(D2506="",C2506="",F2506=""),"",IF(G2506&lt;&gt;"","Void",IF(F2506="","Needs child",IF(H2506="","Child not found",IF(OR(B2506="",NOT(ISNUMBER(C2506))),"Needs month/pages","OK")))))</f>
        <v/>
      </c>
      <c r="J2506" s="10">
        <f>IF(I2506="","",IF(I2506="OK",IF(COUNTIFS(H2507:H$3001,H2506,B2507:B$3001,B2506,G2507:G$3001,"")=0,C2506,0),0))</f>
        <v/>
      </c>
    </row>
    <row r="2507">
      <c r="A2507" s="6" t="n"/>
      <c r="B2507" s="9" t="n"/>
      <c r="C2507" s="6" t="n"/>
      <c r="D2507" s="6" t="n"/>
      <c r="E2507" s="6" t="n"/>
      <c r="F2507" s="6" t="n"/>
      <c r="G2507" s="6" t="n"/>
      <c r="H2507" s="10">
        <f>IF(F2507="","",IFERROR(INDEX(Roster!$A$2:$A$600,MATCH(F2507,Roster!$E$2:$E$600,0)),""))</f>
        <v/>
      </c>
      <c r="I2507" s="10">
        <f>IF(AND(D2507="",C2507="",F2507=""),"",IF(G2507&lt;&gt;"","Void",IF(F2507="","Needs child",IF(H2507="","Child not found",IF(OR(B2507="",NOT(ISNUMBER(C2507))),"Needs month/pages","OK")))))</f>
        <v/>
      </c>
      <c r="J2507" s="10">
        <f>IF(I2507="","",IF(I2507="OK",IF(COUNTIFS(H2508:H$3001,H2507,B2508:B$3001,B2507,G2508:G$3001,"")=0,C2507,0),0))</f>
        <v/>
      </c>
    </row>
    <row r="2508">
      <c r="A2508" s="6" t="n"/>
      <c r="B2508" s="9" t="n"/>
      <c r="C2508" s="6" t="n"/>
      <c r="D2508" s="6" t="n"/>
      <c r="E2508" s="6" t="n"/>
      <c r="F2508" s="6" t="n"/>
      <c r="G2508" s="6" t="n"/>
      <c r="H2508" s="10">
        <f>IF(F2508="","",IFERROR(INDEX(Roster!$A$2:$A$600,MATCH(F2508,Roster!$E$2:$E$600,0)),""))</f>
        <v/>
      </c>
      <c r="I2508" s="10">
        <f>IF(AND(D2508="",C2508="",F2508=""),"",IF(G2508&lt;&gt;"","Void",IF(F2508="","Needs child",IF(H2508="","Child not found",IF(OR(B2508="",NOT(ISNUMBER(C2508))),"Needs month/pages","OK")))))</f>
        <v/>
      </c>
      <c r="J2508" s="10">
        <f>IF(I2508="","",IF(I2508="OK",IF(COUNTIFS(H2509:H$3001,H2508,B2509:B$3001,B2508,G2509:G$3001,"")=0,C2508,0),0))</f>
        <v/>
      </c>
    </row>
    <row r="2509">
      <c r="A2509" s="6" t="n"/>
      <c r="B2509" s="9" t="n"/>
      <c r="C2509" s="6" t="n"/>
      <c r="D2509" s="6" t="n"/>
      <c r="E2509" s="6" t="n"/>
      <c r="F2509" s="6" t="n"/>
      <c r="G2509" s="6" t="n"/>
      <c r="H2509" s="10">
        <f>IF(F2509="","",IFERROR(INDEX(Roster!$A$2:$A$600,MATCH(F2509,Roster!$E$2:$E$600,0)),""))</f>
        <v/>
      </c>
      <c r="I2509" s="10">
        <f>IF(AND(D2509="",C2509="",F2509=""),"",IF(G2509&lt;&gt;"","Void",IF(F2509="","Needs child",IF(H2509="","Child not found",IF(OR(B2509="",NOT(ISNUMBER(C2509))),"Needs month/pages","OK")))))</f>
        <v/>
      </c>
      <c r="J2509" s="10">
        <f>IF(I2509="","",IF(I2509="OK",IF(COUNTIFS(H2510:H$3001,H2509,B2510:B$3001,B2509,G2510:G$3001,"")=0,C2509,0),0))</f>
        <v/>
      </c>
    </row>
    <row r="2510">
      <c r="A2510" s="6" t="n"/>
      <c r="B2510" s="9" t="n"/>
      <c r="C2510" s="6" t="n"/>
      <c r="D2510" s="6" t="n"/>
      <c r="E2510" s="6" t="n"/>
      <c r="F2510" s="6" t="n"/>
      <c r="G2510" s="6" t="n"/>
      <c r="H2510" s="10">
        <f>IF(F2510="","",IFERROR(INDEX(Roster!$A$2:$A$600,MATCH(F2510,Roster!$E$2:$E$600,0)),""))</f>
        <v/>
      </c>
      <c r="I2510" s="10">
        <f>IF(AND(D2510="",C2510="",F2510=""),"",IF(G2510&lt;&gt;"","Void",IF(F2510="","Needs child",IF(H2510="","Child not found",IF(OR(B2510="",NOT(ISNUMBER(C2510))),"Needs month/pages","OK")))))</f>
        <v/>
      </c>
      <c r="J2510" s="10">
        <f>IF(I2510="","",IF(I2510="OK",IF(COUNTIFS(H2511:H$3001,H2510,B2511:B$3001,B2510,G2511:G$3001,"")=0,C2510,0),0))</f>
        <v/>
      </c>
    </row>
    <row r="2511">
      <c r="A2511" s="6" t="n"/>
      <c r="B2511" s="9" t="n"/>
      <c r="C2511" s="6" t="n"/>
      <c r="D2511" s="6" t="n"/>
      <c r="E2511" s="6" t="n"/>
      <c r="F2511" s="6" t="n"/>
      <c r="G2511" s="6" t="n"/>
      <c r="H2511" s="10">
        <f>IF(F2511="","",IFERROR(INDEX(Roster!$A$2:$A$600,MATCH(F2511,Roster!$E$2:$E$600,0)),""))</f>
        <v/>
      </c>
      <c r="I2511" s="10">
        <f>IF(AND(D2511="",C2511="",F2511=""),"",IF(G2511&lt;&gt;"","Void",IF(F2511="","Needs child",IF(H2511="","Child not found",IF(OR(B2511="",NOT(ISNUMBER(C2511))),"Needs month/pages","OK")))))</f>
        <v/>
      </c>
      <c r="J2511" s="10">
        <f>IF(I2511="","",IF(I2511="OK",IF(COUNTIFS(H2512:H$3001,H2511,B2512:B$3001,B2511,G2512:G$3001,"")=0,C2511,0),0))</f>
        <v/>
      </c>
    </row>
    <row r="2512">
      <c r="A2512" s="6" t="n"/>
      <c r="B2512" s="9" t="n"/>
      <c r="C2512" s="6" t="n"/>
      <c r="D2512" s="6" t="n"/>
      <c r="E2512" s="6" t="n"/>
      <c r="F2512" s="6" t="n"/>
      <c r="G2512" s="6" t="n"/>
      <c r="H2512" s="10">
        <f>IF(F2512="","",IFERROR(INDEX(Roster!$A$2:$A$600,MATCH(F2512,Roster!$E$2:$E$600,0)),""))</f>
        <v/>
      </c>
      <c r="I2512" s="10">
        <f>IF(AND(D2512="",C2512="",F2512=""),"",IF(G2512&lt;&gt;"","Void",IF(F2512="","Needs child",IF(H2512="","Child not found",IF(OR(B2512="",NOT(ISNUMBER(C2512))),"Needs month/pages","OK")))))</f>
        <v/>
      </c>
      <c r="J2512" s="10">
        <f>IF(I2512="","",IF(I2512="OK",IF(COUNTIFS(H2513:H$3001,H2512,B2513:B$3001,B2512,G2513:G$3001,"")=0,C2512,0),0))</f>
        <v/>
      </c>
    </row>
    <row r="2513">
      <c r="A2513" s="6" t="n"/>
      <c r="B2513" s="9" t="n"/>
      <c r="C2513" s="6" t="n"/>
      <c r="D2513" s="6" t="n"/>
      <c r="E2513" s="6" t="n"/>
      <c r="F2513" s="6" t="n"/>
      <c r="G2513" s="6" t="n"/>
      <c r="H2513" s="10">
        <f>IF(F2513="","",IFERROR(INDEX(Roster!$A$2:$A$600,MATCH(F2513,Roster!$E$2:$E$600,0)),""))</f>
        <v/>
      </c>
      <c r="I2513" s="10">
        <f>IF(AND(D2513="",C2513="",F2513=""),"",IF(G2513&lt;&gt;"","Void",IF(F2513="","Needs child",IF(H2513="","Child not found",IF(OR(B2513="",NOT(ISNUMBER(C2513))),"Needs month/pages","OK")))))</f>
        <v/>
      </c>
      <c r="J2513" s="10">
        <f>IF(I2513="","",IF(I2513="OK",IF(COUNTIFS(H2514:H$3001,H2513,B2514:B$3001,B2513,G2514:G$3001,"")=0,C2513,0),0))</f>
        <v/>
      </c>
    </row>
    <row r="2514">
      <c r="A2514" s="6" t="n"/>
      <c r="B2514" s="9" t="n"/>
      <c r="C2514" s="6" t="n"/>
      <c r="D2514" s="6" t="n"/>
      <c r="E2514" s="6" t="n"/>
      <c r="F2514" s="6" t="n"/>
      <c r="G2514" s="6" t="n"/>
      <c r="H2514" s="10">
        <f>IF(F2514="","",IFERROR(INDEX(Roster!$A$2:$A$600,MATCH(F2514,Roster!$E$2:$E$600,0)),""))</f>
        <v/>
      </c>
      <c r="I2514" s="10">
        <f>IF(AND(D2514="",C2514="",F2514=""),"",IF(G2514&lt;&gt;"","Void",IF(F2514="","Needs child",IF(H2514="","Child not found",IF(OR(B2514="",NOT(ISNUMBER(C2514))),"Needs month/pages","OK")))))</f>
        <v/>
      </c>
      <c r="J2514" s="10">
        <f>IF(I2514="","",IF(I2514="OK",IF(COUNTIFS(H2515:H$3001,H2514,B2515:B$3001,B2514,G2515:G$3001,"")=0,C2514,0),0))</f>
        <v/>
      </c>
    </row>
    <row r="2515">
      <c r="A2515" s="6" t="n"/>
      <c r="B2515" s="9" t="n"/>
      <c r="C2515" s="6" t="n"/>
      <c r="D2515" s="6" t="n"/>
      <c r="E2515" s="6" t="n"/>
      <c r="F2515" s="6" t="n"/>
      <c r="G2515" s="6" t="n"/>
      <c r="H2515" s="10">
        <f>IF(F2515="","",IFERROR(INDEX(Roster!$A$2:$A$600,MATCH(F2515,Roster!$E$2:$E$600,0)),""))</f>
        <v/>
      </c>
      <c r="I2515" s="10">
        <f>IF(AND(D2515="",C2515="",F2515=""),"",IF(G2515&lt;&gt;"","Void",IF(F2515="","Needs child",IF(H2515="","Child not found",IF(OR(B2515="",NOT(ISNUMBER(C2515))),"Needs month/pages","OK")))))</f>
        <v/>
      </c>
      <c r="J2515" s="10">
        <f>IF(I2515="","",IF(I2515="OK",IF(COUNTIFS(H2516:H$3001,H2515,B2516:B$3001,B2515,G2516:G$3001,"")=0,C2515,0),0))</f>
        <v/>
      </c>
    </row>
    <row r="2516">
      <c r="A2516" s="6" t="n"/>
      <c r="B2516" s="9" t="n"/>
      <c r="C2516" s="6" t="n"/>
      <c r="D2516" s="6" t="n"/>
      <c r="E2516" s="6" t="n"/>
      <c r="F2516" s="6" t="n"/>
      <c r="G2516" s="6" t="n"/>
      <c r="H2516" s="10">
        <f>IF(F2516="","",IFERROR(INDEX(Roster!$A$2:$A$600,MATCH(F2516,Roster!$E$2:$E$600,0)),""))</f>
        <v/>
      </c>
      <c r="I2516" s="10">
        <f>IF(AND(D2516="",C2516="",F2516=""),"",IF(G2516&lt;&gt;"","Void",IF(F2516="","Needs child",IF(H2516="","Child not found",IF(OR(B2516="",NOT(ISNUMBER(C2516))),"Needs month/pages","OK")))))</f>
        <v/>
      </c>
      <c r="J2516" s="10">
        <f>IF(I2516="","",IF(I2516="OK",IF(COUNTIFS(H2517:H$3001,H2516,B2517:B$3001,B2516,G2517:G$3001,"")=0,C2516,0),0))</f>
        <v/>
      </c>
    </row>
    <row r="2517">
      <c r="A2517" s="6" t="n"/>
      <c r="B2517" s="9" t="n"/>
      <c r="C2517" s="6" t="n"/>
      <c r="D2517" s="6" t="n"/>
      <c r="E2517" s="6" t="n"/>
      <c r="F2517" s="6" t="n"/>
      <c r="G2517" s="6" t="n"/>
      <c r="H2517" s="10">
        <f>IF(F2517="","",IFERROR(INDEX(Roster!$A$2:$A$600,MATCH(F2517,Roster!$E$2:$E$600,0)),""))</f>
        <v/>
      </c>
      <c r="I2517" s="10">
        <f>IF(AND(D2517="",C2517="",F2517=""),"",IF(G2517&lt;&gt;"","Void",IF(F2517="","Needs child",IF(H2517="","Child not found",IF(OR(B2517="",NOT(ISNUMBER(C2517))),"Needs month/pages","OK")))))</f>
        <v/>
      </c>
      <c r="J2517" s="10">
        <f>IF(I2517="","",IF(I2517="OK",IF(COUNTIFS(H2518:H$3001,H2517,B2518:B$3001,B2517,G2518:G$3001,"")=0,C2517,0),0))</f>
        <v/>
      </c>
    </row>
    <row r="2518">
      <c r="A2518" s="6" t="n"/>
      <c r="B2518" s="9" t="n"/>
      <c r="C2518" s="6" t="n"/>
      <c r="D2518" s="6" t="n"/>
      <c r="E2518" s="6" t="n"/>
      <c r="F2518" s="6" t="n"/>
      <c r="G2518" s="6" t="n"/>
      <c r="H2518" s="10">
        <f>IF(F2518="","",IFERROR(INDEX(Roster!$A$2:$A$600,MATCH(F2518,Roster!$E$2:$E$600,0)),""))</f>
        <v/>
      </c>
      <c r="I2518" s="10">
        <f>IF(AND(D2518="",C2518="",F2518=""),"",IF(G2518&lt;&gt;"","Void",IF(F2518="","Needs child",IF(H2518="","Child not found",IF(OR(B2518="",NOT(ISNUMBER(C2518))),"Needs month/pages","OK")))))</f>
        <v/>
      </c>
      <c r="J2518" s="10">
        <f>IF(I2518="","",IF(I2518="OK",IF(COUNTIFS(H2519:H$3001,H2518,B2519:B$3001,B2518,G2519:G$3001,"")=0,C2518,0),0))</f>
        <v/>
      </c>
    </row>
    <row r="2519">
      <c r="A2519" s="6" t="n"/>
      <c r="B2519" s="9" t="n"/>
      <c r="C2519" s="6" t="n"/>
      <c r="D2519" s="6" t="n"/>
      <c r="E2519" s="6" t="n"/>
      <c r="F2519" s="6" t="n"/>
      <c r="G2519" s="6" t="n"/>
      <c r="H2519" s="10">
        <f>IF(F2519="","",IFERROR(INDEX(Roster!$A$2:$A$600,MATCH(F2519,Roster!$E$2:$E$600,0)),""))</f>
        <v/>
      </c>
      <c r="I2519" s="10">
        <f>IF(AND(D2519="",C2519="",F2519=""),"",IF(G2519&lt;&gt;"","Void",IF(F2519="","Needs child",IF(H2519="","Child not found",IF(OR(B2519="",NOT(ISNUMBER(C2519))),"Needs month/pages","OK")))))</f>
        <v/>
      </c>
      <c r="J2519" s="10">
        <f>IF(I2519="","",IF(I2519="OK",IF(COUNTIFS(H2520:H$3001,H2519,B2520:B$3001,B2519,G2520:G$3001,"")=0,C2519,0),0))</f>
        <v/>
      </c>
    </row>
    <row r="2520">
      <c r="A2520" s="6" t="n"/>
      <c r="B2520" s="9" t="n"/>
      <c r="C2520" s="6" t="n"/>
      <c r="D2520" s="6" t="n"/>
      <c r="E2520" s="6" t="n"/>
      <c r="F2520" s="6" t="n"/>
      <c r="G2520" s="6" t="n"/>
      <c r="H2520" s="10">
        <f>IF(F2520="","",IFERROR(INDEX(Roster!$A$2:$A$600,MATCH(F2520,Roster!$E$2:$E$600,0)),""))</f>
        <v/>
      </c>
      <c r="I2520" s="10">
        <f>IF(AND(D2520="",C2520="",F2520=""),"",IF(G2520&lt;&gt;"","Void",IF(F2520="","Needs child",IF(H2520="","Child not found",IF(OR(B2520="",NOT(ISNUMBER(C2520))),"Needs month/pages","OK")))))</f>
        <v/>
      </c>
      <c r="J2520" s="10">
        <f>IF(I2520="","",IF(I2520="OK",IF(COUNTIFS(H2521:H$3001,H2520,B2521:B$3001,B2520,G2521:G$3001,"")=0,C2520,0),0))</f>
        <v/>
      </c>
    </row>
    <row r="2521">
      <c r="A2521" s="6" t="n"/>
      <c r="B2521" s="9" t="n"/>
      <c r="C2521" s="6" t="n"/>
      <c r="D2521" s="6" t="n"/>
      <c r="E2521" s="6" t="n"/>
      <c r="F2521" s="6" t="n"/>
      <c r="G2521" s="6" t="n"/>
      <c r="H2521" s="10">
        <f>IF(F2521="","",IFERROR(INDEX(Roster!$A$2:$A$600,MATCH(F2521,Roster!$E$2:$E$600,0)),""))</f>
        <v/>
      </c>
      <c r="I2521" s="10">
        <f>IF(AND(D2521="",C2521="",F2521=""),"",IF(G2521&lt;&gt;"","Void",IF(F2521="","Needs child",IF(H2521="","Child not found",IF(OR(B2521="",NOT(ISNUMBER(C2521))),"Needs month/pages","OK")))))</f>
        <v/>
      </c>
      <c r="J2521" s="10">
        <f>IF(I2521="","",IF(I2521="OK",IF(COUNTIFS(H2522:H$3001,H2521,B2522:B$3001,B2521,G2522:G$3001,"")=0,C2521,0),0))</f>
        <v/>
      </c>
    </row>
    <row r="2522">
      <c r="A2522" s="6" t="n"/>
      <c r="B2522" s="9" t="n"/>
      <c r="C2522" s="6" t="n"/>
      <c r="D2522" s="6" t="n"/>
      <c r="E2522" s="6" t="n"/>
      <c r="F2522" s="6" t="n"/>
      <c r="G2522" s="6" t="n"/>
      <c r="H2522" s="10">
        <f>IF(F2522="","",IFERROR(INDEX(Roster!$A$2:$A$600,MATCH(F2522,Roster!$E$2:$E$600,0)),""))</f>
        <v/>
      </c>
      <c r="I2522" s="10">
        <f>IF(AND(D2522="",C2522="",F2522=""),"",IF(G2522&lt;&gt;"","Void",IF(F2522="","Needs child",IF(H2522="","Child not found",IF(OR(B2522="",NOT(ISNUMBER(C2522))),"Needs month/pages","OK")))))</f>
        <v/>
      </c>
      <c r="J2522" s="10">
        <f>IF(I2522="","",IF(I2522="OK",IF(COUNTIFS(H2523:H$3001,H2522,B2523:B$3001,B2522,G2523:G$3001,"")=0,C2522,0),0))</f>
        <v/>
      </c>
    </row>
    <row r="2523">
      <c r="A2523" s="6" t="n"/>
      <c r="B2523" s="9" t="n"/>
      <c r="C2523" s="6" t="n"/>
      <c r="D2523" s="6" t="n"/>
      <c r="E2523" s="6" t="n"/>
      <c r="F2523" s="6" t="n"/>
      <c r="G2523" s="6" t="n"/>
      <c r="H2523" s="10">
        <f>IF(F2523="","",IFERROR(INDEX(Roster!$A$2:$A$600,MATCH(F2523,Roster!$E$2:$E$600,0)),""))</f>
        <v/>
      </c>
      <c r="I2523" s="10">
        <f>IF(AND(D2523="",C2523="",F2523=""),"",IF(G2523&lt;&gt;"","Void",IF(F2523="","Needs child",IF(H2523="","Child not found",IF(OR(B2523="",NOT(ISNUMBER(C2523))),"Needs month/pages","OK")))))</f>
        <v/>
      </c>
      <c r="J2523" s="10">
        <f>IF(I2523="","",IF(I2523="OK",IF(COUNTIFS(H2524:H$3001,H2523,B2524:B$3001,B2523,G2524:G$3001,"")=0,C2523,0),0))</f>
        <v/>
      </c>
    </row>
    <row r="2524">
      <c r="A2524" s="6" t="n"/>
      <c r="B2524" s="9" t="n"/>
      <c r="C2524" s="6" t="n"/>
      <c r="D2524" s="6" t="n"/>
      <c r="E2524" s="6" t="n"/>
      <c r="F2524" s="6" t="n"/>
      <c r="G2524" s="6" t="n"/>
      <c r="H2524" s="10">
        <f>IF(F2524="","",IFERROR(INDEX(Roster!$A$2:$A$600,MATCH(F2524,Roster!$E$2:$E$600,0)),""))</f>
        <v/>
      </c>
      <c r="I2524" s="10">
        <f>IF(AND(D2524="",C2524="",F2524=""),"",IF(G2524&lt;&gt;"","Void",IF(F2524="","Needs child",IF(H2524="","Child not found",IF(OR(B2524="",NOT(ISNUMBER(C2524))),"Needs month/pages","OK")))))</f>
        <v/>
      </c>
      <c r="J2524" s="10">
        <f>IF(I2524="","",IF(I2524="OK",IF(COUNTIFS(H2525:H$3001,H2524,B2525:B$3001,B2524,G2525:G$3001,"")=0,C2524,0),0))</f>
        <v/>
      </c>
    </row>
    <row r="2525">
      <c r="A2525" s="6" t="n"/>
      <c r="B2525" s="9" t="n"/>
      <c r="C2525" s="6" t="n"/>
      <c r="D2525" s="6" t="n"/>
      <c r="E2525" s="6" t="n"/>
      <c r="F2525" s="6" t="n"/>
      <c r="G2525" s="6" t="n"/>
      <c r="H2525" s="10">
        <f>IF(F2525="","",IFERROR(INDEX(Roster!$A$2:$A$600,MATCH(F2525,Roster!$E$2:$E$600,0)),""))</f>
        <v/>
      </c>
      <c r="I2525" s="10">
        <f>IF(AND(D2525="",C2525="",F2525=""),"",IF(G2525&lt;&gt;"","Void",IF(F2525="","Needs child",IF(H2525="","Child not found",IF(OR(B2525="",NOT(ISNUMBER(C2525))),"Needs month/pages","OK")))))</f>
        <v/>
      </c>
      <c r="J2525" s="10">
        <f>IF(I2525="","",IF(I2525="OK",IF(COUNTIFS(H2526:H$3001,H2525,B2526:B$3001,B2525,G2526:G$3001,"")=0,C2525,0),0))</f>
        <v/>
      </c>
    </row>
    <row r="2526">
      <c r="A2526" s="6" t="n"/>
      <c r="B2526" s="9" t="n"/>
      <c r="C2526" s="6" t="n"/>
      <c r="D2526" s="6" t="n"/>
      <c r="E2526" s="6" t="n"/>
      <c r="F2526" s="6" t="n"/>
      <c r="G2526" s="6" t="n"/>
      <c r="H2526" s="10">
        <f>IF(F2526="","",IFERROR(INDEX(Roster!$A$2:$A$600,MATCH(F2526,Roster!$E$2:$E$600,0)),""))</f>
        <v/>
      </c>
      <c r="I2526" s="10">
        <f>IF(AND(D2526="",C2526="",F2526=""),"",IF(G2526&lt;&gt;"","Void",IF(F2526="","Needs child",IF(H2526="","Child not found",IF(OR(B2526="",NOT(ISNUMBER(C2526))),"Needs month/pages","OK")))))</f>
        <v/>
      </c>
      <c r="J2526" s="10">
        <f>IF(I2526="","",IF(I2526="OK",IF(COUNTIFS(H2527:H$3001,H2526,B2527:B$3001,B2526,G2527:G$3001,"")=0,C2526,0),0))</f>
        <v/>
      </c>
    </row>
    <row r="2527">
      <c r="A2527" s="6" t="n"/>
      <c r="B2527" s="9" t="n"/>
      <c r="C2527" s="6" t="n"/>
      <c r="D2527" s="6" t="n"/>
      <c r="E2527" s="6" t="n"/>
      <c r="F2527" s="6" t="n"/>
      <c r="G2527" s="6" t="n"/>
      <c r="H2527" s="10">
        <f>IF(F2527="","",IFERROR(INDEX(Roster!$A$2:$A$600,MATCH(F2527,Roster!$E$2:$E$600,0)),""))</f>
        <v/>
      </c>
      <c r="I2527" s="10">
        <f>IF(AND(D2527="",C2527="",F2527=""),"",IF(G2527&lt;&gt;"","Void",IF(F2527="","Needs child",IF(H2527="","Child not found",IF(OR(B2527="",NOT(ISNUMBER(C2527))),"Needs month/pages","OK")))))</f>
        <v/>
      </c>
      <c r="J2527" s="10">
        <f>IF(I2527="","",IF(I2527="OK",IF(COUNTIFS(H2528:H$3001,H2527,B2528:B$3001,B2527,G2528:G$3001,"")=0,C2527,0),0))</f>
        <v/>
      </c>
    </row>
    <row r="2528">
      <c r="A2528" s="6" t="n"/>
      <c r="B2528" s="9" t="n"/>
      <c r="C2528" s="6" t="n"/>
      <c r="D2528" s="6" t="n"/>
      <c r="E2528" s="6" t="n"/>
      <c r="F2528" s="6" t="n"/>
      <c r="G2528" s="6" t="n"/>
      <c r="H2528" s="10">
        <f>IF(F2528="","",IFERROR(INDEX(Roster!$A$2:$A$600,MATCH(F2528,Roster!$E$2:$E$600,0)),""))</f>
        <v/>
      </c>
      <c r="I2528" s="10">
        <f>IF(AND(D2528="",C2528="",F2528=""),"",IF(G2528&lt;&gt;"","Void",IF(F2528="","Needs child",IF(H2528="","Child not found",IF(OR(B2528="",NOT(ISNUMBER(C2528))),"Needs month/pages","OK")))))</f>
        <v/>
      </c>
      <c r="J2528" s="10">
        <f>IF(I2528="","",IF(I2528="OK",IF(COUNTIFS(H2529:H$3001,H2528,B2529:B$3001,B2528,G2529:G$3001,"")=0,C2528,0),0))</f>
        <v/>
      </c>
    </row>
    <row r="2529">
      <c r="A2529" s="6" t="n"/>
      <c r="B2529" s="9" t="n"/>
      <c r="C2529" s="6" t="n"/>
      <c r="D2529" s="6" t="n"/>
      <c r="E2529" s="6" t="n"/>
      <c r="F2529" s="6" t="n"/>
      <c r="G2529" s="6" t="n"/>
      <c r="H2529" s="10">
        <f>IF(F2529="","",IFERROR(INDEX(Roster!$A$2:$A$600,MATCH(F2529,Roster!$E$2:$E$600,0)),""))</f>
        <v/>
      </c>
      <c r="I2529" s="10">
        <f>IF(AND(D2529="",C2529="",F2529=""),"",IF(G2529&lt;&gt;"","Void",IF(F2529="","Needs child",IF(H2529="","Child not found",IF(OR(B2529="",NOT(ISNUMBER(C2529))),"Needs month/pages","OK")))))</f>
        <v/>
      </c>
      <c r="J2529" s="10">
        <f>IF(I2529="","",IF(I2529="OK",IF(COUNTIFS(H2530:H$3001,H2529,B2530:B$3001,B2529,G2530:G$3001,"")=0,C2529,0),0))</f>
        <v/>
      </c>
    </row>
    <row r="2530">
      <c r="A2530" s="6" t="n"/>
      <c r="B2530" s="9" t="n"/>
      <c r="C2530" s="6" t="n"/>
      <c r="D2530" s="6" t="n"/>
      <c r="E2530" s="6" t="n"/>
      <c r="F2530" s="6" t="n"/>
      <c r="G2530" s="6" t="n"/>
      <c r="H2530" s="10">
        <f>IF(F2530="","",IFERROR(INDEX(Roster!$A$2:$A$600,MATCH(F2530,Roster!$E$2:$E$600,0)),""))</f>
        <v/>
      </c>
      <c r="I2530" s="10">
        <f>IF(AND(D2530="",C2530="",F2530=""),"",IF(G2530&lt;&gt;"","Void",IF(F2530="","Needs child",IF(H2530="","Child not found",IF(OR(B2530="",NOT(ISNUMBER(C2530))),"Needs month/pages","OK")))))</f>
        <v/>
      </c>
      <c r="J2530" s="10">
        <f>IF(I2530="","",IF(I2530="OK",IF(COUNTIFS(H2531:H$3001,H2530,B2531:B$3001,B2530,G2531:G$3001,"")=0,C2530,0),0))</f>
        <v/>
      </c>
    </row>
    <row r="2531">
      <c r="A2531" s="6" t="n"/>
      <c r="B2531" s="9" t="n"/>
      <c r="C2531" s="6" t="n"/>
      <c r="D2531" s="6" t="n"/>
      <c r="E2531" s="6" t="n"/>
      <c r="F2531" s="6" t="n"/>
      <c r="G2531" s="6" t="n"/>
      <c r="H2531" s="10">
        <f>IF(F2531="","",IFERROR(INDEX(Roster!$A$2:$A$600,MATCH(F2531,Roster!$E$2:$E$600,0)),""))</f>
        <v/>
      </c>
      <c r="I2531" s="10">
        <f>IF(AND(D2531="",C2531="",F2531=""),"",IF(G2531&lt;&gt;"","Void",IF(F2531="","Needs child",IF(H2531="","Child not found",IF(OR(B2531="",NOT(ISNUMBER(C2531))),"Needs month/pages","OK")))))</f>
        <v/>
      </c>
      <c r="J2531" s="10">
        <f>IF(I2531="","",IF(I2531="OK",IF(COUNTIFS(H2532:H$3001,H2531,B2532:B$3001,B2531,G2532:G$3001,"")=0,C2531,0),0))</f>
        <v/>
      </c>
    </row>
    <row r="2532">
      <c r="A2532" s="6" t="n"/>
      <c r="B2532" s="9" t="n"/>
      <c r="C2532" s="6" t="n"/>
      <c r="D2532" s="6" t="n"/>
      <c r="E2532" s="6" t="n"/>
      <c r="F2532" s="6" t="n"/>
      <c r="G2532" s="6" t="n"/>
      <c r="H2532" s="10">
        <f>IF(F2532="","",IFERROR(INDEX(Roster!$A$2:$A$600,MATCH(F2532,Roster!$E$2:$E$600,0)),""))</f>
        <v/>
      </c>
      <c r="I2532" s="10">
        <f>IF(AND(D2532="",C2532="",F2532=""),"",IF(G2532&lt;&gt;"","Void",IF(F2532="","Needs child",IF(H2532="","Child not found",IF(OR(B2532="",NOT(ISNUMBER(C2532))),"Needs month/pages","OK")))))</f>
        <v/>
      </c>
      <c r="J2532" s="10">
        <f>IF(I2532="","",IF(I2532="OK",IF(COUNTIFS(H2533:H$3001,H2532,B2533:B$3001,B2532,G2533:G$3001,"")=0,C2532,0),0))</f>
        <v/>
      </c>
    </row>
    <row r="2533">
      <c r="A2533" s="6" t="n"/>
      <c r="B2533" s="9" t="n"/>
      <c r="C2533" s="6" t="n"/>
      <c r="D2533" s="6" t="n"/>
      <c r="E2533" s="6" t="n"/>
      <c r="F2533" s="6" t="n"/>
      <c r="G2533" s="6" t="n"/>
      <c r="H2533" s="10">
        <f>IF(F2533="","",IFERROR(INDEX(Roster!$A$2:$A$600,MATCH(F2533,Roster!$E$2:$E$600,0)),""))</f>
        <v/>
      </c>
      <c r="I2533" s="10">
        <f>IF(AND(D2533="",C2533="",F2533=""),"",IF(G2533&lt;&gt;"","Void",IF(F2533="","Needs child",IF(H2533="","Child not found",IF(OR(B2533="",NOT(ISNUMBER(C2533))),"Needs month/pages","OK")))))</f>
        <v/>
      </c>
      <c r="J2533" s="10">
        <f>IF(I2533="","",IF(I2533="OK",IF(COUNTIFS(H2534:H$3001,H2533,B2534:B$3001,B2533,G2534:G$3001,"")=0,C2533,0),0))</f>
        <v/>
      </c>
    </row>
    <row r="2534">
      <c r="A2534" s="6" t="n"/>
      <c r="B2534" s="9" t="n"/>
      <c r="C2534" s="6" t="n"/>
      <c r="D2534" s="6" t="n"/>
      <c r="E2534" s="6" t="n"/>
      <c r="F2534" s="6" t="n"/>
      <c r="G2534" s="6" t="n"/>
      <c r="H2534" s="10">
        <f>IF(F2534="","",IFERROR(INDEX(Roster!$A$2:$A$600,MATCH(F2534,Roster!$E$2:$E$600,0)),""))</f>
        <v/>
      </c>
      <c r="I2534" s="10">
        <f>IF(AND(D2534="",C2534="",F2534=""),"",IF(G2534&lt;&gt;"","Void",IF(F2534="","Needs child",IF(H2534="","Child not found",IF(OR(B2534="",NOT(ISNUMBER(C2534))),"Needs month/pages","OK")))))</f>
        <v/>
      </c>
      <c r="J2534" s="10">
        <f>IF(I2534="","",IF(I2534="OK",IF(COUNTIFS(H2535:H$3001,H2534,B2535:B$3001,B2534,G2535:G$3001,"")=0,C2534,0),0))</f>
        <v/>
      </c>
    </row>
    <row r="2535">
      <c r="A2535" s="6" t="n"/>
      <c r="B2535" s="9" t="n"/>
      <c r="C2535" s="6" t="n"/>
      <c r="D2535" s="6" t="n"/>
      <c r="E2535" s="6" t="n"/>
      <c r="F2535" s="6" t="n"/>
      <c r="G2535" s="6" t="n"/>
      <c r="H2535" s="10">
        <f>IF(F2535="","",IFERROR(INDEX(Roster!$A$2:$A$600,MATCH(F2535,Roster!$E$2:$E$600,0)),""))</f>
        <v/>
      </c>
      <c r="I2535" s="10">
        <f>IF(AND(D2535="",C2535="",F2535=""),"",IF(G2535&lt;&gt;"","Void",IF(F2535="","Needs child",IF(H2535="","Child not found",IF(OR(B2535="",NOT(ISNUMBER(C2535))),"Needs month/pages","OK")))))</f>
        <v/>
      </c>
      <c r="J2535" s="10">
        <f>IF(I2535="","",IF(I2535="OK",IF(COUNTIFS(H2536:H$3001,H2535,B2536:B$3001,B2535,G2536:G$3001,"")=0,C2535,0),0))</f>
        <v/>
      </c>
    </row>
    <row r="2536">
      <c r="A2536" s="6" t="n"/>
      <c r="B2536" s="9" t="n"/>
      <c r="C2536" s="6" t="n"/>
      <c r="D2536" s="6" t="n"/>
      <c r="E2536" s="6" t="n"/>
      <c r="F2536" s="6" t="n"/>
      <c r="G2536" s="6" t="n"/>
      <c r="H2536" s="10">
        <f>IF(F2536="","",IFERROR(INDEX(Roster!$A$2:$A$600,MATCH(F2536,Roster!$E$2:$E$600,0)),""))</f>
        <v/>
      </c>
      <c r="I2536" s="10">
        <f>IF(AND(D2536="",C2536="",F2536=""),"",IF(G2536&lt;&gt;"","Void",IF(F2536="","Needs child",IF(H2536="","Child not found",IF(OR(B2536="",NOT(ISNUMBER(C2536))),"Needs month/pages","OK")))))</f>
        <v/>
      </c>
      <c r="J2536" s="10">
        <f>IF(I2536="","",IF(I2536="OK",IF(COUNTIFS(H2537:H$3001,H2536,B2537:B$3001,B2536,G2537:G$3001,"")=0,C2536,0),0))</f>
        <v/>
      </c>
    </row>
    <row r="2537">
      <c r="A2537" s="6" t="n"/>
      <c r="B2537" s="9" t="n"/>
      <c r="C2537" s="6" t="n"/>
      <c r="D2537" s="6" t="n"/>
      <c r="E2537" s="6" t="n"/>
      <c r="F2537" s="6" t="n"/>
      <c r="G2537" s="6" t="n"/>
      <c r="H2537" s="10">
        <f>IF(F2537="","",IFERROR(INDEX(Roster!$A$2:$A$600,MATCH(F2537,Roster!$E$2:$E$600,0)),""))</f>
        <v/>
      </c>
      <c r="I2537" s="10">
        <f>IF(AND(D2537="",C2537="",F2537=""),"",IF(G2537&lt;&gt;"","Void",IF(F2537="","Needs child",IF(H2537="","Child not found",IF(OR(B2537="",NOT(ISNUMBER(C2537))),"Needs month/pages","OK")))))</f>
        <v/>
      </c>
      <c r="J2537" s="10">
        <f>IF(I2537="","",IF(I2537="OK",IF(COUNTIFS(H2538:H$3001,H2537,B2538:B$3001,B2537,G2538:G$3001,"")=0,C2537,0),0))</f>
        <v/>
      </c>
    </row>
    <row r="2538">
      <c r="A2538" s="6" t="n"/>
      <c r="B2538" s="9" t="n"/>
      <c r="C2538" s="6" t="n"/>
      <c r="D2538" s="6" t="n"/>
      <c r="E2538" s="6" t="n"/>
      <c r="F2538" s="6" t="n"/>
      <c r="G2538" s="6" t="n"/>
      <c r="H2538" s="10">
        <f>IF(F2538="","",IFERROR(INDEX(Roster!$A$2:$A$600,MATCH(F2538,Roster!$E$2:$E$600,0)),""))</f>
        <v/>
      </c>
      <c r="I2538" s="10">
        <f>IF(AND(D2538="",C2538="",F2538=""),"",IF(G2538&lt;&gt;"","Void",IF(F2538="","Needs child",IF(H2538="","Child not found",IF(OR(B2538="",NOT(ISNUMBER(C2538))),"Needs month/pages","OK")))))</f>
        <v/>
      </c>
      <c r="J2538" s="10">
        <f>IF(I2538="","",IF(I2538="OK",IF(COUNTIFS(H2539:H$3001,H2538,B2539:B$3001,B2538,G2539:G$3001,"")=0,C2538,0),0))</f>
        <v/>
      </c>
    </row>
    <row r="2539">
      <c r="A2539" s="6" t="n"/>
      <c r="B2539" s="9" t="n"/>
      <c r="C2539" s="6" t="n"/>
      <c r="D2539" s="6" t="n"/>
      <c r="E2539" s="6" t="n"/>
      <c r="F2539" s="6" t="n"/>
      <c r="G2539" s="6" t="n"/>
      <c r="H2539" s="10">
        <f>IF(F2539="","",IFERROR(INDEX(Roster!$A$2:$A$600,MATCH(F2539,Roster!$E$2:$E$600,0)),""))</f>
        <v/>
      </c>
      <c r="I2539" s="10">
        <f>IF(AND(D2539="",C2539="",F2539=""),"",IF(G2539&lt;&gt;"","Void",IF(F2539="","Needs child",IF(H2539="","Child not found",IF(OR(B2539="",NOT(ISNUMBER(C2539))),"Needs month/pages","OK")))))</f>
        <v/>
      </c>
      <c r="J2539" s="10">
        <f>IF(I2539="","",IF(I2539="OK",IF(COUNTIFS(H2540:H$3001,H2539,B2540:B$3001,B2539,G2540:G$3001,"")=0,C2539,0),0))</f>
        <v/>
      </c>
    </row>
    <row r="2540">
      <c r="A2540" s="6" t="n"/>
      <c r="B2540" s="9" t="n"/>
      <c r="C2540" s="6" t="n"/>
      <c r="D2540" s="6" t="n"/>
      <c r="E2540" s="6" t="n"/>
      <c r="F2540" s="6" t="n"/>
      <c r="G2540" s="6" t="n"/>
      <c r="H2540" s="10">
        <f>IF(F2540="","",IFERROR(INDEX(Roster!$A$2:$A$600,MATCH(F2540,Roster!$E$2:$E$600,0)),""))</f>
        <v/>
      </c>
      <c r="I2540" s="10">
        <f>IF(AND(D2540="",C2540="",F2540=""),"",IF(G2540&lt;&gt;"","Void",IF(F2540="","Needs child",IF(H2540="","Child not found",IF(OR(B2540="",NOT(ISNUMBER(C2540))),"Needs month/pages","OK")))))</f>
        <v/>
      </c>
      <c r="J2540" s="10">
        <f>IF(I2540="","",IF(I2540="OK",IF(COUNTIFS(H2541:H$3001,H2540,B2541:B$3001,B2540,G2541:G$3001,"")=0,C2540,0),0))</f>
        <v/>
      </c>
    </row>
    <row r="2541">
      <c r="A2541" s="6" t="n"/>
      <c r="B2541" s="9" t="n"/>
      <c r="C2541" s="6" t="n"/>
      <c r="D2541" s="6" t="n"/>
      <c r="E2541" s="6" t="n"/>
      <c r="F2541" s="6" t="n"/>
      <c r="G2541" s="6" t="n"/>
      <c r="H2541" s="10">
        <f>IF(F2541="","",IFERROR(INDEX(Roster!$A$2:$A$600,MATCH(F2541,Roster!$E$2:$E$600,0)),""))</f>
        <v/>
      </c>
      <c r="I2541" s="10">
        <f>IF(AND(D2541="",C2541="",F2541=""),"",IF(G2541&lt;&gt;"","Void",IF(F2541="","Needs child",IF(H2541="","Child not found",IF(OR(B2541="",NOT(ISNUMBER(C2541))),"Needs month/pages","OK")))))</f>
        <v/>
      </c>
      <c r="J2541" s="10">
        <f>IF(I2541="","",IF(I2541="OK",IF(COUNTIFS(H2542:H$3001,H2541,B2542:B$3001,B2541,G2542:G$3001,"")=0,C2541,0),0))</f>
        <v/>
      </c>
    </row>
    <row r="2542">
      <c r="A2542" s="6" t="n"/>
      <c r="B2542" s="9" t="n"/>
      <c r="C2542" s="6" t="n"/>
      <c r="D2542" s="6" t="n"/>
      <c r="E2542" s="6" t="n"/>
      <c r="F2542" s="6" t="n"/>
      <c r="G2542" s="6" t="n"/>
      <c r="H2542" s="10">
        <f>IF(F2542="","",IFERROR(INDEX(Roster!$A$2:$A$600,MATCH(F2542,Roster!$E$2:$E$600,0)),""))</f>
        <v/>
      </c>
      <c r="I2542" s="10">
        <f>IF(AND(D2542="",C2542="",F2542=""),"",IF(G2542&lt;&gt;"","Void",IF(F2542="","Needs child",IF(H2542="","Child not found",IF(OR(B2542="",NOT(ISNUMBER(C2542))),"Needs month/pages","OK")))))</f>
        <v/>
      </c>
      <c r="J2542" s="10">
        <f>IF(I2542="","",IF(I2542="OK",IF(COUNTIFS(H2543:H$3001,H2542,B2543:B$3001,B2542,G2543:G$3001,"")=0,C2542,0),0))</f>
        <v/>
      </c>
    </row>
    <row r="2543">
      <c r="A2543" s="6" t="n"/>
      <c r="B2543" s="9" t="n"/>
      <c r="C2543" s="6" t="n"/>
      <c r="D2543" s="6" t="n"/>
      <c r="E2543" s="6" t="n"/>
      <c r="F2543" s="6" t="n"/>
      <c r="G2543" s="6" t="n"/>
      <c r="H2543" s="10">
        <f>IF(F2543="","",IFERROR(INDEX(Roster!$A$2:$A$600,MATCH(F2543,Roster!$E$2:$E$600,0)),""))</f>
        <v/>
      </c>
      <c r="I2543" s="10">
        <f>IF(AND(D2543="",C2543="",F2543=""),"",IF(G2543&lt;&gt;"","Void",IF(F2543="","Needs child",IF(H2543="","Child not found",IF(OR(B2543="",NOT(ISNUMBER(C2543))),"Needs month/pages","OK")))))</f>
        <v/>
      </c>
      <c r="J2543" s="10">
        <f>IF(I2543="","",IF(I2543="OK",IF(COUNTIFS(H2544:H$3001,H2543,B2544:B$3001,B2543,G2544:G$3001,"")=0,C2543,0),0))</f>
        <v/>
      </c>
    </row>
    <row r="2544">
      <c r="A2544" s="6" t="n"/>
      <c r="B2544" s="9" t="n"/>
      <c r="C2544" s="6" t="n"/>
      <c r="D2544" s="6" t="n"/>
      <c r="E2544" s="6" t="n"/>
      <c r="F2544" s="6" t="n"/>
      <c r="G2544" s="6" t="n"/>
      <c r="H2544" s="10">
        <f>IF(F2544="","",IFERROR(INDEX(Roster!$A$2:$A$600,MATCH(F2544,Roster!$E$2:$E$600,0)),""))</f>
        <v/>
      </c>
      <c r="I2544" s="10">
        <f>IF(AND(D2544="",C2544="",F2544=""),"",IF(G2544&lt;&gt;"","Void",IF(F2544="","Needs child",IF(H2544="","Child not found",IF(OR(B2544="",NOT(ISNUMBER(C2544))),"Needs month/pages","OK")))))</f>
        <v/>
      </c>
      <c r="J2544" s="10">
        <f>IF(I2544="","",IF(I2544="OK",IF(COUNTIFS(H2545:H$3001,H2544,B2545:B$3001,B2544,G2545:G$3001,"")=0,C2544,0),0))</f>
        <v/>
      </c>
    </row>
    <row r="2545">
      <c r="A2545" s="6" t="n"/>
      <c r="B2545" s="9" t="n"/>
      <c r="C2545" s="6" t="n"/>
      <c r="D2545" s="6" t="n"/>
      <c r="E2545" s="6" t="n"/>
      <c r="F2545" s="6" t="n"/>
      <c r="G2545" s="6" t="n"/>
      <c r="H2545" s="10">
        <f>IF(F2545="","",IFERROR(INDEX(Roster!$A$2:$A$600,MATCH(F2545,Roster!$E$2:$E$600,0)),""))</f>
        <v/>
      </c>
      <c r="I2545" s="10">
        <f>IF(AND(D2545="",C2545="",F2545=""),"",IF(G2545&lt;&gt;"","Void",IF(F2545="","Needs child",IF(H2545="","Child not found",IF(OR(B2545="",NOT(ISNUMBER(C2545))),"Needs month/pages","OK")))))</f>
        <v/>
      </c>
      <c r="J2545" s="10">
        <f>IF(I2545="","",IF(I2545="OK",IF(COUNTIFS(H2546:H$3001,H2545,B2546:B$3001,B2545,G2546:G$3001,"")=0,C2545,0),0))</f>
        <v/>
      </c>
    </row>
    <row r="2546">
      <c r="A2546" s="6" t="n"/>
      <c r="B2546" s="9" t="n"/>
      <c r="C2546" s="6" t="n"/>
      <c r="D2546" s="6" t="n"/>
      <c r="E2546" s="6" t="n"/>
      <c r="F2546" s="6" t="n"/>
      <c r="G2546" s="6" t="n"/>
      <c r="H2546" s="10">
        <f>IF(F2546="","",IFERROR(INDEX(Roster!$A$2:$A$600,MATCH(F2546,Roster!$E$2:$E$600,0)),""))</f>
        <v/>
      </c>
      <c r="I2546" s="10">
        <f>IF(AND(D2546="",C2546="",F2546=""),"",IF(G2546&lt;&gt;"","Void",IF(F2546="","Needs child",IF(H2546="","Child not found",IF(OR(B2546="",NOT(ISNUMBER(C2546))),"Needs month/pages","OK")))))</f>
        <v/>
      </c>
      <c r="J2546" s="10">
        <f>IF(I2546="","",IF(I2546="OK",IF(COUNTIFS(H2547:H$3001,H2546,B2547:B$3001,B2546,G2547:G$3001,"")=0,C2546,0),0))</f>
        <v/>
      </c>
    </row>
    <row r="2547">
      <c r="A2547" s="6" t="n"/>
      <c r="B2547" s="9" t="n"/>
      <c r="C2547" s="6" t="n"/>
      <c r="D2547" s="6" t="n"/>
      <c r="E2547" s="6" t="n"/>
      <c r="F2547" s="6" t="n"/>
      <c r="G2547" s="6" t="n"/>
      <c r="H2547" s="10">
        <f>IF(F2547="","",IFERROR(INDEX(Roster!$A$2:$A$600,MATCH(F2547,Roster!$E$2:$E$600,0)),""))</f>
        <v/>
      </c>
      <c r="I2547" s="10">
        <f>IF(AND(D2547="",C2547="",F2547=""),"",IF(G2547&lt;&gt;"","Void",IF(F2547="","Needs child",IF(H2547="","Child not found",IF(OR(B2547="",NOT(ISNUMBER(C2547))),"Needs month/pages","OK")))))</f>
        <v/>
      </c>
      <c r="J2547" s="10">
        <f>IF(I2547="","",IF(I2547="OK",IF(COUNTIFS(H2548:H$3001,H2547,B2548:B$3001,B2547,G2548:G$3001,"")=0,C2547,0),0))</f>
        <v/>
      </c>
    </row>
    <row r="2548">
      <c r="A2548" s="6" t="n"/>
      <c r="B2548" s="9" t="n"/>
      <c r="C2548" s="6" t="n"/>
      <c r="D2548" s="6" t="n"/>
      <c r="E2548" s="6" t="n"/>
      <c r="F2548" s="6" t="n"/>
      <c r="G2548" s="6" t="n"/>
      <c r="H2548" s="10">
        <f>IF(F2548="","",IFERROR(INDEX(Roster!$A$2:$A$600,MATCH(F2548,Roster!$E$2:$E$600,0)),""))</f>
        <v/>
      </c>
      <c r="I2548" s="10">
        <f>IF(AND(D2548="",C2548="",F2548=""),"",IF(G2548&lt;&gt;"","Void",IF(F2548="","Needs child",IF(H2548="","Child not found",IF(OR(B2548="",NOT(ISNUMBER(C2548))),"Needs month/pages","OK")))))</f>
        <v/>
      </c>
      <c r="J2548" s="10">
        <f>IF(I2548="","",IF(I2548="OK",IF(COUNTIFS(H2549:H$3001,H2548,B2549:B$3001,B2548,G2549:G$3001,"")=0,C2548,0),0))</f>
        <v/>
      </c>
    </row>
    <row r="2549">
      <c r="A2549" s="6" t="n"/>
      <c r="B2549" s="9" t="n"/>
      <c r="C2549" s="6" t="n"/>
      <c r="D2549" s="6" t="n"/>
      <c r="E2549" s="6" t="n"/>
      <c r="F2549" s="6" t="n"/>
      <c r="G2549" s="6" t="n"/>
      <c r="H2549" s="10">
        <f>IF(F2549="","",IFERROR(INDEX(Roster!$A$2:$A$600,MATCH(F2549,Roster!$E$2:$E$600,0)),""))</f>
        <v/>
      </c>
      <c r="I2549" s="10">
        <f>IF(AND(D2549="",C2549="",F2549=""),"",IF(G2549&lt;&gt;"","Void",IF(F2549="","Needs child",IF(H2549="","Child not found",IF(OR(B2549="",NOT(ISNUMBER(C2549))),"Needs month/pages","OK")))))</f>
        <v/>
      </c>
      <c r="J2549" s="10">
        <f>IF(I2549="","",IF(I2549="OK",IF(COUNTIFS(H2550:H$3001,H2549,B2550:B$3001,B2549,G2550:G$3001,"")=0,C2549,0),0))</f>
        <v/>
      </c>
    </row>
    <row r="2550">
      <c r="A2550" s="6" t="n"/>
      <c r="B2550" s="9" t="n"/>
      <c r="C2550" s="6" t="n"/>
      <c r="D2550" s="6" t="n"/>
      <c r="E2550" s="6" t="n"/>
      <c r="F2550" s="6" t="n"/>
      <c r="G2550" s="6" t="n"/>
      <c r="H2550" s="10">
        <f>IF(F2550="","",IFERROR(INDEX(Roster!$A$2:$A$600,MATCH(F2550,Roster!$E$2:$E$600,0)),""))</f>
        <v/>
      </c>
      <c r="I2550" s="10">
        <f>IF(AND(D2550="",C2550="",F2550=""),"",IF(G2550&lt;&gt;"","Void",IF(F2550="","Needs child",IF(H2550="","Child not found",IF(OR(B2550="",NOT(ISNUMBER(C2550))),"Needs month/pages","OK")))))</f>
        <v/>
      </c>
      <c r="J2550" s="10">
        <f>IF(I2550="","",IF(I2550="OK",IF(COUNTIFS(H2551:H$3001,H2550,B2551:B$3001,B2550,G2551:G$3001,"")=0,C2550,0),0))</f>
        <v/>
      </c>
    </row>
    <row r="2551">
      <c r="A2551" s="6" t="n"/>
      <c r="B2551" s="9" t="n"/>
      <c r="C2551" s="6" t="n"/>
      <c r="D2551" s="6" t="n"/>
      <c r="E2551" s="6" t="n"/>
      <c r="F2551" s="6" t="n"/>
      <c r="G2551" s="6" t="n"/>
      <c r="H2551" s="10">
        <f>IF(F2551="","",IFERROR(INDEX(Roster!$A$2:$A$600,MATCH(F2551,Roster!$E$2:$E$600,0)),""))</f>
        <v/>
      </c>
      <c r="I2551" s="10">
        <f>IF(AND(D2551="",C2551="",F2551=""),"",IF(G2551&lt;&gt;"","Void",IF(F2551="","Needs child",IF(H2551="","Child not found",IF(OR(B2551="",NOT(ISNUMBER(C2551))),"Needs month/pages","OK")))))</f>
        <v/>
      </c>
      <c r="J2551" s="10">
        <f>IF(I2551="","",IF(I2551="OK",IF(COUNTIFS(H2552:H$3001,H2551,B2552:B$3001,B2551,G2552:G$3001,"")=0,C2551,0),0))</f>
        <v/>
      </c>
    </row>
    <row r="2552">
      <c r="A2552" s="6" t="n"/>
      <c r="B2552" s="9" t="n"/>
      <c r="C2552" s="6" t="n"/>
      <c r="D2552" s="6" t="n"/>
      <c r="E2552" s="6" t="n"/>
      <c r="F2552" s="6" t="n"/>
      <c r="G2552" s="6" t="n"/>
      <c r="H2552" s="10">
        <f>IF(F2552="","",IFERROR(INDEX(Roster!$A$2:$A$600,MATCH(F2552,Roster!$E$2:$E$600,0)),""))</f>
        <v/>
      </c>
      <c r="I2552" s="10">
        <f>IF(AND(D2552="",C2552="",F2552=""),"",IF(G2552&lt;&gt;"","Void",IF(F2552="","Needs child",IF(H2552="","Child not found",IF(OR(B2552="",NOT(ISNUMBER(C2552))),"Needs month/pages","OK")))))</f>
        <v/>
      </c>
      <c r="J2552" s="10">
        <f>IF(I2552="","",IF(I2552="OK",IF(COUNTIFS(H2553:H$3001,H2552,B2553:B$3001,B2552,G2553:G$3001,"")=0,C2552,0),0))</f>
        <v/>
      </c>
    </row>
    <row r="2553">
      <c r="A2553" s="6" t="n"/>
      <c r="B2553" s="9" t="n"/>
      <c r="C2553" s="6" t="n"/>
      <c r="D2553" s="6" t="n"/>
      <c r="E2553" s="6" t="n"/>
      <c r="F2553" s="6" t="n"/>
      <c r="G2553" s="6" t="n"/>
      <c r="H2553" s="10">
        <f>IF(F2553="","",IFERROR(INDEX(Roster!$A$2:$A$600,MATCH(F2553,Roster!$E$2:$E$600,0)),""))</f>
        <v/>
      </c>
      <c r="I2553" s="10">
        <f>IF(AND(D2553="",C2553="",F2553=""),"",IF(G2553&lt;&gt;"","Void",IF(F2553="","Needs child",IF(H2553="","Child not found",IF(OR(B2553="",NOT(ISNUMBER(C2553))),"Needs month/pages","OK")))))</f>
        <v/>
      </c>
      <c r="J2553" s="10">
        <f>IF(I2553="","",IF(I2553="OK",IF(COUNTIFS(H2554:H$3001,H2553,B2554:B$3001,B2553,G2554:G$3001,"")=0,C2553,0),0))</f>
        <v/>
      </c>
    </row>
    <row r="2554">
      <c r="A2554" s="6" t="n"/>
      <c r="B2554" s="9" t="n"/>
      <c r="C2554" s="6" t="n"/>
      <c r="D2554" s="6" t="n"/>
      <c r="E2554" s="6" t="n"/>
      <c r="F2554" s="6" t="n"/>
      <c r="G2554" s="6" t="n"/>
      <c r="H2554" s="10">
        <f>IF(F2554="","",IFERROR(INDEX(Roster!$A$2:$A$600,MATCH(F2554,Roster!$E$2:$E$600,0)),""))</f>
        <v/>
      </c>
      <c r="I2554" s="10">
        <f>IF(AND(D2554="",C2554="",F2554=""),"",IF(G2554&lt;&gt;"","Void",IF(F2554="","Needs child",IF(H2554="","Child not found",IF(OR(B2554="",NOT(ISNUMBER(C2554))),"Needs month/pages","OK")))))</f>
        <v/>
      </c>
      <c r="J2554" s="10">
        <f>IF(I2554="","",IF(I2554="OK",IF(COUNTIFS(H2555:H$3001,H2554,B2555:B$3001,B2554,G2555:G$3001,"")=0,C2554,0),0))</f>
        <v/>
      </c>
    </row>
    <row r="2555">
      <c r="A2555" s="6" t="n"/>
      <c r="B2555" s="9" t="n"/>
      <c r="C2555" s="6" t="n"/>
      <c r="D2555" s="6" t="n"/>
      <c r="E2555" s="6" t="n"/>
      <c r="F2555" s="6" t="n"/>
      <c r="G2555" s="6" t="n"/>
      <c r="H2555" s="10">
        <f>IF(F2555="","",IFERROR(INDEX(Roster!$A$2:$A$600,MATCH(F2555,Roster!$E$2:$E$600,0)),""))</f>
        <v/>
      </c>
      <c r="I2555" s="10">
        <f>IF(AND(D2555="",C2555="",F2555=""),"",IF(G2555&lt;&gt;"","Void",IF(F2555="","Needs child",IF(H2555="","Child not found",IF(OR(B2555="",NOT(ISNUMBER(C2555))),"Needs month/pages","OK")))))</f>
        <v/>
      </c>
      <c r="J2555" s="10">
        <f>IF(I2555="","",IF(I2555="OK",IF(COUNTIFS(H2556:H$3001,H2555,B2556:B$3001,B2555,G2556:G$3001,"")=0,C2555,0),0))</f>
        <v/>
      </c>
    </row>
    <row r="2556">
      <c r="A2556" s="6" t="n"/>
      <c r="B2556" s="9" t="n"/>
      <c r="C2556" s="6" t="n"/>
      <c r="D2556" s="6" t="n"/>
      <c r="E2556" s="6" t="n"/>
      <c r="F2556" s="6" t="n"/>
      <c r="G2556" s="6" t="n"/>
      <c r="H2556" s="10">
        <f>IF(F2556="","",IFERROR(INDEX(Roster!$A$2:$A$600,MATCH(F2556,Roster!$E$2:$E$600,0)),""))</f>
        <v/>
      </c>
      <c r="I2556" s="10">
        <f>IF(AND(D2556="",C2556="",F2556=""),"",IF(G2556&lt;&gt;"","Void",IF(F2556="","Needs child",IF(H2556="","Child not found",IF(OR(B2556="",NOT(ISNUMBER(C2556))),"Needs month/pages","OK")))))</f>
        <v/>
      </c>
      <c r="J2556" s="10">
        <f>IF(I2556="","",IF(I2556="OK",IF(COUNTIFS(H2557:H$3001,H2556,B2557:B$3001,B2556,G2557:G$3001,"")=0,C2556,0),0))</f>
        <v/>
      </c>
    </row>
    <row r="2557">
      <c r="A2557" s="6" t="n"/>
      <c r="B2557" s="9" t="n"/>
      <c r="C2557" s="6" t="n"/>
      <c r="D2557" s="6" t="n"/>
      <c r="E2557" s="6" t="n"/>
      <c r="F2557" s="6" t="n"/>
      <c r="G2557" s="6" t="n"/>
      <c r="H2557" s="10">
        <f>IF(F2557="","",IFERROR(INDEX(Roster!$A$2:$A$600,MATCH(F2557,Roster!$E$2:$E$600,0)),""))</f>
        <v/>
      </c>
      <c r="I2557" s="10">
        <f>IF(AND(D2557="",C2557="",F2557=""),"",IF(G2557&lt;&gt;"","Void",IF(F2557="","Needs child",IF(H2557="","Child not found",IF(OR(B2557="",NOT(ISNUMBER(C2557))),"Needs month/pages","OK")))))</f>
        <v/>
      </c>
      <c r="J2557" s="10">
        <f>IF(I2557="","",IF(I2557="OK",IF(COUNTIFS(H2558:H$3001,H2557,B2558:B$3001,B2557,G2558:G$3001,"")=0,C2557,0),0))</f>
        <v/>
      </c>
    </row>
    <row r="2558">
      <c r="A2558" s="6" t="n"/>
      <c r="B2558" s="9" t="n"/>
      <c r="C2558" s="6" t="n"/>
      <c r="D2558" s="6" t="n"/>
      <c r="E2558" s="6" t="n"/>
      <c r="F2558" s="6" t="n"/>
      <c r="G2558" s="6" t="n"/>
      <c r="H2558" s="10">
        <f>IF(F2558="","",IFERROR(INDEX(Roster!$A$2:$A$600,MATCH(F2558,Roster!$E$2:$E$600,0)),""))</f>
        <v/>
      </c>
      <c r="I2558" s="10">
        <f>IF(AND(D2558="",C2558="",F2558=""),"",IF(G2558&lt;&gt;"","Void",IF(F2558="","Needs child",IF(H2558="","Child not found",IF(OR(B2558="",NOT(ISNUMBER(C2558))),"Needs month/pages","OK")))))</f>
        <v/>
      </c>
      <c r="J2558" s="10">
        <f>IF(I2558="","",IF(I2558="OK",IF(COUNTIFS(H2559:H$3001,H2558,B2559:B$3001,B2558,G2559:G$3001,"")=0,C2558,0),0))</f>
        <v/>
      </c>
    </row>
    <row r="2559">
      <c r="A2559" s="6" t="n"/>
      <c r="B2559" s="9" t="n"/>
      <c r="C2559" s="6" t="n"/>
      <c r="D2559" s="6" t="n"/>
      <c r="E2559" s="6" t="n"/>
      <c r="F2559" s="6" t="n"/>
      <c r="G2559" s="6" t="n"/>
      <c r="H2559" s="10">
        <f>IF(F2559="","",IFERROR(INDEX(Roster!$A$2:$A$600,MATCH(F2559,Roster!$E$2:$E$600,0)),""))</f>
        <v/>
      </c>
      <c r="I2559" s="10">
        <f>IF(AND(D2559="",C2559="",F2559=""),"",IF(G2559&lt;&gt;"","Void",IF(F2559="","Needs child",IF(H2559="","Child not found",IF(OR(B2559="",NOT(ISNUMBER(C2559))),"Needs month/pages","OK")))))</f>
        <v/>
      </c>
      <c r="J2559" s="10">
        <f>IF(I2559="","",IF(I2559="OK",IF(COUNTIFS(H2560:H$3001,H2559,B2560:B$3001,B2559,G2560:G$3001,"")=0,C2559,0),0))</f>
        <v/>
      </c>
    </row>
    <row r="2560">
      <c r="A2560" s="6" t="n"/>
      <c r="B2560" s="9" t="n"/>
      <c r="C2560" s="6" t="n"/>
      <c r="D2560" s="6" t="n"/>
      <c r="E2560" s="6" t="n"/>
      <c r="F2560" s="6" t="n"/>
      <c r="G2560" s="6" t="n"/>
      <c r="H2560" s="10">
        <f>IF(F2560="","",IFERROR(INDEX(Roster!$A$2:$A$600,MATCH(F2560,Roster!$E$2:$E$600,0)),""))</f>
        <v/>
      </c>
      <c r="I2560" s="10">
        <f>IF(AND(D2560="",C2560="",F2560=""),"",IF(G2560&lt;&gt;"","Void",IF(F2560="","Needs child",IF(H2560="","Child not found",IF(OR(B2560="",NOT(ISNUMBER(C2560))),"Needs month/pages","OK")))))</f>
        <v/>
      </c>
      <c r="J2560" s="10">
        <f>IF(I2560="","",IF(I2560="OK",IF(COUNTIFS(H2561:H$3001,H2560,B2561:B$3001,B2560,G2561:G$3001,"")=0,C2560,0),0))</f>
        <v/>
      </c>
    </row>
    <row r="2561">
      <c r="A2561" s="6" t="n"/>
      <c r="B2561" s="9" t="n"/>
      <c r="C2561" s="6" t="n"/>
      <c r="D2561" s="6" t="n"/>
      <c r="E2561" s="6" t="n"/>
      <c r="F2561" s="6" t="n"/>
      <c r="G2561" s="6" t="n"/>
      <c r="H2561" s="10">
        <f>IF(F2561="","",IFERROR(INDEX(Roster!$A$2:$A$600,MATCH(F2561,Roster!$E$2:$E$600,0)),""))</f>
        <v/>
      </c>
      <c r="I2561" s="10">
        <f>IF(AND(D2561="",C2561="",F2561=""),"",IF(G2561&lt;&gt;"","Void",IF(F2561="","Needs child",IF(H2561="","Child not found",IF(OR(B2561="",NOT(ISNUMBER(C2561))),"Needs month/pages","OK")))))</f>
        <v/>
      </c>
      <c r="J2561" s="10">
        <f>IF(I2561="","",IF(I2561="OK",IF(COUNTIFS(H2562:H$3001,H2561,B2562:B$3001,B2561,G2562:G$3001,"")=0,C2561,0),0))</f>
        <v/>
      </c>
    </row>
    <row r="2562">
      <c r="A2562" s="6" t="n"/>
      <c r="B2562" s="9" t="n"/>
      <c r="C2562" s="6" t="n"/>
      <c r="D2562" s="6" t="n"/>
      <c r="E2562" s="6" t="n"/>
      <c r="F2562" s="6" t="n"/>
      <c r="G2562" s="6" t="n"/>
      <c r="H2562" s="10">
        <f>IF(F2562="","",IFERROR(INDEX(Roster!$A$2:$A$600,MATCH(F2562,Roster!$E$2:$E$600,0)),""))</f>
        <v/>
      </c>
      <c r="I2562" s="10">
        <f>IF(AND(D2562="",C2562="",F2562=""),"",IF(G2562&lt;&gt;"","Void",IF(F2562="","Needs child",IF(H2562="","Child not found",IF(OR(B2562="",NOT(ISNUMBER(C2562))),"Needs month/pages","OK")))))</f>
        <v/>
      </c>
      <c r="J2562" s="10">
        <f>IF(I2562="","",IF(I2562="OK",IF(COUNTIFS(H2563:H$3001,H2562,B2563:B$3001,B2562,G2563:G$3001,"")=0,C2562,0),0))</f>
        <v/>
      </c>
    </row>
    <row r="2563">
      <c r="A2563" s="6" t="n"/>
      <c r="B2563" s="9" t="n"/>
      <c r="C2563" s="6" t="n"/>
      <c r="D2563" s="6" t="n"/>
      <c r="E2563" s="6" t="n"/>
      <c r="F2563" s="6" t="n"/>
      <c r="G2563" s="6" t="n"/>
      <c r="H2563" s="10">
        <f>IF(F2563="","",IFERROR(INDEX(Roster!$A$2:$A$600,MATCH(F2563,Roster!$E$2:$E$600,0)),""))</f>
        <v/>
      </c>
      <c r="I2563" s="10">
        <f>IF(AND(D2563="",C2563="",F2563=""),"",IF(G2563&lt;&gt;"","Void",IF(F2563="","Needs child",IF(H2563="","Child not found",IF(OR(B2563="",NOT(ISNUMBER(C2563))),"Needs month/pages","OK")))))</f>
        <v/>
      </c>
      <c r="J2563" s="10">
        <f>IF(I2563="","",IF(I2563="OK",IF(COUNTIFS(H2564:H$3001,H2563,B2564:B$3001,B2563,G2564:G$3001,"")=0,C2563,0),0))</f>
        <v/>
      </c>
    </row>
    <row r="2564">
      <c r="A2564" s="6" t="n"/>
      <c r="B2564" s="9" t="n"/>
      <c r="C2564" s="6" t="n"/>
      <c r="D2564" s="6" t="n"/>
      <c r="E2564" s="6" t="n"/>
      <c r="F2564" s="6" t="n"/>
      <c r="G2564" s="6" t="n"/>
      <c r="H2564" s="10">
        <f>IF(F2564="","",IFERROR(INDEX(Roster!$A$2:$A$600,MATCH(F2564,Roster!$E$2:$E$600,0)),""))</f>
        <v/>
      </c>
      <c r="I2564" s="10">
        <f>IF(AND(D2564="",C2564="",F2564=""),"",IF(G2564&lt;&gt;"","Void",IF(F2564="","Needs child",IF(H2564="","Child not found",IF(OR(B2564="",NOT(ISNUMBER(C2564))),"Needs month/pages","OK")))))</f>
        <v/>
      </c>
      <c r="J2564" s="10">
        <f>IF(I2564="","",IF(I2564="OK",IF(COUNTIFS(H2565:H$3001,H2564,B2565:B$3001,B2564,G2565:G$3001,"")=0,C2564,0),0))</f>
        <v/>
      </c>
    </row>
    <row r="2565">
      <c r="A2565" s="6" t="n"/>
      <c r="B2565" s="9" t="n"/>
      <c r="C2565" s="6" t="n"/>
      <c r="D2565" s="6" t="n"/>
      <c r="E2565" s="6" t="n"/>
      <c r="F2565" s="6" t="n"/>
      <c r="G2565" s="6" t="n"/>
      <c r="H2565" s="10">
        <f>IF(F2565="","",IFERROR(INDEX(Roster!$A$2:$A$600,MATCH(F2565,Roster!$E$2:$E$600,0)),""))</f>
        <v/>
      </c>
      <c r="I2565" s="10">
        <f>IF(AND(D2565="",C2565="",F2565=""),"",IF(G2565&lt;&gt;"","Void",IF(F2565="","Needs child",IF(H2565="","Child not found",IF(OR(B2565="",NOT(ISNUMBER(C2565))),"Needs month/pages","OK")))))</f>
        <v/>
      </c>
      <c r="J2565" s="10">
        <f>IF(I2565="","",IF(I2565="OK",IF(COUNTIFS(H2566:H$3001,H2565,B2566:B$3001,B2565,G2566:G$3001,"")=0,C2565,0),0))</f>
        <v/>
      </c>
    </row>
    <row r="2566">
      <c r="A2566" s="6" t="n"/>
      <c r="B2566" s="9" t="n"/>
      <c r="C2566" s="6" t="n"/>
      <c r="D2566" s="6" t="n"/>
      <c r="E2566" s="6" t="n"/>
      <c r="F2566" s="6" t="n"/>
      <c r="G2566" s="6" t="n"/>
      <c r="H2566" s="10">
        <f>IF(F2566="","",IFERROR(INDEX(Roster!$A$2:$A$600,MATCH(F2566,Roster!$E$2:$E$600,0)),""))</f>
        <v/>
      </c>
      <c r="I2566" s="10">
        <f>IF(AND(D2566="",C2566="",F2566=""),"",IF(G2566&lt;&gt;"","Void",IF(F2566="","Needs child",IF(H2566="","Child not found",IF(OR(B2566="",NOT(ISNUMBER(C2566))),"Needs month/pages","OK")))))</f>
        <v/>
      </c>
      <c r="J2566" s="10">
        <f>IF(I2566="","",IF(I2566="OK",IF(COUNTIFS(H2567:H$3001,H2566,B2567:B$3001,B2566,G2567:G$3001,"")=0,C2566,0),0))</f>
        <v/>
      </c>
    </row>
    <row r="2567">
      <c r="A2567" s="6" t="n"/>
      <c r="B2567" s="9" t="n"/>
      <c r="C2567" s="6" t="n"/>
      <c r="D2567" s="6" t="n"/>
      <c r="E2567" s="6" t="n"/>
      <c r="F2567" s="6" t="n"/>
      <c r="G2567" s="6" t="n"/>
      <c r="H2567" s="10">
        <f>IF(F2567="","",IFERROR(INDEX(Roster!$A$2:$A$600,MATCH(F2567,Roster!$E$2:$E$600,0)),""))</f>
        <v/>
      </c>
      <c r="I2567" s="10">
        <f>IF(AND(D2567="",C2567="",F2567=""),"",IF(G2567&lt;&gt;"","Void",IF(F2567="","Needs child",IF(H2567="","Child not found",IF(OR(B2567="",NOT(ISNUMBER(C2567))),"Needs month/pages","OK")))))</f>
        <v/>
      </c>
      <c r="J2567" s="10">
        <f>IF(I2567="","",IF(I2567="OK",IF(COUNTIFS(H2568:H$3001,H2567,B2568:B$3001,B2567,G2568:G$3001,"")=0,C2567,0),0))</f>
        <v/>
      </c>
    </row>
    <row r="2568">
      <c r="A2568" s="6" t="n"/>
      <c r="B2568" s="9" t="n"/>
      <c r="C2568" s="6" t="n"/>
      <c r="D2568" s="6" t="n"/>
      <c r="E2568" s="6" t="n"/>
      <c r="F2568" s="6" t="n"/>
      <c r="G2568" s="6" t="n"/>
      <c r="H2568" s="10">
        <f>IF(F2568="","",IFERROR(INDEX(Roster!$A$2:$A$600,MATCH(F2568,Roster!$E$2:$E$600,0)),""))</f>
        <v/>
      </c>
      <c r="I2568" s="10">
        <f>IF(AND(D2568="",C2568="",F2568=""),"",IF(G2568&lt;&gt;"","Void",IF(F2568="","Needs child",IF(H2568="","Child not found",IF(OR(B2568="",NOT(ISNUMBER(C2568))),"Needs month/pages","OK")))))</f>
        <v/>
      </c>
      <c r="J2568" s="10">
        <f>IF(I2568="","",IF(I2568="OK",IF(COUNTIFS(H2569:H$3001,H2568,B2569:B$3001,B2568,G2569:G$3001,"")=0,C2568,0),0))</f>
        <v/>
      </c>
    </row>
    <row r="2569">
      <c r="A2569" s="6" t="n"/>
      <c r="B2569" s="9" t="n"/>
      <c r="C2569" s="6" t="n"/>
      <c r="D2569" s="6" t="n"/>
      <c r="E2569" s="6" t="n"/>
      <c r="F2569" s="6" t="n"/>
      <c r="G2569" s="6" t="n"/>
      <c r="H2569" s="10">
        <f>IF(F2569="","",IFERROR(INDEX(Roster!$A$2:$A$600,MATCH(F2569,Roster!$E$2:$E$600,0)),""))</f>
        <v/>
      </c>
      <c r="I2569" s="10">
        <f>IF(AND(D2569="",C2569="",F2569=""),"",IF(G2569&lt;&gt;"","Void",IF(F2569="","Needs child",IF(H2569="","Child not found",IF(OR(B2569="",NOT(ISNUMBER(C2569))),"Needs month/pages","OK")))))</f>
        <v/>
      </c>
      <c r="J2569" s="10">
        <f>IF(I2569="","",IF(I2569="OK",IF(COUNTIFS(H2570:H$3001,H2569,B2570:B$3001,B2569,G2570:G$3001,"")=0,C2569,0),0))</f>
        <v/>
      </c>
    </row>
    <row r="2570">
      <c r="A2570" s="6" t="n"/>
      <c r="B2570" s="9" t="n"/>
      <c r="C2570" s="6" t="n"/>
      <c r="D2570" s="6" t="n"/>
      <c r="E2570" s="6" t="n"/>
      <c r="F2570" s="6" t="n"/>
      <c r="G2570" s="6" t="n"/>
      <c r="H2570" s="10">
        <f>IF(F2570="","",IFERROR(INDEX(Roster!$A$2:$A$600,MATCH(F2570,Roster!$E$2:$E$600,0)),""))</f>
        <v/>
      </c>
      <c r="I2570" s="10">
        <f>IF(AND(D2570="",C2570="",F2570=""),"",IF(G2570&lt;&gt;"","Void",IF(F2570="","Needs child",IF(H2570="","Child not found",IF(OR(B2570="",NOT(ISNUMBER(C2570))),"Needs month/pages","OK")))))</f>
        <v/>
      </c>
      <c r="J2570" s="10">
        <f>IF(I2570="","",IF(I2570="OK",IF(COUNTIFS(H2571:H$3001,H2570,B2571:B$3001,B2570,G2571:G$3001,"")=0,C2570,0),0))</f>
        <v/>
      </c>
    </row>
    <row r="2571">
      <c r="A2571" s="6" t="n"/>
      <c r="B2571" s="9" t="n"/>
      <c r="C2571" s="6" t="n"/>
      <c r="D2571" s="6" t="n"/>
      <c r="E2571" s="6" t="n"/>
      <c r="F2571" s="6" t="n"/>
      <c r="G2571" s="6" t="n"/>
      <c r="H2571" s="10">
        <f>IF(F2571="","",IFERROR(INDEX(Roster!$A$2:$A$600,MATCH(F2571,Roster!$E$2:$E$600,0)),""))</f>
        <v/>
      </c>
      <c r="I2571" s="10">
        <f>IF(AND(D2571="",C2571="",F2571=""),"",IF(G2571&lt;&gt;"","Void",IF(F2571="","Needs child",IF(H2571="","Child not found",IF(OR(B2571="",NOT(ISNUMBER(C2571))),"Needs month/pages","OK")))))</f>
        <v/>
      </c>
      <c r="J2571" s="10">
        <f>IF(I2571="","",IF(I2571="OK",IF(COUNTIFS(H2572:H$3001,H2571,B2572:B$3001,B2571,G2572:G$3001,"")=0,C2571,0),0))</f>
        <v/>
      </c>
    </row>
    <row r="2572">
      <c r="A2572" s="6" t="n"/>
      <c r="B2572" s="9" t="n"/>
      <c r="C2572" s="6" t="n"/>
      <c r="D2572" s="6" t="n"/>
      <c r="E2572" s="6" t="n"/>
      <c r="F2572" s="6" t="n"/>
      <c r="G2572" s="6" t="n"/>
      <c r="H2572" s="10">
        <f>IF(F2572="","",IFERROR(INDEX(Roster!$A$2:$A$600,MATCH(F2572,Roster!$E$2:$E$600,0)),""))</f>
        <v/>
      </c>
      <c r="I2572" s="10">
        <f>IF(AND(D2572="",C2572="",F2572=""),"",IF(G2572&lt;&gt;"","Void",IF(F2572="","Needs child",IF(H2572="","Child not found",IF(OR(B2572="",NOT(ISNUMBER(C2572))),"Needs month/pages","OK")))))</f>
        <v/>
      </c>
      <c r="J2572" s="10">
        <f>IF(I2572="","",IF(I2572="OK",IF(COUNTIFS(H2573:H$3001,H2572,B2573:B$3001,B2572,G2573:G$3001,"")=0,C2572,0),0))</f>
        <v/>
      </c>
    </row>
    <row r="2573">
      <c r="A2573" s="6" t="n"/>
      <c r="B2573" s="9" t="n"/>
      <c r="C2573" s="6" t="n"/>
      <c r="D2573" s="6" t="n"/>
      <c r="E2573" s="6" t="n"/>
      <c r="F2573" s="6" t="n"/>
      <c r="G2573" s="6" t="n"/>
      <c r="H2573" s="10">
        <f>IF(F2573="","",IFERROR(INDEX(Roster!$A$2:$A$600,MATCH(F2573,Roster!$E$2:$E$600,0)),""))</f>
        <v/>
      </c>
      <c r="I2573" s="10">
        <f>IF(AND(D2573="",C2573="",F2573=""),"",IF(G2573&lt;&gt;"","Void",IF(F2573="","Needs child",IF(H2573="","Child not found",IF(OR(B2573="",NOT(ISNUMBER(C2573))),"Needs month/pages","OK")))))</f>
        <v/>
      </c>
      <c r="J2573" s="10">
        <f>IF(I2573="","",IF(I2573="OK",IF(COUNTIFS(H2574:H$3001,H2573,B2574:B$3001,B2573,G2574:G$3001,"")=0,C2573,0),0))</f>
        <v/>
      </c>
    </row>
    <row r="2574">
      <c r="A2574" s="6" t="n"/>
      <c r="B2574" s="9" t="n"/>
      <c r="C2574" s="6" t="n"/>
      <c r="D2574" s="6" t="n"/>
      <c r="E2574" s="6" t="n"/>
      <c r="F2574" s="6" t="n"/>
      <c r="G2574" s="6" t="n"/>
      <c r="H2574" s="10">
        <f>IF(F2574="","",IFERROR(INDEX(Roster!$A$2:$A$600,MATCH(F2574,Roster!$E$2:$E$600,0)),""))</f>
        <v/>
      </c>
      <c r="I2574" s="10">
        <f>IF(AND(D2574="",C2574="",F2574=""),"",IF(G2574&lt;&gt;"","Void",IF(F2574="","Needs child",IF(H2574="","Child not found",IF(OR(B2574="",NOT(ISNUMBER(C2574))),"Needs month/pages","OK")))))</f>
        <v/>
      </c>
      <c r="J2574" s="10">
        <f>IF(I2574="","",IF(I2574="OK",IF(COUNTIFS(H2575:H$3001,H2574,B2575:B$3001,B2574,G2575:G$3001,"")=0,C2574,0),0))</f>
        <v/>
      </c>
    </row>
    <row r="2575">
      <c r="A2575" s="6" t="n"/>
      <c r="B2575" s="9" t="n"/>
      <c r="C2575" s="6" t="n"/>
      <c r="D2575" s="6" t="n"/>
      <c r="E2575" s="6" t="n"/>
      <c r="F2575" s="6" t="n"/>
      <c r="G2575" s="6" t="n"/>
      <c r="H2575" s="10">
        <f>IF(F2575="","",IFERROR(INDEX(Roster!$A$2:$A$600,MATCH(F2575,Roster!$E$2:$E$600,0)),""))</f>
        <v/>
      </c>
      <c r="I2575" s="10">
        <f>IF(AND(D2575="",C2575="",F2575=""),"",IF(G2575&lt;&gt;"","Void",IF(F2575="","Needs child",IF(H2575="","Child not found",IF(OR(B2575="",NOT(ISNUMBER(C2575))),"Needs month/pages","OK")))))</f>
        <v/>
      </c>
      <c r="J2575" s="10">
        <f>IF(I2575="","",IF(I2575="OK",IF(COUNTIFS(H2576:H$3001,H2575,B2576:B$3001,B2575,G2576:G$3001,"")=0,C2575,0),0))</f>
        <v/>
      </c>
    </row>
    <row r="2576">
      <c r="A2576" s="6" t="n"/>
      <c r="B2576" s="9" t="n"/>
      <c r="C2576" s="6" t="n"/>
      <c r="D2576" s="6" t="n"/>
      <c r="E2576" s="6" t="n"/>
      <c r="F2576" s="6" t="n"/>
      <c r="G2576" s="6" t="n"/>
      <c r="H2576" s="10">
        <f>IF(F2576="","",IFERROR(INDEX(Roster!$A$2:$A$600,MATCH(F2576,Roster!$E$2:$E$600,0)),""))</f>
        <v/>
      </c>
      <c r="I2576" s="10">
        <f>IF(AND(D2576="",C2576="",F2576=""),"",IF(G2576&lt;&gt;"","Void",IF(F2576="","Needs child",IF(H2576="","Child not found",IF(OR(B2576="",NOT(ISNUMBER(C2576))),"Needs month/pages","OK")))))</f>
        <v/>
      </c>
      <c r="J2576" s="10">
        <f>IF(I2576="","",IF(I2576="OK",IF(COUNTIFS(H2577:H$3001,H2576,B2577:B$3001,B2576,G2577:G$3001,"")=0,C2576,0),0))</f>
        <v/>
      </c>
    </row>
    <row r="2577">
      <c r="A2577" s="6" t="n"/>
      <c r="B2577" s="9" t="n"/>
      <c r="C2577" s="6" t="n"/>
      <c r="D2577" s="6" t="n"/>
      <c r="E2577" s="6" t="n"/>
      <c r="F2577" s="6" t="n"/>
      <c r="G2577" s="6" t="n"/>
      <c r="H2577" s="10">
        <f>IF(F2577="","",IFERROR(INDEX(Roster!$A$2:$A$600,MATCH(F2577,Roster!$E$2:$E$600,0)),""))</f>
        <v/>
      </c>
      <c r="I2577" s="10">
        <f>IF(AND(D2577="",C2577="",F2577=""),"",IF(G2577&lt;&gt;"","Void",IF(F2577="","Needs child",IF(H2577="","Child not found",IF(OR(B2577="",NOT(ISNUMBER(C2577))),"Needs month/pages","OK")))))</f>
        <v/>
      </c>
      <c r="J2577" s="10">
        <f>IF(I2577="","",IF(I2577="OK",IF(COUNTIFS(H2578:H$3001,H2577,B2578:B$3001,B2577,G2578:G$3001,"")=0,C2577,0),0))</f>
        <v/>
      </c>
    </row>
    <row r="2578">
      <c r="A2578" s="6" t="n"/>
      <c r="B2578" s="9" t="n"/>
      <c r="C2578" s="6" t="n"/>
      <c r="D2578" s="6" t="n"/>
      <c r="E2578" s="6" t="n"/>
      <c r="F2578" s="6" t="n"/>
      <c r="G2578" s="6" t="n"/>
      <c r="H2578" s="10">
        <f>IF(F2578="","",IFERROR(INDEX(Roster!$A$2:$A$600,MATCH(F2578,Roster!$E$2:$E$600,0)),""))</f>
        <v/>
      </c>
      <c r="I2578" s="10">
        <f>IF(AND(D2578="",C2578="",F2578=""),"",IF(G2578&lt;&gt;"","Void",IF(F2578="","Needs child",IF(H2578="","Child not found",IF(OR(B2578="",NOT(ISNUMBER(C2578))),"Needs month/pages","OK")))))</f>
        <v/>
      </c>
      <c r="J2578" s="10">
        <f>IF(I2578="","",IF(I2578="OK",IF(COUNTIFS(H2579:H$3001,H2578,B2579:B$3001,B2578,G2579:G$3001,"")=0,C2578,0),0))</f>
        <v/>
      </c>
    </row>
    <row r="2579">
      <c r="A2579" s="6" t="n"/>
      <c r="B2579" s="9" t="n"/>
      <c r="C2579" s="6" t="n"/>
      <c r="D2579" s="6" t="n"/>
      <c r="E2579" s="6" t="n"/>
      <c r="F2579" s="6" t="n"/>
      <c r="G2579" s="6" t="n"/>
      <c r="H2579" s="10">
        <f>IF(F2579="","",IFERROR(INDEX(Roster!$A$2:$A$600,MATCH(F2579,Roster!$E$2:$E$600,0)),""))</f>
        <v/>
      </c>
      <c r="I2579" s="10">
        <f>IF(AND(D2579="",C2579="",F2579=""),"",IF(G2579&lt;&gt;"","Void",IF(F2579="","Needs child",IF(H2579="","Child not found",IF(OR(B2579="",NOT(ISNUMBER(C2579))),"Needs month/pages","OK")))))</f>
        <v/>
      </c>
      <c r="J2579" s="10">
        <f>IF(I2579="","",IF(I2579="OK",IF(COUNTIFS(H2580:H$3001,H2579,B2580:B$3001,B2579,G2580:G$3001,"")=0,C2579,0),0))</f>
        <v/>
      </c>
    </row>
    <row r="2580">
      <c r="A2580" s="6" t="n"/>
      <c r="B2580" s="9" t="n"/>
      <c r="C2580" s="6" t="n"/>
      <c r="D2580" s="6" t="n"/>
      <c r="E2580" s="6" t="n"/>
      <c r="F2580" s="6" t="n"/>
      <c r="G2580" s="6" t="n"/>
      <c r="H2580" s="10">
        <f>IF(F2580="","",IFERROR(INDEX(Roster!$A$2:$A$600,MATCH(F2580,Roster!$E$2:$E$600,0)),""))</f>
        <v/>
      </c>
      <c r="I2580" s="10">
        <f>IF(AND(D2580="",C2580="",F2580=""),"",IF(G2580&lt;&gt;"","Void",IF(F2580="","Needs child",IF(H2580="","Child not found",IF(OR(B2580="",NOT(ISNUMBER(C2580))),"Needs month/pages","OK")))))</f>
        <v/>
      </c>
      <c r="J2580" s="10">
        <f>IF(I2580="","",IF(I2580="OK",IF(COUNTIFS(H2581:H$3001,H2580,B2581:B$3001,B2580,G2581:G$3001,"")=0,C2580,0),0))</f>
        <v/>
      </c>
    </row>
    <row r="2581">
      <c r="A2581" s="6" t="n"/>
      <c r="B2581" s="9" t="n"/>
      <c r="C2581" s="6" t="n"/>
      <c r="D2581" s="6" t="n"/>
      <c r="E2581" s="6" t="n"/>
      <c r="F2581" s="6" t="n"/>
      <c r="G2581" s="6" t="n"/>
      <c r="H2581" s="10">
        <f>IF(F2581="","",IFERROR(INDEX(Roster!$A$2:$A$600,MATCH(F2581,Roster!$E$2:$E$600,0)),""))</f>
        <v/>
      </c>
      <c r="I2581" s="10">
        <f>IF(AND(D2581="",C2581="",F2581=""),"",IF(G2581&lt;&gt;"","Void",IF(F2581="","Needs child",IF(H2581="","Child not found",IF(OR(B2581="",NOT(ISNUMBER(C2581))),"Needs month/pages","OK")))))</f>
        <v/>
      </c>
      <c r="J2581" s="10">
        <f>IF(I2581="","",IF(I2581="OK",IF(COUNTIFS(H2582:H$3001,H2581,B2582:B$3001,B2581,G2582:G$3001,"")=0,C2581,0),0))</f>
        <v/>
      </c>
    </row>
    <row r="2582">
      <c r="A2582" s="6" t="n"/>
      <c r="B2582" s="9" t="n"/>
      <c r="C2582" s="6" t="n"/>
      <c r="D2582" s="6" t="n"/>
      <c r="E2582" s="6" t="n"/>
      <c r="F2582" s="6" t="n"/>
      <c r="G2582" s="6" t="n"/>
      <c r="H2582" s="10">
        <f>IF(F2582="","",IFERROR(INDEX(Roster!$A$2:$A$600,MATCH(F2582,Roster!$E$2:$E$600,0)),""))</f>
        <v/>
      </c>
      <c r="I2582" s="10">
        <f>IF(AND(D2582="",C2582="",F2582=""),"",IF(G2582&lt;&gt;"","Void",IF(F2582="","Needs child",IF(H2582="","Child not found",IF(OR(B2582="",NOT(ISNUMBER(C2582))),"Needs month/pages","OK")))))</f>
        <v/>
      </c>
      <c r="J2582" s="10">
        <f>IF(I2582="","",IF(I2582="OK",IF(COUNTIFS(H2583:H$3001,H2582,B2583:B$3001,B2582,G2583:G$3001,"")=0,C2582,0),0))</f>
        <v/>
      </c>
    </row>
    <row r="2583">
      <c r="A2583" s="6" t="n"/>
      <c r="B2583" s="9" t="n"/>
      <c r="C2583" s="6" t="n"/>
      <c r="D2583" s="6" t="n"/>
      <c r="E2583" s="6" t="n"/>
      <c r="F2583" s="6" t="n"/>
      <c r="G2583" s="6" t="n"/>
      <c r="H2583" s="10">
        <f>IF(F2583="","",IFERROR(INDEX(Roster!$A$2:$A$600,MATCH(F2583,Roster!$E$2:$E$600,0)),""))</f>
        <v/>
      </c>
      <c r="I2583" s="10">
        <f>IF(AND(D2583="",C2583="",F2583=""),"",IF(G2583&lt;&gt;"","Void",IF(F2583="","Needs child",IF(H2583="","Child not found",IF(OR(B2583="",NOT(ISNUMBER(C2583))),"Needs month/pages","OK")))))</f>
        <v/>
      </c>
      <c r="J2583" s="10">
        <f>IF(I2583="","",IF(I2583="OK",IF(COUNTIFS(H2584:H$3001,H2583,B2584:B$3001,B2583,G2584:G$3001,"")=0,C2583,0),0))</f>
        <v/>
      </c>
    </row>
    <row r="2584">
      <c r="A2584" s="6" t="n"/>
      <c r="B2584" s="9" t="n"/>
      <c r="C2584" s="6" t="n"/>
      <c r="D2584" s="6" t="n"/>
      <c r="E2584" s="6" t="n"/>
      <c r="F2584" s="6" t="n"/>
      <c r="G2584" s="6" t="n"/>
      <c r="H2584" s="10">
        <f>IF(F2584="","",IFERROR(INDEX(Roster!$A$2:$A$600,MATCH(F2584,Roster!$E$2:$E$600,0)),""))</f>
        <v/>
      </c>
      <c r="I2584" s="10">
        <f>IF(AND(D2584="",C2584="",F2584=""),"",IF(G2584&lt;&gt;"","Void",IF(F2584="","Needs child",IF(H2584="","Child not found",IF(OR(B2584="",NOT(ISNUMBER(C2584))),"Needs month/pages","OK")))))</f>
        <v/>
      </c>
      <c r="J2584" s="10">
        <f>IF(I2584="","",IF(I2584="OK",IF(COUNTIFS(H2585:H$3001,H2584,B2585:B$3001,B2584,G2585:G$3001,"")=0,C2584,0),0))</f>
        <v/>
      </c>
    </row>
    <row r="2585">
      <c r="A2585" s="6" t="n"/>
      <c r="B2585" s="9" t="n"/>
      <c r="C2585" s="6" t="n"/>
      <c r="D2585" s="6" t="n"/>
      <c r="E2585" s="6" t="n"/>
      <c r="F2585" s="6" t="n"/>
      <c r="G2585" s="6" t="n"/>
      <c r="H2585" s="10">
        <f>IF(F2585="","",IFERROR(INDEX(Roster!$A$2:$A$600,MATCH(F2585,Roster!$E$2:$E$600,0)),""))</f>
        <v/>
      </c>
      <c r="I2585" s="10">
        <f>IF(AND(D2585="",C2585="",F2585=""),"",IF(G2585&lt;&gt;"","Void",IF(F2585="","Needs child",IF(H2585="","Child not found",IF(OR(B2585="",NOT(ISNUMBER(C2585))),"Needs month/pages","OK")))))</f>
        <v/>
      </c>
      <c r="J2585" s="10">
        <f>IF(I2585="","",IF(I2585="OK",IF(COUNTIFS(H2586:H$3001,H2585,B2586:B$3001,B2585,G2586:G$3001,"")=0,C2585,0),0))</f>
        <v/>
      </c>
    </row>
    <row r="2586">
      <c r="A2586" s="6" t="n"/>
      <c r="B2586" s="9" t="n"/>
      <c r="C2586" s="6" t="n"/>
      <c r="D2586" s="6" t="n"/>
      <c r="E2586" s="6" t="n"/>
      <c r="F2586" s="6" t="n"/>
      <c r="G2586" s="6" t="n"/>
      <c r="H2586" s="10">
        <f>IF(F2586="","",IFERROR(INDEX(Roster!$A$2:$A$600,MATCH(F2586,Roster!$E$2:$E$600,0)),""))</f>
        <v/>
      </c>
      <c r="I2586" s="10">
        <f>IF(AND(D2586="",C2586="",F2586=""),"",IF(G2586&lt;&gt;"","Void",IF(F2586="","Needs child",IF(H2586="","Child not found",IF(OR(B2586="",NOT(ISNUMBER(C2586))),"Needs month/pages","OK")))))</f>
        <v/>
      </c>
      <c r="J2586" s="10">
        <f>IF(I2586="","",IF(I2586="OK",IF(COUNTIFS(H2587:H$3001,H2586,B2587:B$3001,B2586,G2587:G$3001,"")=0,C2586,0),0))</f>
        <v/>
      </c>
    </row>
    <row r="2587">
      <c r="A2587" s="6" t="n"/>
      <c r="B2587" s="9" t="n"/>
      <c r="C2587" s="6" t="n"/>
      <c r="D2587" s="6" t="n"/>
      <c r="E2587" s="6" t="n"/>
      <c r="F2587" s="6" t="n"/>
      <c r="G2587" s="6" t="n"/>
      <c r="H2587" s="10">
        <f>IF(F2587="","",IFERROR(INDEX(Roster!$A$2:$A$600,MATCH(F2587,Roster!$E$2:$E$600,0)),""))</f>
        <v/>
      </c>
      <c r="I2587" s="10">
        <f>IF(AND(D2587="",C2587="",F2587=""),"",IF(G2587&lt;&gt;"","Void",IF(F2587="","Needs child",IF(H2587="","Child not found",IF(OR(B2587="",NOT(ISNUMBER(C2587))),"Needs month/pages","OK")))))</f>
        <v/>
      </c>
      <c r="J2587" s="10">
        <f>IF(I2587="","",IF(I2587="OK",IF(COUNTIFS(H2588:H$3001,H2587,B2588:B$3001,B2587,G2588:G$3001,"")=0,C2587,0),0))</f>
        <v/>
      </c>
    </row>
    <row r="2588">
      <c r="A2588" s="6" t="n"/>
      <c r="B2588" s="9" t="n"/>
      <c r="C2588" s="6" t="n"/>
      <c r="D2588" s="6" t="n"/>
      <c r="E2588" s="6" t="n"/>
      <c r="F2588" s="6" t="n"/>
      <c r="G2588" s="6" t="n"/>
      <c r="H2588" s="10">
        <f>IF(F2588="","",IFERROR(INDEX(Roster!$A$2:$A$600,MATCH(F2588,Roster!$E$2:$E$600,0)),""))</f>
        <v/>
      </c>
      <c r="I2588" s="10">
        <f>IF(AND(D2588="",C2588="",F2588=""),"",IF(G2588&lt;&gt;"","Void",IF(F2588="","Needs child",IF(H2588="","Child not found",IF(OR(B2588="",NOT(ISNUMBER(C2588))),"Needs month/pages","OK")))))</f>
        <v/>
      </c>
      <c r="J2588" s="10">
        <f>IF(I2588="","",IF(I2588="OK",IF(COUNTIFS(H2589:H$3001,H2588,B2589:B$3001,B2588,G2589:G$3001,"")=0,C2588,0),0))</f>
        <v/>
      </c>
    </row>
    <row r="2589">
      <c r="A2589" s="6" t="n"/>
      <c r="B2589" s="9" t="n"/>
      <c r="C2589" s="6" t="n"/>
      <c r="D2589" s="6" t="n"/>
      <c r="E2589" s="6" t="n"/>
      <c r="F2589" s="6" t="n"/>
      <c r="G2589" s="6" t="n"/>
      <c r="H2589" s="10">
        <f>IF(F2589="","",IFERROR(INDEX(Roster!$A$2:$A$600,MATCH(F2589,Roster!$E$2:$E$600,0)),""))</f>
        <v/>
      </c>
      <c r="I2589" s="10">
        <f>IF(AND(D2589="",C2589="",F2589=""),"",IF(G2589&lt;&gt;"","Void",IF(F2589="","Needs child",IF(H2589="","Child not found",IF(OR(B2589="",NOT(ISNUMBER(C2589))),"Needs month/pages","OK")))))</f>
        <v/>
      </c>
      <c r="J2589" s="10">
        <f>IF(I2589="","",IF(I2589="OK",IF(COUNTIFS(H2590:H$3001,H2589,B2590:B$3001,B2589,G2590:G$3001,"")=0,C2589,0),0))</f>
        <v/>
      </c>
    </row>
    <row r="2590">
      <c r="A2590" s="6" t="n"/>
      <c r="B2590" s="9" t="n"/>
      <c r="C2590" s="6" t="n"/>
      <c r="D2590" s="6" t="n"/>
      <c r="E2590" s="6" t="n"/>
      <c r="F2590" s="6" t="n"/>
      <c r="G2590" s="6" t="n"/>
      <c r="H2590" s="10">
        <f>IF(F2590="","",IFERROR(INDEX(Roster!$A$2:$A$600,MATCH(F2590,Roster!$E$2:$E$600,0)),""))</f>
        <v/>
      </c>
      <c r="I2590" s="10">
        <f>IF(AND(D2590="",C2590="",F2590=""),"",IF(G2590&lt;&gt;"","Void",IF(F2590="","Needs child",IF(H2590="","Child not found",IF(OR(B2590="",NOT(ISNUMBER(C2590))),"Needs month/pages","OK")))))</f>
        <v/>
      </c>
      <c r="J2590" s="10">
        <f>IF(I2590="","",IF(I2590="OK",IF(COUNTIFS(H2591:H$3001,H2590,B2591:B$3001,B2590,G2591:G$3001,"")=0,C2590,0),0))</f>
        <v/>
      </c>
    </row>
    <row r="2591">
      <c r="A2591" s="6" t="n"/>
      <c r="B2591" s="9" t="n"/>
      <c r="C2591" s="6" t="n"/>
      <c r="D2591" s="6" t="n"/>
      <c r="E2591" s="6" t="n"/>
      <c r="F2591" s="6" t="n"/>
      <c r="G2591" s="6" t="n"/>
      <c r="H2591" s="10">
        <f>IF(F2591="","",IFERROR(INDEX(Roster!$A$2:$A$600,MATCH(F2591,Roster!$E$2:$E$600,0)),""))</f>
        <v/>
      </c>
      <c r="I2591" s="10">
        <f>IF(AND(D2591="",C2591="",F2591=""),"",IF(G2591&lt;&gt;"","Void",IF(F2591="","Needs child",IF(H2591="","Child not found",IF(OR(B2591="",NOT(ISNUMBER(C2591))),"Needs month/pages","OK")))))</f>
        <v/>
      </c>
      <c r="J2591" s="10">
        <f>IF(I2591="","",IF(I2591="OK",IF(COUNTIFS(H2592:H$3001,H2591,B2592:B$3001,B2591,G2592:G$3001,"")=0,C2591,0),0))</f>
        <v/>
      </c>
    </row>
    <row r="2592">
      <c r="A2592" s="6" t="n"/>
      <c r="B2592" s="9" t="n"/>
      <c r="C2592" s="6" t="n"/>
      <c r="D2592" s="6" t="n"/>
      <c r="E2592" s="6" t="n"/>
      <c r="F2592" s="6" t="n"/>
      <c r="G2592" s="6" t="n"/>
      <c r="H2592" s="10">
        <f>IF(F2592="","",IFERROR(INDEX(Roster!$A$2:$A$600,MATCH(F2592,Roster!$E$2:$E$600,0)),""))</f>
        <v/>
      </c>
      <c r="I2592" s="10">
        <f>IF(AND(D2592="",C2592="",F2592=""),"",IF(G2592&lt;&gt;"","Void",IF(F2592="","Needs child",IF(H2592="","Child not found",IF(OR(B2592="",NOT(ISNUMBER(C2592))),"Needs month/pages","OK")))))</f>
        <v/>
      </c>
      <c r="J2592" s="10">
        <f>IF(I2592="","",IF(I2592="OK",IF(COUNTIFS(H2593:H$3001,H2592,B2593:B$3001,B2592,G2593:G$3001,"")=0,C2592,0),0))</f>
        <v/>
      </c>
    </row>
    <row r="2593">
      <c r="A2593" s="6" t="n"/>
      <c r="B2593" s="9" t="n"/>
      <c r="C2593" s="6" t="n"/>
      <c r="D2593" s="6" t="n"/>
      <c r="E2593" s="6" t="n"/>
      <c r="F2593" s="6" t="n"/>
      <c r="G2593" s="6" t="n"/>
      <c r="H2593" s="10">
        <f>IF(F2593="","",IFERROR(INDEX(Roster!$A$2:$A$600,MATCH(F2593,Roster!$E$2:$E$600,0)),""))</f>
        <v/>
      </c>
      <c r="I2593" s="10">
        <f>IF(AND(D2593="",C2593="",F2593=""),"",IF(G2593&lt;&gt;"","Void",IF(F2593="","Needs child",IF(H2593="","Child not found",IF(OR(B2593="",NOT(ISNUMBER(C2593))),"Needs month/pages","OK")))))</f>
        <v/>
      </c>
      <c r="J2593" s="10">
        <f>IF(I2593="","",IF(I2593="OK",IF(COUNTIFS(H2594:H$3001,H2593,B2594:B$3001,B2593,G2594:G$3001,"")=0,C2593,0),0))</f>
        <v/>
      </c>
    </row>
    <row r="2594">
      <c r="A2594" s="6" t="n"/>
      <c r="B2594" s="9" t="n"/>
      <c r="C2594" s="6" t="n"/>
      <c r="D2594" s="6" t="n"/>
      <c r="E2594" s="6" t="n"/>
      <c r="F2594" s="6" t="n"/>
      <c r="G2594" s="6" t="n"/>
      <c r="H2594" s="10">
        <f>IF(F2594="","",IFERROR(INDEX(Roster!$A$2:$A$600,MATCH(F2594,Roster!$E$2:$E$600,0)),""))</f>
        <v/>
      </c>
      <c r="I2594" s="10">
        <f>IF(AND(D2594="",C2594="",F2594=""),"",IF(G2594&lt;&gt;"","Void",IF(F2594="","Needs child",IF(H2594="","Child not found",IF(OR(B2594="",NOT(ISNUMBER(C2594))),"Needs month/pages","OK")))))</f>
        <v/>
      </c>
      <c r="J2594" s="10">
        <f>IF(I2594="","",IF(I2594="OK",IF(COUNTIFS(H2595:H$3001,H2594,B2595:B$3001,B2594,G2595:G$3001,"")=0,C2594,0),0))</f>
        <v/>
      </c>
    </row>
    <row r="2595">
      <c r="A2595" s="6" t="n"/>
      <c r="B2595" s="9" t="n"/>
      <c r="C2595" s="6" t="n"/>
      <c r="D2595" s="6" t="n"/>
      <c r="E2595" s="6" t="n"/>
      <c r="F2595" s="6" t="n"/>
      <c r="G2595" s="6" t="n"/>
      <c r="H2595" s="10">
        <f>IF(F2595="","",IFERROR(INDEX(Roster!$A$2:$A$600,MATCH(F2595,Roster!$E$2:$E$600,0)),""))</f>
        <v/>
      </c>
      <c r="I2595" s="10">
        <f>IF(AND(D2595="",C2595="",F2595=""),"",IF(G2595&lt;&gt;"","Void",IF(F2595="","Needs child",IF(H2595="","Child not found",IF(OR(B2595="",NOT(ISNUMBER(C2595))),"Needs month/pages","OK")))))</f>
        <v/>
      </c>
      <c r="J2595" s="10">
        <f>IF(I2595="","",IF(I2595="OK",IF(COUNTIFS(H2596:H$3001,H2595,B2596:B$3001,B2595,G2596:G$3001,"")=0,C2595,0),0))</f>
        <v/>
      </c>
    </row>
    <row r="2596">
      <c r="A2596" s="6" t="n"/>
      <c r="B2596" s="9" t="n"/>
      <c r="C2596" s="6" t="n"/>
      <c r="D2596" s="6" t="n"/>
      <c r="E2596" s="6" t="n"/>
      <c r="F2596" s="6" t="n"/>
      <c r="G2596" s="6" t="n"/>
      <c r="H2596" s="10">
        <f>IF(F2596="","",IFERROR(INDEX(Roster!$A$2:$A$600,MATCH(F2596,Roster!$E$2:$E$600,0)),""))</f>
        <v/>
      </c>
      <c r="I2596" s="10">
        <f>IF(AND(D2596="",C2596="",F2596=""),"",IF(G2596&lt;&gt;"","Void",IF(F2596="","Needs child",IF(H2596="","Child not found",IF(OR(B2596="",NOT(ISNUMBER(C2596))),"Needs month/pages","OK")))))</f>
        <v/>
      </c>
      <c r="J2596" s="10">
        <f>IF(I2596="","",IF(I2596="OK",IF(COUNTIFS(H2597:H$3001,H2596,B2597:B$3001,B2596,G2597:G$3001,"")=0,C2596,0),0))</f>
        <v/>
      </c>
    </row>
    <row r="2597">
      <c r="A2597" s="6" t="n"/>
      <c r="B2597" s="9" t="n"/>
      <c r="C2597" s="6" t="n"/>
      <c r="D2597" s="6" t="n"/>
      <c r="E2597" s="6" t="n"/>
      <c r="F2597" s="6" t="n"/>
      <c r="G2597" s="6" t="n"/>
      <c r="H2597" s="10">
        <f>IF(F2597="","",IFERROR(INDEX(Roster!$A$2:$A$600,MATCH(F2597,Roster!$E$2:$E$600,0)),""))</f>
        <v/>
      </c>
      <c r="I2597" s="10">
        <f>IF(AND(D2597="",C2597="",F2597=""),"",IF(G2597&lt;&gt;"","Void",IF(F2597="","Needs child",IF(H2597="","Child not found",IF(OR(B2597="",NOT(ISNUMBER(C2597))),"Needs month/pages","OK")))))</f>
        <v/>
      </c>
      <c r="J2597" s="10">
        <f>IF(I2597="","",IF(I2597="OK",IF(COUNTIFS(H2598:H$3001,H2597,B2598:B$3001,B2597,G2598:G$3001,"")=0,C2597,0),0))</f>
        <v/>
      </c>
    </row>
    <row r="2598">
      <c r="A2598" s="6" t="n"/>
      <c r="B2598" s="9" t="n"/>
      <c r="C2598" s="6" t="n"/>
      <c r="D2598" s="6" t="n"/>
      <c r="E2598" s="6" t="n"/>
      <c r="F2598" s="6" t="n"/>
      <c r="G2598" s="6" t="n"/>
      <c r="H2598" s="10">
        <f>IF(F2598="","",IFERROR(INDEX(Roster!$A$2:$A$600,MATCH(F2598,Roster!$E$2:$E$600,0)),""))</f>
        <v/>
      </c>
      <c r="I2598" s="10">
        <f>IF(AND(D2598="",C2598="",F2598=""),"",IF(G2598&lt;&gt;"","Void",IF(F2598="","Needs child",IF(H2598="","Child not found",IF(OR(B2598="",NOT(ISNUMBER(C2598))),"Needs month/pages","OK")))))</f>
        <v/>
      </c>
      <c r="J2598" s="10">
        <f>IF(I2598="","",IF(I2598="OK",IF(COUNTIFS(H2599:H$3001,H2598,B2599:B$3001,B2598,G2599:G$3001,"")=0,C2598,0),0))</f>
        <v/>
      </c>
    </row>
    <row r="2599">
      <c r="A2599" s="6" t="n"/>
      <c r="B2599" s="9" t="n"/>
      <c r="C2599" s="6" t="n"/>
      <c r="D2599" s="6" t="n"/>
      <c r="E2599" s="6" t="n"/>
      <c r="F2599" s="6" t="n"/>
      <c r="G2599" s="6" t="n"/>
      <c r="H2599" s="10">
        <f>IF(F2599="","",IFERROR(INDEX(Roster!$A$2:$A$600,MATCH(F2599,Roster!$E$2:$E$600,0)),""))</f>
        <v/>
      </c>
      <c r="I2599" s="10">
        <f>IF(AND(D2599="",C2599="",F2599=""),"",IF(G2599&lt;&gt;"","Void",IF(F2599="","Needs child",IF(H2599="","Child not found",IF(OR(B2599="",NOT(ISNUMBER(C2599))),"Needs month/pages","OK")))))</f>
        <v/>
      </c>
      <c r="J2599" s="10">
        <f>IF(I2599="","",IF(I2599="OK",IF(COUNTIFS(H2600:H$3001,H2599,B2600:B$3001,B2599,G2600:G$3001,"")=0,C2599,0),0))</f>
        <v/>
      </c>
    </row>
    <row r="2600">
      <c r="A2600" s="6" t="n"/>
      <c r="B2600" s="9" t="n"/>
      <c r="C2600" s="6" t="n"/>
      <c r="D2600" s="6" t="n"/>
      <c r="E2600" s="6" t="n"/>
      <c r="F2600" s="6" t="n"/>
      <c r="G2600" s="6" t="n"/>
      <c r="H2600" s="10">
        <f>IF(F2600="","",IFERROR(INDEX(Roster!$A$2:$A$600,MATCH(F2600,Roster!$E$2:$E$600,0)),""))</f>
        <v/>
      </c>
      <c r="I2600" s="10">
        <f>IF(AND(D2600="",C2600="",F2600=""),"",IF(G2600&lt;&gt;"","Void",IF(F2600="","Needs child",IF(H2600="","Child not found",IF(OR(B2600="",NOT(ISNUMBER(C2600))),"Needs month/pages","OK")))))</f>
        <v/>
      </c>
      <c r="J2600" s="10">
        <f>IF(I2600="","",IF(I2600="OK",IF(COUNTIFS(H2601:H$3001,H2600,B2601:B$3001,B2600,G2601:G$3001,"")=0,C2600,0),0))</f>
        <v/>
      </c>
    </row>
    <row r="2601">
      <c r="A2601" s="6" t="n"/>
      <c r="B2601" s="9" t="n"/>
      <c r="C2601" s="6" t="n"/>
      <c r="D2601" s="6" t="n"/>
      <c r="E2601" s="6" t="n"/>
      <c r="F2601" s="6" t="n"/>
      <c r="G2601" s="6" t="n"/>
      <c r="H2601" s="10">
        <f>IF(F2601="","",IFERROR(INDEX(Roster!$A$2:$A$600,MATCH(F2601,Roster!$E$2:$E$600,0)),""))</f>
        <v/>
      </c>
      <c r="I2601" s="10">
        <f>IF(AND(D2601="",C2601="",F2601=""),"",IF(G2601&lt;&gt;"","Void",IF(F2601="","Needs child",IF(H2601="","Child not found",IF(OR(B2601="",NOT(ISNUMBER(C2601))),"Needs month/pages","OK")))))</f>
        <v/>
      </c>
      <c r="J2601" s="10">
        <f>IF(I2601="","",IF(I2601="OK",IF(COUNTIFS(H2602:H$3001,H2601,B2602:B$3001,B2601,G2602:G$3001,"")=0,C2601,0),0))</f>
        <v/>
      </c>
    </row>
    <row r="2602">
      <c r="A2602" s="6" t="n"/>
      <c r="B2602" s="9" t="n"/>
      <c r="C2602" s="6" t="n"/>
      <c r="D2602" s="6" t="n"/>
      <c r="E2602" s="6" t="n"/>
      <c r="F2602" s="6" t="n"/>
      <c r="G2602" s="6" t="n"/>
      <c r="H2602" s="10">
        <f>IF(F2602="","",IFERROR(INDEX(Roster!$A$2:$A$600,MATCH(F2602,Roster!$E$2:$E$600,0)),""))</f>
        <v/>
      </c>
      <c r="I2602" s="10">
        <f>IF(AND(D2602="",C2602="",F2602=""),"",IF(G2602&lt;&gt;"","Void",IF(F2602="","Needs child",IF(H2602="","Child not found",IF(OR(B2602="",NOT(ISNUMBER(C2602))),"Needs month/pages","OK")))))</f>
        <v/>
      </c>
      <c r="J2602" s="10">
        <f>IF(I2602="","",IF(I2602="OK",IF(COUNTIFS(H2603:H$3001,H2602,B2603:B$3001,B2602,G2603:G$3001,"")=0,C2602,0),0))</f>
        <v/>
      </c>
    </row>
    <row r="2603">
      <c r="A2603" s="6" t="n"/>
      <c r="B2603" s="9" t="n"/>
      <c r="C2603" s="6" t="n"/>
      <c r="D2603" s="6" t="n"/>
      <c r="E2603" s="6" t="n"/>
      <c r="F2603" s="6" t="n"/>
      <c r="G2603" s="6" t="n"/>
      <c r="H2603" s="10">
        <f>IF(F2603="","",IFERROR(INDEX(Roster!$A$2:$A$600,MATCH(F2603,Roster!$E$2:$E$600,0)),""))</f>
        <v/>
      </c>
      <c r="I2603" s="10">
        <f>IF(AND(D2603="",C2603="",F2603=""),"",IF(G2603&lt;&gt;"","Void",IF(F2603="","Needs child",IF(H2603="","Child not found",IF(OR(B2603="",NOT(ISNUMBER(C2603))),"Needs month/pages","OK")))))</f>
        <v/>
      </c>
      <c r="J2603" s="10">
        <f>IF(I2603="","",IF(I2603="OK",IF(COUNTIFS(H2604:H$3001,H2603,B2604:B$3001,B2603,G2604:G$3001,"")=0,C2603,0),0))</f>
        <v/>
      </c>
    </row>
    <row r="2604">
      <c r="A2604" s="6" t="n"/>
      <c r="B2604" s="9" t="n"/>
      <c r="C2604" s="6" t="n"/>
      <c r="D2604" s="6" t="n"/>
      <c r="E2604" s="6" t="n"/>
      <c r="F2604" s="6" t="n"/>
      <c r="G2604" s="6" t="n"/>
      <c r="H2604" s="10">
        <f>IF(F2604="","",IFERROR(INDEX(Roster!$A$2:$A$600,MATCH(F2604,Roster!$E$2:$E$600,0)),""))</f>
        <v/>
      </c>
      <c r="I2604" s="10">
        <f>IF(AND(D2604="",C2604="",F2604=""),"",IF(G2604&lt;&gt;"","Void",IF(F2604="","Needs child",IF(H2604="","Child not found",IF(OR(B2604="",NOT(ISNUMBER(C2604))),"Needs month/pages","OK")))))</f>
        <v/>
      </c>
      <c r="J2604" s="10">
        <f>IF(I2604="","",IF(I2604="OK",IF(COUNTIFS(H2605:H$3001,H2604,B2605:B$3001,B2604,G2605:G$3001,"")=0,C2604,0),0))</f>
        <v/>
      </c>
    </row>
    <row r="2605">
      <c r="A2605" s="6" t="n"/>
      <c r="B2605" s="9" t="n"/>
      <c r="C2605" s="6" t="n"/>
      <c r="D2605" s="6" t="n"/>
      <c r="E2605" s="6" t="n"/>
      <c r="F2605" s="6" t="n"/>
      <c r="G2605" s="6" t="n"/>
      <c r="H2605" s="10">
        <f>IF(F2605="","",IFERROR(INDEX(Roster!$A$2:$A$600,MATCH(F2605,Roster!$E$2:$E$600,0)),""))</f>
        <v/>
      </c>
      <c r="I2605" s="10">
        <f>IF(AND(D2605="",C2605="",F2605=""),"",IF(G2605&lt;&gt;"","Void",IF(F2605="","Needs child",IF(H2605="","Child not found",IF(OR(B2605="",NOT(ISNUMBER(C2605))),"Needs month/pages","OK")))))</f>
        <v/>
      </c>
      <c r="J2605" s="10">
        <f>IF(I2605="","",IF(I2605="OK",IF(COUNTIFS(H2606:H$3001,H2605,B2606:B$3001,B2605,G2606:G$3001,"")=0,C2605,0),0))</f>
        <v/>
      </c>
    </row>
    <row r="2606">
      <c r="A2606" s="6" t="n"/>
      <c r="B2606" s="9" t="n"/>
      <c r="C2606" s="6" t="n"/>
      <c r="D2606" s="6" t="n"/>
      <c r="E2606" s="6" t="n"/>
      <c r="F2606" s="6" t="n"/>
      <c r="G2606" s="6" t="n"/>
      <c r="H2606" s="10">
        <f>IF(F2606="","",IFERROR(INDEX(Roster!$A$2:$A$600,MATCH(F2606,Roster!$E$2:$E$600,0)),""))</f>
        <v/>
      </c>
      <c r="I2606" s="10">
        <f>IF(AND(D2606="",C2606="",F2606=""),"",IF(G2606&lt;&gt;"","Void",IF(F2606="","Needs child",IF(H2606="","Child not found",IF(OR(B2606="",NOT(ISNUMBER(C2606))),"Needs month/pages","OK")))))</f>
        <v/>
      </c>
      <c r="J2606" s="10">
        <f>IF(I2606="","",IF(I2606="OK",IF(COUNTIFS(H2607:H$3001,H2606,B2607:B$3001,B2606,G2607:G$3001,"")=0,C2606,0),0))</f>
        <v/>
      </c>
    </row>
    <row r="2607">
      <c r="A2607" s="6" t="n"/>
      <c r="B2607" s="9" t="n"/>
      <c r="C2607" s="6" t="n"/>
      <c r="D2607" s="6" t="n"/>
      <c r="E2607" s="6" t="n"/>
      <c r="F2607" s="6" t="n"/>
      <c r="G2607" s="6" t="n"/>
      <c r="H2607" s="10">
        <f>IF(F2607="","",IFERROR(INDEX(Roster!$A$2:$A$600,MATCH(F2607,Roster!$E$2:$E$600,0)),""))</f>
        <v/>
      </c>
      <c r="I2607" s="10">
        <f>IF(AND(D2607="",C2607="",F2607=""),"",IF(G2607&lt;&gt;"","Void",IF(F2607="","Needs child",IF(H2607="","Child not found",IF(OR(B2607="",NOT(ISNUMBER(C2607))),"Needs month/pages","OK")))))</f>
        <v/>
      </c>
      <c r="J2607" s="10">
        <f>IF(I2607="","",IF(I2607="OK",IF(COUNTIFS(H2608:H$3001,H2607,B2608:B$3001,B2607,G2608:G$3001,"")=0,C2607,0),0))</f>
        <v/>
      </c>
    </row>
    <row r="2608">
      <c r="A2608" s="6" t="n"/>
      <c r="B2608" s="9" t="n"/>
      <c r="C2608" s="6" t="n"/>
      <c r="D2608" s="6" t="n"/>
      <c r="E2608" s="6" t="n"/>
      <c r="F2608" s="6" t="n"/>
      <c r="G2608" s="6" t="n"/>
      <c r="H2608" s="10">
        <f>IF(F2608="","",IFERROR(INDEX(Roster!$A$2:$A$600,MATCH(F2608,Roster!$E$2:$E$600,0)),""))</f>
        <v/>
      </c>
      <c r="I2608" s="10">
        <f>IF(AND(D2608="",C2608="",F2608=""),"",IF(G2608&lt;&gt;"","Void",IF(F2608="","Needs child",IF(H2608="","Child not found",IF(OR(B2608="",NOT(ISNUMBER(C2608))),"Needs month/pages","OK")))))</f>
        <v/>
      </c>
      <c r="J2608" s="10">
        <f>IF(I2608="","",IF(I2608="OK",IF(COUNTIFS(H2609:H$3001,H2608,B2609:B$3001,B2608,G2609:G$3001,"")=0,C2608,0),0))</f>
        <v/>
      </c>
    </row>
    <row r="2609">
      <c r="A2609" s="6" t="n"/>
      <c r="B2609" s="9" t="n"/>
      <c r="C2609" s="6" t="n"/>
      <c r="D2609" s="6" t="n"/>
      <c r="E2609" s="6" t="n"/>
      <c r="F2609" s="6" t="n"/>
      <c r="G2609" s="6" t="n"/>
      <c r="H2609" s="10">
        <f>IF(F2609="","",IFERROR(INDEX(Roster!$A$2:$A$600,MATCH(F2609,Roster!$E$2:$E$600,0)),""))</f>
        <v/>
      </c>
      <c r="I2609" s="10">
        <f>IF(AND(D2609="",C2609="",F2609=""),"",IF(G2609&lt;&gt;"","Void",IF(F2609="","Needs child",IF(H2609="","Child not found",IF(OR(B2609="",NOT(ISNUMBER(C2609))),"Needs month/pages","OK")))))</f>
        <v/>
      </c>
      <c r="J2609" s="10">
        <f>IF(I2609="","",IF(I2609="OK",IF(COUNTIFS(H2610:H$3001,H2609,B2610:B$3001,B2609,G2610:G$3001,"")=0,C2609,0),0))</f>
        <v/>
      </c>
    </row>
    <row r="2610">
      <c r="A2610" s="6" t="n"/>
      <c r="B2610" s="9" t="n"/>
      <c r="C2610" s="6" t="n"/>
      <c r="D2610" s="6" t="n"/>
      <c r="E2610" s="6" t="n"/>
      <c r="F2610" s="6" t="n"/>
      <c r="G2610" s="6" t="n"/>
      <c r="H2610" s="10">
        <f>IF(F2610="","",IFERROR(INDEX(Roster!$A$2:$A$600,MATCH(F2610,Roster!$E$2:$E$600,0)),""))</f>
        <v/>
      </c>
      <c r="I2610" s="10">
        <f>IF(AND(D2610="",C2610="",F2610=""),"",IF(G2610&lt;&gt;"","Void",IF(F2610="","Needs child",IF(H2610="","Child not found",IF(OR(B2610="",NOT(ISNUMBER(C2610))),"Needs month/pages","OK")))))</f>
        <v/>
      </c>
      <c r="J2610" s="10">
        <f>IF(I2610="","",IF(I2610="OK",IF(COUNTIFS(H2611:H$3001,H2610,B2611:B$3001,B2610,G2611:G$3001,"")=0,C2610,0),0))</f>
        <v/>
      </c>
    </row>
    <row r="2611">
      <c r="A2611" s="6" t="n"/>
      <c r="B2611" s="9" t="n"/>
      <c r="C2611" s="6" t="n"/>
      <c r="D2611" s="6" t="n"/>
      <c r="E2611" s="6" t="n"/>
      <c r="F2611" s="6" t="n"/>
      <c r="G2611" s="6" t="n"/>
      <c r="H2611" s="10">
        <f>IF(F2611="","",IFERROR(INDEX(Roster!$A$2:$A$600,MATCH(F2611,Roster!$E$2:$E$600,0)),""))</f>
        <v/>
      </c>
      <c r="I2611" s="10">
        <f>IF(AND(D2611="",C2611="",F2611=""),"",IF(G2611&lt;&gt;"","Void",IF(F2611="","Needs child",IF(H2611="","Child not found",IF(OR(B2611="",NOT(ISNUMBER(C2611))),"Needs month/pages","OK")))))</f>
        <v/>
      </c>
      <c r="J2611" s="10">
        <f>IF(I2611="","",IF(I2611="OK",IF(COUNTIFS(H2612:H$3001,H2611,B2612:B$3001,B2611,G2612:G$3001,"")=0,C2611,0),0))</f>
        <v/>
      </c>
    </row>
    <row r="2612">
      <c r="A2612" s="6" t="n"/>
      <c r="B2612" s="9" t="n"/>
      <c r="C2612" s="6" t="n"/>
      <c r="D2612" s="6" t="n"/>
      <c r="E2612" s="6" t="n"/>
      <c r="F2612" s="6" t="n"/>
      <c r="G2612" s="6" t="n"/>
      <c r="H2612" s="10">
        <f>IF(F2612="","",IFERROR(INDEX(Roster!$A$2:$A$600,MATCH(F2612,Roster!$E$2:$E$600,0)),""))</f>
        <v/>
      </c>
      <c r="I2612" s="10">
        <f>IF(AND(D2612="",C2612="",F2612=""),"",IF(G2612&lt;&gt;"","Void",IF(F2612="","Needs child",IF(H2612="","Child not found",IF(OR(B2612="",NOT(ISNUMBER(C2612))),"Needs month/pages","OK")))))</f>
        <v/>
      </c>
      <c r="J2612" s="10">
        <f>IF(I2612="","",IF(I2612="OK",IF(COUNTIFS(H2613:H$3001,H2612,B2613:B$3001,B2612,G2613:G$3001,"")=0,C2612,0),0))</f>
        <v/>
      </c>
    </row>
    <row r="2613">
      <c r="A2613" s="6" t="n"/>
      <c r="B2613" s="9" t="n"/>
      <c r="C2613" s="6" t="n"/>
      <c r="D2613" s="6" t="n"/>
      <c r="E2613" s="6" t="n"/>
      <c r="F2613" s="6" t="n"/>
      <c r="G2613" s="6" t="n"/>
      <c r="H2613" s="10">
        <f>IF(F2613="","",IFERROR(INDEX(Roster!$A$2:$A$600,MATCH(F2613,Roster!$E$2:$E$600,0)),""))</f>
        <v/>
      </c>
      <c r="I2613" s="10">
        <f>IF(AND(D2613="",C2613="",F2613=""),"",IF(G2613&lt;&gt;"","Void",IF(F2613="","Needs child",IF(H2613="","Child not found",IF(OR(B2613="",NOT(ISNUMBER(C2613))),"Needs month/pages","OK")))))</f>
        <v/>
      </c>
      <c r="J2613" s="10">
        <f>IF(I2613="","",IF(I2613="OK",IF(COUNTIFS(H2614:H$3001,H2613,B2614:B$3001,B2613,G2614:G$3001,"")=0,C2613,0),0))</f>
        <v/>
      </c>
    </row>
    <row r="2614">
      <c r="A2614" s="6" t="n"/>
      <c r="B2614" s="9" t="n"/>
      <c r="C2614" s="6" t="n"/>
      <c r="D2614" s="6" t="n"/>
      <c r="E2614" s="6" t="n"/>
      <c r="F2614" s="6" t="n"/>
      <c r="G2614" s="6" t="n"/>
      <c r="H2614" s="10">
        <f>IF(F2614="","",IFERROR(INDEX(Roster!$A$2:$A$600,MATCH(F2614,Roster!$E$2:$E$600,0)),""))</f>
        <v/>
      </c>
      <c r="I2614" s="10">
        <f>IF(AND(D2614="",C2614="",F2614=""),"",IF(G2614&lt;&gt;"","Void",IF(F2614="","Needs child",IF(H2614="","Child not found",IF(OR(B2614="",NOT(ISNUMBER(C2614))),"Needs month/pages","OK")))))</f>
        <v/>
      </c>
      <c r="J2614" s="10">
        <f>IF(I2614="","",IF(I2614="OK",IF(COUNTIFS(H2615:H$3001,H2614,B2615:B$3001,B2614,G2615:G$3001,"")=0,C2614,0),0))</f>
        <v/>
      </c>
    </row>
    <row r="2615">
      <c r="A2615" s="6" t="n"/>
      <c r="B2615" s="9" t="n"/>
      <c r="C2615" s="6" t="n"/>
      <c r="D2615" s="6" t="n"/>
      <c r="E2615" s="6" t="n"/>
      <c r="F2615" s="6" t="n"/>
      <c r="G2615" s="6" t="n"/>
      <c r="H2615" s="10">
        <f>IF(F2615="","",IFERROR(INDEX(Roster!$A$2:$A$600,MATCH(F2615,Roster!$E$2:$E$600,0)),""))</f>
        <v/>
      </c>
      <c r="I2615" s="10">
        <f>IF(AND(D2615="",C2615="",F2615=""),"",IF(G2615&lt;&gt;"","Void",IF(F2615="","Needs child",IF(H2615="","Child not found",IF(OR(B2615="",NOT(ISNUMBER(C2615))),"Needs month/pages","OK")))))</f>
        <v/>
      </c>
      <c r="J2615" s="10">
        <f>IF(I2615="","",IF(I2615="OK",IF(COUNTIFS(H2616:H$3001,H2615,B2616:B$3001,B2615,G2616:G$3001,"")=0,C2615,0),0))</f>
        <v/>
      </c>
    </row>
    <row r="2616">
      <c r="A2616" s="6" t="n"/>
      <c r="B2616" s="9" t="n"/>
      <c r="C2616" s="6" t="n"/>
      <c r="D2616" s="6" t="n"/>
      <c r="E2616" s="6" t="n"/>
      <c r="F2616" s="6" t="n"/>
      <c r="G2616" s="6" t="n"/>
      <c r="H2616" s="10">
        <f>IF(F2616="","",IFERROR(INDEX(Roster!$A$2:$A$600,MATCH(F2616,Roster!$E$2:$E$600,0)),""))</f>
        <v/>
      </c>
      <c r="I2616" s="10">
        <f>IF(AND(D2616="",C2616="",F2616=""),"",IF(G2616&lt;&gt;"","Void",IF(F2616="","Needs child",IF(H2616="","Child not found",IF(OR(B2616="",NOT(ISNUMBER(C2616))),"Needs month/pages","OK")))))</f>
        <v/>
      </c>
      <c r="J2616" s="10">
        <f>IF(I2616="","",IF(I2616="OK",IF(COUNTIFS(H2617:H$3001,H2616,B2617:B$3001,B2616,G2617:G$3001,"")=0,C2616,0),0))</f>
        <v/>
      </c>
    </row>
    <row r="2617">
      <c r="A2617" s="6" t="n"/>
      <c r="B2617" s="9" t="n"/>
      <c r="C2617" s="6" t="n"/>
      <c r="D2617" s="6" t="n"/>
      <c r="E2617" s="6" t="n"/>
      <c r="F2617" s="6" t="n"/>
      <c r="G2617" s="6" t="n"/>
      <c r="H2617" s="10">
        <f>IF(F2617="","",IFERROR(INDEX(Roster!$A$2:$A$600,MATCH(F2617,Roster!$E$2:$E$600,0)),""))</f>
        <v/>
      </c>
      <c r="I2617" s="10">
        <f>IF(AND(D2617="",C2617="",F2617=""),"",IF(G2617&lt;&gt;"","Void",IF(F2617="","Needs child",IF(H2617="","Child not found",IF(OR(B2617="",NOT(ISNUMBER(C2617))),"Needs month/pages","OK")))))</f>
        <v/>
      </c>
      <c r="J2617" s="10">
        <f>IF(I2617="","",IF(I2617="OK",IF(COUNTIFS(H2618:H$3001,H2617,B2618:B$3001,B2617,G2618:G$3001,"")=0,C2617,0),0))</f>
        <v/>
      </c>
    </row>
    <row r="2618">
      <c r="A2618" s="6" t="n"/>
      <c r="B2618" s="9" t="n"/>
      <c r="C2618" s="6" t="n"/>
      <c r="D2618" s="6" t="n"/>
      <c r="E2618" s="6" t="n"/>
      <c r="F2618" s="6" t="n"/>
      <c r="G2618" s="6" t="n"/>
      <c r="H2618" s="10">
        <f>IF(F2618="","",IFERROR(INDEX(Roster!$A$2:$A$600,MATCH(F2618,Roster!$E$2:$E$600,0)),""))</f>
        <v/>
      </c>
      <c r="I2618" s="10">
        <f>IF(AND(D2618="",C2618="",F2618=""),"",IF(G2618&lt;&gt;"","Void",IF(F2618="","Needs child",IF(H2618="","Child not found",IF(OR(B2618="",NOT(ISNUMBER(C2618))),"Needs month/pages","OK")))))</f>
        <v/>
      </c>
      <c r="J2618" s="10">
        <f>IF(I2618="","",IF(I2618="OK",IF(COUNTIFS(H2619:H$3001,H2618,B2619:B$3001,B2618,G2619:G$3001,"")=0,C2618,0),0))</f>
        <v/>
      </c>
    </row>
    <row r="2619">
      <c r="A2619" s="6" t="n"/>
      <c r="B2619" s="9" t="n"/>
      <c r="C2619" s="6" t="n"/>
      <c r="D2619" s="6" t="n"/>
      <c r="E2619" s="6" t="n"/>
      <c r="F2619" s="6" t="n"/>
      <c r="G2619" s="6" t="n"/>
      <c r="H2619" s="10">
        <f>IF(F2619="","",IFERROR(INDEX(Roster!$A$2:$A$600,MATCH(F2619,Roster!$E$2:$E$600,0)),""))</f>
        <v/>
      </c>
      <c r="I2619" s="10">
        <f>IF(AND(D2619="",C2619="",F2619=""),"",IF(G2619&lt;&gt;"","Void",IF(F2619="","Needs child",IF(H2619="","Child not found",IF(OR(B2619="",NOT(ISNUMBER(C2619))),"Needs month/pages","OK")))))</f>
        <v/>
      </c>
      <c r="J2619" s="10">
        <f>IF(I2619="","",IF(I2619="OK",IF(COUNTIFS(H2620:H$3001,H2619,B2620:B$3001,B2619,G2620:G$3001,"")=0,C2619,0),0))</f>
        <v/>
      </c>
    </row>
    <row r="2620">
      <c r="A2620" s="6" t="n"/>
      <c r="B2620" s="9" t="n"/>
      <c r="C2620" s="6" t="n"/>
      <c r="D2620" s="6" t="n"/>
      <c r="E2620" s="6" t="n"/>
      <c r="F2620" s="6" t="n"/>
      <c r="G2620" s="6" t="n"/>
      <c r="H2620" s="10">
        <f>IF(F2620="","",IFERROR(INDEX(Roster!$A$2:$A$600,MATCH(F2620,Roster!$E$2:$E$600,0)),""))</f>
        <v/>
      </c>
      <c r="I2620" s="10">
        <f>IF(AND(D2620="",C2620="",F2620=""),"",IF(G2620&lt;&gt;"","Void",IF(F2620="","Needs child",IF(H2620="","Child not found",IF(OR(B2620="",NOT(ISNUMBER(C2620))),"Needs month/pages","OK")))))</f>
        <v/>
      </c>
      <c r="J2620" s="10">
        <f>IF(I2620="","",IF(I2620="OK",IF(COUNTIFS(H2621:H$3001,H2620,B2621:B$3001,B2620,G2621:G$3001,"")=0,C2620,0),0))</f>
        <v/>
      </c>
    </row>
    <row r="2621">
      <c r="A2621" s="6" t="n"/>
      <c r="B2621" s="9" t="n"/>
      <c r="C2621" s="6" t="n"/>
      <c r="D2621" s="6" t="n"/>
      <c r="E2621" s="6" t="n"/>
      <c r="F2621" s="6" t="n"/>
      <c r="G2621" s="6" t="n"/>
      <c r="H2621" s="10">
        <f>IF(F2621="","",IFERROR(INDEX(Roster!$A$2:$A$600,MATCH(F2621,Roster!$E$2:$E$600,0)),""))</f>
        <v/>
      </c>
      <c r="I2621" s="10">
        <f>IF(AND(D2621="",C2621="",F2621=""),"",IF(G2621&lt;&gt;"","Void",IF(F2621="","Needs child",IF(H2621="","Child not found",IF(OR(B2621="",NOT(ISNUMBER(C2621))),"Needs month/pages","OK")))))</f>
        <v/>
      </c>
      <c r="J2621" s="10">
        <f>IF(I2621="","",IF(I2621="OK",IF(COUNTIFS(H2622:H$3001,H2621,B2622:B$3001,B2621,G2622:G$3001,"")=0,C2621,0),0))</f>
        <v/>
      </c>
    </row>
    <row r="2622">
      <c r="A2622" s="6" t="n"/>
      <c r="B2622" s="9" t="n"/>
      <c r="C2622" s="6" t="n"/>
      <c r="D2622" s="6" t="n"/>
      <c r="E2622" s="6" t="n"/>
      <c r="F2622" s="6" t="n"/>
      <c r="G2622" s="6" t="n"/>
      <c r="H2622" s="10">
        <f>IF(F2622="","",IFERROR(INDEX(Roster!$A$2:$A$600,MATCH(F2622,Roster!$E$2:$E$600,0)),""))</f>
        <v/>
      </c>
      <c r="I2622" s="10">
        <f>IF(AND(D2622="",C2622="",F2622=""),"",IF(G2622&lt;&gt;"","Void",IF(F2622="","Needs child",IF(H2622="","Child not found",IF(OR(B2622="",NOT(ISNUMBER(C2622))),"Needs month/pages","OK")))))</f>
        <v/>
      </c>
      <c r="J2622" s="10">
        <f>IF(I2622="","",IF(I2622="OK",IF(COUNTIFS(H2623:H$3001,H2622,B2623:B$3001,B2622,G2623:G$3001,"")=0,C2622,0),0))</f>
        <v/>
      </c>
    </row>
    <row r="2623">
      <c r="A2623" s="6" t="n"/>
      <c r="B2623" s="9" t="n"/>
      <c r="C2623" s="6" t="n"/>
      <c r="D2623" s="6" t="n"/>
      <c r="E2623" s="6" t="n"/>
      <c r="F2623" s="6" t="n"/>
      <c r="G2623" s="6" t="n"/>
      <c r="H2623" s="10">
        <f>IF(F2623="","",IFERROR(INDEX(Roster!$A$2:$A$600,MATCH(F2623,Roster!$E$2:$E$600,0)),""))</f>
        <v/>
      </c>
      <c r="I2623" s="10">
        <f>IF(AND(D2623="",C2623="",F2623=""),"",IF(G2623&lt;&gt;"","Void",IF(F2623="","Needs child",IF(H2623="","Child not found",IF(OR(B2623="",NOT(ISNUMBER(C2623))),"Needs month/pages","OK")))))</f>
        <v/>
      </c>
      <c r="J2623" s="10">
        <f>IF(I2623="","",IF(I2623="OK",IF(COUNTIFS(H2624:H$3001,H2623,B2624:B$3001,B2623,G2624:G$3001,"")=0,C2623,0),0))</f>
        <v/>
      </c>
    </row>
    <row r="2624">
      <c r="A2624" s="6" t="n"/>
      <c r="B2624" s="9" t="n"/>
      <c r="C2624" s="6" t="n"/>
      <c r="D2624" s="6" t="n"/>
      <c r="E2624" s="6" t="n"/>
      <c r="F2624" s="6" t="n"/>
      <c r="G2624" s="6" t="n"/>
      <c r="H2624" s="10">
        <f>IF(F2624="","",IFERROR(INDEX(Roster!$A$2:$A$600,MATCH(F2624,Roster!$E$2:$E$600,0)),""))</f>
        <v/>
      </c>
      <c r="I2624" s="10">
        <f>IF(AND(D2624="",C2624="",F2624=""),"",IF(G2624&lt;&gt;"","Void",IF(F2624="","Needs child",IF(H2624="","Child not found",IF(OR(B2624="",NOT(ISNUMBER(C2624))),"Needs month/pages","OK")))))</f>
        <v/>
      </c>
      <c r="J2624" s="10">
        <f>IF(I2624="","",IF(I2624="OK",IF(COUNTIFS(H2625:H$3001,H2624,B2625:B$3001,B2624,G2625:G$3001,"")=0,C2624,0),0))</f>
        <v/>
      </c>
    </row>
    <row r="2625">
      <c r="A2625" s="6" t="n"/>
      <c r="B2625" s="9" t="n"/>
      <c r="C2625" s="6" t="n"/>
      <c r="D2625" s="6" t="n"/>
      <c r="E2625" s="6" t="n"/>
      <c r="F2625" s="6" t="n"/>
      <c r="G2625" s="6" t="n"/>
      <c r="H2625" s="10">
        <f>IF(F2625="","",IFERROR(INDEX(Roster!$A$2:$A$600,MATCH(F2625,Roster!$E$2:$E$600,0)),""))</f>
        <v/>
      </c>
      <c r="I2625" s="10">
        <f>IF(AND(D2625="",C2625="",F2625=""),"",IF(G2625&lt;&gt;"","Void",IF(F2625="","Needs child",IF(H2625="","Child not found",IF(OR(B2625="",NOT(ISNUMBER(C2625))),"Needs month/pages","OK")))))</f>
        <v/>
      </c>
      <c r="J2625" s="10">
        <f>IF(I2625="","",IF(I2625="OK",IF(COUNTIFS(H2626:H$3001,H2625,B2626:B$3001,B2625,G2626:G$3001,"")=0,C2625,0),0))</f>
        <v/>
      </c>
    </row>
    <row r="2626">
      <c r="A2626" s="6" t="n"/>
      <c r="B2626" s="9" t="n"/>
      <c r="C2626" s="6" t="n"/>
      <c r="D2626" s="6" t="n"/>
      <c r="E2626" s="6" t="n"/>
      <c r="F2626" s="6" t="n"/>
      <c r="G2626" s="6" t="n"/>
      <c r="H2626" s="10">
        <f>IF(F2626="","",IFERROR(INDEX(Roster!$A$2:$A$600,MATCH(F2626,Roster!$E$2:$E$600,0)),""))</f>
        <v/>
      </c>
      <c r="I2626" s="10">
        <f>IF(AND(D2626="",C2626="",F2626=""),"",IF(G2626&lt;&gt;"","Void",IF(F2626="","Needs child",IF(H2626="","Child not found",IF(OR(B2626="",NOT(ISNUMBER(C2626))),"Needs month/pages","OK")))))</f>
        <v/>
      </c>
      <c r="J2626" s="10">
        <f>IF(I2626="","",IF(I2626="OK",IF(COUNTIFS(H2627:H$3001,H2626,B2627:B$3001,B2626,G2627:G$3001,"")=0,C2626,0),0))</f>
        <v/>
      </c>
    </row>
    <row r="2627">
      <c r="A2627" s="6" t="n"/>
      <c r="B2627" s="9" t="n"/>
      <c r="C2627" s="6" t="n"/>
      <c r="D2627" s="6" t="n"/>
      <c r="E2627" s="6" t="n"/>
      <c r="F2627" s="6" t="n"/>
      <c r="G2627" s="6" t="n"/>
      <c r="H2627" s="10">
        <f>IF(F2627="","",IFERROR(INDEX(Roster!$A$2:$A$600,MATCH(F2627,Roster!$E$2:$E$600,0)),""))</f>
        <v/>
      </c>
      <c r="I2627" s="10">
        <f>IF(AND(D2627="",C2627="",F2627=""),"",IF(G2627&lt;&gt;"","Void",IF(F2627="","Needs child",IF(H2627="","Child not found",IF(OR(B2627="",NOT(ISNUMBER(C2627))),"Needs month/pages","OK")))))</f>
        <v/>
      </c>
      <c r="J2627" s="10">
        <f>IF(I2627="","",IF(I2627="OK",IF(COUNTIFS(H2628:H$3001,H2627,B2628:B$3001,B2627,G2628:G$3001,"")=0,C2627,0),0))</f>
        <v/>
      </c>
    </row>
    <row r="2628">
      <c r="A2628" s="6" t="n"/>
      <c r="B2628" s="9" t="n"/>
      <c r="C2628" s="6" t="n"/>
      <c r="D2628" s="6" t="n"/>
      <c r="E2628" s="6" t="n"/>
      <c r="F2628" s="6" t="n"/>
      <c r="G2628" s="6" t="n"/>
      <c r="H2628" s="10">
        <f>IF(F2628="","",IFERROR(INDEX(Roster!$A$2:$A$600,MATCH(F2628,Roster!$E$2:$E$600,0)),""))</f>
        <v/>
      </c>
      <c r="I2628" s="10">
        <f>IF(AND(D2628="",C2628="",F2628=""),"",IF(G2628&lt;&gt;"","Void",IF(F2628="","Needs child",IF(H2628="","Child not found",IF(OR(B2628="",NOT(ISNUMBER(C2628))),"Needs month/pages","OK")))))</f>
        <v/>
      </c>
      <c r="J2628" s="10">
        <f>IF(I2628="","",IF(I2628="OK",IF(COUNTIFS(H2629:H$3001,H2628,B2629:B$3001,B2628,G2629:G$3001,"")=0,C2628,0),0))</f>
        <v/>
      </c>
    </row>
    <row r="2629">
      <c r="A2629" s="6" t="n"/>
      <c r="B2629" s="9" t="n"/>
      <c r="C2629" s="6" t="n"/>
      <c r="D2629" s="6" t="n"/>
      <c r="E2629" s="6" t="n"/>
      <c r="F2629" s="6" t="n"/>
      <c r="G2629" s="6" t="n"/>
      <c r="H2629" s="10">
        <f>IF(F2629="","",IFERROR(INDEX(Roster!$A$2:$A$600,MATCH(F2629,Roster!$E$2:$E$600,0)),""))</f>
        <v/>
      </c>
      <c r="I2629" s="10">
        <f>IF(AND(D2629="",C2629="",F2629=""),"",IF(G2629&lt;&gt;"","Void",IF(F2629="","Needs child",IF(H2629="","Child not found",IF(OR(B2629="",NOT(ISNUMBER(C2629))),"Needs month/pages","OK")))))</f>
        <v/>
      </c>
      <c r="J2629" s="10">
        <f>IF(I2629="","",IF(I2629="OK",IF(COUNTIFS(H2630:H$3001,H2629,B2630:B$3001,B2629,G2630:G$3001,"")=0,C2629,0),0))</f>
        <v/>
      </c>
    </row>
    <row r="2630">
      <c r="A2630" s="6" t="n"/>
      <c r="B2630" s="9" t="n"/>
      <c r="C2630" s="6" t="n"/>
      <c r="D2630" s="6" t="n"/>
      <c r="E2630" s="6" t="n"/>
      <c r="F2630" s="6" t="n"/>
      <c r="G2630" s="6" t="n"/>
      <c r="H2630" s="10">
        <f>IF(F2630="","",IFERROR(INDEX(Roster!$A$2:$A$600,MATCH(F2630,Roster!$E$2:$E$600,0)),""))</f>
        <v/>
      </c>
      <c r="I2630" s="10">
        <f>IF(AND(D2630="",C2630="",F2630=""),"",IF(G2630&lt;&gt;"","Void",IF(F2630="","Needs child",IF(H2630="","Child not found",IF(OR(B2630="",NOT(ISNUMBER(C2630))),"Needs month/pages","OK")))))</f>
        <v/>
      </c>
      <c r="J2630" s="10">
        <f>IF(I2630="","",IF(I2630="OK",IF(COUNTIFS(H2631:H$3001,H2630,B2631:B$3001,B2630,G2631:G$3001,"")=0,C2630,0),0))</f>
        <v/>
      </c>
    </row>
    <row r="2631">
      <c r="A2631" s="6" t="n"/>
      <c r="B2631" s="9" t="n"/>
      <c r="C2631" s="6" t="n"/>
      <c r="D2631" s="6" t="n"/>
      <c r="E2631" s="6" t="n"/>
      <c r="F2631" s="6" t="n"/>
      <c r="G2631" s="6" t="n"/>
      <c r="H2631" s="10">
        <f>IF(F2631="","",IFERROR(INDEX(Roster!$A$2:$A$600,MATCH(F2631,Roster!$E$2:$E$600,0)),""))</f>
        <v/>
      </c>
      <c r="I2631" s="10">
        <f>IF(AND(D2631="",C2631="",F2631=""),"",IF(G2631&lt;&gt;"","Void",IF(F2631="","Needs child",IF(H2631="","Child not found",IF(OR(B2631="",NOT(ISNUMBER(C2631))),"Needs month/pages","OK")))))</f>
        <v/>
      </c>
      <c r="J2631" s="10">
        <f>IF(I2631="","",IF(I2631="OK",IF(COUNTIFS(H2632:H$3001,H2631,B2632:B$3001,B2631,G2632:G$3001,"")=0,C2631,0),0))</f>
        <v/>
      </c>
    </row>
    <row r="2632">
      <c r="A2632" s="6" t="n"/>
      <c r="B2632" s="9" t="n"/>
      <c r="C2632" s="6" t="n"/>
      <c r="D2632" s="6" t="n"/>
      <c r="E2632" s="6" t="n"/>
      <c r="F2632" s="6" t="n"/>
      <c r="G2632" s="6" t="n"/>
      <c r="H2632" s="10">
        <f>IF(F2632="","",IFERROR(INDEX(Roster!$A$2:$A$600,MATCH(F2632,Roster!$E$2:$E$600,0)),""))</f>
        <v/>
      </c>
      <c r="I2632" s="10">
        <f>IF(AND(D2632="",C2632="",F2632=""),"",IF(G2632&lt;&gt;"","Void",IF(F2632="","Needs child",IF(H2632="","Child not found",IF(OR(B2632="",NOT(ISNUMBER(C2632))),"Needs month/pages","OK")))))</f>
        <v/>
      </c>
      <c r="J2632" s="10">
        <f>IF(I2632="","",IF(I2632="OK",IF(COUNTIFS(H2633:H$3001,H2632,B2633:B$3001,B2632,G2633:G$3001,"")=0,C2632,0),0))</f>
        <v/>
      </c>
    </row>
    <row r="2633">
      <c r="A2633" s="6" t="n"/>
      <c r="B2633" s="9" t="n"/>
      <c r="C2633" s="6" t="n"/>
      <c r="D2633" s="6" t="n"/>
      <c r="E2633" s="6" t="n"/>
      <c r="F2633" s="6" t="n"/>
      <c r="G2633" s="6" t="n"/>
      <c r="H2633" s="10">
        <f>IF(F2633="","",IFERROR(INDEX(Roster!$A$2:$A$600,MATCH(F2633,Roster!$E$2:$E$600,0)),""))</f>
        <v/>
      </c>
      <c r="I2633" s="10">
        <f>IF(AND(D2633="",C2633="",F2633=""),"",IF(G2633&lt;&gt;"","Void",IF(F2633="","Needs child",IF(H2633="","Child not found",IF(OR(B2633="",NOT(ISNUMBER(C2633))),"Needs month/pages","OK")))))</f>
        <v/>
      </c>
      <c r="J2633" s="10">
        <f>IF(I2633="","",IF(I2633="OK",IF(COUNTIFS(H2634:H$3001,H2633,B2634:B$3001,B2633,G2634:G$3001,"")=0,C2633,0),0))</f>
        <v/>
      </c>
    </row>
    <row r="2634">
      <c r="A2634" s="6" t="n"/>
      <c r="B2634" s="9" t="n"/>
      <c r="C2634" s="6" t="n"/>
      <c r="D2634" s="6" t="n"/>
      <c r="E2634" s="6" t="n"/>
      <c r="F2634" s="6" t="n"/>
      <c r="G2634" s="6" t="n"/>
      <c r="H2634" s="10">
        <f>IF(F2634="","",IFERROR(INDEX(Roster!$A$2:$A$600,MATCH(F2634,Roster!$E$2:$E$600,0)),""))</f>
        <v/>
      </c>
      <c r="I2634" s="10">
        <f>IF(AND(D2634="",C2634="",F2634=""),"",IF(G2634&lt;&gt;"","Void",IF(F2634="","Needs child",IF(H2634="","Child not found",IF(OR(B2634="",NOT(ISNUMBER(C2634))),"Needs month/pages","OK")))))</f>
        <v/>
      </c>
      <c r="J2634" s="10">
        <f>IF(I2634="","",IF(I2634="OK",IF(COUNTIFS(H2635:H$3001,H2634,B2635:B$3001,B2634,G2635:G$3001,"")=0,C2634,0),0))</f>
        <v/>
      </c>
    </row>
    <row r="2635">
      <c r="A2635" s="6" t="n"/>
      <c r="B2635" s="9" t="n"/>
      <c r="C2635" s="6" t="n"/>
      <c r="D2635" s="6" t="n"/>
      <c r="E2635" s="6" t="n"/>
      <c r="F2635" s="6" t="n"/>
      <c r="G2635" s="6" t="n"/>
      <c r="H2635" s="10">
        <f>IF(F2635="","",IFERROR(INDEX(Roster!$A$2:$A$600,MATCH(F2635,Roster!$E$2:$E$600,0)),""))</f>
        <v/>
      </c>
      <c r="I2635" s="10">
        <f>IF(AND(D2635="",C2635="",F2635=""),"",IF(G2635&lt;&gt;"","Void",IF(F2635="","Needs child",IF(H2635="","Child not found",IF(OR(B2635="",NOT(ISNUMBER(C2635))),"Needs month/pages","OK")))))</f>
        <v/>
      </c>
      <c r="J2635" s="10">
        <f>IF(I2635="","",IF(I2635="OK",IF(COUNTIFS(H2636:H$3001,H2635,B2636:B$3001,B2635,G2636:G$3001,"")=0,C2635,0),0))</f>
        <v/>
      </c>
    </row>
    <row r="2636">
      <c r="A2636" s="6" t="n"/>
      <c r="B2636" s="9" t="n"/>
      <c r="C2636" s="6" t="n"/>
      <c r="D2636" s="6" t="n"/>
      <c r="E2636" s="6" t="n"/>
      <c r="F2636" s="6" t="n"/>
      <c r="G2636" s="6" t="n"/>
      <c r="H2636" s="10">
        <f>IF(F2636="","",IFERROR(INDEX(Roster!$A$2:$A$600,MATCH(F2636,Roster!$E$2:$E$600,0)),""))</f>
        <v/>
      </c>
      <c r="I2636" s="10">
        <f>IF(AND(D2636="",C2636="",F2636=""),"",IF(G2636&lt;&gt;"","Void",IF(F2636="","Needs child",IF(H2636="","Child not found",IF(OR(B2636="",NOT(ISNUMBER(C2636))),"Needs month/pages","OK")))))</f>
        <v/>
      </c>
      <c r="J2636" s="10">
        <f>IF(I2636="","",IF(I2636="OK",IF(COUNTIFS(H2637:H$3001,H2636,B2637:B$3001,B2636,G2637:G$3001,"")=0,C2636,0),0))</f>
        <v/>
      </c>
    </row>
    <row r="2637">
      <c r="A2637" s="6" t="n"/>
      <c r="B2637" s="9" t="n"/>
      <c r="C2637" s="6" t="n"/>
      <c r="D2637" s="6" t="n"/>
      <c r="E2637" s="6" t="n"/>
      <c r="F2637" s="6" t="n"/>
      <c r="G2637" s="6" t="n"/>
      <c r="H2637" s="10">
        <f>IF(F2637="","",IFERROR(INDEX(Roster!$A$2:$A$600,MATCH(F2637,Roster!$E$2:$E$600,0)),""))</f>
        <v/>
      </c>
      <c r="I2637" s="10">
        <f>IF(AND(D2637="",C2637="",F2637=""),"",IF(G2637&lt;&gt;"","Void",IF(F2637="","Needs child",IF(H2637="","Child not found",IF(OR(B2637="",NOT(ISNUMBER(C2637))),"Needs month/pages","OK")))))</f>
        <v/>
      </c>
      <c r="J2637" s="10">
        <f>IF(I2637="","",IF(I2637="OK",IF(COUNTIFS(H2638:H$3001,H2637,B2638:B$3001,B2637,G2638:G$3001,"")=0,C2637,0),0))</f>
        <v/>
      </c>
    </row>
    <row r="2638">
      <c r="A2638" s="6" t="n"/>
      <c r="B2638" s="9" t="n"/>
      <c r="C2638" s="6" t="n"/>
      <c r="D2638" s="6" t="n"/>
      <c r="E2638" s="6" t="n"/>
      <c r="F2638" s="6" t="n"/>
      <c r="G2638" s="6" t="n"/>
      <c r="H2638" s="10">
        <f>IF(F2638="","",IFERROR(INDEX(Roster!$A$2:$A$600,MATCH(F2638,Roster!$E$2:$E$600,0)),""))</f>
        <v/>
      </c>
      <c r="I2638" s="10">
        <f>IF(AND(D2638="",C2638="",F2638=""),"",IF(G2638&lt;&gt;"","Void",IF(F2638="","Needs child",IF(H2638="","Child not found",IF(OR(B2638="",NOT(ISNUMBER(C2638))),"Needs month/pages","OK")))))</f>
        <v/>
      </c>
      <c r="J2638" s="10">
        <f>IF(I2638="","",IF(I2638="OK",IF(COUNTIFS(H2639:H$3001,H2638,B2639:B$3001,B2638,G2639:G$3001,"")=0,C2638,0),0))</f>
        <v/>
      </c>
    </row>
    <row r="2639">
      <c r="A2639" s="6" t="n"/>
      <c r="B2639" s="9" t="n"/>
      <c r="C2639" s="6" t="n"/>
      <c r="D2639" s="6" t="n"/>
      <c r="E2639" s="6" t="n"/>
      <c r="F2639" s="6" t="n"/>
      <c r="G2639" s="6" t="n"/>
      <c r="H2639" s="10">
        <f>IF(F2639="","",IFERROR(INDEX(Roster!$A$2:$A$600,MATCH(F2639,Roster!$E$2:$E$600,0)),""))</f>
        <v/>
      </c>
      <c r="I2639" s="10">
        <f>IF(AND(D2639="",C2639="",F2639=""),"",IF(G2639&lt;&gt;"","Void",IF(F2639="","Needs child",IF(H2639="","Child not found",IF(OR(B2639="",NOT(ISNUMBER(C2639))),"Needs month/pages","OK")))))</f>
        <v/>
      </c>
      <c r="J2639" s="10">
        <f>IF(I2639="","",IF(I2639="OK",IF(COUNTIFS(H2640:H$3001,H2639,B2640:B$3001,B2639,G2640:G$3001,"")=0,C2639,0),0))</f>
        <v/>
      </c>
    </row>
    <row r="2640">
      <c r="A2640" s="6" t="n"/>
      <c r="B2640" s="9" t="n"/>
      <c r="C2640" s="6" t="n"/>
      <c r="D2640" s="6" t="n"/>
      <c r="E2640" s="6" t="n"/>
      <c r="F2640" s="6" t="n"/>
      <c r="G2640" s="6" t="n"/>
      <c r="H2640" s="10">
        <f>IF(F2640="","",IFERROR(INDEX(Roster!$A$2:$A$600,MATCH(F2640,Roster!$E$2:$E$600,0)),""))</f>
        <v/>
      </c>
      <c r="I2640" s="10">
        <f>IF(AND(D2640="",C2640="",F2640=""),"",IF(G2640&lt;&gt;"","Void",IF(F2640="","Needs child",IF(H2640="","Child not found",IF(OR(B2640="",NOT(ISNUMBER(C2640))),"Needs month/pages","OK")))))</f>
        <v/>
      </c>
      <c r="J2640" s="10">
        <f>IF(I2640="","",IF(I2640="OK",IF(COUNTIFS(H2641:H$3001,H2640,B2641:B$3001,B2640,G2641:G$3001,"")=0,C2640,0),0))</f>
        <v/>
      </c>
    </row>
    <row r="2641">
      <c r="A2641" s="6" t="n"/>
      <c r="B2641" s="9" t="n"/>
      <c r="C2641" s="6" t="n"/>
      <c r="D2641" s="6" t="n"/>
      <c r="E2641" s="6" t="n"/>
      <c r="F2641" s="6" t="n"/>
      <c r="G2641" s="6" t="n"/>
      <c r="H2641" s="10">
        <f>IF(F2641="","",IFERROR(INDEX(Roster!$A$2:$A$600,MATCH(F2641,Roster!$E$2:$E$600,0)),""))</f>
        <v/>
      </c>
      <c r="I2641" s="10">
        <f>IF(AND(D2641="",C2641="",F2641=""),"",IF(G2641&lt;&gt;"","Void",IF(F2641="","Needs child",IF(H2641="","Child not found",IF(OR(B2641="",NOT(ISNUMBER(C2641))),"Needs month/pages","OK")))))</f>
        <v/>
      </c>
      <c r="J2641" s="10">
        <f>IF(I2641="","",IF(I2641="OK",IF(COUNTIFS(H2642:H$3001,H2641,B2642:B$3001,B2641,G2642:G$3001,"")=0,C2641,0),0))</f>
        <v/>
      </c>
    </row>
    <row r="2642">
      <c r="A2642" s="6" t="n"/>
      <c r="B2642" s="9" t="n"/>
      <c r="C2642" s="6" t="n"/>
      <c r="D2642" s="6" t="n"/>
      <c r="E2642" s="6" t="n"/>
      <c r="F2642" s="6" t="n"/>
      <c r="G2642" s="6" t="n"/>
      <c r="H2642" s="10">
        <f>IF(F2642="","",IFERROR(INDEX(Roster!$A$2:$A$600,MATCH(F2642,Roster!$E$2:$E$600,0)),""))</f>
        <v/>
      </c>
      <c r="I2642" s="10">
        <f>IF(AND(D2642="",C2642="",F2642=""),"",IF(G2642&lt;&gt;"","Void",IF(F2642="","Needs child",IF(H2642="","Child not found",IF(OR(B2642="",NOT(ISNUMBER(C2642))),"Needs month/pages","OK")))))</f>
        <v/>
      </c>
      <c r="J2642" s="10">
        <f>IF(I2642="","",IF(I2642="OK",IF(COUNTIFS(H2643:H$3001,H2642,B2643:B$3001,B2642,G2643:G$3001,"")=0,C2642,0),0))</f>
        <v/>
      </c>
    </row>
    <row r="2643">
      <c r="A2643" s="6" t="n"/>
      <c r="B2643" s="9" t="n"/>
      <c r="C2643" s="6" t="n"/>
      <c r="D2643" s="6" t="n"/>
      <c r="E2643" s="6" t="n"/>
      <c r="F2643" s="6" t="n"/>
      <c r="G2643" s="6" t="n"/>
      <c r="H2643" s="10">
        <f>IF(F2643="","",IFERROR(INDEX(Roster!$A$2:$A$600,MATCH(F2643,Roster!$E$2:$E$600,0)),""))</f>
        <v/>
      </c>
      <c r="I2643" s="10">
        <f>IF(AND(D2643="",C2643="",F2643=""),"",IF(G2643&lt;&gt;"","Void",IF(F2643="","Needs child",IF(H2643="","Child not found",IF(OR(B2643="",NOT(ISNUMBER(C2643))),"Needs month/pages","OK")))))</f>
        <v/>
      </c>
      <c r="J2643" s="10">
        <f>IF(I2643="","",IF(I2643="OK",IF(COUNTIFS(H2644:H$3001,H2643,B2644:B$3001,B2643,G2644:G$3001,"")=0,C2643,0),0))</f>
        <v/>
      </c>
    </row>
    <row r="2644">
      <c r="A2644" s="6" t="n"/>
      <c r="B2644" s="9" t="n"/>
      <c r="C2644" s="6" t="n"/>
      <c r="D2644" s="6" t="n"/>
      <c r="E2644" s="6" t="n"/>
      <c r="F2644" s="6" t="n"/>
      <c r="G2644" s="6" t="n"/>
      <c r="H2644" s="10">
        <f>IF(F2644="","",IFERROR(INDEX(Roster!$A$2:$A$600,MATCH(F2644,Roster!$E$2:$E$600,0)),""))</f>
        <v/>
      </c>
      <c r="I2644" s="10">
        <f>IF(AND(D2644="",C2644="",F2644=""),"",IF(G2644&lt;&gt;"","Void",IF(F2644="","Needs child",IF(H2644="","Child not found",IF(OR(B2644="",NOT(ISNUMBER(C2644))),"Needs month/pages","OK")))))</f>
        <v/>
      </c>
      <c r="J2644" s="10">
        <f>IF(I2644="","",IF(I2644="OK",IF(COUNTIFS(H2645:H$3001,H2644,B2645:B$3001,B2644,G2645:G$3001,"")=0,C2644,0),0))</f>
        <v/>
      </c>
    </row>
    <row r="2645">
      <c r="A2645" s="6" t="n"/>
      <c r="B2645" s="9" t="n"/>
      <c r="C2645" s="6" t="n"/>
      <c r="D2645" s="6" t="n"/>
      <c r="E2645" s="6" t="n"/>
      <c r="F2645" s="6" t="n"/>
      <c r="G2645" s="6" t="n"/>
      <c r="H2645" s="10">
        <f>IF(F2645="","",IFERROR(INDEX(Roster!$A$2:$A$600,MATCH(F2645,Roster!$E$2:$E$600,0)),""))</f>
        <v/>
      </c>
      <c r="I2645" s="10">
        <f>IF(AND(D2645="",C2645="",F2645=""),"",IF(G2645&lt;&gt;"","Void",IF(F2645="","Needs child",IF(H2645="","Child not found",IF(OR(B2645="",NOT(ISNUMBER(C2645))),"Needs month/pages","OK")))))</f>
        <v/>
      </c>
      <c r="J2645" s="10">
        <f>IF(I2645="","",IF(I2645="OK",IF(COUNTIFS(H2646:H$3001,H2645,B2646:B$3001,B2645,G2646:G$3001,"")=0,C2645,0),0))</f>
        <v/>
      </c>
    </row>
    <row r="2646">
      <c r="A2646" s="6" t="n"/>
      <c r="B2646" s="9" t="n"/>
      <c r="C2646" s="6" t="n"/>
      <c r="D2646" s="6" t="n"/>
      <c r="E2646" s="6" t="n"/>
      <c r="F2646" s="6" t="n"/>
      <c r="G2646" s="6" t="n"/>
      <c r="H2646" s="10">
        <f>IF(F2646="","",IFERROR(INDEX(Roster!$A$2:$A$600,MATCH(F2646,Roster!$E$2:$E$600,0)),""))</f>
        <v/>
      </c>
      <c r="I2646" s="10">
        <f>IF(AND(D2646="",C2646="",F2646=""),"",IF(G2646&lt;&gt;"","Void",IF(F2646="","Needs child",IF(H2646="","Child not found",IF(OR(B2646="",NOT(ISNUMBER(C2646))),"Needs month/pages","OK")))))</f>
        <v/>
      </c>
      <c r="J2646" s="10">
        <f>IF(I2646="","",IF(I2646="OK",IF(COUNTIFS(H2647:H$3001,H2646,B2647:B$3001,B2646,G2647:G$3001,"")=0,C2646,0),0))</f>
        <v/>
      </c>
    </row>
    <row r="2647">
      <c r="A2647" s="6" t="n"/>
      <c r="B2647" s="9" t="n"/>
      <c r="C2647" s="6" t="n"/>
      <c r="D2647" s="6" t="n"/>
      <c r="E2647" s="6" t="n"/>
      <c r="F2647" s="6" t="n"/>
      <c r="G2647" s="6" t="n"/>
      <c r="H2647" s="10">
        <f>IF(F2647="","",IFERROR(INDEX(Roster!$A$2:$A$600,MATCH(F2647,Roster!$E$2:$E$600,0)),""))</f>
        <v/>
      </c>
      <c r="I2647" s="10">
        <f>IF(AND(D2647="",C2647="",F2647=""),"",IF(G2647&lt;&gt;"","Void",IF(F2647="","Needs child",IF(H2647="","Child not found",IF(OR(B2647="",NOT(ISNUMBER(C2647))),"Needs month/pages","OK")))))</f>
        <v/>
      </c>
      <c r="J2647" s="10">
        <f>IF(I2647="","",IF(I2647="OK",IF(COUNTIFS(H2648:H$3001,H2647,B2648:B$3001,B2647,G2648:G$3001,"")=0,C2647,0),0))</f>
        <v/>
      </c>
    </row>
    <row r="2648">
      <c r="A2648" s="6" t="n"/>
      <c r="B2648" s="9" t="n"/>
      <c r="C2648" s="6" t="n"/>
      <c r="D2648" s="6" t="n"/>
      <c r="E2648" s="6" t="n"/>
      <c r="F2648" s="6" t="n"/>
      <c r="G2648" s="6" t="n"/>
      <c r="H2648" s="10">
        <f>IF(F2648="","",IFERROR(INDEX(Roster!$A$2:$A$600,MATCH(F2648,Roster!$E$2:$E$600,0)),""))</f>
        <v/>
      </c>
      <c r="I2648" s="10">
        <f>IF(AND(D2648="",C2648="",F2648=""),"",IF(G2648&lt;&gt;"","Void",IF(F2648="","Needs child",IF(H2648="","Child not found",IF(OR(B2648="",NOT(ISNUMBER(C2648))),"Needs month/pages","OK")))))</f>
        <v/>
      </c>
      <c r="J2648" s="10">
        <f>IF(I2648="","",IF(I2648="OK",IF(COUNTIFS(H2649:H$3001,H2648,B2649:B$3001,B2648,G2649:G$3001,"")=0,C2648,0),0))</f>
        <v/>
      </c>
    </row>
    <row r="2649">
      <c r="A2649" s="6" t="n"/>
      <c r="B2649" s="9" t="n"/>
      <c r="C2649" s="6" t="n"/>
      <c r="D2649" s="6" t="n"/>
      <c r="E2649" s="6" t="n"/>
      <c r="F2649" s="6" t="n"/>
      <c r="G2649" s="6" t="n"/>
      <c r="H2649" s="10">
        <f>IF(F2649="","",IFERROR(INDEX(Roster!$A$2:$A$600,MATCH(F2649,Roster!$E$2:$E$600,0)),""))</f>
        <v/>
      </c>
      <c r="I2649" s="10">
        <f>IF(AND(D2649="",C2649="",F2649=""),"",IF(G2649&lt;&gt;"","Void",IF(F2649="","Needs child",IF(H2649="","Child not found",IF(OR(B2649="",NOT(ISNUMBER(C2649))),"Needs month/pages","OK")))))</f>
        <v/>
      </c>
      <c r="J2649" s="10">
        <f>IF(I2649="","",IF(I2649="OK",IF(COUNTIFS(H2650:H$3001,H2649,B2650:B$3001,B2649,G2650:G$3001,"")=0,C2649,0),0))</f>
        <v/>
      </c>
    </row>
    <row r="2650">
      <c r="A2650" s="6" t="n"/>
      <c r="B2650" s="9" t="n"/>
      <c r="C2650" s="6" t="n"/>
      <c r="D2650" s="6" t="n"/>
      <c r="E2650" s="6" t="n"/>
      <c r="F2650" s="6" t="n"/>
      <c r="G2650" s="6" t="n"/>
      <c r="H2650" s="10">
        <f>IF(F2650="","",IFERROR(INDEX(Roster!$A$2:$A$600,MATCH(F2650,Roster!$E$2:$E$600,0)),""))</f>
        <v/>
      </c>
      <c r="I2650" s="10">
        <f>IF(AND(D2650="",C2650="",F2650=""),"",IF(G2650&lt;&gt;"","Void",IF(F2650="","Needs child",IF(H2650="","Child not found",IF(OR(B2650="",NOT(ISNUMBER(C2650))),"Needs month/pages","OK")))))</f>
        <v/>
      </c>
      <c r="J2650" s="10">
        <f>IF(I2650="","",IF(I2650="OK",IF(COUNTIFS(H2651:H$3001,H2650,B2651:B$3001,B2650,G2651:G$3001,"")=0,C2650,0),0))</f>
        <v/>
      </c>
    </row>
    <row r="2651">
      <c r="A2651" s="6" t="n"/>
      <c r="B2651" s="9" t="n"/>
      <c r="C2651" s="6" t="n"/>
      <c r="D2651" s="6" t="n"/>
      <c r="E2651" s="6" t="n"/>
      <c r="F2651" s="6" t="n"/>
      <c r="G2651" s="6" t="n"/>
      <c r="H2651" s="10">
        <f>IF(F2651="","",IFERROR(INDEX(Roster!$A$2:$A$600,MATCH(F2651,Roster!$E$2:$E$600,0)),""))</f>
        <v/>
      </c>
      <c r="I2651" s="10">
        <f>IF(AND(D2651="",C2651="",F2651=""),"",IF(G2651&lt;&gt;"","Void",IF(F2651="","Needs child",IF(H2651="","Child not found",IF(OR(B2651="",NOT(ISNUMBER(C2651))),"Needs month/pages","OK")))))</f>
        <v/>
      </c>
      <c r="J2651" s="10">
        <f>IF(I2651="","",IF(I2651="OK",IF(COUNTIFS(H2652:H$3001,H2651,B2652:B$3001,B2651,G2652:G$3001,"")=0,C2651,0),0))</f>
        <v/>
      </c>
    </row>
    <row r="2652">
      <c r="A2652" s="6" t="n"/>
      <c r="B2652" s="9" t="n"/>
      <c r="C2652" s="6" t="n"/>
      <c r="D2652" s="6" t="n"/>
      <c r="E2652" s="6" t="n"/>
      <c r="F2652" s="6" t="n"/>
      <c r="G2652" s="6" t="n"/>
      <c r="H2652" s="10">
        <f>IF(F2652="","",IFERROR(INDEX(Roster!$A$2:$A$600,MATCH(F2652,Roster!$E$2:$E$600,0)),""))</f>
        <v/>
      </c>
      <c r="I2652" s="10">
        <f>IF(AND(D2652="",C2652="",F2652=""),"",IF(G2652&lt;&gt;"","Void",IF(F2652="","Needs child",IF(H2652="","Child not found",IF(OR(B2652="",NOT(ISNUMBER(C2652))),"Needs month/pages","OK")))))</f>
        <v/>
      </c>
      <c r="J2652" s="10">
        <f>IF(I2652="","",IF(I2652="OK",IF(COUNTIFS(H2653:H$3001,H2652,B2653:B$3001,B2652,G2653:G$3001,"")=0,C2652,0),0))</f>
        <v/>
      </c>
    </row>
    <row r="2653">
      <c r="A2653" s="6" t="n"/>
      <c r="B2653" s="9" t="n"/>
      <c r="C2653" s="6" t="n"/>
      <c r="D2653" s="6" t="n"/>
      <c r="E2653" s="6" t="n"/>
      <c r="F2653" s="6" t="n"/>
      <c r="G2653" s="6" t="n"/>
      <c r="H2653" s="10">
        <f>IF(F2653="","",IFERROR(INDEX(Roster!$A$2:$A$600,MATCH(F2653,Roster!$E$2:$E$600,0)),""))</f>
        <v/>
      </c>
      <c r="I2653" s="10">
        <f>IF(AND(D2653="",C2653="",F2653=""),"",IF(G2653&lt;&gt;"","Void",IF(F2653="","Needs child",IF(H2653="","Child not found",IF(OR(B2653="",NOT(ISNUMBER(C2653))),"Needs month/pages","OK")))))</f>
        <v/>
      </c>
      <c r="J2653" s="10">
        <f>IF(I2653="","",IF(I2653="OK",IF(COUNTIFS(H2654:H$3001,H2653,B2654:B$3001,B2653,G2654:G$3001,"")=0,C2653,0),0))</f>
        <v/>
      </c>
    </row>
    <row r="2654">
      <c r="A2654" s="6" t="n"/>
      <c r="B2654" s="9" t="n"/>
      <c r="C2654" s="6" t="n"/>
      <c r="D2654" s="6" t="n"/>
      <c r="E2654" s="6" t="n"/>
      <c r="F2654" s="6" t="n"/>
      <c r="G2654" s="6" t="n"/>
      <c r="H2654" s="10">
        <f>IF(F2654="","",IFERROR(INDEX(Roster!$A$2:$A$600,MATCH(F2654,Roster!$E$2:$E$600,0)),""))</f>
        <v/>
      </c>
      <c r="I2654" s="10">
        <f>IF(AND(D2654="",C2654="",F2654=""),"",IF(G2654&lt;&gt;"","Void",IF(F2654="","Needs child",IF(H2654="","Child not found",IF(OR(B2654="",NOT(ISNUMBER(C2654))),"Needs month/pages","OK")))))</f>
        <v/>
      </c>
      <c r="J2654" s="10">
        <f>IF(I2654="","",IF(I2654="OK",IF(COUNTIFS(H2655:H$3001,H2654,B2655:B$3001,B2654,G2655:G$3001,"")=0,C2654,0),0))</f>
        <v/>
      </c>
    </row>
    <row r="2655">
      <c r="A2655" s="6" t="n"/>
      <c r="B2655" s="9" t="n"/>
      <c r="C2655" s="6" t="n"/>
      <c r="D2655" s="6" t="n"/>
      <c r="E2655" s="6" t="n"/>
      <c r="F2655" s="6" t="n"/>
      <c r="G2655" s="6" t="n"/>
      <c r="H2655" s="10">
        <f>IF(F2655="","",IFERROR(INDEX(Roster!$A$2:$A$600,MATCH(F2655,Roster!$E$2:$E$600,0)),""))</f>
        <v/>
      </c>
      <c r="I2655" s="10">
        <f>IF(AND(D2655="",C2655="",F2655=""),"",IF(G2655&lt;&gt;"","Void",IF(F2655="","Needs child",IF(H2655="","Child not found",IF(OR(B2655="",NOT(ISNUMBER(C2655))),"Needs month/pages","OK")))))</f>
        <v/>
      </c>
      <c r="J2655" s="10">
        <f>IF(I2655="","",IF(I2655="OK",IF(COUNTIFS(H2656:H$3001,H2655,B2656:B$3001,B2655,G2656:G$3001,"")=0,C2655,0),0))</f>
        <v/>
      </c>
    </row>
    <row r="2656">
      <c r="A2656" s="6" t="n"/>
      <c r="B2656" s="9" t="n"/>
      <c r="C2656" s="6" t="n"/>
      <c r="D2656" s="6" t="n"/>
      <c r="E2656" s="6" t="n"/>
      <c r="F2656" s="6" t="n"/>
      <c r="G2656" s="6" t="n"/>
      <c r="H2656" s="10">
        <f>IF(F2656="","",IFERROR(INDEX(Roster!$A$2:$A$600,MATCH(F2656,Roster!$E$2:$E$600,0)),""))</f>
        <v/>
      </c>
      <c r="I2656" s="10">
        <f>IF(AND(D2656="",C2656="",F2656=""),"",IF(G2656&lt;&gt;"","Void",IF(F2656="","Needs child",IF(H2656="","Child not found",IF(OR(B2656="",NOT(ISNUMBER(C2656))),"Needs month/pages","OK")))))</f>
        <v/>
      </c>
      <c r="J2656" s="10">
        <f>IF(I2656="","",IF(I2656="OK",IF(COUNTIFS(H2657:H$3001,H2656,B2657:B$3001,B2656,G2657:G$3001,"")=0,C2656,0),0))</f>
        <v/>
      </c>
    </row>
    <row r="2657">
      <c r="A2657" s="6" t="n"/>
      <c r="B2657" s="9" t="n"/>
      <c r="C2657" s="6" t="n"/>
      <c r="D2657" s="6" t="n"/>
      <c r="E2657" s="6" t="n"/>
      <c r="F2657" s="6" t="n"/>
      <c r="G2657" s="6" t="n"/>
      <c r="H2657" s="10">
        <f>IF(F2657="","",IFERROR(INDEX(Roster!$A$2:$A$600,MATCH(F2657,Roster!$E$2:$E$600,0)),""))</f>
        <v/>
      </c>
      <c r="I2657" s="10">
        <f>IF(AND(D2657="",C2657="",F2657=""),"",IF(G2657&lt;&gt;"","Void",IF(F2657="","Needs child",IF(H2657="","Child not found",IF(OR(B2657="",NOT(ISNUMBER(C2657))),"Needs month/pages","OK")))))</f>
        <v/>
      </c>
      <c r="J2657" s="10">
        <f>IF(I2657="","",IF(I2657="OK",IF(COUNTIFS(H2658:H$3001,H2657,B2658:B$3001,B2657,G2658:G$3001,"")=0,C2657,0),0))</f>
        <v/>
      </c>
    </row>
    <row r="2658">
      <c r="A2658" s="6" t="n"/>
      <c r="B2658" s="9" t="n"/>
      <c r="C2658" s="6" t="n"/>
      <c r="D2658" s="6" t="n"/>
      <c r="E2658" s="6" t="n"/>
      <c r="F2658" s="6" t="n"/>
      <c r="G2658" s="6" t="n"/>
      <c r="H2658" s="10">
        <f>IF(F2658="","",IFERROR(INDEX(Roster!$A$2:$A$600,MATCH(F2658,Roster!$E$2:$E$600,0)),""))</f>
        <v/>
      </c>
      <c r="I2658" s="10">
        <f>IF(AND(D2658="",C2658="",F2658=""),"",IF(G2658&lt;&gt;"","Void",IF(F2658="","Needs child",IF(H2658="","Child not found",IF(OR(B2658="",NOT(ISNUMBER(C2658))),"Needs month/pages","OK")))))</f>
        <v/>
      </c>
      <c r="J2658" s="10">
        <f>IF(I2658="","",IF(I2658="OK",IF(COUNTIFS(H2659:H$3001,H2658,B2659:B$3001,B2658,G2659:G$3001,"")=0,C2658,0),0))</f>
        <v/>
      </c>
    </row>
    <row r="2659">
      <c r="A2659" s="6" t="n"/>
      <c r="B2659" s="9" t="n"/>
      <c r="C2659" s="6" t="n"/>
      <c r="D2659" s="6" t="n"/>
      <c r="E2659" s="6" t="n"/>
      <c r="F2659" s="6" t="n"/>
      <c r="G2659" s="6" t="n"/>
      <c r="H2659" s="10">
        <f>IF(F2659="","",IFERROR(INDEX(Roster!$A$2:$A$600,MATCH(F2659,Roster!$E$2:$E$600,0)),""))</f>
        <v/>
      </c>
      <c r="I2659" s="10">
        <f>IF(AND(D2659="",C2659="",F2659=""),"",IF(G2659&lt;&gt;"","Void",IF(F2659="","Needs child",IF(H2659="","Child not found",IF(OR(B2659="",NOT(ISNUMBER(C2659))),"Needs month/pages","OK")))))</f>
        <v/>
      </c>
      <c r="J2659" s="10">
        <f>IF(I2659="","",IF(I2659="OK",IF(COUNTIFS(H2660:H$3001,H2659,B2660:B$3001,B2659,G2660:G$3001,"")=0,C2659,0),0))</f>
        <v/>
      </c>
    </row>
    <row r="2660">
      <c r="A2660" s="6" t="n"/>
      <c r="B2660" s="9" t="n"/>
      <c r="C2660" s="6" t="n"/>
      <c r="D2660" s="6" t="n"/>
      <c r="E2660" s="6" t="n"/>
      <c r="F2660" s="6" t="n"/>
      <c r="G2660" s="6" t="n"/>
      <c r="H2660" s="10">
        <f>IF(F2660="","",IFERROR(INDEX(Roster!$A$2:$A$600,MATCH(F2660,Roster!$E$2:$E$600,0)),""))</f>
        <v/>
      </c>
      <c r="I2660" s="10">
        <f>IF(AND(D2660="",C2660="",F2660=""),"",IF(G2660&lt;&gt;"","Void",IF(F2660="","Needs child",IF(H2660="","Child not found",IF(OR(B2660="",NOT(ISNUMBER(C2660))),"Needs month/pages","OK")))))</f>
        <v/>
      </c>
      <c r="J2660" s="10">
        <f>IF(I2660="","",IF(I2660="OK",IF(COUNTIFS(H2661:H$3001,H2660,B2661:B$3001,B2660,G2661:G$3001,"")=0,C2660,0),0))</f>
        <v/>
      </c>
    </row>
    <row r="2661">
      <c r="A2661" s="6" t="n"/>
      <c r="B2661" s="9" t="n"/>
      <c r="C2661" s="6" t="n"/>
      <c r="D2661" s="6" t="n"/>
      <c r="E2661" s="6" t="n"/>
      <c r="F2661" s="6" t="n"/>
      <c r="G2661" s="6" t="n"/>
      <c r="H2661" s="10">
        <f>IF(F2661="","",IFERROR(INDEX(Roster!$A$2:$A$600,MATCH(F2661,Roster!$E$2:$E$600,0)),""))</f>
        <v/>
      </c>
      <c r="I2661" s="10">
        <f>IF(AND(D2661="",C2661="",F2661=""),"",IF(G2661&lt;&gt;"","Void",IF(F2661="","Needs child",IF(H2661="","Child not found",IF(OR(B2661="",NOT(ISNUMBER(C2661))),"Needs month/pages","OK")))))</f>
        <v/>
      </c>
      <c r="J2661" s="10">
        <f>IF(I2661="","",IF(I2661="OK",IF(COUNTIFS(H2662:H$3001,H2661,B2662:B$3001,B2661,G2662:G$3001,"")=0,C2661,0),0))</f>
        <v/>
      </c>
    </row>
    <row r="2662">
      <c r="A2662" s="6" t="n"/>
      <c r="B2662" s="9" t="n"/>
      <c r="C2662" s="6" t="n"/>
      <c r="D2662" s="6" t="n"/>
      <c r="E2662" s="6" t="n"/>
      <c r="F2662" s="6" t="n"/>
      <c r="G2662" s="6" t="n"/>
      <c r="H2662" s="10">
        <f>IF(F2662="","",IFERROR(INDEX(Roster!$A$2:$A$600,MATCH(F2662,Roster!$E$2:$E$600,0)),""))</f>
        <v/>
      </c>
      <c r="I2662" s="10">
        <f>IF(AND(D2662="",C2662="",F2662=""),"",IF(G2662&lt;&gt;"","Void",IF(F2662="","Needs child",IF(H2662="","Child not found",IF(OR(B2662="",NOT(ISNUMBER(C2662))),"Needs month/pages","OK")))))</f>
        <v/>
      </c>
      <c r="J2662" s="10">
        <f>IF(I2662="","",IF(I2662="OK",IF(COUNTIFS(H2663:H$3001,H2662,B2663:B$3001,B2662,G2663:G$3001,"")=0,C2662,0),0))</f>
        <v/>
      </c>
    </row>
    <row r="2663">
      <c r="A2663" s="6" t="n"/>
      <c r="B2663" s="9" t="n"/>
      <c r="C2663" s="6" t="n"/>
      <c r="D2663" s="6" t="n"/>
      <c r="E2663" s="6" t="n"/>
      <c r="F2663" s="6" t="n"/>
      <c r="G2663" s="6" t="n"/>
      <c r="H2663" s="10">
        <f>IF(F2663="","",IFERROR(INDEX(Roster!$A$2:$A$600,MATCH(F2663,Roster!$E$2:$E$600,0)),""))</f>
        <v/>
      </c>
      <c r="I2663" s="10">
        <f>IF(AND(D2663="",C2663="",F2663=""),"",IF(G2663&lt;&gt;"","Void",IF(F2663="","Needs child",IF(H2663="","Child not found",IF(OR(B2663="",NOT(ISNUMBER(C2663))),"Needs month/pages","OK")))))</f>
        <v/>
      </c>
      <c r="J2663" s="10">
        <f>IF(I2663="","",IF(I2663="OK",IF(COUNTIFS(H2664:H$3001,H2663,B2664:B$3001,B2663,G2664:G$3001,"")=0,C2663,0),0))</f>
        <v/>
      </c>
    </row>
    <row r="2664">
      <c r="A2664" s="6" t="n"/>
      <c r="B2664" s="9" t="n"/>
      <c r="C2664" s="6" t="n"/>
      <c r="D2664" s="6" t="n"/>
      <c r="E2664" s="6" t="n"/>
      <c r="F2664" s="6" t="n"/>
      <c r="G2664" s="6" t="n"/>
      <c r="H2664" s="10">
        <f>IF(F2664="","",IFERROR(INDEX(Roster!$A$2:$A$600,MATCH(F2664,Roster!$E$2:$E$600,0)),""))</f>
        <v/>
      </c>
      <c r="I2664" s="10">
        <f>IF(AND(D2664="",C2664="",F2664=""),"",IF(G2664&lt;&gt;"","Void",IF(F2664="","Needs child",IF(H2664="","Child not found",IF(OR(B2664="",NOT(ISNUMBER(C2664))),"Needs month/pages","OK")))))</f>
        <v/>
      </c>
      <c r="J2664" s="10">
        <f>IF(I2664="","",IF(I2664="OK",IF(COUNTIFS(H2665:H$3001,H2664,B2665:B$3001,B2664,G2665:G$3001,"")=0,C2664,0),0))</f>
        <v/>
      </c>
    </row>
    <row r="2665">
      <c r="A2665" s="6" t="n"/>
      <c r="B2665" s="9" t="n"/>
      <c r="C2665" s="6" t="n"/>
      <c r="D2665" s="6" t="n"/>
      <c r="E2665" s="6" t="n"/>
      <c r="F2665" s="6" t="n"/>
      <c r="G2665" s="6" t="n"/>
      <c r="H2665" s="10">
        <f>IF(F2665="","",IFERROR(INDEX(Roster!$A$2:$A$600,MATCH(F2665,Roster!$E$2:$E$600,0)),""))</f>
        <v/>
      </c>
      <c r="I2665" s="10">
        <f>IF(AND(D2665="",C2665="",F2665=""),"",IF(G2665&lt;&gt;"","Void",IF(F2665="","Needs child",IF(H2665="","Child not found",IF(OR(B2665="",NOT(ISNUMBER(C2665))),"Needs month/pages","OK")))))</f>
        <v/>
      </c>
      <c r="J2665" s="10">
        <f>IF(I2665="","",IF(I2665="OK",IF(COUNTIFS(H2666:H$3001,H2665,B2666:B$3001,B2665,G2666:G$3001,"")=0,C2665,0),0))</f>
        <v/>
      </c>
    </row>
    <row r="2666">
      <c r="A2666" s="6" t="n"/>
      <c r="B2666" s="9" t="n"/>
      <c r="C2666" s="6" t="n"/>
      <c r="D2666" s="6" t="n"/>
      <c r="E2666" s="6" t="n"/>
      <c r="F2666" s="6" t="n"/>
      <c r="G2666" s="6" t="n"/>
      <c r="H2666" s="10">
        <f>IF(F2666="","",IFERROR(INDEX(Roster!$A$2:$A$600,MATCH(F2666,Roster!$E$2:$E$600,0)),""))</f>
        <v/>
      </c>
      <c r="I2666" s="10">
        <f>IF(AND(D2666="",C2666="",F2666=""),"",IF(G2666&lt;&gt;"","Void",IF(F2666="","Needs child",IF(H2666="","Child not found",IF(OR(B2666="",NOT(ISNUMBER(C2666))),"Needs month/pages","OK")))))</f>
        <v/>
      </c>
      <c r="J2666" s="10">
        <f>IF(I2666="","",IF(I2666="OK",IF(COUNTIFS(H2667:H$3001,H2666,B2667:B$3001,B2666,G2667:G$3001,"")=0,C2666,0),0))</f>
        <v/>
      </c>
    </row>
    <row r="2667">
      <c r="A2667" s="6" t="n"/>
      <c r="B2667" s="9" t="n"/>
      <c r="C2667" s="6" t="n"/>
      <c r="D2667" s="6" t="n"/>
      <c r="E2667" s="6" t="n"/>
      <c r="F2667" s="6" t="n"/>
      <c r="G2667" s="6" t="n"/>
      <c r="H2667" s="10">
        <f>IF(F2667="","",IFERROR(INDEX(Roster!$A$2:$A$600,MATCH(F2667,Roster!$E$2:$E$600,0)),""))</f>
        <v/>
      </c>
      <c r="I2667" s="10">
        <f>IF(AND(D2667="",C2667="",F2667=""),"",IF(G2667&lt;&gt;"","Void",IF(F2667="","Needs child",IF(H2667="","Child not found",IF(OR(B2667="",NOT(ISNUMBER(C2667))),"Needs month/pages","OK")))))</f>
        <v/>
      </c>
      <c r="J2667" s="10">
        <f>IF(I2667="","",IF(I2667="OK",IF(COUNTIFS(H2668:H$3001,H2667,B2668:B$3001,B2667,G2668:G$3001,"")=0,C2667,0),0))</f>
        <v/>
      </c>
    </row>
    <row r="2668">
      <c r="A2668" s="6" t="n"/>
      <c r="B2668" s="9" t="n"/>
      <c r="C2668" s="6" t="n"/>
      <c r="D2668" s="6" t="n"/>
      <c r="E2668" s="6" t="n"/>
      <c r="F2668" s="6" t="n"/>
      <c r="G2668" s="6" t="n"/>
      <c r="H2668" s="10">
        <f>IF(F2668="","",IFERROR(INDEX(Roster!$A$2:$A$600,MATCH(F2668,Roster!$E$2:$E$600,0)),""))</f>
        <v/>
      </c>
      <c r="I2668" s="10">
        <f>IF(AND(D2668="",C2668="",F2668=""),"",IF(G2668&lt;&gt;"","Void",IF(F2668="","Needs child",IF(H2668="","Child not found",IF(OR(B2668="",NOT(ISNUMBER(C2668))),"Needs month/pages","OK")))))</f>
        <v/>
      </c>
      <c r="J2668" s="10">
        <f>IF(I2668="","",IF(I2668="OK",IF(COUNTIFS(H2669:H$3001,H2668,B2669:B$3001,B2668,G2669:G$3001,"")=0,C2668,0),0))</f>
        <v/>
      </c>
    </row>
    <row r="2669">
      <c r="A2669" s="6" t="n"/>
      <c r="B2669" s="9" t="n"/>
      <c r="C2669" s="6" t="n"/>
      <c r="D2669" s="6" t="n"/>
      <c r="E2669" s="6" t="n"/>
      <c r="F2669" s="6" t="n"/>
      <c r="G2669" s="6" t="n"/>
      <c r="H2669" s="10">
        <f>IF(F2669="","",IFERROR(INDEX(Roster!$A$2:$A$600,MATCH(F2669,Roster!$E$2:$E$600,0)),""))</f>
        <v/>
      </c>
      <c r="I2669" s="10">
        <f>IF(AND(D2669="",C2669="",F2669=""),"",IF(G2669&lt;&gt;"","Void",IF(F2669="","Needs child",IF(H2669="","Child not found",IF(OR(B2669="",NOT(ISNUMBER(C2669))),"Needs month/pages","OK")))))</f>
        <v/>
      </c>
      <c r="J2669" s="10">
        <f>IF(I2669="","",IF(I2669="OK",IF(COUNTIFS(H2670:H$3001,H2669,B2670:B$3001,B2669,G2670:G$3001,"")=0,C2669,0),0))</f>
        <v/>
      </c>
    </row>
    <row r="2670">
      <c r="A2670" s="6" t="n"/>
      <c r="B2670" s="9" t="n"/>
      <c r="C2670" s="6" t="n"/>
      <c r="D2670" s="6" t="n"/>
      <c r="E2670" s="6" t="n"/>
      <c r="F2670" s="6" t="n"/>
      <c r="G2670" s="6" t="n"/>
      <c r="H2670" s="10">
        <f>IF(F2670="","",IFERROR(INDEX(Roster!$A$2:$A$600,MATCH(F2670,Roster!$E$2:$E$600,0)),""))</f>
        <v/>
      </c>
      <c r="I2670" s="10">
        <f>IF(AND(D2670="",C2670="",F2670=""),"",IF(G2670&lt;&gt;"","Void",IF(F2670="","Needs child",IF(H2670="","Child not found",IF(OR(B2670="",NOT(ISNUMBER(C2670))),"Needs month/pages","OK")))))</f>
        <v/>
      </c>
      <c r="J2670" s="10">
        <f>IF(I2670="","",IF(I2670="OK",IF(COUNTIFS(H2671:H$3001,H2670,B2671:B$3001,B2670,G2671:G$3001,"")=0,C2670,0),0))</f>
        <v/>
      </c>
    </row>
    <row r="2671">
      <c r="A2671" s="6" t="n"/>
      <c r="B2671" s="9" t="n"/>
      <c r="C2671" s="6" t="n"/>
      <c r="D2671" s="6" t="n"/>
      <c r="E2671" s="6" t="n"/>
      <c r="F2671" s="6" t="n"/>
      <c r="G2671" s="6" t="n"/>
      <c r="H2671" s="10">
        <f>IF(F2671="","",IFERROR(INDEX(Roster!$A$2:$A$600,MATCH(F2671,Roster!$E$2:$E$600,0)),""))</f>
        <v/>
      </c>
      <c r="I2671" s="10">
        <f>IF(AND(D2671="",C2671="",F2671=""),"",IF(G2671&lt;&gt;"","Void",IF(F2671="","Needs child",IF(H2671="","Child not found",IF(OR(B2671="",NOT(ISNUMBER(C2671))),"Needs month/pages","OK")))))</f>
        <v/>
      </c>
      <c r="J2671" s="10">
        <f>IF(I2671="","",IF(I2671="OK",IF(COUNTIFS(H2672:H$3001,H2671,B2672:B$3001,B2671,G2672:G$3001,"")=0,C2671,0),0))</f>
        <v/>
      </c>
    </row>
    <row r="2672">
      <c r="A2672" s="6" t="n"/>
      <c r="B2672" s="9" t="n"/>
      <c r="C2672" s="6" t="n"/>
      <c r="D2672" s="6" t="n"/>
      <c r="E2672" s="6" t="n"/>
      <c r="F2672" s="6" t="n"/>
      <c r="G2672" s="6" t="n"/>
      <c r="H2672" s="10">
        <f>IF(F2672="","",IFERROR(INDEX(Roster!$A$2:$A$600,MATCH(F2672,Roster!$E$2:$E$600,0)),""))</f>
        <v/>
      </c>
      <c r="I2672" s="10">
        <f>IF(AND(D2672="",C2672="",F2672=""),"",IF(G2672&lt;&gt;"","Void",IF(F2672="","Needs child",IF(H2672="","Child not found",IF(OR(B2672="",NOT(ISNUMBER(C2672))),"Needs month/pages","OK")))))</f>
        <v/>
      </c>
      <c r="J2672" s="10">
        <f>IF(I2672="","",IF(I2672="OK",IF(COUNTIFS(H2673:H$3001,H2672,B2673:B$3001,B2672,G2673:G$3001,"")=0,C2672,0),0))</f>
        <v/>
      </c>
    </row>
    <row r="2673">
      <c r="A2673" s="6" t="n"/>
      <c r="B2673" s="9" t="n"/>
      <c r="C2673" s="6" t="n"/>
      <c r="D2673" s="6" t="n"/>
      <c r="E2673" s="6" t="n"/>
      <c r="F2673" s="6" t="n"/>
      <c r="G2673" s="6" t="n"/>
      <c r="H2673" s="10">
        <f>IF(F2673="","",IFERROR(INDEX(Roster!$A$2:$A$600,MATCH(F2673,Roster!$E$2:$E$600,0)),""))</f>
        <v/>
      </c>
      <c r="I2673" s="10">
        <f>IF(AND(D2673="",C2673="",F2673=""),"",IF(G2673&lt;&gt;"","Void",IF(F2673="","Needs child",IF(H2673="","Child not found",IF(OR(B2673="",NOT(ISNUMBER(C2673))),"Needs month/pages","OK")))))</f>
        <v/>
      </c>
      <c r="J2673" s="10">
        <f>IF(I2673="","",IF(I2673="OK",IF(COUNTIFS(H2674:H$3001,H2673,B2674:B$3001,B2673,G2674:G$3001,"")=0,C2673,0),0))</f>
        <v/>
      </c>
    </row>
    <row r="2674">
      <c r="A2674" s="6" t="n"/>
      <c r="B2674" s="9" t="n"/>
      <c r="C2674" s="6" t="n"/>
      <c r="D2674" s="6" t="n"/>
      <c r="E2674" s="6" t="n"/>
      <c r="F2674" s="6" t="n"/>
      <c r="G2674" s="6" t="n"/>
      <c r="H2674" s="10">
        <f>IF(F2674="","",IFERROR(INDEX(Roster!$A$2:$A$600,MATCH(F2674,Roster!$E$2:$E$600,0)),""))</f>
        <v/>
      </c>
      <c r="I2674" s="10">
        <f>IF(AND(D2674="",C2674="",F2674=""),"",IF(G2674&lt;&gt;"","Void",IF(F2674="","Needs child",IF(H2674="","Child not found",IF(OR(B2674="",NOT(ISNUMBER(C2674))),"Needs month/pages","OK")))))</f>
        <v/>
      </c>
      <c r="J2674" s="10">
        <f>IF(I2674="","",IF(I2674="OK",IF(COUNTIFS(H2675:H$3001,H2674,B2675:B$3001,B2674,G2675:G$3001,"")=0,C2674,0),0))</f>
        <v/>
      </c>
    </row>
    <row r="2675">
      <c r="A2675" s="6" t="n"/>
      <c r="B2675" s="9" t="n"/>
      <c r="C2675" s="6" t="n"/>
      <c r="D2675" s="6" t="n"/>
      <c r="E2675" s="6" t="n"/>
      <c r="F2675" s="6" t="n"/>
      <c r="G2675" s="6" t="n"/>
      <c r="H2675" s="10">
        <f>IF(F2675="","",IFERROR(INDEX(Roster!$A$2:$A$600,MATCH(F2675,Roster!$E$2:$E$600,0)),""))</f>
        <v/>
      </c>
      <c r="I2675" s="10">
        <f>IF(AND(D2675="",C2675="",F2675=""),"",IF(G2675&lt;&gt;"","Void",IF(F2675="","Needs child",IF(H2675="","Child not found",IF(OR(B2675="",NOT(ISNUMBER(C2675))),"Needs month/pages","OK")))))</f>
        <v/>
      </c>
      <c r="J2675" s="10">
        <f>IF(I2675="","",IF(I2675="OK",IF(COUNTIFS(H2676:H$3001,H2675,B2676:B$3001,B2675,G2676:G$3001,"")=0,C2675,0),0))</f>
        <v/>
      </c>
    </row>
    <row r="2676">
      <c r="A2676" s="6" t="n"/>
      <c r="B2676" s="9" t="n"/>
      <c r="C2676" s="6" t="n"/>
      <c r="D2676" s="6" t="n"/>
      <c r="E2676" s="6" t="n"/>
      <c r="F2676" s="6" t="n"/>
      <c r="G2676" s="6" t="n"/>
      <c r="H2676" s="10">
        <f>IF(F2676="","",IFERROR(INDEX(Roster!$A$2:$A$600,MATCH(F2676,Roster!$E$2:$E$600,0)),""))</f>
        <v/>
      </c>
      <c r="I2676" s="10">
        <f>IF(AND(D2676="",C2676="",F2676=""),"",IF(G2676&lt;&gt;"","Void",IF(F2676="","Needs child",IF(H2676="","Child not found",IF(OR(B2676="",NOT(ISNUMBER(C2676))),"Needs month/pages","OK")))))</f>
        <v/>
      </c>
      <c r="J2676" s="10">
        <f>IF(I2676="","",IF(I2676="OK",IF(COUNTIFS(H2677:H$3001,H2676,B2677:B$3001,B2676,G2677:G$3001,"")=0,C2676,0),0))</f>
        <v/>
      </c>
    </row>
    <row r="2677">
      <c r="A2677" s="6" t="n"/>
      <c r="B2677" s="9" t="n"/>
      <c r="C2677" s="6" t="n"/>
      <c r="D2677" s="6" t="n"/>
      <c r="E2677" s="6" t="n"/>
      <c r="F2677" s="6" t="n"/>
      <c r="G2677" s="6" t="n"/>
      <c r="H2677" s="10">
        <f>IF(F2677="","",IFERROR(INDEX(Roster!$A$2:$A$600,MATCH(F2677,Roster!$E$2:$E$600,0)),""))</f>
        <v/>
      </c>
      <c r="I2677" s="10">
        <f>IF(AND(D2677="",C2677="",F2677=""),"",IF(G2677&lt;&gt;"","Void",IF(F2677="","Needs child",IF(H2677="","Child not found",IF(OR(B2677="",NOT(ISNUMBER(C2677))),"Needs month/pages","OK")))))</f>
        <v/>
      </c>
      <c r="J2677" s="10">
        <f>IF(I2677="","",IF(I2677="OK",IF(COUNTIFS(H2678:H$3001,H2677,B2678:B$3001,B2677,G2678:G$3001,"")=0,C2677,0),0))</f>
        <v/>
      </c>
    </row>
    <row r="2678">
      <c r="A2678" s="6" t="n"/>
      <c r="B2678" s="9" t="n"/>
      <c r="C2678" s="6" t="n"/>
      <c r="D2678" s="6" t="n"/>
      <c r="E2678" s="6" t="n"/>
      <c r="F2678" s="6" t="n"/>
      <c r="G2678" s="6" t="n"/>
      <c r="H2678" s="10">
        <f>IF(F2678="","",IFERROR(INDEX(Roster!$A$2:$A$600,MATCH(F2678,Roster!$E$2:$E$600,0)),""))</f>
        <v/>
      </c>
      <c r="I2678" s="10">
        <f>IF(AND(D2678="",C2678="",F2678=""),"",IF(G2678&lt;&gt;"","Void",IF(F2678="","Needs child",IF(H2678="","Child not found",IF(OR(B2678="",NOT(ISNUMBER(C2678))),"Needs month/pages","OK")))))</f>
        <v/>
      </c>
      <c r="J2678" s="10">
        <f>IF(I2678="","",IF(I2678="OK",IF(COUNTIFS(H2679:H$3001,H2678,B2679:B$3001,B2678,G2679:G$3001,"")=0,C2678,0),0))</f>
        <v/>
      </c>
    </row>
    <row r="2679">
      <c r="A2679" s="6" t="n"/>
      <c r="B2679" s="9" t="n"/>
      <c r="C2679" s="6" t="n"/>
      <c r="D2679" s="6" t="n"/>
      <c r="E2679" s="6" t="n"/>
      <c r="F2679" s="6" t="n"/>
      <c r="G2679" s="6" t="n"/>
      <c r="H2679" s="10">
        <f>IF(F2679="","",IFERROR(INDEX(Roster!$A$2:$A$600,MATCH(F2679,Roster!$E$2:$E$600,0)),""))</f>
        <v/>
      </c>
      <c r="I2679" s="10">
        <f>IF(AND(D2679="",C2679="",F2679=""),"",IF(G2679&lt;&gt;"","Void",IF(F2679="","Needs child",IF(H2679="","Child not found",IF(OR(B2679="",NOT(ISNUMBER(C2679))),"Needs month/pages","OK")))))</f>
        <v/>
      </c>
      <c r="J2679" s="10">
        <f>IF(I2679="","",IF(I2679="OK",IF(COUNTIFS(H2680:H$3001,H2679,B2680:B$3001,B2679,G2680:G$3001,"")=0,C2679,0),0))</f>
        <v/>
      </c>
    </row>
    <row r="2680">
      <c r="A2680" s="6" t="n"/>
      <c r="B2680" s="9" t="n"/>
      <c r="C2680" s="6" t="n"/>
      <c r="D2680" s="6" t="n"/>
      <c r="E2680" s="6" t="n"/>
      <c r="F2680" s="6" t="n"/>
      <c r="G2680" s="6" t="n"/>
      <c r="H2680" s="10">
        <f>IF(F2680="","",IFERROR(INDEX(Roster!$A$2:$A$600,MATCH(F2680,Roster!$E$2:$E$600,0)),""))</f>
        <v/>
      </c>
      <c r="I2680" s="10">
        <f>IF(AND(D2680="",C2680="",F2680=""),"",IF(G2680&lt;&gt;"","Void",IF(F2680="","Needs child",IF(H2680="","Child not found",IF(OR(B2680="",NOT(ISNUMBER(C2680))),"Needs month/pages","OK")))))</f>
        <v/>
      </c>
      <c r="J2680" s="10">
        <f>IF(I2680="","",IF(I2680="OK",IF(COUNTIFS(H2681:H$3001,H2680,B2681:B$3001,B2680,G2681:G$3001,"")=0,C2680,0),0))</f>
        <v/>
      </c>
    </row>
    <row r="2681">
      <c r="A2681" s="6" t="n"/>
      <c r="B2681" s="9" t="n"/>
      <c r="C2681" s="6" t="n"/>
      <c r="D2681" s="6" t="n"/>
      <c r="E2681" s="6" t="n"/>
      <c r="F2681" s="6" t="n"/>
      <c r="G2681" s="6" t="n"/>
      <c r="H2681" s="10">
        <f>IF(F2681="","",IFERROR(INDEX(Roster!$A$2:$A$600,MATCH(F2681,Roster!$E$2:$E$600,0)),""))</f>
        <v/>
      </c>
      <c r="I2681" s="10">
        <f>IF(AND(D2681="",C2681="",F2681=""),"",IF(G2681&lt;&gt;"","Void",IF(F2681="","Needs child",IF(H2681="","Child not found",IF(OR(B2681="",NOT(ISNUMBER(C2681))),"Needs month/pages","OK")))))</f>
        <v/>
      </c>
      <c r="J2681" s="10">
        <f>IF(I2681="","",IF(I2681="OK",IF(COUNTIFS(H2682:H$3001,H2681,B2682:B$3001,B2681,G2682:G$3001,"")=0,C2681,0),0))</f>
        <v/>
      </c>
    </row>
    <row r="2682">
      <c r="A2682" s="6" t="n"/>
      <c r="B2682" s="9" t="n"/>
      <c r="C2682" s="6" t="n"/>
      <c r="D2682" s="6" t="n"/>
      <c r="E2682" s="6" t="n"/>
      <c r="F2682" s="6" t="n"/>
      <c r="G2682" s="6" t="n"/>
      <c r="H2682" s="10">
        <f>IF(F2682="","",IFERROR(INDEX(Roster!$A$2:$A$600,MATCH(F2682,Roster!$E$2:$E$600,0)),""))</f>
        <v/>
      </c>
      <c r="I2682" s="10">
        <f>IF(AND(D2682="",C2682="",F2682=""),"",IF(G2682&lt;&gt;"","Void",IF(F2682="","Needs child",IF(H2682="","Child not found",IF(OR(B2682="",NOT(ISNUMBER(C2682))),"Needs month/pages","OK")))))</f>
        <v/>
      </c>
      <c r="J2682" s="10">
        <f>IF(I2682="","",IF(I2682="OK",IF(COUNTIFS(H2683:H$3001,H2682,B2683:B$3001,B2682,G2683:G$3001,"")=0,C2682,0),0))</f>
        <v/>
      </c>
    </row>
    <row r="2683">
      <c r="A2683" s="6" t="n"/>
      <c r="B2683" s="9" t="n"/>
      <c r="C2683" s="6" t="n"/>
      <c r="D2683" s="6" t="n"/>
      <c r="E2683" s="6" t="n"/>
      <c r="F2683" s="6" t="n"/>
      <c r="G2683" s="6" t="n"/>
      <c r="H2683" s="10">
        <f>IF(F2683="","",IFERROR(INDEX(Roster!$A$2:$A$600,MATCH(F2683,Roster!$E$2:$E$600,0)),""))</f>
        <v/>
      </c>
      <c r="I2683" s="10">
        <f>IF(AND(D2683="",C2683="",F2683=""),"",IF(G2683&lt;&gt;"","Void",IF(F2683="","Needs child",IF(H2683="","Child not found",IF(OR(B2683="",NOT(ISNUMBER(C2683))),"Needs month/pages","OK")))))</f>
        <v/>
      </c>
      <c r="J2683" s="10">
        <f>IF(I2683="","",IF(I2683="OK",IF(COUNTIFS(H2684:H$3001,H2683,B2684:B$3001,B2683,G2684:G$3001,"")=0,C2683,0),0))</f>
        <v/>
      </c>
    </row>
    <row r="2684">
      <c r="A2684" s="6" t="n"/>
      <c r="B2684" s="9" t="n"/>
      <c r="C2684" s="6" t="n"/>
      <c r="D2684" s="6" t="n"/>
      <c r="E2684" s="6" t="n"/>
      <c r="F2684" s="6" t="n"/>
      <c r="G2684" s="6" t="n"/>
      <c r="H2684" s="10">
        <f>IF(F2684="","",IFERROR(INDEX(Roster!$A$2:$A$600,MATCH(F2684,Roster!$E$2:$E$600,0)),""))</f>
        <v/>
      </c>
      <c r="I2684" s="10">
        <f>IF(AND(D2684="",C2684="",F2684=""),"",IF(G2684&lt;&gt;"","Void",IF(F2684="","Needs child",IF(H2684="","Child not found",IF(OR(B2684="",NOT(ISNUMBER(C2684))),"Needs month/pages","OK")))))</f>
        <v/>
      </c>
      <c r="J2684" s="10">
        <f>IF(I2684="","",IF(I2684="OK",IF(COUNTIFS(H2685:H$3001,H2684,B2685:B$3001,B2684,G2685:G$3001,"")=0,C2684,0),0))</f>
        <v/>
      </c>
    </row>
    <row r="2685">
      <c r="A2685" s="6" t="n"/>
      <c r="B2685" s="9" t="n"/>
      <c r="C2685" s="6" t="n"/>
      <c r="D2685" s="6" t="n"/>
      <c r="E2685" s="6" t="n"/>
      <c r="F2685" s="6" t="n"/>
      <c r="G2685" s="6" t="n"/>
      <c r="H2685" s="10">
        <f>IF(F2685="","",IFERROR(INDEX(Roster!$A$2:$A$600,MATCH(F2685,Roster!$E$2:$E$600,0)),""))</f>
        <v/>
      </c>
      <c r="I2685" s="10">
        <f>IF(AND(D2685="",C2685="",F2685=""),"",IF(G2685&lt;&gt;"","Void",IF(F2685="","Needs child",IF(H2685="","Child not found",IF(OR(B2685="",NOT(ISNUMBER(C2685))),"Needs month/pages","OK")))))</f>
        <v/>
      </c>
      <c r="J2685" s="10">
        <f>IF(I2685="","",IF(I2685="OK",IF(COUNTIFS(H2686:H$3001,H2685,B2686:B$3001,B2685,G2686:G$3001,"")=0,C2685,0),0))</f>
        <v/>
      </c>
    </row>
    <row r="2686">
      <c r="A2686" s="6" t="n"/>
      <c r="B2686" s="9" t="n"/>
      <c r="C2686" s="6" t="n"/>
      <c r="D2686" s="6" t="n"/>
      <c r="E2686" s="6" t="n"/>
      <c r="F2686" s="6" t="n"/>
      <c r="G2686" s="6" t="n"/>
      <c r="H2686" s="10">
        <f>IF(F2686="","",IFERROR(INDEX(Roster!$A$2:$A$600,MATCH(F2686,Roster!$E$2:$E$600,0)),""))</f>
        <v/>
      </c>
      <c r="I2686" s="10">
        <f>IF(AND(D2686="",C2686="",F2686=""),"",IF(G2686&lt;&gt;"","Void",IF(F2686="","Needs child",IF(H2686="","Child not found",IF(OR(B2686="",NOT(ISNUMBER(C2686))),"Needs month/pages","OK")))))</f>
        <v/>
      </c>
      <c r="J2686" s="10">
        <f>IF(I2686="","",IF(I2686="OK",IF(COUNTIFS(H2687:H$3001,H2686,B2687:B$3001,B2686,G2687:G$3001,"")=0,C2686,0),0))</f>
        <v/>
      </c>
    </row>
    <row r="2687">
      <c r="A2687" s="6" t="n"/>
      <c r="B2687" s="9" t="n"/>
      <c r="C2687" s="6" t="n"/>
      <c r="D2687" s="6" t="n"/>
      <c r="E2687" s="6" t="n"/>
      <c r="F2687" s="6" t="n"/>
      <c r="G2687" s="6" t="n"/>
      <c r="H2687" s="10">
        <f>IF(F2687="","",IFERROR(INDEX(Roster!$A$2:$A$600,MATCH(F2687,Roster!$E$2:$E$600,0)),""))</f>
        <v/>
      </c>
      <c r="I2687" s="10">
        <f>IF(AND(D2687="",C2687="",F2687=""),"",IF(G2687&lt;&gt;"","Void",IF(F2687="","Needs child",IF(H2687="","Child not found",IF(OR(B2687="",NOT(ISNUMBER(C2687))),"Needs month/pages","OK")))))</f>
        <v/>
      </c>
      <c r="J2687" s="10">
        <f>IF(I2687="","",IF(I2687="OK",IF(COUNTIFS(H2688:H$3001,H2687,B2688:B$3001,B2687,G2688:G$3001,"")=0,C2687,0),0))</f>
        <v/>
      </c>
    </row>
    <row r="2688">
      <c r="A2688" s="6" t="n"/>
      <c r="B2688" s="9" t="n"/>
      <c r="C2688" s="6" t="n"/>
      <c r="D2688" s="6" t="n"/>
      <c r="E2688" s="6" t="n"/>
      <c r="F2688" s="6" t="n"/>
      <c r="G2688" s="6" t="n"/>
      <c r="H2688" s="10">
        <f>IF(F2688="","",IFERROR(INDEX(Roster!$A$2:$A$600,MATCH(F2688,Roster!$E$2:$E$600,0)),""))</f>
        <v/>
      </c>
      <c r="I2688" s="10">
        <f>IF(AND(D2688="",C2688="",F2688=""),"",IF(G2688&lt;&gt;"","Void",IF(F2688="","Needs child",IF(H2688="","Child not found",IF(OR(B2688="",NOT(ISNUMBER(C2688))),"Needs month/pages","OK")))))</f>
        <v/>
      </c>
      <c r="J2688" s="10">
        <f>IF(I2688="","",IF(I2688="OK",IF(COUNTIFS(H2689:H$3001,H2688,B2689:B$3001,B2688,G2689:G$3001,"")=0,C2688,0),0))</f>
        <v/>
      </c>
    </row>
    <row r="2689">
      <c r="A2689" s="6" t="n"/>
      <c r="B2689" s="9" t="n"/>
      <c r="C2689" s="6" t="n"/>
      <c r="D2689" s="6" t="n"/>
      <c r="E2689" s="6" t="n"/>
      <c r="F2689" s="6" t="n"/>
      <c r="G2689" s="6" t="n"/>
      <c r="H2689" s="10">
        <f>IF(F2689="","",IFERROR(INDEX(Roster!$A$2:$A$600,MATCH(F2689,Roster!$E$2:$E$600,0)),""))</f>
        <v/>
      </c>
      <c r="I2689" s="10">
        <f>IF(AND(D2689="",C2689="",F2689=""),"",IF(G2689&lt;&gt;"","Void",IF(F2689="","Needs child",IF(H2689="","Child not found",IF(OR(B2689="",NOT(ISNUMBER(C2689))),"Needs month/pages","OK")))))</f>
        <v/>
      </c>
      <c r="J2689" s="10">
        <f>IF(I2689="","",IF(I2689="OK",IF(COUNTIFS(H2690:H$3001,H2689,B2690:B$3001,B2689,G2690:G$3001,"")=0,C2689,0),0))</f>
        <v/>
      </c>
    </row>
    <row r="2690">
      <c r="A2690" s="6" t="n"/>
      <c r="B2690" s="9" t="n"/>
      <c r="C2690" s="6" t="n"/>
      <c r="D2690" s="6" t="n"/>
      <c r="E2690" s="6" t="n"/>
      <c r="F2690" s="6" t="n"/>
      <c r="G2690" s="6" t="n"/>
      <c r="H2690" s="10">
        <f>IF(F2690="","",IFERROR(INDEX(Roster!$A$2:$A$600,MATCH(F2690,Roster!$E$2:$E$600,0)),""))</f>
        <v/>
      </c>
      <c r="I2690" s="10">
        <f>IF(AND(D2690="",C2690="",F2690=""),"",IF(G2690&lt;&gt;"","Void",IF(F2690="","Needs child",IF(H2690="","Child not found",IF(OR(B2690="",NOT(ISNUMBER(C2690))),"Needs month/pages","OK")))))</f>
        <v/>
      </c>
      <c r="J2690" s="10">
        <f>IF(I2690="","",IF(I2690="OK",IF(COUNTIFS(H2691:H$3001,H2690,B2691:B$3001,B2690,G2691:G$3001,"")=0,C2690,0),0))</f>
        <v/>
      </c>
    </row>
    <row r="2691">
      <c r="A2691" s="6" t="n"/>
      <c r="B2691" s="9" t="n"/>
      <c r="C2691" s="6" t="n"/>
      <c r="D2691" s="6" t="n"/>
      <c r="E2691" s="6" t="n"/>
      <c r="F2691" s="6" t="n"/>
      <c r="G2691" s="6" t="n"/>
      <c r="H2691" s="10">
        <f>IF(F2691="","",IFERROR(INDEX(Roster!$A$2:$A$600,MATCH(F2691,Roster!$E$2:$E$600,0)),""))</f>
        <v/>
      </c>
      <c r="I2691" s="10">
        <f>IF(AND(D2691="",C2691="",F2691=""),"",IF(G2691&lt;&gt;"","Void",IF(F2691="","Needs child",IF(H2691="","Child not found",IF(OR(B2691="",NOT(ISNUMBER(C2691))),"Needs month/pages","OK")))))</f>
        <v/>
      </c>
      <c r="J2691" s="10">
        <f>IF(I2691="","",IF(I2691="OK",IF(COUNTIFS(H2692:H$3001,H2691,B2692:B$3001,B2691,G2692:G$3001,"")=0,C2691,0),0))</f>
        <v/>
      </c>
    </row>
    <row r="2692">
      <c r="A2692" s="6" t="n"/>
      <c r="B2692" s="9" t="n"/>
      <c r="C2692" s="6" t="n"/>
      <c r="D2692" s="6" t="n"/>
      <c r="E2692" s="6" t="n"/>
      <c r="F2692" s="6" t="n"/>
      <c r="G2692" s="6" t="n"/>
      <c r="H2692" s="10">
        <f>IF(F2692="","",IFERROR(INDEX(Roster!$A$2:$A$600,MATCH(F2692,Roster!$E$2:$E$600,0)),""))</f>
        <v/>
      </c>
      <c r="I2692" s="10">
        <f>IF(AND(D2692="",C2692="",F2692=""),"",IF(G2692&lt;&gt;"","Void",IF(F2692="","Needs child",IF(H2692="","Child not found",IF(OR(B2692="",NOT(ISNUMBER(C2692))),"Needs month/pages","OK")))))</f>
        <v/>
      </c>
      <c r="J2692" s="10">
        <f>IF(I2692="","",IF(I2692="OK",IF(COUNTIFS(H2693:H$3001,H2692,B2693:B$3001,B2692,G2693:G$3001,"")=0,C2692,0),0))</f>
        <v/>
      </c>
    </row>
    <row r="2693">
      <c r="A2693" s="6" t="n"/>
      <c r="B2693" s="9" t="n"/>
      <c r="C2693" s="6" t="n"/>
      <c r="D2693" s="6" t="n"/>
      <c r="E2693" s="6" t="n"/>
      <c r="F2693" s="6" t="n"/>
      <c r="G2693" s="6" t="n"/>
      <c r="H2693" s="10">
        <f>IF(F2693="","",IFERROR(INDEX(Roster!$A$2:$A$600,MATCH(F2693,Roster!$E$2:$E$600,0)),""))</f>
        <v/>
      </c>
      <c r="I2693" s="10">
        <f>IF(AND(D2693="",C2693="",F2693=""),"",IF(G2693&lt;&gt;"","Void",IF(F2693="","Needs child",IF(H2693="","Child not found",IF(OR(B2693="",NOT(ISNUMBER(C2693))),"Needs month/pages","OK")))))</f>
        <v/>
      </c>
      <c r="J2693" s="10">
        <f>IF(I2693="","",IF(I2693="OK",IF(COUNTIFS(H2694:H$3001,H2693,B2694:B$3001,B2693,G2694:G$3001,"")=0,C2693,0),0))</f>
        <v/>
      </c>
    </row>
    <row r="2694">
      <c r="A2694" s="6" t="n"/>
      <c r="B2694" s="9" t="n"/>
      <c r="C2694" s="6" t="n"/>
      <c r="D2694" s="6" t="n"/>
      <c r="E2694" s="6" t="n"/>
      <c r="F2694" s="6" t="n"/>
      <c r="G2694" s="6" t="n"/>
      <c r="H2694" s="10">
        <f>IF(F2694="","",IFERROR(INDEX(Roster!$A$2:$A$600,MATCH(F2694,Roster!$E$2:$E$600,0)),""))</f>
        <v/>
      </c>
      <c r="I2694" s="10">
        <f>IF(AND(D2694="",C2694="",F2694=""),"",IF(G2694&lt;&gt;"","Void",IF(F2694="","Needs child",IF(H2694="","Child not found",IF(OR(B2694="",NOT(ISNUMBER(C2694))),"Needs month/pages","OK")))))</f>
        <v/>
      </c>
      <c r="J2694" s="10">
        <f>IF(I2694="","",IF(I2694="OK",IF(COUNTIFS(H2695:H$3001,H2694,B2695:B$3001,B2694,G2695:G$3001,"")=0,C2694,0),0))</f>
        <v/>
      </c>
    </row>
    <row r="2695">
      <c r="A2695" s="6" t="n"/>
      <c r="B2695" s="9" t="n"/>
      <c r="C2695" s="6" t="n"/>
      <c r="D2695" s="6" t="n"/>
      <c r="E2695" s="6" t="n"/>
      <c r="F2695" s="6" t="n"/>
      <c r="G2695" s="6" t="n"/>
      <c r="H2695" s="10">
        <f>IF(F2695="","",IFERROR(INDEX(Roster!$A$2:$A$600,MATCH(F2695,Roster!$E$2:$E$600,0)),""))</f>
        <v/>
      </c>
      <c r="I2695" s="10">
        <f>IF(AND(D2695="",C2695="",F2695=""),"",IF(G2695&lt;&gt;"","Void",IF(F2695="","Needs child",IF(H2695="","Child not found",IF(OR(B2695="",NOT(ISNUMBER(C2695))),"Needs month/pages","OK")))))</f>
        <v/>
      </c>
      <c r="J2695" s="10">
        <f>IF(I2695="","",IF(I2695="OK",IF(COUNTIFS(H2696:H$3001,H2695,B2696:B$3001,B2695,G2696:G$3001,"")=0,C2695,0),0))</f>
        <v/>
      </c>
    </row>
    <row r="2696">
      <c r="A2696" s="6" t="n"/>
      <c r="B2696" s="9" t="n"/>
      <c r="C2696" s="6" t="n"/>
      <c r="D2696" s="6" t="n"/>
      <c r="E2696" s="6" t="n"/>
      <c r="F2696" s="6" t="n"/>
      <c r="G2696" s="6" t="n"/>
      <c r="H2696" s="10">
        <f>IF(F2696="","",IFERROR(INDEX(Roster!$A$2:$A$600,MATCH(F2696,Roster!$E$2:$E$600,0)),""))</f>
        <v/>
      </c>
      <c r="I2696" s="10">
        <f>IF(AND(D2696="",C2696="",F2696=""),"",IF(G2696&lt;&gt;"","Void",IF(F2696="","Needs child",IF(H2696="","Child not found",IF(OR(B2696="",NOT(ISNUMBER(C2696))),"Needs month/pages","OK")))))</f>
        <v/>
      </c>
      <c r="J2696" s="10">
        <f>IF(I2696="","",IF(I2696="OK",IF(COUNTIFS(H2697:H$3001,H2696,B2697:B$3001,B2696,G2697:G$3001,"")=0,C2696,0),0))</f>
        <v/>
      </c>
    </row>
    <row r="2697">
      <c r="A2697" s="6" t="n"/>
      <c r="B2697" s="9" t="n"/>
      <c r="C2697" s="6" t="n"/>
      <c r="D2697" s="6" t="n"/>
      <c r="E2697" s="6" t="n"/>
      <c r="F2697" s="6" t="n"/>
      <c r="G2697" s="6" t="n"/>
      <c r="H2697" s="10">
        <f>IF(F2697="","",IFERROR(INDEX(Roster!$A$2:$A$600,MATCH(F2697,Roster!$E$2:$E$600,0)),""))</f>
        <v/>
      </c>
      <c r="I2697" s="10">
        <f>IF(AND(D2697="",C2697="",F2697=""),"",IF(G2697&lt;&gt;"","Void",IF(F2697="","Needs child",IF(H2697="","Child not found",IF(OR(B2697="",NOT(ISNUMBER(C2697))),"Needs month/pages","OK")))))</f>
        <v/>
      </c>
      <c r="J2697" s="10">
        <f>IF(I2697="","",IF(I2697="OK",IF(COUNTIFS(H2698:H$3001,H2697,B2698:B$3001,B2697,G2698:G$3001,"")=0,C2697,0),0))</f>
        <v/>
      </c>
    </row>
    <row r="2698">
      <c r="A2698" s="6" t="n"/>
      <c r="B2698" s="9" t="n"/>
      <c r="C2698" s="6" t="n"/>
      <c r="D2698" s="6" t="n"/>
      <c r="E2698" s="6" t="n"/>
      <c r="F2698" s="6" t="n"/>
      <c r="G2698" s="6" t="n"/>
      <c r="H2698" s="10">
        <f>IF(F2698="","",IFERROR(INDEX(Roster!$A$2:$A$600,MATCH(F2698,Roster!$E$2:$E$600,0)),""))</f>
        <v/>
      </c>
      <c r="I2698" s="10">
        <f>IF(AND(D2698="",C2698="",F2698=""),"",IF(G2698&lt;&gt;"","Void",IF(F2698="","Needs child",IF(H2698="","Child not found",IF(OR(B2698="",NOT(ISNUMBER(C2698))),"Needs month/pages","OK")))))</f>
        <v/>
      </c>
      <c r="J2698" s="10">
        <f>IF(I2698="","",IF(I2698="OK",IF(COUNTIFS(H2699:H$3001,H2698,B2699:B$3001,B2698,G2699:G$3001,"")=0,C2698,0),0))</f>
        <v/>
      </c>
    </row>
    <row r="2699">
      <c r="A2699" s="6" t="n"/>
      <c r="B2699" s="9" t="n"/>
      <c r="C2699" s="6" t="n"/>
      <c r="D2699" s="6" t="n"/>
      <c r="E2699" s="6" t="n"/>
      <c r="F2699" s="6" t="n"/>
      <c r="G2699" s="6" t="n"/>
      <c r="H2699" s="10">
        <f>IF(F2699="","",IFERROR(INDEX(Roster!$A$2:$A$600,MATCH(F2699,Roster!$E$2:$E$600,0)),""))</f>
        <v/>
      </c>
      <c r="I2699" s="10">
        <f>IF(AND(D2699="",C2699="",F2699=""),"",IF(G2699&lt;&gt;"","Void",IF(F2699="","Needs child",IF(H2699="","Child not found",IF(OR(B2699="",NOT(ISNUMBER(C2699))),"Needs month/pages","OK")))))</f>
        <v/>
      </c>
      <c r="J2699" s="10">
        <f>IF(I2699="","",IF(I2699="OK",IF(COUNTIFS(H2700:H$3001,H2699,B2700:B$3001,B2699,G2700:G$3001,"")=0,C2699,0),0))</f>
        <v/>
      </c>
    </row>
    <row r="2700">
      <c r="A2700" s="6" t="n"/>
      <c r="B2700" s="9" t="n"/>
      <c r="C2700" s="6" t="n"/>
      <c r="D2700" s="6" t="n"/>
      <c r="E2700" s="6" t="n"/>
      <c r="F2700" s="6" t="n"/>
      <c r="G2700" s="6" t="n"/>
      <c r="H2700" s="10">
        <f>IF(F2700="","",IFERROR(INDEX(Roster!$A$2:$A$600,MATCH(F2700,Roster!$E$2:$E$600,0)),""))</f>
        <v/>
      </c>
      <c r="I2700" s="10">
        <f>IF(AND(D2700="",C2700="",F2700=""),"",IF(G2700&lt;&gt;"","Void",IF(F2700="","Needs child",IF(H2700="","Child not found",IF(OR(B2700="",NOT(ISNUMBER(C2700))),"Needs month/pages","OK")))))</f>
        <v/>
      </c>
      <c r="J2700" s="10">
        <f>IF(I2700="","",IF(I2700="OK",IF(COUNTIFS(H2701:H$3001,H2700,B2701:B$3001,B2700,G2701:G$3001,"")=0,C2700,0),0))</f>
        <v/>
      </c>
    </row>
    <row r="2701">
      <c r="A2701" s="6" t="n"/>
      <c r="B2701" s="9" t="n"/>
      <c r="C2701" s="6" t="n"/>
      <c r="D2701" s="6" t="n"/>
      <c r="E2701" s="6" t="n"/>
      <c r="F2701" s="6" t="n"/>
      <c r="G2701" s="6" t="n"/>
      <c r="H2701" s="10">
        <f>IF(F2701="","",IFERROR(INDEX(Roster!$A$2:$A$600,MATCH(F2701,Roster!$E$2:$E$600,0)),""))</f>
        <v/>
      </c>
      <c r="I2701" s="10">
        <f>IF(AND(D2701="",C2701="",F2701=""),"",IF(G2701&lt;&gt;"","Void",IF(F2701="","Needs child",IF(H2701="","Child not found",IF(OR(B2701="",NOT(ISNUMBER(C2701))),"Needs month/pages","OK")))))</f>
        <v/>
      </c>
      <c r="J2701" s="10">
        <f>IF(I2701="","",IF(I2701="OK",IF(COUNTIFS(H2702:H$3001,H2701,B2702:B$3001,B2701,G2702:G$3001,"")=0,C2701,0),0))</f>
        <v/>
      </c>
    </row>
    <row r="2702">
      <c r="A2702" s="6" t="n"/>
      <c r="B2702" s="9" t="n"/>
      <c r="C2702" s="6" t="n"/>
      <c r="D2702" s="6" t="n"/>
      <c r="E2702" s="6" t="n"/>
      <c r="F2702" s="6" t="n"/>
      <c r="G2702" s="6" t="n"/>
      <c r="H2702" s="10">
        <f>IF(F2702="","",IFERROR(INDEX(Roster!$A$2:$A$600,MATCH(F2702,Roster!$E$2:$E$600,0)),""))</f>
        <v/>
      </c>
      <c r="I2702" s="10">
        <f>IF(AND(D2702="",C2702="",F2702=""),"",IF(G2702&lt;&gt;"","Void",IF(F2702="","Needs child",IF(H2702="","Child not found",IF(OR(B2702="",NOT(ISNUMBER(C2702))),"Needs month/pages","OK")))))</f>
        <v/>
      </c>
      <c r="J2702" s="10">
        <f>IF(I2702="","",IF(I2702="OK",IF(COUNTIFS(H2703:H$3001,H2702,B2703:B$3001,B2702,G2703:G$3001,"")=0,C2702,0),0))</f>
        <v/>
      </c>
    </row>
    <row r="2703">
      <c r="A2703" s="6" t="n"/>
      <c r="B2703" s="9" t="n"/>
      <c r="C2703" s="6" t="n"/>
      <c r="D2703" s="6" t="n"/>
      <c r="E2703" s="6" t="n"/>
      <c r="F2703" s="6" t="n"/>
      <c r="G2703" s="6" t="n"/>
      <c r="H2703" s="10">
        <f>IF(F2703="","",IFERROR(INDEX(Roster!$A$2:$A$600,MATCH(F2703,Roster!$E$2:$E$600,0)),""))</f>
        <v/>
      </c>
      <c r="I2703" s="10">
        <f>IF(AND(D2703="",C2703="",F2703=""),"",IF(G2703&lt;&gt;"","Void",IF(F2703="","Needs child",IF(H2703="","Child not found",IF(OR(B2703="",NOT(ISNUMBER(C2703))),"Needs month/pages","OK")))))</f>
        <v/>
      </c>
      <c r="J2703" s="10">
        <f>IF(I2703="","",IF(I2703="OK",IF(COUNTIFS(H2704:H$3001,H2703,B2704:B$3001,B2703,G2704:G$3001,"")=0,C2703,0),0))</f>
        <v/>
      </c>
    </row>
    <row r="2704">
      <c r="A2704" s="6" t="n"/>
      <c r="B2704" s="9" t="n"/>
      <c r="C2704" s="6" t="n"/>
      <c r="D2704" s="6" t="n"/>
      <c r="E2704" s="6" t="n"/>
      <c r="F2704" s="6" t="n"/>
      <c r="G2704" s="6" t="n"/>
      <c r="H2704" s="10">
        <f>IF(F2704="","",IFERROR(INDEX(Roster!$A$2:$A$600,MATCH(F2704,Roster!$E$2:$E$600,0)),""))</f>
        <v/>
      </c>
      <c r="I2704" s="10">
        <f>IF(AND(D2704="",C2704="",F2704=""),"",IF(G2704&lt;&gt;"","Void",IF(F2704="","Needs child",IF(H2704="","Child not found",IF(OR(B2704="",NOT(ISNUMBER(C2704))),"Needs month/pages","OK")))))</f>
        <v/>
      </c>
      <c r="J2704" s="10">
        <f>IF(I2704="","",IF(I2704="OK",IF(COUNTIFS(H2705:H$3001,H2704,B2705:B$3001,B2704,G2705:G$3001,"")=0,C2704,0),0))</f>
        <v/>
      </c>
    </row>
    <row r="2705">
      <c r="A2705" s="6" t="n"/>
      <c r="B2705" s="9" t="n"/>
      <c r="C2705" s="6" t="n"/>
      <c r="D2705" s="6" t="n"/>
      <c r="E2705" s="6" t="n"/>
      <c r="F2705" s="6" t="n"/>
      <c r="G2705" s="6" t="n"/>
      <c r="H2705" s="10">
        <f>IF(F2705="","",IFERROR(INDEX(Roster!$A$2:$A$600,MATCH(F2705,Roster!$E$2:$E$600,0)),""))</f>
        <v/>
      </c>
      <c r="I2705" s="10">
        <f>IF(AND(D2705="",C2705="",F2705=""),"",IF(G2705&lt;&gt;"","Void",IF(F2705="","Needs child",IF(H2705="","Child not found",IF(OR(B2705="",NOT(ISNUMBER(C2705))),"Needs month/pages","OK")))))</f>
        <v/>
      </c>
      <c r="J2705" s="10">
        <f>IF(I2705="","",IF(I2705="OK",IF(COUNTIFS(H2706:H$3001,H2705,B2706:B$3001,B2705,G2706:G$3001,"")=0,C2705,0),0))</f>
        <v/>
      </c>
    </row>
    <row r="2706">
      <c r="A2706" s="6" t="n"/>
      <c r="B2706" s="9" t="n"/>
      <c r="C2706" s="6" t="n"/>
      <c r="D2706" s="6" t="n"/>
      <c r="E2706" s="6" t="n"/>
      <c r="F2706" s="6" t="n"/>
      <c r="G2706" s="6" t="n"/>
      <c r="H2706" s="10">
        <f>IF(F2706="","",IFERROR(INDEX(Roster!$A$2:$A$600,MATCH(F2706,Roster!$E$2:$E$600,0)),""))</f>
        <v/>
      </c>
      <c r="I2706" s="10">
        <f>IF(AND(D2706="",C2706="",F2706=""),"",IF(G2706&lt;&gt;"","Void",IF(F2706="","Needs child",IF(H2706="","Child not found",IF(OR(B2706="",NOT(ISNUMBER(C2706))),"Needs month/pages","OK")))))</f>
        <v/>
      </c>
      <c r="J2706" s="10">
        <f>IF(I2706="","",IF(I2706="OK",IF(COUNTIFS(H2707:H$3001,H2706,B2707:B$3001,B2706,G2707:G$3001,"")=0,C2706,0),0))</f>
        <v/>
      </c>
    </row>
    <row r="2707">
      <c r="A2707" s="6" t="n"/>
      <c r="B2707" s="9" t="n"/>
      <c r="C2707" s="6" t="n"/>
      <c r="D2707" s="6" t="n"/>
      <c r="E2707" s="6" t="n"/>
      <c r="F2707" s="6" t="n"/>
      <c r="G2707" s="6" t="n"/>
      <c r="H2707" s="10">
        <f>IF(F2707="","",IFERROR(INDEX(Roster!$A$2:$A$600,MATCH(F2707,Roster!$E$2:$E$600,0)),""))</f>
        <v/>
      </c>
      <c r="I2707" s="10">
        <f>IF(AND(D2707="",C2707="",F2707=""),"",IF(G2707&lt;&gt;"","Void",IF(F2707="","Needs child",IF(H2707="","Child not found",IF(OR(B2707="",NOT(ISNUMBER(C2707))),"Needs month/pages","OK")))))</f>
        <v/>
      </c>
      <c r="J2707" s="10">
        <f>IF(I2707="","",IF(I2707="OK",IF(COUNTIFS(H2708:H$3001,H2707,B2708:B$3001,B2707,G2708:G$3001,"")=0,C2707,0),0))</f>
        <v/>
      </c>
    </row>
    <row r="2708">
      <c r="A2708" s="6" t="n"/>
      <c r="B2708" s="9" t="n"/>
      <c r="C2708" s="6" t="n"/>
      <c r="D2708" s="6" t="n"/>
      <c r="E2708" s="6" t="n"/>
      <c r="F2708" s="6" t="n"/>
      <c r="G2708" s="6" t="n"/>
      <c r="H2708" s="10">
        <f>IF(F2708="","",IFERROR(INDEX(Roster!$A$2:$A$600,MATCH(F2708,Roster!$E$2:$E$600,0)),""))</f>
        <v/>
      </c>
      <c r="I2708" s="10">
        <f>IF(AND(D2708="",C2708="",F2708=""),"",IF(G2708&lt;&gt;"","Void",IF(F2708="","Needs child",IF(H2708="","Child not found",IF(OR(B2708="",NOT(ISNUMBER(C2708))),"Needs month/pages","OK")))))</f>
        <v/>
      </c>
      <c r="J2708" s="10">
        <f>IF(I2708="","",IF(I2708="OK",IF(COUNTIFS(H2709:H$3001,H2708,B2709:B$3001,B2708,G2709:G$3001,"")=0,C2708,0),0))</f>
        <v/>
      </c>
    </row>
    <row r="2709">
      <c r="A2709" s="6" t="n"/>
      <c r="B2709" s="9" t="n"/>
      <c r="C2709" s="6" t="n"/>
      <c r="D2709" s="6" t="n"/>
      <c r="E2709" s="6" t="n"/>
      <c r="F2709" s="6" t="n"/>
      <c r="G2709" s="6" t="n"/>
      <c r="H2709" s="10">
        <f>IF(F2709="","",IFERROR(INDEX(Roster!$A$2:$A$600,MATCH(F2709,Roster!$E$2:$E$600,0)),""))</f>
        <v/>
      </c>
      <c r="I2709" s="10">
        <f>IF(AND(D2709="",C2709="",F2709=""),"",IF(G2709&lt;&gt;"","Void",IF(F2709="","Needs child",IF(H2709="","Child not found",IF(OR(B2709="",NOT(ISNUMBER(C2709))),"Needs month/pages","OK")))))</f>
        <v/>
      </c>
      <c r="J2709" s="10">
        <f>IF(I2709="","",IF(I2709="OK",IF(COUNTIFS(H2710:H$3001,H2709,B2710:B$3001,B2709,G2710:G$3001,"")=0,C2709,0),0))</f>
        <v/>
      </c>
    </row>
    <row r="2710">
      <c r="A2710" s="6" t="n"/>
      <c r="B2710" s="9" t="n"/>
      <c r="C2710" s="6" t="n"/>
      <c r="D2710" s="6" t="n"/>
      <c r="E2710" s="6" t="n"/>
      <c r="F2710" s="6" t="n"/>
      <c r="G2710" s="6" t="n"/>
      <c r="H2710" s="10">
        <f>IF(F2710="","",IFERROR(INDEX(Roster!$A$2:$A$600,MATCH(F2710,Roster!$E$2:$E$600,0)),""))</f>
        <v/>
      </c>
      <c r="I2710" s="10">
        <f>IF(AND(D2710="",C2710="",F2710=""),"",IF(G2710&lt;&gt;"","Void",IF(F2710="","Needs child",IF(H2710="","Child not found",IF(OR(B2710="",NOT(ISNUMBER(C2710))),"Needs month/pages","OK")))))</f>
        <v/>
      </c>
      <c r="J2710" s="10">
        <f>IF(I2710="","",IF(I2710="OK",IF(COUNTIFS(H2711:H$3001,H2710,B2711:B$3001,B2710,G2711:G$3001,"")=0,C2710,0),0))</f>
        <v/>
      </c>
    </row>
    <row r="2711">
      <c r="A2711" s="6" t="n"/>
      <c r="B2711" s="9" t="n"/>
      <c r="C2711" s="6" t="n"/>
      <c r="D2711" s="6" t="n"/>
      <c r="E2711" s="6" t="n"/>
      <c r="F2711" s="6" t="n"/>
      <c r="G2711" s="6" t="n"/>
      <c r="H2711" s="10">
        <f>IF(F2711="","",IFERROR(INDEX(Roster!$A$2:$A$600,MATCH(F2711,Roster!$E$2:$E$600,0)),""))</f>
        <v/>
      </c>
      <c r="I2711" s="10">
        <f>IF(AND(D2711="",C2711="",F2711=""),"",IF(G2711&lt;&gt;"","Void",IF(F2711="","Needs child",IF(H2711="","Child not found",IF(OR(B2711="",NOT(ISNUMBER(C2711))),"Needs month/pages","OK")))))</f>
        <v/>
      </c>
      <c r="J2711" s="10">
        <f>IF(I2711="","",IF(I2711="OK",IF(COUNTIFS(H2712:H$3001,H2711,B2712:B$3001,B2711,G2712:G$3001,"")=0,C2711,0),0))</f>
        <v/>
      </c>
    </row>
    <row r="2712">
      <c r="A2712" s="6" t="n"/>
      <c r="B2712" s="9" t="n"/>
      <c r="C2712" s="6" t="n"/>
      <c r="D2712" s="6" t="n"/>
      <c r="E2712" s="6" t="n"/>
      <c r="F2712" s="6" t="n"/>
      <c r="G2712" s="6" t="n"/>
      <c r="H2712" s="10">
        <f>IF(F2712="","",IFERROR(INDEX(Roster!$A$2:$A$600,MATCH(F2712,Roster!$E$2:$E$600,0)),""))</f>
        <v/>
      </c>
      <c r="I2712" s="10">
        <f>IF(AND(D2712="",C2712="",F2712=""),"",IF(G2712&lt;&gt;"","Void",IF(F2712="","Needs child",IF(H2712="","Child not found",IF(OR(B2712="",NOT(ISNUMBER(C2712))),"Needs month/pages","OK")))))</f>
        <v/>
      </c>
      <c r="J2712" s="10">
        <f>IF(I2712="","",IF(I2712="OK",IF(COUNTIFS(H2713:H$3001,H2712,B2713:B$3001,B2712,G2713:G$3001,"")=0,C2712,0),0))</f>
        <v/>
      </c>
    </row>
    <row r="2713">
      <c r="A2713" s="6" t="n"/>
      <c r="B2713" s="9" t="n"/>
      <c r="C2713" s="6" t="n"/>
      <c r="D2713" s="6" t="n"/>
      <c r="E2713" s="6" t="n"/>
      <c r="F2713" s="6" t="n"/>
      <c r="G2713" s="6" t="n"/>
      <c r="H2713" s="10">
        <f>IF(F2713="","",IFERROR(INDEX(Roster!$A$2:$A$600,MATCH(F2713,Roster!$E$2:$E$600,0)),""))</f>
        <v/>
      </c>
      <c r="I2713" s="10">
        <f>IF(AND(D2713="",C2713="",F2713=""),"",IF(G2713&lt;&gt;"","Void",IF(F2713="","Needs child",IF(H2713="","Child not found",IF(OR(B2713="",NOT(ISNUMBER(C2713))),"Needs month/pages","OK")))))</f>
        <v/>
      </c>
      <c r="J2713" s="10">
        <f>IF(I2713="","",IF(I2713="OK",IF(COUNTIFS(H2714:H$3001,H2713,B2714:B$3001,B2713,G2714:G$3001,"")=0,C2713,0),0))</f>
        <v/>
      </c>
    </row>
    <row r="2714">
      <c r="A2714" s="6" t="n"/>
      <c r="B2714" s="9" t="n"/>
      <c r="C2714" s="6" t="n"/>
      <c r="D2714" s="6" t="n"/>
      <c r="E2714" s="6" t="n"/>
      <c r="F2714" s="6" t="n"/>
      <c r="G2714" s="6" t="n"/>
      <c r="H2714" s="10">
        <f>IF(F2714="","",IFERROR(INDEX(Roster!$A$2:$A$600,MATCH(F2714,Roster!$E$2:$E$600,0)),""))</f>
        <v/>
      </c>
      <c r="I2714" s="10">
        <f>IF(AND(D2714="",C2714="",F2714=""),"",IF(G2714&lt;&gt;"","Void",IF(F2714="","Needs child",IF(H2714="","Child not found",IF(OR(B2714="",NOT(ISNUMBER(C2714))),"Needs month/pages","OK")))))</f>
        <v/>
      </c>
      <c r="J2714" s="10">
        <f>IF(I2714="","",IF(I2714="OK",IF(COUNTIFS(H2715:H$3001,H2714,B2715:B$3001,B2714,G2715:G$3001,"")=0,C2714,0),0))</f>
        <v/>
      </c>
    </row>
    <row r="2715">
      <c r="A2715" s="6" t="n"/>
      <c r="B2715" s="9" t="n"/>
      <c r="C2715" s="6" t="n"/>
      <c r="D2715" s="6" t="n"/>
      <c r="E2715" s="6" t="n"/>
      <c r="F2715" s="6" t="n"/>
      <c r="G2715" s="6" t="n"/>
      <c r="H2715" s="10">
        <f>IF(F2715="","",IFERROR(INDEX(Roster!$A$2:$A$600,MATCH(F2715,Roster!$E$2:$E$600,0)),""))</f>
        <v/>
      </c>
      <c r="I2715" s="10">
        <f>IF(AND(D2715="",C2715="",F2715=""),"",IF(G2715&lt;&gt;"","Void",IF(F2715="","Needs child",IF(H2715="","Child not found",IF(OR(B2715="",NOT(ISNUMBER(C2715))),"Needs month/pages","OK")))))</f>
        <v/>
      </c>
      <c r="J2715" s="10">
        <f>IF(I2715="","",IF(I2715="OK",IF(COUNTIFS(H2716:H$3001,H2715,B2716:B$3001,B2715,G2716:G$3001,"")=0,C2715,0),0))</f>
        <v/>
      </c>
    </row>
    <row r="2716">
      <c r="A2716" s="6" t="n"/>
      <c r="B2716" s="9" t="n"/>
      <c r="C2716" s="6" t="n"/>
      <c r="D2716" s="6" t="n"/>
      <c r="E2716" s="6" t="n"/>
      <c r="F2716" s="6" t="n"/>
      <c r="G2716" s="6" t="n"/>
      <c r="H2716" s="10">
        <f>IF(F2716="","",IFERROR(INDEX(Roster!$A$2:$A$600,MATCH(F2716,Roster!$E$2:$E$600,0)),""))</f>
        <v/>
      </c>
      <c r="I2716" s="10">
        <f>IF(AND(D2716="",C2716="",F2716=""),"",IF(G2716&lt;&gt;"","Void",IF(F2716="","Needs child",IF(H2716="","Child not found",IF(OR(B2716="",NOT(ISNUMBER(C2716))),"Needs month/pages","OK")))))</f>
        <v/>
      </c>
      <c r="J2716" s="10">
        <f>IF(I2716="","",IF(I2716="OK",IF(COUNTIFS(H2717:H$3001,H2716,B2717:B$3001,B2716,G2717:G$3001,"")=0,C2716,0),0))</f>
        <v/>
      </c>
    </row>
    <row r="2717">
      <c r="A2717" s="6" t="n"/>
      <c r="B2717" s="9" t="n"/>
      <c r="C2717" s="6" t="n"/>
      <c r="D2717" s="6" t="n"/>
      <c r="E2717" s="6" t="n"/>
      <c r="F2717" s="6" t="n"/>
      <c r="G2717" s="6" t="n"/>
      <c r="H2717" s="10">
        <f>IF(F2717="","",IFERROR(INDEX(Roster!$A$2:$A$600,MATCH(F2717,Roster!$E$2:$E$600,0)),""))</f>
        <v/>
      </c>
      <c r="I2717" s="10">
        <f>IF(AND(D2717="",C2717="",F2717=""),"",IF(G2717&lt;&gt;"","Void",IF(F2717="","Needs child",IF(H2717="","Child not found",IF(OR(B2717="",NOT(ISNUMBER(C2717))),"Needs month/pages","OK")))))</f>
        <v/>
      </c>
      <c r="J2717" s="10">
        <f>IF(I2717="","",IF(I2717="OK",IF(COUNTIFS(H2718:H$3001,H2717,B2718:B$3001,B2717,G2718:G$3001,"")=0,C2717,0),0))</f>
        <v/>
      </c>
    </row>
    <row r="2718">
      <c r="A2718" s="6" t="n"/>
      <c r="B2718" s="9" t="n"/>
      <c r="C2718" s="6" t="n"/>
      <c r="D2718" s="6" t="n"/>
      <c r="E2718" s="6" t="n"/>
      <c r="F2718" s="6" t="n"/>
      <c r="G2718" s="6" t="n"/>
      <c r="H2718" s="10">
        <f>IF(F2718="","",IFERROR(INDEX(Roster!$A$2:$A$600,MATCH(F2718,Roster!$E$2:$E$600,0)),""))</f>
        <v/>
      </c>
      <c r="I2718" s="10">
        <f>IF(AND(D2718="",C2718="",F2718=""),"",IF(G2718&lt;&gt;"","Void",IF(F2718="","Needs child",IF(H2718="","Child not found",IF(OR(B2718="",NOT(ISNUMBER(C2718))),"Needs month/pages","OK")))))</f>
        <v/>
      </c>
      <c r="J2718" s="10">
        <f>IF(I2718="","",IF(I2718="OK",IF(COUNTIFS(H2719:H$3001,H2718,B2719:B$3001,B2718,G2719:G$3001,"")=0,C2718,0),0))</f>
        <v/>
      </c>
    </row>
    <row r="2719">
      <c r="A2719" s="6" t="n"/>
      <c r="B2719" s="9" t="n"/>
      <c r="C2719" s="6" t="n"/>
      <c r="D2719" s="6" t="n"/>
      <c r="E2719" s="6" t="n"/>
      <c r="F2719" s="6" t="n"/>
      <c r="G2719" s="6" t="n"/>
      <c r="H2719" s="10">
        <f>IF(F2719="","",IFERROR(INDEX(Roster!$A$2:$A$600,MATCH(F2719,Roster!$E$2:$E$600,0)),""))</f>
        <v/>
      </c>
      <c r="I2719" s="10">
        <f>IF(AND(D2719="",C2719="",F2719=""),"",IF(G2719&lt;&gt;"","Void",IF(F2719="","Needs child",IF(H2719="","Child not found",IF(OR(B2719="",NOT(ISNUMBER(C2719))),"Needs month/pages","OK")))))</f>
        <v/>
      </c>
      <c r="J2719" s="10">
        <f>IF(I2719="","",IF(I2719="OK",IF(COUNTIFS(H2720:H$3001,H2719,B2720:B$3001,B2719,G2720:G$3001,"")=0,C2719,0),0))</f>
        <v/>
      </c>
    </row>
    <row r="2720">
      <c r="A2720" s="6" t="n"/>
      <c r="B2720" s="9" t="n"/>
      <c r="C2720" s="6" t="n"/>
      <c r="D2720" s="6" t="n"/>
      <c r="E2720" s="6" t="n"/>
      <c r="F2720" s="6" t="n"/>
      <c r="G2720" s="6" t="n"/>
      <c r="H2720" s="10">
        <f>IF(F2720="","",IFERROR(INDEX(Roster!$A$2:$A$600,MATCH(F2720,Roster!$E$2:$E$600,0)),""))</f>
        <v/>
      </c>
      <c r="I2720" s="10">
        <f>IF(AND(D2720="",C2720="",F2720=""),"",IF(G2720&lt;&gt;"","Void",IF(F2720="","Needs child",IF(H2720="","Child not found",IF(OR(B2720="",NOT(ISNUMBER(C2720))),"Needs month/pages","OK")))))</f>
        <v/>
      </c>
      <c r="J2720" s="10">
        <f>IF(I2720="","",IF(I2720="OK",IF(COUNTIFS(H2721:H$3001,H2720,B2721:B$3001,B2720,G2721:G$3001,"")=0,C2720,0),0))</f>
        <v/>
      </c>
    </row>
    <row r="2721">
      <c r="A2721" s="6" t="n"/>
      <c r="B2721" s="9" t="n"/>
      <c r="C2721" s="6" t="n"/>
      <c r="D2721" s="6" t="n"/>
      <c r="E2721" s="6" t="n"/>
      <c r="F2721" s="6" t="n"/>
      <c r="G2721" s="6" t="n"/>
      <c r="H2721" s="10">
        <f>IF(F2721="","",IFERROR(INDEX(Roster!$A$2:$A$600,MATCH(F2721,Roster!$E$2:$E$600,0)),""))</f>
        <v/>
      </c>
      <c r="I2721" s="10">
        <f>IF(AND(D2721="",C2721="",F2721=""),"",IF(G2721&lt;&gt;"","Void",IF(F2721="","Needs child",IF(H2721="","Child not found",IF(OR(B2721="",NOT(ISNUMBER(C2721))),"Needs month/pages","OK")))))</f>
        <v/>
      </c>
      <c r="J2721" s="10">
        <f>IF(I2721="","",IF(I2721="OK",IF(COUNTIFS(H2722:H$3001,H2721,B2722:B$3001,B2721,G2722:G$3001,"")=0,C2721,0),0))</f>
        <v/>
      </c>
    </row>
    <row r="2722">
      <c r="A2722" s="6" t="n"/>
      <c r="B2722" s="9" t="n"/>
      <c r="C2722" s="6" t="n"/>
      <c r="D2722" s="6" t="n"/>
      <c r="E2722" s="6" t="n"/>
      <c r="F2722" s="6" t="n"/>
      <c r="G2722" s="6" t="n"/>
      <c r="H2722" s="10">
        <f>IF(F2722="","",IFERROR(INDEX(Roster!$A$2:$A$600,MATCH(F2722,Roster!$E$2:$E$600,0)),""))</f>
        <v/>
      </c>
      <c r="I2722" s="10">
        <f>IF(AND(D2722="",C2722="",F2722=""),"",IF(G2722&lt;&gt;"","Void",IF(F2722="","Needs child",IF(H2722="","Child not found",IF(OR(B2722="",NOT(ISNUMBER(C2722))),"Needs month/pages","OK")))))</f>
        <v/>
      </c>
      <c r="J2722" s="10">
        <f>IF(I2722="","",IF(I2722="OK",IF(COUNTIFS(H2723:H$3001,H2722,B2723:B$3001,B2722,G2723:G$3001,"")=0,C2722,0),0))</f>
        <v/>
      </c>
    </row>
    <row r="2723">
      <c r="A2723" s="6" t="n"/>
      <c r="B2723" s="9" t="n"/>
      <c r="C2723" s="6" t="n"/>
      <c r="D2723" s="6" t="n"/>
      <c r="E2723" s="6" t="n"/>
      <c r="F2723" s="6" t="n"/>
      <c r="G2723" s="6" t="n"/>
      <c r="H2723" s="10">
        <f>IF(F2723="","",IFERROR(INDEX(Roster!$A$2:$A$600,MATCH(F2723,Roster!$E$2:$E$600,0)),""))</f>
        <v/>
      </c>
      <c r="I2723" s="10">
        <f>IF(AND(D2723="",C2723="",F2723=""),"",IF(G2723&lt;&gt;"","Void",IF(F2723="","Needs child",IF(H2723="","Child not found",IF(OR(B2723="",NOT(ISNUMBER(C2723))),"Needs month/pages","OK")))))</f>
        <v/>
      </c>
      <c r="J2723" s="10">
        <f>IF(I2723="","",IF(I2723="OK",IF(COUNTIFS(H2724:H$3001,H2723,B2724:B$3001,B2723,G2724:G$3001,"")=0,C2723,0),0))</f>
        <v/>
      </c>
    </row>
    <row r="2724">
      <c r="A2724" s="6" t="n"/>
      <c r="B2724" s="9" t="n"/>
      <c r="C2724" s="6" t="n"/>
      <c r="D2724" s="6" t="n"/>
      <c r="E2724" s="6" t="n"/>
      <c r="F2724" s="6" t="n"/>
      <c r="G2724" s="6" t="n"/>
      <c r="H2724" s="10">
        <f>IF(F2724="","",IFERROR(INDEX(Roster!$A$2:$A$600,MATCH(F2724,Roster!$E$2:$E$600,0)),""))</f>
        <v/>
      </c>
      <c r="I2724" s="10">
        <f>IF(AND(D2724="",C2724="",F2724=""),"",IF(G2724&lt;&gt;"","Void",IF(F2724="","Needs child",IF(H2724="","Child not found",IF(OR(B2724="",NOT(ISNUMBER(C2724))),"Needs month/pages","OK")))))</f>
        <v/>
      </c>
      <c r="J2724" s="10">
        <f>IF(I2724="","",IF(I2724="OK",IF(COUNTIFS(H2725:H$3001,H2724,B2725:B$3001,B2724,G2725:G$3001,"")=0,C2724,0),0))</f>
        <v/>
      </c>
    </row>
    <row r="2725">
      <c r="A2725" s="6" t="n"/>
      <c r="B2725" s="9" t="n"/>
      <c r="C2725" s="6" t="n"/>
      <c r="D2725" s="6" t="n"/>
      <c r="E2725" s="6" t="n"/>
      <c r="F2725" s="6" t="n"/>
      <c r="G2725" s="6" t="n"/>
      <c r="H2725" s="10">
        <f>IF(F2725="","",IFERROR(INDEX(Roster!$A$2:$A$600,MATCH(F2725,Roster!$E$2:$E$600,0)),""))</f>
        <v/>
      </c>
      <c r="I2725" s="10">
        <f>IF(AND(D2725="",C2725="",F2725=""),"",IF(G2725&lt;&gt;"","Void",IF(F2725="","Needs child",IF(H2725="","Child not found",IF(OR(B2725="",NOT(ISNUMBER(C2725))),"Needs month/pages","OK")))))</f>
        <v/>
      </c>
      <c r="J2725" s="10">
        <f>IF(I2725="","",IF(I2725="OK",IF(COUNTIFS(H2726:H$3001,H2725,B2726:B$3001,B2725,G2726:G$3001,"")=0,C2725,0),0))</f>
        <v/>
      </c>
    </row>
    <row r="2726">
      <c r="A2726" s="6" t="n"/>
      <c r="B2726" s="9" t="n"/>
      <c r="C2726" s="6" t="n"/>
      <c r="D2726" s="6" t="n"/>
      <c r="E2726" s="6" t="n"/>
      <c r="F2726" s="6" t="n"/>
      <c r="G2726" s="6" t="n"/>
      <c r="H2726" s="10">
        <f>IF(F2726="","",IFERROR(INDEX(Roster!$A$2:$A$600,MATCH(F2726,Roster!$E$2:$E$600,0)),""))</f>
        <v/>
      </c>
      <c r="I2726" s="10">
        <f>IF(AND(D2726="",C2726="",F2726=""),"",IF(G2726&lt;&gt;"","Void",IF(F2726="","Needs child",IF(H2726="","Child not found",IF(OR(B2726="",NOT(ISNUMBER(C2726))),"Needs month/pages","OK")))))</f>
        <v/>
      </c>
      <c r="J2726" s="10">
        <f>IF(I2726="","",IF(I2726="OK",IF(COUNTIFS(H2727:H$3001,H2726,B2727:B$3001,B2726,G2727:G$3001,"")=0,C2726,0),0))</f>
        <v/>
      </c>
    </row>
    <row r="2727">
      <c r="A2727" s="6" t="n"/>
      <c r="B2727" s="9" t="n"/>
      <c r="C2727" s="6" t="n"/>
      <c r="D2727" s="6" t="n"/>
      <c r="E2727" s="6" t="n"/>
      <c r="F2727" s="6" t="n"/>
      <c r="G2727" s="6" t="n"/>
      <c r="H2727" s="10">
        <f>IF(F2727="","",IFERROR(INDEX(Roster!$A$2:$A$600,MATCH(F2727,Roster!$E$2:$E$600,0)),""))</f>
        <v/>
      </c>
      <c r="I2727" s="10">
        <f>IF(AND(D2727="",C2727="",F2727=""),"",IF(G2727&lt;&gt;"","Void",IF(F2727="","Needs child",IF(H2727="","Child not found",IF(OR(B2727="",NOT(ISNUMBER(C2727))),"Needs month/pages","OK")))))</f>
        <v/>
      </c>
      <c r="J2727" s="10">
        <f>IF(I2727="","",IF(I2727="OK",IF(COUNTIFS(H2728:H$3001,H2727,B2728:B$3001,B2727,G2728:G$3001,"")=0,C2727,0),0))</f>
        <v/>
      </c>
    </row>
    <row r="2728">
      <c r="A2728" s="6" t="n"/>
      <c r="B2728" s="9" t="n"/>
      <c r="C2728" s="6" t="n"/>
      <c r="D2728" s="6" t="n"/>
      <c r="E2728" s="6" t="n"/>
      <c r="F2728" s="6" t="n"/>
      <c r="G2728" s="6" t="n"/>
      <c r="H2728" s="10">
        <f>IF(F2728="","",IFERROR(INDEX(Roster!$A$2:$A$600,MATCH(F2728,Roster!$E$2:$E$600,0)),""))</f>
        <v/>
      </c>
      <c r="I2728" s="10">
        <f>IF(AND(D2728="",C2728="",F2728=""),"",IF(G2728&lt;&gt;"","Void",IF(F2728="","Needs child",IF(H2728="","Child not found",IF(OR(B2728="",NOT(ISNUMBER(C2728))),"Needs month/pages","OK")))))</f>
        <v/>
      </c>
      <c r="J2728" s="10">
        <f>IF(I2728="","",IF(I2728="OK",IF(COUNTIFS(H2729:H$3001,H2728,B2729:B$3001,B2728,G2729:G$3001,"")=0,C2728,0),0))</f>
        <v/>
      </c>
    </row>
    <row r="2729">
      <c r="A2729" s="6" t="n"/>
      <c r="B2729" s="9" t="n"/>
      <c r="C2729" s="6" t="n"/>
      <c r="D2729" s="6" t="n"/>
      <c r="E2729" s="6" t="n"/>
      <c r="F2729" s="6" t="n"/>
      <c r="G2729" s="6" t="n"/>
      <c r="H2729" s="10">
        <f>IF(F2729="","",IFERROR(INDEX(Roster!$A$2:$A$600,MATCH(F2729,Roster!$E$2:$E$600,0)),""))</f>
        <v/>
      </c>
      <c r="I2729" s="10">
        <f>IF(AND(D2729="",C2729="",F2729=""),"",IF(G2729&lt;&gt;"","Void",IF(F2729="","Needs child",IF(H2729="","Child not found",IF(OR(B2729="",NOT(ISNUMBER(C2729))),"Needs month/pages","OK")))))</f>
        <v/>
      </c>
      <c r="J2729" s="10">
        <f>IF(I2729="","",IF(I2729="OK",IF(COUNTIFS(H2730:H$3001,H2729,B2730:B$3001,B2729,G2730:G$3001,"")=0,C2729,0),0))</f>
        <v/>
      </c>
    </row>
    <row r="2730">
      <c r="A2730" s="6" t="n"/>
      <c r="B2730" s="9" t="n"/>
      <c r="C2730" s="6" t="n"/>
      <c r="D2730" s="6" t="n"/>
      <c r="E2730" s="6" t="n"/>
      <c r="F2730" s="6" t="n"/>
      <c r="G2730" s="6" t="n"/>
      <c r="H2730" s="10">
        <f>IF(F2730="","",IFERROR(INDEX(Roster!$A$2:$A$600,MATCH(F2730,Roster!$E$2:$E$600,0)),""))</f>
        <v/>
      </c>
      <c r="I2730" s="10">
        <f>IF(AND(D2730="",C2730="",F2730=""),"",IF(G2730&lt;&gt;"","Void",IF(F2730="","Needs child",IF(H2730="","Child not found",IF(OR(B2730="",NOT(ISNUMBER(C2730))),"Needs month/pages","OK")))))</f>
        <v/>
      </c>
      <c r="J2730" s="10">
        <f>IF(I2730="","",IF(I2730="OK",IF(COUNTIFS(H2731:H$3001,H2730,B2731:B$3001,B2730,G2731:G$3001,"")=0,C2730,0),0))</f>
        <v/>
      </c>
    </row>
    <row r="2731">
      <c r="A2731" s="6" t="n"/>
      <c r="B2731" s="9" t="n"/>
      <c r="C2731" s="6" t="n"/>
      <c r="D2731" s="6" t="n"/>
      <c r="E2731" s="6" t="n"/>
      <c r="F2731" s="6" t="n"/>
      <c r="G2731" s="6" t="n"/>
      <c r="H2731" s="10">
        <f>IF(F2731="","",IFERROR(INDEX(Roster!$A$2:$A$600,MATCH(F2731,Roster!$E$2:$E$600,0)),""))</f>
        <v/>
      </c>
      <c r="I2731" s="10">
        <f>IF(AND(D2731="",C2731="",F2731=""),"",IF(G2731&lt;&gt;"","Void",IF(F2731="","Needs child",IF(H2731="","Child not found",IF(OR(B2731="",NOT(ISNUMBER(C2731))),"Needs month/pages","OK")))))</f>
        <v/>
      </c>
      <c r="J2731" s="10">
        <f>IF(I2731="","",IF(I2731="OK",IF(COUNTIFS(H2732:H$3001,H2731,B2732:B$3001,B2731,G2732:G$3001,"")=0,C2731,0),0))</f>
        <v/>
      </c>
    </row>
    <row r="2732">
      <c r="A2732" s="6" t="n"/>
      <c r="B2732" s="9" t="n"/>
      <c r="C2732" s="6" t="n"/>
      <c r="D2732" s="6" t="n"/>
      <c r="E2732" s="6" t="n"/>
      <c r="F2732" s="6" t="n"/>
      <c r="G2732" s="6" t="n"/>
      <c r="H2732" s="10">
        <f>IF(F2732="","",IFERROR(INDEX(Roster!$A$2:$A$600,MATCH(F2732,Roster!$E$2:$E$600,0)),""))</f>
        <v/>
      </c>
      <c r="I2732" s="10">
        <f>IF(AND(D2732="",C2732="",F2732=""),"",IF(G2732&lt;&gt;"","Void",IF(F2732="","Needs child",IF(H2732="","Child not found",IF(OR(B2732="",NOT(ISNUMBER(C2732))),"Needs month/pages","OK")))))</f>
        <v/>
      </c>
      <c r="J2732" s="10">
        <f>IF(I2732="","",IF(I2732="OK",IF(COUNTIFS(H2733:H$3001,H2732,B2733:B$3001,B2732,G2733:G$3001,"")=0,C2732,0),0))</f>
        <v/>
      </c>
    </row>
    <row r="2733">
      <c r="A2733" s="6" t="n"/>
      <c r="B2733" s="9" t="n"/>
      <c r="C2733" s="6" t="n"/>
      <c r="D2733" s="6" t="n"/>
      <c r="E2733" s="6" t="n"/>
      <c r="F2733" s="6" t="n"/>
      <c r="G2733" s="6" t="n"/>
      <c r="H2733" s="10">
        <f>IF(F2733="","",IFERROR(INDEX(Roster!$A$2:$A$600,MATCH(F2733,Roster!$E$2:$E$600,0)),""))</f>
        <v/>
      </c>
      <c r="I2733" s="10">
        <f>IF(AND(D2733="",C2733="",F2733=""),"",IF(G2733&lt;&gt;"","Void",IF(F2733="","Needs child",IF(H2733="","Child not found",IF(OR(B2733="",NOT(ISNUMBER(C2733))),"Needs month/pages","OK")))))</f>
        <v/>
      </c>
      <c r="J2733" s="10">
        <f>IF(I2733="","",IF(I2733="OK",IF(COUNTIFS(H2734:H$3001,H2733,B2734:B$3001,B2733,G2734:G$3001,"")=0,C2733,0),0))</f>
        <v/>
      </c>
    </row>
    <row r="2734">
      <c r="A2734" s="6" t="n"/>
      <c r="B2734" s="9" t="n"/>
      <c r="C2734" s="6" t="n"/>
      <c r="D2734" s="6" t="n"/>
      <c r="E2734" s="6" t="n"/>
      <c r="F2734" s="6" t="n"/>
      <c r="G2734" s="6" t="n"/>
      <c r="H2734" s="10">
        <f>IF(F2734="","",IFERROR(INDEX(Roster!$A$2:$A$600,MATCH(F2734,Roster!$E$2:$E$600,0)),""))</f>
        <v/>
      </c>
      <c r="I2734" s="10">
        <f>IF(AND(D2734="",C2734="",F2734=""),"",IF(G2734&lt;&gt;"","Void",IF(F2734="","Needs child",IF(H2734="","Child not found",IF(OR(B2734="",NOT(ISNUMBER(C2734))),"Needs month/pages","OK")))))</f>
        <v/>
      </c>
      <c r="J2734" s="10">
        <f>IF(I2734="","",IF(I2734="OK",IF(COUNTIFS(H2735:H$3001,H2734,B2735:B$3001,B2734,G2735:G$3001,"")=0,C2734,0),0))</f>
        <v/>
      </c>
    </row>
    <row r="2735">
      <c r="A2735" s="6" t="n"/>
      <c r="B2735" s="9" t="n"/>
      <c r="C2735" s="6" t="n"/>
      <c r="D2735" s="6" t="n"/>
      <c r="E2735" s="6" t="n"/>
      <c r="F2735" s="6" t="n"/>
      <c r="G2735" s="6" t="n"/>
      <c r="H2735" s="10">
        <f>IF(F2735="","",IFERROR(INDEX(Roster!$A$2:$A$600,MATCH(F2735,Roster!$E$2:$E$600,0)),""))</f>
        <v/>
      </c>
      <c r="I2735" s="10">
        <f>IF(AND(D2735="",C2735="",F2735=""),"",IF(G2735&lt;&gt;"","Void",IF(F2735="","Needs child",IF(H2735="","Child not found",IF(OR(B2735="",NOT(ISNUMBER(C2735))),"Needs month/pages","OK")))))</f>
        <v/>
      </c>
      <c r="J2735" s="10">
        <f>IF(I2735="","",IF(I2735="OK",IF(COUNTIFS(H2736:H$3001,H2735,B2736:B$3001,B2735,G2736:G$3001,"")=0,C2735,0),0))</f>
        <v/>
      </c>
    </row>
    <row r="2736">
      <c r="A2736" s="6" t="n"/>
      <c r="B2736" s="9" t="n"/>
      <c r="C2736" s="6" t="n"/>
      <c r="D2736" s="6" t="n"/>
      <c r="E2736" s="6" t="n"/>
      <c r="F2736" s="6" t="n"/>
      <c r="G2736" s="6" t="n"/>
      <c r="H2736" s="10">
        <f>IF(F2736="","",IFERROR(INDEX(Roster!$A$2:$A$600,MATCH(F2736,Roster!$E$2:$E$600,0)),""))</f>
        <v/>
      </c>
      <c r="I2736" s="10">
        <f>IF(AND(D2736="",C2736="",F2736=""),"",IF(G2736&lt;&gt;"","Void",IF(F2736="","Needs child",IF(H2736="","Child not found",IF(OR(B2736="",NOT(ISNUMBER(C2736))),"Needs month/pages","OK")))))</f>
        <v/>
      </c>
      <c r="J2736" s="10">
        <f>IF(I2736="","",IF(I2736="OK",IF(COUNTIFS(H2737:H$3001,H2736,B2737:B$3001,B2736,G2737:G$3001,"")=0,C2736,0),0))</f>
        <v/>
      </c>
    </row>
    <row r="2737">
      <c r="A2737" s="6" t="n"/>
      <c r="B2737" s="9" t="n"/>
      <c r="C2737" s="6" t="n"/>
      <c r="D2737" s="6" t="n"/>
      <c r="E2737" s="6" t="n"/>
      <c r="F2737" s="6" t="n"/>
      <c r="G2737" s="6" t="n"/>
      <c r="H2737" s="10">
        <f>IF(F2737="","",IFERROR(INDEX(Roster!$A$2:$A$600,MATCH(F2737,Roster!$E$2:$E$600,0)),""))</f>
        <v/>
      </c>
      <c r="I2737" s="10">
        <f>IF(AND(D2737="",C2737="",F2737=""),"",IF(G2737&lt;&gt;"","Void",IF(F2737="","Needs child",IF(H2737="","Child not found",IF(OR(B2737="",NOT(ISNUMBER(C2737))),"Needs month/pages","OK")))))</f>
        <v/>
      </c>
      <c r="J2737" s="10">
        <f>IF(I2737="","",IF(I2737="OK",IF(COUNTIFS(H2738:H$3001,H2737,B2738:B$3001,B2737,G2738:G$3001,"")=0,C2737,0),0))</f>
        <v/>
      </c>
    </row>
    <row r="2738">
      <c r="A2738" s="6" t="n"/>
      <c r="B2738" s="9" t="n"/>
      <c r="C2738" s="6" t="n"/>
      <c r="D2738" s="6" t="n"/>
      <c r="E2738" s="6" t="n"/>
      <c r="F2738" s="6" t="n"/>
      <c r="G2738" s="6" t="n"/>
      <c r="H2738" s="10">
        <f>IF(F2738="","",IFERROR(INDEX(Roster!$A$2:$A$600,MATCH(F2738,Roster!$E$2:$E$600,0)),""))</f>
        <v/>
      </c>
      <c r="I2738" s="10">
        <f>IF(AND(D2738="",C2738="",F2738=""),"",IF(G2738&lt;&gt;"","Void",IF(F2738="","Needs child",IF(H2738="","Child not found",IF(OR(B2738="",NOT(ISNUMBER(C2738))),"Needs month/pages","OK")))))</f>
        <v/>
      </c>
      <c r="J2738" s="10">
        <f>IF(I2738="","",IF(I2738="OK",IF(COUNTIFS(H2739:H$3001,H2738,B2739:B$3001,B2738,G2739:G$3001,"")=0,C2738,0),0))</f>
        <v/>
      </c>
    </row>
    <row r="2739">
      <c r="A2739" s="6" t="n"/>
      <c r="B2739" s="9" t="n"/>
      <c r="C2739" s="6" t="n"/>
      <c r="D2739" s="6" t="n"/>
      <c r="E2739" s="6" t="n"/>
      <c r="F2739" s="6" t="n"/>
      <c r="G2739" s="6" t="n"/>
      <c r="H2739" s="10">
        <f>IF(F2739="","",IFERROR(INDEX(Roster!$A$2:$A$600,MATCH(F2739,Roster!$E$2:$E$600,0)),""))</f>
        <v/>
      </c>
      <c r="I2739" s="10">
        <f>IF(AND(D2739="",C2739="",F2739=""),"",IF(G2739&lt;&gt;"","Void",IF(F2739="","Needs child",IF(H2739="","Child not found",IF(OR(B2739="",NOT(ISNUMBER(C2739))),"Needs month/pages","OK")))))</f>
        <v/>
      </c>
      <c r="J2739" s="10">
        <f>IF(I2739="","",IF(I2739="OK",IF(COUNTIFS(H2740:H$3001,H2739,B2740:B$3001,B2739,G2740:G$3001,"")=0,C2739,0),0))</f>
        <v/>
      </c>
    </row>
    <row r="2740">
      <c r="A2740" s="6" t="n"/>
      <c r="B2740" s="9" t="n"/>
      <c r="C2740" s="6" t="n"/>
      <c r="D2740" s="6" t="n"/>
      <c r="E2740" s="6" t="n"/>
      <c r="F2740" s="6" t="n"/>
      <c r="G2740" s="6" t="n"/>
      <c r="H2740" s="10">
        <f>IF(F2740="","",IFERROR(INDEX(Roster!$A$2:$A$600,MATCH(F2740,Roster!$E$2:$E$600,0)),""))</f>
        <v/>
      </c>
      <c r="I2740" s="10">
        <f>IF(AND(D2740="",C2740="",F2740=""),"",IF(G2740&lt;&gt;"","Void",IF(F2740="","Needs child",IF(H2740="","Child not found",IF(OR(B2740="",NOT(ISNUMBER(C2740))),"Needs month/pages","OK")))))</f>
        <v/>
      </c>
      <c r="J2740" s="10">
        <f>IF(I2740="","",IF(I2740="OK",IF(COUNTIFS(H2741:H$3001,H2740,B2741:B$3001,B2740,G2741:G$3001,"")=0,C2740,0),0))</f>
        <v/>
      </c>
    </row>
    <row r="2741">
      <c r="A2741" s="6" t="n"/>
      <c r="B2741" s="9" t="n"/>
      <c r="C2741" s="6" t="n"/>
      <c r="D2741" s="6" t="n"/>
      <c r="E2741" s="6" t="n"/>
      <c r="F2741" s="6" t="n"/>
      <c r="G2741" s="6" t="n"/>
      <c r="H2741" s="10">
        <f>IF(F2741="","",IFERROR(INDEX(Roster!$A$2:$A$600,MATCH(F2741,Roster!$E$2:$E$600,0)),""))</f>
        <v/>
      </c>
      <c r="I2741" s="10">
        <f>IF(AND(D2741="",C2741="",F2741=""),"",IF(G2741&lt;&gt;"","Void",IF(F2741="","Needs child",IF(H2741="","Child not found",IF(OR(B2741="",NOT(ISNUMBER(C2741))),"Needs month/pages","OK")))))</f>
        <v/>
      </c>
      <c r="J2741" s="10">
        <f>IF(I2741="","",IF(I2741="OK",IF(COUNTIFS(H2742:H$3001,H2741,B2742:B$3001,B2741,G2742:G$3001,"")=0,C2741,0),0))</f>
        <v/>
      </c>
    </row>
    <row r="2742">
      <c r="A2742" s="6" t="n"/>
      <c r="B2742" s="9" t="n"/>
      <c r="C2742" s="6" t="n"/>
      <c r="D2742" s="6" t="n"/>
      <c r="E2742" s="6" t="n"/>
      <c r="F2742" s="6" t="n"/>
      <c r="G2742" s="6" t="n"/>
      <c r="H2742" s="10">
        <f>IF(F2742="","",IFERROR(INDEX(Roster!$A$2:$A$600,MATCH(F2742,Roster!$E$2:$E$600,0)),""))</f>
        <v/>
      </c>
      <c r="I2742" s="10">
        <f>IF(AND(D2742="",C2742="",F2742=""),"",IF(G2742&lt;&gt;"","Void",IF(F2742="","Needs child",IF(H2742="","Child not found",IF(OR(B2742="",NOT(ISNUMBER(C2742))),"Needs month/pages","OK")))))</f>
        <v/>
      </c>
      <c r="J2742" s="10">
        <f>IF(I2742="","",IF(I2742="OK",IF(COUNTIFS(H2743:H$3001,H2742,B2743:B$3001,B2742,G2743:G$3001,"")=0,C2742,0),0))</f>
        <v/>
      </c>
    </row>
    <row r="2743">
      <c r="A2743" s="6" t="n"/>
      <c r="B2743" s="9" t="n"/>
      <c r="C2743" s="6" t="n"/>
      <c r="D2743" s="6" t="n"/>
      <c r="E2743" s="6" t="n"/>
      <c r="F2743" s="6" t="n"/>
      <c r="G2743" s="6" t="n"/>
      <c r="H2743" s="10">
        <f>IF(F2743="","",IFERROR(INDEX(Roster!$A$2:$A$600,MATCH(F2743,Roster!$E$2:$E$600,0)),""))</f>
        <v/>
      </c>
      <c r="I2743" s="10">
        <f>IF(AND(D2743="",C2743="",F2743=""),"",IF(G2743&lt;&gt;"","Void",IF(F2743="","Needs child",IF(H2743="","Child not found",IF(OR(B2743="",NOT(ISNUMBER(C2743))),"Needs month/pages","OK")))))</f>
        <v/>
      </c>
      <c r="J2743" s="10">
        <f>IF(I2743="","",IF(I2743="OK",IF(COUNTIFS(H2744:H$3001,H2743,B2744:B$3001,B2743,G2744:G$3001,"")=0,C2743,0),0))</f>
        <v/>
      </c>
    </row>
    <row r="2744">
      <c r="A2744" s="6" t="n"/>
      <c r="B2744" s="9" t="n"/>
      <c r="C2744" s="6" t="n"/>
      <c r="D2744" s="6" t="n"/>
      <c r="E2744" s="6" t="n"/>
      <c r="F2744" s="6" t="n"/>
      <c r="G2744" s="6" t="n"/>
      <c r="H2744" s="10">
        <f>IF(F2744="","",IFERROR(INDEX(Roster!$A$2:$A$600,MATCH(F2744,Roster!$E$2:$E$600,0)),""))</f>
        <v/>
      </c>
      <c r="I2744" s="10">
        <f>IF(AND(D2744="",C2744="",F2744=""),"",IF(G2744&lt;&gt;"","Void",IF(F2744="","Needs child",IF(H2744="","Child not found",IF(OR(B2744="",NOT(ISNUMBER(C2744))),"Needs month/pages","OK")))))</f>
        <v/>
      </c>
      <c r="J2744" s="10">
        <f>IF(I2744="","",IF(I2744="OK",IF(COUNTIFS(H2745:H$3001,H2744,B2745:B$3001,B2744,G2745:G$3001,"")=0,C2744,0),0))</f>
        <v/>
      </c>
    </row>
    <row r="2745">
      <c r="A2745" s="6" t="n"/>
      <c r="B2745" s="9" t="n"/>
      <c r="C2745" s="6" t="n"/>
      <c r="D2745" s="6" t="n"/>
      <c r="E2745" s="6" t="n"/>
      <c r="F2745" s="6" t="n"/>
      <c r="G2745" s="6" t="n"/>
      <c r="H2745" s="10">
        <f>IF(F2745="","",IFERROR(INDEX(Roster!$A$2:$A$600,MATCH(F2745,Roster!$E$2:$E$600,0)),""))</f>
        <v/>
      </c>
      <c r="I2745" s="10">
        <f>IF(AND(D2745="",C2745="",F2745=""),"",IF(G2745&lt;&gt;"","Void",IF(F2745="","Needs child",IF(H2745="","Child not found",IF(OR(B2745="",NOT(ISNUMBER(C2745))),"Needs month/pages","OK")))))</f>
        <v/>
      </c>
      <c r="J2745" s="10">
        <f>IF(I2745="","",IF(I2745="OK",IF(COUNTIFS(H2746:H$3001,H2745,B2746:B$3001,B2745,G2746:G$3001,"")=0,C2745,0),0))</f>
        <v/>
      </c>
    </row>
    <row r="2746">
      <c r="A2746" s="6" t="n"/>
      <c r="B2746" s="9" t="n"/>
      <c r="C2746" s="6" t="n"/>
      <c r="D2746" s="6" t="n"/>
      <c r="E2746" s="6" t="n"/>
      <c r="F2746" s="6" t="n"/>
      <c r="G2746" s="6" t="n"/>
      <c r="H2746" s="10">
        <f>IF(F2746="","",IFERROR(INDEX(Roster!$A$2:$A$600,MATCH(F2746,Roster!$E$2:$E$600,0)),""))</f>
        <v/>
      </c>
      <c r="I2746" s="10">
        <f>IF(AND(D2746="",C2746="",F2746=""),"",IF(G2746&lt;&gt;"","Void",IF(F2746="","Needs child",IF(H2746="","Child not found",IF(OR(B2746="",NOT(ISNUMBER(C2746))),"Needs month/pages","OK")))))</f>
        <v/>
      </c>
      <c r="J2746" s="10">
        <f>IF(I2746="","",IF(I2746="OK",IF(COUNTIFS(H2747:H$3001,H2746,B2747:B$3001,B2746,G2747:G$3001,"")=0,C2746,0),0))</f>
        <v/>
      </c>
    </row>
    <row r="2747">
      <c r="A2747" s="6" t="n"/>
      <c r="B2747" s="9" t="n"/>
      <c r="C2747" s="6" t="n"/>
      <c r="D2747" s="6" t="n"/>
      <c r="E2747" s="6" t="n"/>
      <c r="F2747" s="6" t="n"/>
      <c r="G2747" s="6" t="n"/>
      <c r="H2747" s="10">
        <f>IF(F2747="","",IFERROR(INDEX(Roster!$A$2:$A$600,MATCH(F2747,Roster!$E$2:$E$600,0)),""))</f>
        <v/>
      </c>
      <c r="I2747" s="10">
        <f>IF(AND(D2747="",C2747="",F2747=""),"",IF(G2747&lt;&gt;"","Void",IF(F2747="","Needs child",IF(H2747="","Child not found",IF(OR(B2747="",NOT(ISNUMBER(C2747))),"Needs month/pages","OK")))))</f>
        <v/>
      </c>
      <c r="J2747" s="10">
        <f>IF(I2747="","",IF(I2747="OK",IF(COUNTIFS(H2748:H$3001,H2747,B2748:B$3001,B2747,G2748:G$3001,"")=0,C2747,0),0))</f>
        <v/>
      </c>
    </row>
    <row r="2748">
      <c r="A2748" s="6" t="n"/>
      <c r="B2748" s="9" t="n"/>
      <c r="C2748" s="6" t="n"/>
      <c r="D2748" s="6" t="n"/>
      <c r="E2748" s="6" t="n"/>
      <c r="F2748" s="6" t="n"/>
      <c r="G2748" s="6" t="n"/>
      <c r="H2748" s="10">
        <f>IF(F2748="","",IFERROR(INDEX(Roster!$A$2:$A$600,MATCH(F2748,Roster!$E$2:$E$600,0)),""))</f>
        <v/>
      </c>
      <c r="I2748" s="10">
        <f>IF(AND(D2748="",C2748="",F2748=""),"",IF(G2748&lt;&gt;"","Void",IF(F2748="","Needs child",IF(H2748="","Child not found",IF(OR(B2748="",NOT(ISNUMBER(C2748))),"Needs month/pages","OK")))))</f>
        <v/>
      </c>
      <c r="J2748" s="10">
        <f>IF(I2748="","",IF(I2748="OK",IF(COUNTIFS(H2749:H$3001,H2748,B2749:B$3001,B2748,G2749:G$3001,"")=0,C2748,0),0))</f>
        <v/>
      </c>
    </row>
    <row r="2749">
      <c r="A2749" s="6" t="n"/>
      <c r="B2749" s="9" t="n"/>
      <c r="C2749" s="6" t="n"/>
      <c r="D2749" s="6" t="n"/>
      <c r="E2749" s="6" t="n"/>
      <c r="F2749" s="6" t="n"/>
      <c r="G2749" s="6" t="n"/>
      <c r="H2749" s="10">
        <f>IF(F2749="","",IFERROR(INDEX(Roster!$A$2:$A$600,MATCH(F2749,Roster!$E$2:$E$600,0)),""))</f>
        <v/>
      </c>
      <c r="I2749" s="10">
        <f>IF(AND(D2749="",C2749="",F2749=""),"",IF(G2749&lt;&gt;"","Void",IF(F2749="","Needs child",IF(H2749="","Child not found",IF(OR(B2749="",NOT(ISNUMBER(C2749))),"Needs month/pages","OK")))))</f>
        <v/>
      </c>
      <c r="J2749" s="10">
        <f>IF(I2749="","",IF(I2749="OK",IF(COUNTIFS(H2750:H$3001,H2749,B2750:B$3001,B2749,G2750:G$3001,"")=0,C2749,0),0))</f>
        <v/>
      </c>
    </row>
    <row r="2750">
      <c r="A2750" s="6" t="n"/>
      <c r="B2750" s="9" t="n"/>
      <c r="C2750" s="6" t="n"/>
      <c r="D2750" s="6" t="n"/>
      <c r="E2750" s="6" t="n"/>
      <c r="F2750" s="6" t="n"/>
      <c r="G2750" s="6" t="n"/>
      <c r="H2750" s="10">
        <f>IF(F2750="","",IFERROR(INDEX(Roster!$A$2:$A$600,MATCH(F2750,Roster!$E$2:$E$600,0)),""))</f>
        <v/>
      </c>
      <c r="I2750" s="10">
        <f>IF(AND(D2750="",C2750="",F2750=""),"",IF(G2750&lt;&gt;"","Void",IF(F2750="","Needs child",IF(H2750="","Child not found",IF(OR(B2750="",NOT(ISNUMBER(C2750))),"Needs month/pages","OK")))))</f>
        <v/>
      </c>
      <c r="J2750" s="10">
        <f>IF(I2750="","",IF(I2750="OK",IF(COUNTIFS(H2751:H$3001,H2750,B2751:B$3001,B2750,G2751:G$3001,"")=0,C2750,0),0))</f>
        <v/>
      </c>
    </row>
    <row r="2751">
      <c r="A2751" s="6" t="n"/>
      <c r="B2751" s="9" t="n"/>
      <c r="C2751" s="6" t="n"/>
      <c r="D2751" s="6" t="n"/>
      <c r="E2751" s="6" t="n"/>
      <c r="F2751" s="6" t="n"/>
      <c r="G2751" s="6" t="n"/>
      <c r="H2751" s="10">
        <f>IF(F2751="","",IFERROR(INDEX(Roster!$A$2:$A$600,MATCH(F2751,Roster!$E$2:$E$600,0)),""))</f>
        <v/>
      </c>
      <c r="I2751" s="10">
        <f>IF(AND(D2751="",C2751="",F2751=""),"",IF(G2751&lt;&gt;"","Void",IF(F2751="","Needs child",IF(H2751="","Child not found",IF(OR(B2751="",NOT(ISNUMBER(C2751))),"Needs month/pages","OK")))))</f>
        <v/>
      </c>
      <c r="J2751" s="10">
        <f>IF(I2751="","",IF(I2751="OK",IF(COUNTIFS(H2752:H$3001,H2751,B2752:B$3001,B2751,G2752:G$3001,"")=0,C2751,0),0))</f>
        <v/>
      </c>
    </row>
    <row r="2752">
      <c r="A2752" s="6" t="n"/>
      <c r="B2752" s="9" t="n"/>
      <c r="C2752" s="6" t="n"/>
      <c r="D2752" s="6" t="n"/>
      <c r="E2752" s="6" t="n"/>
      <c r="F2752" s="6" t="n"/>
      <c r="G2752" s="6" t="n"/>
      <c r="H2752" s="10">
        <f>IF(F2752="","",IFERROR(INDEX(Roster!$A$2:$A$600,MATCH(F2752,Roster!$E$2:$E$600,0)),""))</f>
        <v/>
      </c>
      <c r="I2752" s="10">
        <f>IF(AND(D2752="",C2752="",F2752=""),"",IF(G2752&lt;&gt;"","Void",IF(F2752="","Needs child",IF(H2752="","Child not found",IF(OR(B2752="",NOT(ISNUMBER(C2752))),"Needs month/pages","OK")))))</f>
        <v/>
      </c>
      <c r="J2752" s="10">
        <f>IF(I2752="","",IF(I2752="OK",IF(COUNTIFS(H2753:H$3001,H2752,B2753:B$3001,B2752,G2753:G$3001,"")=0,C2752,0),0))</f>
        <v/>
      </c>
    </row>
    <row r="2753">
      <c r="A2753" s="6" t="n"/>
      <c r="B2753" s="9" t="n"/>
      <c r="C2753" s="6" t="n"/>
      <c r="D2753" s="6" t="n"/>
      <c r="E2753" s="6" t="n"/>
      <c r="F2753" s="6" t="n"/>
      <c r="G2753" s="6" t="n"/>
      <c r="H2753" s="10">
        <f>IF(F2753="","",IFERROR(INDEX(Roster!$A$2:$A$600,MATCH(F2753,Roster!$E$2:$E$600,0)),""))</f>
        <v/>
      </c>
      <c r="I2753" s="10">
        <f>IF(AND(D2753="",C2753="",F2753=""),"",IF(G2753&lt;&gt;"","Void",IF(F2753="","Needs child",IF(H2753="","Child not found",IF(OR(B2753="",NOT(ISNUMBER(C2753))),"Needs month/pages","OK")))))</f>
        <v/>
      </c>
      <c r="J2753" s="10">
        <f>IF(I2753="","",IF(I2753="OK",IF(COUNTIFS(H2754:H$3001,H2753,B2754:B$3001,B2753,G2754:G$3001,"")=0,C2753,0),0))</f>
        <v/>
      </c>
    </row>
    <row r="2754">
      <c r="A2754" s="6" t="n"/>
      <c r="B2754" s="9" t="n"/>
      <c r="C2754" s="6" t="n"/>
      <c r="D2754" s="6" t="n"/>
      <c r="E2754" s="6" t="n"/>
      <c r="F2754" s="6" t="n"/>
      <c r="G2754" s="6" t="n"/>
      <c r="H2754" s="10">
        <f>IF(F2754="","",IFERROR(INDEX(Roster!$A$2:$A$600,MATCH(F2754,Roster!$E$2:$E$600,0)),""))</f>
        <v/>
      </c>
      <c r="I2754" s="10">
        <f>IF(AND(D2754="",C2754="",F2754=""),"",IF(G2754&lt;&gt;"","Void",IF(F2754="","Needs child",IF(H2754="","Child not found",IF(OR(B2754="",NOT(ISNUMBER(C2754))),"Needs month/pages","OK")))))</f>
        <v/>
      </c>
      <c r="J2754" s="10">
        <f>IF(I2754="","",IF(I2754="OK",IF(COUNTIFS(H2755:H$3001,H2754,B2755:B$3001,B2754,G2755:G$3001,"")=0,C2754,0),0))</f>
        <v/>
      </c>
    </row>
    <row r="2755">
      <c r="A2755" s="6" t="n"/>
      <c r="B2755" s="9" t="n"/>
      <c r="C2755" s="6" t="n"/>
      <c r="D2755" s="6" t="n"/>
      <c r="E2755" s="6" t="n"/>
      <c r="F2755" s="6" t="n"/>
      <c r="G2755" s="6" t="n"/>
      <c r="H2755" s="10">
        <f>IF(F2755="","",IFERROR(INDEX(Roster!$A$2:$A$600,MATCH(F2755,Roster!$E$2:$E$600,0)),""))</f>
        <v/>
      </c>
      <c r="I2755" s="10">
        <f>IF(AND(D2755="",C2755="",F2755=""),"",IF(G2755&lt;&gt;"","Void",IF(F2755="","Needs child",IF(H2755="","Child not found",IF(OR(B2755="",NOT(ISNUMBER(C2755))),"Needs month/pages","OK")))))</f>
        <v/>
      </c>
      <c r="J2755" s="10">
        <f>IF(I2755="","",IF(I2755="OK",IF(COUNTIFS(H2756:H$3001,H2755,B2756:B$3001,B2755,G2756:G$3001,"")=0,C2755,0),0))</f>
        <v/>
      </c>
    </row>
    <row r="2756">
      <c r="A2756" s="6" t="n"/>
      <c r="B2756" s="9" t="n"/>
      <c r="C2756" s="6" t="n"/>
      <c r="D2756" s="6" t="n"/>
      <c r="E2756" s="6" t="n"/>
      <c r="F2756" s="6" t="n"/>
      <c r="G2756" s="6" t="n"/>
      <c r="H2756" s="10">
        <f>IF(F2756="","",IFERROR(INDEX(Roster!$A$2:$A$600,MATCH(F2756,Roster!$E$2:$E$600,0)),""))</f>
        <v/>
      </c>
      <c r="I2756" s="10">
        <f>IF(AND(D2756="",C2756="",F2756=""),"",IF(G2756&lt;&gt;"","Void",IF(F2756="","Needs child",IF(H2756="","Child not found",IF(OR(B2756="",NOT(ISNUMBER(C2756))),"Needs month/pages","OK")))))</f>
        <v/>
      </c>
      <c r="J2756" s="10">
        <f>IF(I2756="","",IF(I2756="OK",IF(COUNTIFS(H2757:H$3001,H2756,B2757:B$3001,B2756,G2757:G$3001,"")=0,C2756,0),0))</f>
        <v/>
      </c>
    </row>
    <row r="2757">
      <c r="A2757" s="6" t="n"/>
      <c r="B2757" s="9" t="n"/>
      <c r="C2757" s="6" t="n"/>
      <c r="D2757" s="6" t="n"/>
      <c r="E2757" s="6" t="n"/>
      <c r="F2757" s="6" t="n"/>
      <c r="G2757" s="6" t="n"/>
      <c r="H2757" s="10">
        <f>IF(F2757="","",IFERROR(INDEX(Roster!$A$2:$A$600,MATCH(F2757,Roster!$E$2:$E$600,0)),""))</f>
        <v/>
      </c>
      <c r="I2757" s="10">
        <f>IF(AND(D2757="",C2757="",F2757=""),"",IF(G2757&lt;&gt;"","Void",IF(F2757="","Needs child",IF(H2757="","Child not found",IF(OR(B2757="",NOT(ISNUMBER(C2757))),"Needs month/pages","OK")))))</f>
        <v/>
      </c>
      <c r="J2757" s="10">
        <f>IF(I2757="","",IF(I2757="OK",IF(COUNTIFS(H2758:H$3001,H2757,B2758:B$3001,B2757,G2758:G$3001,"")=0,C2757,0),0))</f>
        <v/>
      </c>
    </row>
    <row r="2758">
      <c r="A2758" s="6" t="n"/>
      <c r="B2758" s="9" t="n"/>
      <c r="C2758" s="6" t="n"/>
      <c r="D2758" s="6" t="n"/>
      <c r="E2758" s="6" t="n"/>
      <c r="F2758" s="6" t="n"/>
      <c r="G2758" s="6" t="n"/>
      <c r="H2758" s="10">
        <f>IF(F2758="","",IFERROR(INDEX(Roster!$A$2:$A$600,MATCH(F2758,Roster!$E$2:$E$600,0)),""))</f>
        <v/>
      </c>
      <c r="I2758" s="10">
        <f>IF(AND(D2758="",C2758="",F2758=""),"",IF(G2758&lt;&gt;"","Void",IF(F2758="","Needs child",IF(H2758="","Child not found",IF(OR(B2758="",NOT(ISNUMBER(C2758))),"Needs month/pages","OK")))))</f>
        <v/>
      </c>
      <c r="J2758" s="10">
        <f>IF(I2758="","",IF(I2758="OK",IF(COUNTIFS(H2759:H$3001,H2758,B2759:B$3001,B2758,G2759:G$3001,"")=0,C2758,0),0))</f>
        <v/>
      </c>
    </row>
    <row r="2759">
      <c r="A2759" s="6" t="n"/>
      <c r="B2759" s="9" t="n"/>
      <c r="C2759" s="6" t="n"/>
      <c r="D2759" s="6" t="n"/>
      <c r="E2759" s="6" t="n"/>
      <c r="F2759" s="6" t="n"/>
      <c r="G2759" s="6" t="n"/>
      <c r="H2759" s="10">
        <f>IF(F2759="","",IFERROR(INDEX(Roster!$A$2:$A$600,MATCH(F2759,Roster!$E$2:$E$600,0)),""))</f>
        <v/>
      </c>
      <c r="I2759" s="10">
        <f>IF(AND(D2759="",C2759="",F2759=""),"",IF(G2759&lt;&gt;"","Void",IF(F2759="","Needs child",IF(H2759="","Child not found",IF(OR(B2759="",NOT(ISNUMBER(C2759))),"Needs month/pages","OK")))))</f>
        <v/>
      </c>
      <c r="J2759" s="10">
        <f>IF(I2759="","",IF(I2759="OK",IF(COUNTIFS(H2760:H$3001,H2759,B2760:B$3001,B2759,G2760:G$3001,"")=0,C2759,0),0))</f>
        <v/>
      </c>
    </row>
    <row r="2760">
      <c r="A2760" s="6" t="n"/>
      <c r="B2760" s="9" t="n"/>
      <c r="C2760" s="6" t="n"/>
      <c r="D2760" s="6" t="n"/>
      <c r="E2760" s="6" t="n"/>
      <c r="F2760" s="6" t="n"/>
      <c r="G2760" s="6" t="n"/>
      <c r="H2760" s="10">
        <f>IF(F2760="","",IFERROR(INDEX(Roster!$A$2:$A$600,MATCH(F2760,Roster!$E$2:$E$600,0)),""))</f>
        <v/>
      </c>
      <c r="I2760" s="10">
        <f>IF(AND(D2760="",C2760="",F2760=""),"",IF(G2760&lt;&gt;"","Void",IF(F2760="","Needs child",IF(H2760="","Child not found",IF(OR(B2760="",NOT(ISNUMBER(C2760))),"Needs month/pages","OK")))))</f>
        <v/>
      </c>
      <c r="J2760" s="10">
        <f>IF(I2760="","",IF(I2760="OK",IF(COUNTIFS(H2761:H$3001,H2760,B2761:B$3001,B2760,G2761:G$3001,"")=0,C2760,0),0))</f>
        <v/>
      </c>
    </row>
    <row r="2761">
      <c r="A2761" s="6" t="n"/>
      <c r="B2761" s="9" t="n"/>
      <c r="C2761" s="6" t="n"/>
      <c r="D2761" s="6" t="n"/>
      <c r="E2761" s="6" t="n"/>
      <c r="F2761" s="6" t="n"/>
      <c r="G2761" s="6" t="n"/>
      <c r="H2761" s="10">
        <f>IF(F2761="","",IFERROR(INDEX(Roster!$A$2:$A$600,MATCH(F2761,Roster!$E$2:$E$600,0)),""))</f>
        <v/>
      </c>
      <c r="I2761" s="10">
        <f>IF(AND(D2761="",C2761="",F2761=""),"",IF(G2761&lt;&gt;"","Void",IF(F2761="","Needs child",IF(H2761="","Child not found",IF(OR(B2761="",NOT(ISNUMBER(C2761))),"Needs month/pages","OK")))))</f>
        <v/>
      </c>
      <c r="J2761" s="10">
        <f>IF(I2761="","",IF(I2761="OK",IF(COUNTIFS(H2762:H$3001,H2761,B2762:B$3001,B2761,G2762:G$3001,"")=0,C2761,0),0))</f>
        <v/>
      </c>
    </row>
    <row r="2762">
      <c r="A2762" s="6" t="n"/>
      <c r="B2762" s="9" t="n"/>
      <c r="C2762" s="6" t="n"/>
      <c r="D2762" s="6" t="n"/>
      <c r="E2762" s="6" t="n"/>
      <c r="F2762" s="6" t="n"/>
      <c r="G2762" s="6" t="n"/>
      <c r="H2762" s="10">
        <f>IF(F2762="","",IFERROR(INDEX(Roster!$A$2:$A$600,MATCH(F2762,Roster!$E$2:$E$600,0)),""))</f>
        <v/>
      </c>
      <c r="I2762" s="10">
        <f>IF(AND(D2762="",C2762="",F2762=""),"",IF(G2762&lt;&gt;"","Void",IF(F2762="","Needs child",IF(H2762="","Child not found",IF(OR(B2762="",NOT(ISNUMBER(C2762))),"Needs month/pages","OK")))))</f>
        <v/>
      </c>
      <c r="J2762" s="10">
        <f>IF(I2762="","",IF(I2762="OK",IF(COUNTIFS(H2763:H$3001,H2762,B2763:B$3001,B2762,G2763:G$3001,"")=0,C2762,0),0))</f>
        <v/>
      </c>
    </row>
    <row r="2763">
      <c r="A2763" s="6" t="n"/>
      <c r="B2763" s="9" t="n"/>
      <c r="C2763" s="6" t="n"/>
      <c r="D2763" s="6" t="n"/>
      <c r="E2763" s="6" t="n"/>
      <c r="F2763" s="6" t="n"/>
      <c r="G2763" s="6" t="n"/>
      <c r="H2763" s="10">
        <f>IF(F2763="","",IFERROR(INDEX(Roster!$A$2:$A$600,MATCH(F2763,Roster!$E$2:$E$600,0)),""))</f>
        <v/>
      </c>
      <c r="I2763" s="10">
        <f>IF(AND(D2763="",C2763="",F2763=""),"",IF(G2763&lt;&gt;"","Void",IF(F2763="","Needs child",IF(H2763="","Child not found",IF(OR(B2763="",NOT(ISNUMBER(C2763))),"Needs month/pages","OK")))))</f>
        <v/>
      </c>
      <c r="J2763" s="10">
        <f>IF(I2763="","",IF(I2763="OK",IF(COUNTIFS(H2764:H$3001,H2763,B2764:B$3001,B2763,G2764:G$3001,"")=0,C2763,0),0))</f>
        <v/>
      </c>
    </row>
    <row r="2764">
      <c r="A2764" s="6" t="n"/>
      <c r="B2764" s="9" t="n"/>
      <c r="C2764" s="6" t="n"/>
      <c r="D2764" s="6" t="n"/>
      <c r="E2764" s="6" t="n"/>
      <c r="F2764" s="6" t="n"/>
      <c r="G2764" s="6" t="n"/>
      <c r="H2764" s="10">
        <f>IF(F2764="","",IFERROR(INDEX(Roster!$A$2:$A$600,MATCH(F2764,Roster!$E$2:$E$600,0)),""))</f>
        <v/>
      </c>
      <c r="I2764" s="10">
        <f>IF(AND(D2764="",C2764="",F2764=""),"",IF(G2764&lt;&gt;"","Void",IF(F2764="","Needs child",IF(H2764="","Child not found",IF(OR(B2764="",NOT(ISNUMBER(C2764))),"Needs month/pages","OK")))))</f>
        <v/>
      </c>
      <c r="J2764" s="10">
        <f>IF(I2764="","",IF(I2764="OK",IF(COUNTIFS(H2765:H$3001,H2764,B2765:B$3001,B2764,G2765:G$3001,"")=0,C2764,0),0))</f>
        <v/>
      </c>
    </row>
    <row r="2765">
      <c r="A2765" s="6" t="n"/>
      <c r="B2765" s="9" t="n"/>
      <c r="C2765" s="6" t="n"/>
      <c r="D2765" s="6" t="n"/>
      <c r="E2765" s="6" t="n"/>
      <c r="F2765" s="6" t="n"/>
      <c r="G2765" s="6" t="n"/>
      <c r="H2765" s="10">
        <f>IF(F2765="","",IFERROR(INDEX(Roster!$A$2:$A$600,MATCH(F2765,Roster!$E$2:$E$600,0)),""))</f>
        <v/>
      </c>
      <c r="I2765" s="10">
        <f>IF(AND(D2765="",C2765="",F2765=""),"",IF(G2765&lt;&gt;"","Void",IF(F2765="","Needs child",IF(H2765="","Child not found",IF(OR(B2765="",NOT(ISNUMBER(C2765))),"Needs month/pages","OK")))))</f>
        <v/>
      </c>
      <c r="J2765" s="10">
        <f>IF(I2765="","",IF(I2765="OK",IF(COUNTIFS(H2766:H$3001,H2765,B2766:B$3001,B2765,G2766:G$3001,"")=0,C2765,0),0))</f>
        <v/>
      </c>
    </row>
    <row r="2766">
      <c r="A2766" s="6" t="n"/>
      <c r="B2766" s="9" t="n"/>
      <c r="C2766" s="6" t="n"/>
      <c r="D2766" s="6" t="n"/>
      <c r="E2766" s="6" t="n"/>
      <c r="F2766" s="6" t="n"/>
      <c r="G2766" s="6" t="n"/>
      <c r="H2766" s="10">
        <f>IF(F2766="","",IFERROR(INDEX(Roster!$A$2:$A$600,MATCH(F2766,Roster!$E$2:$E$600,0)),""))</f>
        <v/>
      </c>
      <c r="I2766" s="10">
        <f>IF(AND(D2766="",C2766="",F2766=""),"",IF(G2766&lt;&gt;"","Void",IF(F2766="","Needs child",IF(H2766="","Child not found",IF(OR(B2766="",NOT(ISNUMBER(C2766))),"Needs month/pages","OK")))))</f>
        <v/>
      </c>
      <c r="J2766" s="10">
        <f>IF(I2766="","",IF(I2766="OK",IF(COUNTIFS(H2767:H$3001,H2766,B2767:B$3001,B2766,G2767:G$3001,"")=0,C2766,0),0))</f>
        <v/>
      </c>
    </row>
    <row r="2767">
      <c r="A2767" s="6" t="n"/>
      <c r="B2767" s="9" t="n"/>
      <c r="C2767" s="6" t="n"/>
      <c r="D2767" s="6" t="n"/>
      <c r="E2767" s="6" t="n"/>
      <c r="F2767" s="6" t="n"/>
      <c r="G2767" s="6" t="n"/>
      <c r="H2767" s="10">
        <f>IF(F2767="","",IFERROR(INDEX(Roster!$A$2:$A$600,MATCH(F2767,Roster!$E$2:$E$600,0)),""))</f>
        <v/>
      </c>
      <c r="I2767" s="10">
        <f>IF(AND(D2767="",C2767="",F2767=""),"",IF(G2767&lt;&gt;"","Void",IF(F2767="","Needs child",IF(H2767="","Child not found",IF(OR(B2767="",NOT(ISNUMBER(C2767))),"Needs month/pages","OK")))))</f>
        <v/>
      </c>
      <c r="J2767" s="10">
        <f>IF(I2767="","",IF(I2767="OK",IF(COUNTIFS(H2768:H$3001,H2767,B2768:B$3001,B2767,G2768:G$3001,"")=0,C2767,0),0))</f>
        <v/>
      </c>
    </row>
    <row r="2768">
      <c r="A2768" s="6" t="n"/>
      <c r="B2768" s="9" t="n"/>
      <c r="C2768" s="6" t="n"/>
      <c r="D2768" s="6" t="n"/>
      <c r="E2768" s="6" t="n"/>
      <c r="F2768" s="6" t="n"/>
      <c r="G2768" s="6" t="n"/>
      <c r="H2768" s="10">
        <f>IF(F2768="","",IFERROR(INDEX(Roster!$A$2:$A$600,MATCH(F2768,Roster!$E$2:$E$600,0)),""))</f>
        <v/>
      </c>
      <c r="I2768" s="10">
        <f>IF(AND(D2768="",C2768="",F2768=""),"",IF(G2768&lt;&gt;"","Void",IF(F2768="","Needs child",IF(H2768="","Child not found",IF(OR(B2768="",NOT(ISNUMBER(C2768))),"Needs month/pages","OK")))))</f>
        <v/>
      </c>
      <c r="J2768" s="10">
        <f>IF(I2768="","",IF(I2768="OK",IF(COUNTIFS(H2769:H$3001,H2768,B2769:B$3001,B2768,G2769:G$3001,"")=0,C2768,0),0))</f>
        <v/>
      </c>
    </row>
    <row r="2769">
      <c r="A2769" s="6" t="n"/>
      <c r="B2769" s="9" t="n"/>
      <c r="C2769" s="6" t="n"/>
      <c r="D2769" s="6" t="n"/>
      <c r="E2769" s="6" t="n"/>
      <c r="F2769" s="6" t="n"/>
      <c r="G2769" s="6" t="n"/>
      <c r="H2769" s="10">
        <f>IF(F2769="","",IFERROR(INDEX(Roster!$A$2:$A$600,MATCH(F2769,Roster!$E$2:$E$600,0)),""))</f>
        <v/>
      </c>
      <c r="I2769" s="10">
        <f>IF(AND(D2769="",C2769="",F2769=""),"",IF(G2769&lt;&gt;"","Void",IF(F2769="","Needs child",IF(H2769="","Child not found",IF(OR(B2769="",NOT(ISNUMBER(C2769))),"Needs month/pages","OK")))))</f>
        <v/>
      </c>
      <c r="J2769" s="10">
        <f>IF(I2769="","",IF(I2769="OK",IF(COUNTIFS(H2770:H$3001,H2769,B2770:B$3001,B2769,G2770:G$3001,"")=0,C2769,0),0))</f>
        <v/>
      </c>
    </row>
    <row r="2770">
      <c r="A2770" s="6" t="n"/>
      <c r="B2770" s="9" t="n"/>
      <c r="C2770" s="6" t="n"/>
      <c r="D2770" s="6" t="n"/>
      <c r="E2770" s="6" t="n"/>
      <c r="F2770" s="6" t="n"/>
      <c r="G2770" s="6" t="n"/>
      <c r="H2770" s="10">
        <f>IF(F2770="","",IFERROR(INDEX(Roster!$A$2:$A$600,MATCH(F2770,Roster!$E$2:$E$600,0)),""))</f>
        <v/>
      </c>
      <c r="I2770" s="10">
        <f>IF(AND(D2770="",C2770="",F2770=""),"",IF(G2770&lt;&gt;"","Void",IF(F2770="","Needs child",IF(H2770="","Child not found",IF(OR(B2770="",NOT(ISNUMBER(C2770))),"Needs month/pages","OK")))))</f>
        <v/>
      </c>
      <c r="J2770" s="10">
        <f>IF(I2770="","",IF(I2770="OK",IF(COUNTIFS(H2771:H$3001,H2770,B2771:B$3001,B2770,G2771:G$3001,"")=0,C2770,0),0))</f>
        <v/>
      </c>
    </row>
    <row r="2771">
      <c r="A2771" s="6" t="n"/>
      <c r="B2771" s="9" t="n"/>
      <c r="C2771" s="6" t="n"/>
      <c r="D2771" s="6" t="n"/>
      <c r="E2771" s="6" t="n"/>
      <c r="F2771" s="6" t="n"/>
      <c r="G2771" s="6" t="n"/>
      <c r="H2771" s="10">
        <f>IF(F2771="","",IFERROR(INDEX(Roster!$A$2:$A$600,MATCH(F2771,Roster!$E$2:$E$600,0)),""))</f>
        <v/>
      </c>
      <c r="I2771" s="10">
        <f>IF(AND(D2771="",C2771="",F2771=""),"",IF(G2771&lt;&gt;"","Void",IF(F2771="","Needs child",IF(H2771="","Child not found",IF(OR(B2771="",NOT(ISNUMBER(C2771))),"Needs month/pages","OK")))))</f>
        <v/>
      </c>
      <c r="J2771" s="10">
        <f>IF(I2771="","",IF(I2771="OK",IF(COUNTIFS(H2772:H$3001,H2771,B2772:B$3001,B2771,G2772:G$3001,"")=0,C2771,0),0))</f>
        <v/>
      </c>
    </row>
    <row r="2772">
      <c r="A2772" s="6" t="n"/>
      <c r="B2772" s="9" t="n"/>
      <c r="C2772" s="6" t="n"/>
      <c r="D2772" s="6" t="n"/>
      <c r="E2772" s="6" t="n"/>
      <c r="F2772" s="6" t="n"/>
      <c r="G2772" s="6" t="n"/>
      <c r="H2772" s="10">
        <f>IF(F2772="","",IFERROR(INDEX(Roster!$A$2:$A$600,MATCH(F2772,Roster!$E$2:$E$600,0)),""))</f>
        <v/>
      </c>
      <c r="I2772" s="10">
        <f>IF(AND(D2772="",C2772="",F2772=""),"",IF(G2772&lt;&gt;"","Void",IF(F2772="","Needs child",IF(H2772="","Child not found",IF(OR(B2772="",NOT(ISNUMBER(C2772))),"Needs month/pages","OK")))))</f>
        <v/>
      </c>
      <c r="J2772" s="10">
        <f>IF(I2772="","",IF(I2772="OK",IF(COUNTIFS(H2773:H$3001,H2772,B2773:B$3001,B2772,G2773:G$3001,"")=0,C2772,0),0))</f>
        <v/>
      </c>
    </row>
    <row r="2773">
      <c r="A2773" s="6" t="n"/>
      <c r="B2773" s="9" t="n"/>
      <c r="C2773" s="6" t="n"/>
      <c r="D2773" s="6" t="n"/>
      <c r="E2773" s="6" t="n"/>
      <c r="F2773" s="6" t="n"/>
      <c r="G2773" s="6" t="n"/>
      <c r="H2773" s="10">
        <f>IF(F2773="","",IFERROR(INDEX(Roster!$A$2:$A$600,MATCH(F2773,Roster!$E$2:$E$600,0)),""))</f>
        <v/>
      </c>
      <c r="I2773" s="10">
        <f>IF(AND(D2773="",C2773="",F2773=""),"",IF(G2773&lt;&gt;"","Void",IF(F2773="","Needs child",IF(H2773="","Child not found",IF(OR(B2773="",NOT(ISNUMBER(C2773))),"Needs month/pages","OK")))))</f>
        <v/>
      </c>
      <c r="J2773" s="10">
        <f>IF(I2773="","",IF(I2773="OK",IF(COUNTIFS(H2774:H$3001,H2773,B2774:B$3001,B2773,G2774:G$3001,"")=0,C2773,0),0))</f>
        <v/>
      </c>
    </row>
    <row r="2774">
      <c r="A2774" s="6" t="n"/>
      <c r="B2774" s="9" t="n"/>
      <c r="C2774" s="6" t="n"/>
      <c r="D2774" s="6" t="n"/>
      <c r="E2774" s="6" t="n"/>
      <c r="F2774" s="6" t="n"/>
      <c r="G2774" s="6" t="n"/>
      <c r="H2774" s="10">
        <f>IF(F2774="","",IFERROR(INDEX(Roster!$A$2:$A$600,MATCH(F2774,Roster!$E$2:$E$600,0)),""))</f>
        <v/>
      </c>
      <c r="I2774" s="10">
        <f>IF(AND(D2774="",C2774="",F2774=""),"",IF(G2774&lt;&gt;"","Void",IF(F2774="","Needs child",IF(H2774="","Child not found",IF(OR(B2774="",NOT(ISNUMBER(C2774))),"Needs month/pages","OK")))))</f>
        <v/>
      </c>
      <c r="J2774" s="10">
        <f>IF(I2774="","",IF(I2774="OK",IF(COUNTIFS(H2775:H$3001,H2774,B2775:B$3001,B2774,G2775:G$3001,"")=0,C2774,0),0))</f>
        <v/>
      </c>
    </row>
    <row r="2775">
      <c r="A2775" s="6" t="n"/>
      <c r="B2775" s="9" t="n"/>
      <c r="C2775" s="6" t="n"/>
      <c r="D2775" s="6" t="n"/>
      <c r="E2775" s="6" t="n"/>
      <c r="F2775" s="6" t="n"/>
      <c r="G2775" s="6" t="n"/>
      <c r="H2775" s="10">
        <f>IF(F2775="","",IFERROR(INDEX(Roster!$A$2:$A$600,MATCH(F2775,Roster!$E$2:$E$600,0)),""))</f>
        <v/>
      </c>
      <c r="I2775" s="10">
        <f>IF(AND(D2775="",C2775="",F2775=""),"",IF(G2775&lt;&gt;"","Void",IF(F2775="","Needs child",IF(H2775="","Child not found",IF(OR(B2775="",NOT(ISNUMBER(C2775))),"Needs month/pages","OK")))))</f>
        <v/>
      </c>
      <c r="J2775" s="10">
        <f>IF(I2775="","",IF(I2775="OK",IF(COUNTIFS(H2776:H$3001,H2775,B2776:B$3001,B2775,G2776:G$3001,"")=0,C2775,0),0))</f>
        <v/>
      </c>
    </row>
    <row r="2776">
      <c r="A2776" s="6" t="n"/>
      <c r="B2776" s="9" t="n"/>
      <c r="C2776" s="6" t="n"/>
      <c r="D2776" s="6" t="n"/>
      <c r="E2776" s="6" t="n"/>
      <c r="F2776" s="6" t="n"/>
      <c r="G2776" s="6" t="n"/>
      <c r="H2776" s="10">
        <f>IF(F2776="","",IFERROR(INDEX(Roster!$A$2:$A$600,MATCH(F2776,Roster!$E$2:$E$600,0)),""))</f>
        <v/>
      </c>
      <c r="I2776" s="10">
        <f>IF(AND(D2776="",C2776="",F2776=""),"",IF(G2776&lt;&gt;"","Void",IF(F2776="","Needs child",IF(H2776="","Child not found",IF(OR(B2776="",NOT(ISNUMBER(C2776))),"Needs month/pages","OK")))))</f>
        <v/>
      </c>
      <c r="J2776" s="10">
        <f>IF(I2776="","",IF(I2776="OK",IF(COUNTIFS(H2777:H$3001,H2776,B2777:B$3001,B2776,G2777:G$3001,"")=0,C2776,0),0))</f>
        <v/>
      </c>
    </row>
    <row r="2777">
      <c r="A2777" s="6" t="n"/>
      <c r="B2777" s="9" t="n"/>
      <c r="C2777" s="6" t="n"/>
      <c r="D2777" s="6" t="n"/>
      <c r="E2777" s="6" t="n"/>
      <c r="F2777" s="6" t="n"/>
      <c r="G2777" s="6" t="n"/>
      <c r="H2777" s="10">
        <f>IF(F2777="","",IFERROR(INDEX(Roster!$A$2:$A$600,MATCH(F2777,Roster!$E$2:$E$600,0)),""))</f>
        <v/>
      </c>
      <c r="I2777" s="10">
        <f>IF(AND(D2777="",C2777="",F2777=""),"",IF(G2777&lt;&gt;"","Void",IF(F2777="","Needs child",IF(H2777="","Child not found",IF(OR(B2777="",NOT(ISNUMBER(C2777))),"Needs month/pages","OK")))))</f>
        <v/>
      </c>
      <c r="J2777" s="10">
        <f>IF(I2777="","",IF(I2777="OK",IF(COUNTIFS(H2778:H$3001,H2777,B2778:B$3001,B2777,G2778:G$3001,"")=0,C2777,0),0))</f>
        <v/>
      </c>
    </row>
    <row r="2778">
      <c r="A2778" s="6" t="n"/>
      <c r="B2778" s="9" t="n"/>
      <c r="C2778" s="6" t="n"/>
      <c r="D2778" s="6" t="n"/>
      <c r="E2778" s="6" t="n"/>
      <c r="F2778" s="6" t="n"/>
      <c r="G2778" s="6" t="n"/>
      <c r="H2778" s="10">
        <f>IF(F2778="","",IFERROR(INDEX(Roster!$A$2:$A$600,MATCH(F2778,Roster!$E$2:$E$600,0)),""))</f>
        <v/>
      </c>
      <c r="I2778" s="10">
        <f>IF(AND(D2778="",C2778="",F2778=""),"",IF(G2778&lt;&gt;"","Void",IF(F2778="","Needs child",IF(H2778="","Child not found",IF(OR(B2778="",NOT(ISNUMBER(C2778))),"Needs month/pages","OK")))))</f>
        <v/>
      </c>
      <c r="J2778" s="10">
        <f>IF(I2778="","",IF(I2778="OK",IF(COUNTIFS(H2779:H$3001,H2778,B2779:B$3001,B2778,G2779:G$3001,"")=0,C2778,0),0))</f>
        <v/>
      </c>
    </row>
    <row r="2779">
      <c r="A2779" s="6" t="n"/>
      <c r="B2779" s="9" t="n"/>
      <c r="C2779" s="6" t="n"/>
      <c r="D2779" s="6" t="n"/>
      <c r="E2779" s="6" t="n"/>
      <c r="F2779" s="6" t="n"/>
      <c r="G2779" s="6" t="n"/>
      <c r="H2779" s="10">
        <f>IF(F2779="","",IFERROR(INDEX(Roster!$A$2:$A$600,MATCH(F2779,Roster!$E$2:$E$600,0)),""))</f>
        <v/>
      </c>
      <c r="I2779" s="10">
        <f>IF(AND(D2779="",C2779="",F2779=""),"",IF(G2779&lt;&gt;"","Void",IF(F2779="","Needs child",IF(H2779="","Child not found",IF(OR(B2779="",NOT(ISNUMBER(C2779))),"Needs month/pages","OK")))))</f>
        <v/>
      </c>
      <c r="J2779" s="10">
        <f>IF(I2779="","",IF(I2779="OK",IF(COUNTIFS(H2780:H$3001,H2779,B2780:B$3001,B2779,G2780:G$3001,"")=0,C2779,0),0))</f>
        <v/>
      </c>
    </row>
    <row r="2780">
      <c r="A2780" s="6" t="n"/>
      <c r="B2780" s="9" t="n"/>
      <c r="C2780" s="6" t="n"/>
      <c r="D2780" s="6" t="n"/>
      <c r="E2780" s="6" t="n"/>
      <c r="F2780" s="6" t="n"/>
      <c r="G2780" s="6" t="n"/>
      <c r="H2780" s="10">
        <f>IF(F2780="","",IFERROR(INDEX(Roster!$A$2:$A$600,MATCH(F2780,Roster!$E$2:$E$600,0)),""))</f>
        <v/>
      </c>
      <c r="I2780" s="10">
        <f>IF(AND(D2780="",C2780="",F2780=""),"",IF(G2780&lt;&gt;"","Void",IF(F2780="","Needs child",IF(H2780="","Child not found",IF(OR(B2780="",NOT(ISNUMBER(C2780))),"Needs month/pages","OK")))))</f>
        <v/>
      </c>
      <c r="J2780" s="10">
        <f>IF(I2780="","",IF(I2780="OK",IF(COUNTIFS(H2781:H$3001,H2780,B2781:B$3001,B2780,G2781:G$3001,"")=0,C2780,0),0))</f>
        <v/>
      </c>
    </row>
    <row r="2781">
      <c r="A2781" s="6" t="n"/>
      <c r="B2781" s="9" t="n"/>
      <c r="C2781" s="6" t="n"/>
      <c r="D2781" s="6" t="n"/>
      <c r="E2781" s="6" t="n"/>
      <c r="F2781" s="6" t="n"/>
      <c r="G2781" s="6" t="n"/>
      <c r="H2781" s="10">
        <f>IF(F2781="","",IFERROR(INDEX(Roster!$A$2:$A$600,MATCH(F2781,Roster!$E$2:$E$600,0)),""))</f>
        <v/>
      </c>
      <c r="I2781" s="10">
        <f>IF(AND(D2781="",C2781="",F2781=""),"",IF(G2781&lt;&gt;"","Void",IF(F2781="","Needs child",IF(H2781="","Child not found",IF(OR(B2781="",NOT(ISNUMBER(C2781))),"Needs month/pages","OK")))))</f>
        <v/>
      </c>
      <c r="J2781" s="10">
        <f>IF(I2781="","",IF(I2781="OK",IF(COUNTIFS(H2782:H$3001,H2781,B2782:B$3001,B2781,G2782:G$3001,"")=0,C2781,0),0))</f>
        <v/>
      </c>
    </row>
    <row r="2782">
      <c r="A2782" s="6" t="n"/>
      <c r="B2782" s="9" t="n"/>
      <c r="C2782" s="6" t="n"/>
      <c r="D2782" s="6" t="n"/>
      <c r="E2782" s="6" t="n"/>
      <c r="F2782" s="6" t="n"/>
      <c r="G2782" s="6" t="n"/>
      <c r="H2782" s="10">
        <f>IF(F2782="","",IFERROR(INDEX(Roster!$A$2:$A$600,MATCH(F2782,Roster!$E$2:$E$600,0)),""))</f>
        <v/>
      </c>
      <c r="I2782" s="10">
        <f>IF(AND(D2782="",C2782="",F2782=""),"",IF(G2782&lt;&gt;"","Void",IF(F2782="","Needs child",IF(H2782="","Child not found",IF(OR(B2782="",NOT(ISNUMBER(C2782))),"Needs month/pages","OK")))))</f>
        <v/>
      </c>
      <c r="J2782" s="10">
        <f>IF(I2782="","",IF(I2782="OK",IF(COUNTIFS(H2783:H$3001,H2782,B2783:B$3001,B2782,G2783:G$3001,"")=0,C2782,0),0))</f>
        <v/>
      </c>
    </row>
    <row r="2783">
      <c r="A2783" s="6" t="n"/>
      <c r="B2783" s="9" t="n"/>
      <c r="C2783" s="6" t="n"/>
      <c r="D2783" s="6" t="n"/>
      <c r="E2783" s="6" t="n"/>
      <c r="F2783" s="6" t="n"/>
      <c r="G2783" s="6" t="n"/>
      <c r="H2783" s="10">
        <f>IF(F2783="","",IFERROR(INDEX(Roster!$A$2:$A$600,MATCH(F2783,Roster!$E$2:$E$600,0)),""))</f>
        <v/>
      </c>
      <c r="I2783" s="10">
        <f>IF(AND(D2783="",C2783="",F2783=""),"",IF(G2783&lt;&gt;"","Void",IF(F2783="","Needs child",IF(H2783="","Child not found",IF(OR(B2783="",NOT(ISNUMBER(C2783))),"Needs month/pages","OK")))))</f>
        <v/>
      </c>
      <c r="J2783" s="10">
        <f>IF(I2783="","",IF(I2783="OK",IF(COUNTIFS(H2784:H$3001,H2783,B2784:B$3001,B2783,G2784:G$3001,"")=0,C2783,0),0))</f>
        <v/>
      </c>
    </row>
    <row r="2784">
      <c r="A2784" s="6" t="n"/>
      <c r="B2784" s="9" t="n"/>
      <c r="C2784" s="6" t="n"/>
      <c r="D2784" s="6" t="n"/>
      <c r="E2784" s="6" t="n"/>
      <c r="F2784" s="6" t="n"/>
      <c r="G2784" s="6" t="n"/>
      <c r="H2784" s="10">
        <f>IF(F2784="","",IFERROR(INDEX(Roster!$A$2:$A$600,MATCH(F2784,Roster!$E$2:$E$600,0)),""))</f>
        <v/>
      </c>
      <c r="I2784" s="10">
        <f>IF(AND(D2784="",C2784="",F2784=""),"",IF(G2784&lt;&gt;"","Void",IF(F2784="","Needs child",IF(H2784="","Child not found",IF(OR(B2784="",NOT(ISNUMBER(C2784))),"Needs month/pages","OK")))))</f>
        <v/>
      </c>
      <c r="J2784" s="10">
        <f>IF(I2784="","",IF(I2784="OK",IF(COUNTIFS(H2785:H$3001,H2784,B2785:B$3001,B2784,G2785:G$3001,"")=0,C2784,0),0))</f>
        <v/>
      </c>
    </row>
    <row r="2785">
      <c r="A2785" s="6" t="n"/>
      <c r="B2785" s="9" t="n"/>
      <c r="C2785" s="6" t="n"/>
      <c r="D2785" s="6" t="n"/>
      <c r="E2785" s="6" t="n"/>
      <c r="F2785" s="6" t="n"/>
      <c r="G2785" s="6" t="n"/>
      <c r="H2785" s="10">
        <f>IF(F2785="","",IFERROR(INDEX(Roster!$A$2:$A$600,MATCH(F2785,Roster!$E$2:$E$600,0)),""))</f>
        <v/>
      </c>
      <c r="I2785" s="10">
        <f>IF(AND(D2785="",C2785="",F2785=""),"",IF(G2785&lt;&gt;"","Void",IF(F2785="","Needs child",IF(H2785="","Child not found",IF(OR(B2785="",NOT(ISNUMBER(C2785))),"Needs month/pages","OK")))))</f>
        <v/>
      </c>
      <c r="J2785" s="10">
        <f>IF(I2785="","",IF(I2785="OK",IF(COUNTIFS(H2786:H$3001,H2785,B2786:B$3001,B2785,G2786:G$3001,"")=0,C2785,0),0))</f>
        <v/>
      </c>
    </row>
    <row r="2786">
      <c r="A2786" s="6" t="n"/>
      <c r="B2786" s="9" t="n"/>
      <c r="C2786" s="6" t="n"/>
      <c r="D2786" s="6" t="n"/>
      <c r="E2786" s="6" t="n"/>
      <c r="F2786" s="6" t="n"/>
      <c r="G2786" s="6" t="n"/>
      <c r="H2786" s="10">
        <f>IF(F2786="","",IFERROR(INDEX(Roster!$A$2:$A$600,MATCH(F2786,Roster!$E$2:$E$600,0)),""))</f>
        <v/>
      </c>
      <c r="I2786" s="10">
        <f>IF(AND(D2786="",C2786="",F2786=""),"",IF(G2786&lt;&gt;"","Void",IF(F2786="","Needs child",IF(H2786="","Child not found",IF(OR(B2786="",NOT(ISNUMBER(C2786))),"Needs month/pages","OK")))))</f>
        <v/>
      </c>
      <c r="J2786" s="10">
        <f>IF(I2786="","",IF(I2786="OK",IF(COUNTIFS(H2787:H$3001,H2786,B2787:B$3001,B2786,G2787:G$3001,"")=0,C2786,0),0))</f>
        <v/>
      </c>
    </row>
    <row r="2787">
      <c r="A2787" s="6" t="n"/>
      <c r="B2787" s="9" t="n"/>
      <c r="C2787" s="6" t="n"/>
      <c r="D2787" s="6" t="n"/>
      <c r="E2787" s="6" t="n"/>
      <c r="F2787" s="6" t="n"/>
      <c r="G2787" s="6" t="n"/>
      <c r="H2787" s="10">
        <f>IF(F2787="","",IFERROR(INDEX(Roster!$A$2:$A$600,MATCH(F2787,Roster!$E$2:$E$600,0)),""))</f>
        <v/>
      </c>
      <c r="I2787" s="10">
        <f>IF(AND(D2787="",C2787="",F2787=""),"",IF(G2787&lt;&gt;"","Void",IF(F2787="","Needs child",IF(H2787="","Child not found",IF(OR(B2787="",NOT(ISNUMBER(C2787))),"Needs month/pages","OK")))))</f>
        <v/>
      </c>
      <c r="J2787" s="10">
        <f>IF(I2787="","",IF(I2787="OK",IF(COUNTIFS(H2788:H$3001,H2787,B2788:B$3001,B2787,G2788:G$3001,"")=0,C2787,0),0))</f>
        <v/>
      </c>
    </row>
    <row r="2788">
      <c r="A2788" s="6" t="n"/>
      <c r="B2788" s="9" t="n"/>
      <c r="C2788" s="6" t="n"/>
      <c r="D2788" s="6" t="n"/>
      <c r="E2788" s="6" t="n"/>
      <c r="F2788" s="6" t="n"/>
      <c r="G2788" s="6" t="n"/>
      <c r="H2788" s="10">
        <f>IF(F2788="","",IFERROR(INDEX(Roster!$A$2:$A$600,MATCH(F2788,Roster!$E$2:$E$600,0)),""))</f>
        <v/>
      </c>
      <c r="I2788" s="10">
        <f>IF(AND(D2788="",C2788="",F2788=""),"",IF(G2788&lt;&gt;"","Void",IF(F2788="","Needs child",IF(H2788="","Child not found",IF(OR(B2788="",NOT(ISNUMBER(C2788))),"Needs month/pages","OK")))))</f>
        <v/>
      </c>
      <c r="J2788" s="10">
        <f>IF(I2788="","",IF(I2788="OK",IF(COUNTIFS(H2789:H$3001,H2788,B2789:B$3001,B2788,G2789:G$3001,"")=0,C2788,0),0))</f>
        <v/>
      </c>
    </row>
    <row r="2789">
      <c r="A2789" s="6" t="n"/>
      <c r="B2789" s="9" t="n"/>
      <c r="C2789" s="6" t="n"/>
      <c r="D2789" s="6" t="n"/>
      <c r="E2789" s="6" t="n"/>
      <c r="F2789" s="6" t="n"/>
      <c r="G2789" s="6" t="n"/>
      <c r="H2789" s="10">
        <f>IF(F2789="","",IFERROR(INDEX(Roster!$A$2:$A$600,MATCH(F2789,Roster!$E$2:$E$600,0)),""))</f>
        <v/>
      </c>
      <c r="I2789" s="10">
        <f>IF(AND(D2789="",C2789="",F2789=""),"",IF(G2789&lt;&gt;"","Void",IF(F2789="","Needs child",IF(H2789="","Child not found",IF(OR(B2789="",NOT(ISNUMBER(C2789))),"Needs month/pages","OK")))))</f>
        <v/>
      </c>
      <c r="J2789" s="10">
        <f>IF(I2789="","",IF(I2789="OK",IF(COUNTIFS(H2790:H$3001,H2789,B2790:B$3001,B2789,G2790:G$3001,"")=0,C2789,0),0))</f>
        <v/>
      </c>
    </row>
    <row r="2790">
      <c r="A2790" s="6" t="n"/>
      <c r="B2790" s="9" t="n"/>
      <c r="C2790" s="6" t="n"/>
      <c r="D2790" s="6" t="n"/>
      <c r="E2790" s="6" t="n"/>
      <c r="F2790" s="6" t="n"/>
      <c r="G2790" s="6" t="n"/>
      <c r="H2790" s="10">
        <f>IF(F2790="","",IFERROR(INDEX(Roster!$A$2:$A$600,MATCH(F2790,Roster!$E$2:$E$600,0)),""))</f>
        <v/>
      </c>
      <c r="I2790" s="10">
        <f>IF(AND(D2790="",C2790="",F2790=""),"",IF(G2790&lt;&gt;"","Void",IF(F2790="","Needs child",IF(H2790="","Child not found",IF(OR(B2790="",NOT(ISNUMBER(C2790))),"Needs month/pages","OK")))))</f>
        <v/>
      </c>
      <c r="J2790" s="10">
        <f>IF(I2790="","",IF(I2790="OK",IF(COUNTIFS(H2791:H$3001,H2790,B2791:B$3001,B2790,G2791:G$3001,"")=0,C2790,0),0))</f>
        <v/>
      </c>
    </row>
    <row r="2791">
      <c r="A2791" s="6" t="n"/>
      <c r="B2791" s="9" t="n"/>
      <c r="C2791" s="6" t="n"/>
      <c r="D2791" s="6" t="n"/>
      <c r="E2791" s="6" t="n"/>
      <c r="F2791" s="6" t="n"/>
      <c r="G2791" s="6" t="n"/>
      <c r="H2791" s="10">
        <f>IF(F2791="","",IFERROR(INDEX(Roster!$A$2:$A$600,MATCH(F2791,Roster!$E$2:$E$600,0)),""))</f>
        <v/>
      </c>
      <c r="I2791" s="10">
        <f>IF(AND(D2791="",C2791="",F2791=""),"",IF(G2791&lt;&gt;"","Void",IF(F2791="","Needs child",IF(H2791="","Child not found",IF(OR(B2791="",NOT(ISNUMBER(C2791))),"Needs month/pages","OK")))))</f>
        <v/>
      </c>
      <c r="J2791" s="10">
        <f>IF(I2791="","",IF(I2791="OK",IF(COUNTIFS(H2792:H$3001,H2791,B2792:B$3001,B2791,G2792:G$3001,"")=0,C2791,0),0))</f>
        <v/>
      </c>
    </row>
    <row r="2792">
      <c r="A2792" s="6" t="n"/>
      <c r="B2792" s="9" t="n"/>
      <c r="C2792" s="6" t="n"/>
      <c r="D2792" s="6" t="n"/>
      <c r="E2792" s="6" t="n"/>
      <c r="F2792" s="6" t="n"/>
      <c r="G2792" s="6" t="n"/>
      <c r="H2792" s="10">
        <f>IF(F2792="","",IFERROR(INDEX(Roster!$A$2:$A$600,MATCH(F2792,Roster!$E$2:$E$600,0)),""))</f>
        <v/>
      </c>
      <c r="I2792" s="10">
        <f>IF(AND(D2792="",C2792="",F2792=""),"",IF(G2792&lt;&gt;"","Void",IF(F2792="","Needs child",IF(H2792="","Child not found",IF(OR(B2792="",NOT(ISNUMBER(C2792))),"Needs month/pages","OK")))))</f>
        <v/>
      </c>
      <c r="J2792" s="10">
        <f>IF(I2792="","",IF(I2792="OK",IF(COUNTIFS(H2793:H$3001,H2792,B2793:B$3001,B2792,G2793:G$3001,"")=0,C2792,0),0))</f>
        <v/>
      </c>
    </row>
    <row r="2793">
      <c r="A2793" s="6" t="n"/>
      <c r="B2793" s="9" t="n"/>
      <c r="C2793" s="6" t="n"/>
      <c r="D2793" s="6" t="n"/>
      <c r="E2793" s="6" t="n"/>
      <c r="F2793" s="6" t="n"/>
      <c r="G2793" s="6" t="n"/>
      <c r="H2793" s="10">
        <f>IF(F2793="","",IFERROR(INDEX(Roster!$A$2:$A$600,MATCH(F2793,Roster!$E$2:$E$600,0)),""))</f>
        <v/>
      </c>
      <c r="I2793" s="10">
        <f>IF(AND(D2793="",C2793="",F2793=""),"",IF(G2793&lt;&gt;"","Void",IF(F2793="","Needs child",IF(H2793="","Child not found",IF(OR(B2793="",NOT(ISNUMBER(C2793))),"Needs month/pages","OK")))))</f>
        <v/>
      </c>
      <c r="J2793" s="10">
        <f>IF(I2793="","",IF(I2793="OK",IF(COUNTIFS(H2794:H$3001,H2793,B2794:B$3001,B2793,G2794:G$3001,"")=0,C2793,0),0))</f>
        <v/>
      </c>
    </row>
    <row r="2794">
      <c r="A2794" s="6" t="n"/>
      <c r="B2794" s="9" t="n"/>
      <c r="C2794" s="6" t="n"/>
      <c r="D2794" s="6" t="n"/>
      <c r="E2794" s="6" t="n"/>
      <c r="F2794" s="6" t="n"/>
      <c r="G2794" s="6" t="n"/>
      <c r="H2794" s="10">
        <f>IF(F2794="","",IFERROR(INDEX(Roster!$A$2:$A$600,MATCH(F2794,Roster!$E$2:$E$600,0)),""))</f>
        <v/>
      </c>
      <c r="I2794" s="10">
        <f>IF(AND(D2794="",C2794="",F2794=""),"",IF(G2794&lt;&gt;"","Void",IF(F2794="","Needs child",IF(H2794="","Child not found",IF(OR(B2794="",NOT(ISNUMBER(C2794))),"Needs month/pages","OK")))))</f>
        <v/>
      </c>
      <c r="J2794" s="10">
        <f>IF(I2794="","",IF(I2794="OK",IF(COUNTIFS(H2795:H$3001,H2794,B2795:B$3001,B2794,G2795:G$3001,"")=0,C2794,0),0))</f>
        <v/>
      </c>
    </row>
    <row r="2795">
      <c r="A2795" s="6" t="n"/>
      <c r="B2795" s="9" t="n"/>
      <c r="C2795" s="6" t="n"/>
      <c r="D2795" s="6" t="n"/>
      <c r="E2795" s="6" t="n"/>
      <c r="F2795" s="6" t="n"/>
      <c r="G2795" s="6" t="n"/>
      <c r="H2795" s="10">
        <f>IF(F2795="","",IFERROR(INDEX(Roster!$A$2:$A$600,MATCH(F2795,Roster!$E$2:$E$600,0)),""))</f>
        <v/>
      </c>
      <c r="I2795" s="10">
        <f>IF(AND(D2795="",C2795="",F2795=""),"",IF(G2795&lt;&gt;"","Void",IF(F2795="","Needs child",IF(H2795="","Child not found",IF(OR(B2795="",NOT(ISNUMBER(C2795))),"Needs month/pages","OK")))))</f>
        <v/>
      </c>
      <c r="J2795" s="10">
        <f>IF(I2795="","",IF(I2795="OK",IF(COUNTIFS(H2796:H$3001,H2795,B2796:B$3001,B2795,G2796:G$3001,"")=0,C2795,0),0))</f>
        <v/>
      </c>
    </row>
    <row r="2796">
      <c r="A2796" s="6" t="n"/>
      <c r="B2796" s="9" t="n"/>
      <c r="C2796" s="6" t="n"/>
      <c r="D2796" s="6" t="n"/>
      <c r="E2796" s="6" t="n"/>
      <c r="F2796" s="6" t="n"/>
      <c r="G2796" s="6" t="n"/>
      <c r="H2796" s="10">
        <f>IF(F2796="","",IFERROR(INDEX(Roster!$A$2:$A$600,MATCH(F2796,Roster!$E$2:$E$600,0)),""))</f>
        <v/>
      </c>
      <c r="I2796" s="10">
        <f>IF(AND(D2796="",C2796="",F2796=""),"",IF(G2796&lt;&gt;"","Void",IF(F2796="","Needs child",IF(H2796="","Child not found",IF(OR(B2796="",NOT(ISNUMBER(C2796))),"Needs month/pages","OK")))))</f>
        <v/>
      </c>
      <c r="J2796" s="10">
        <f>IF(I2796="","",IF(I2796="OK",IF(COUNTIFS(H2797:H$3001,H2796,B2797:B$3001,B2796,G2797:G$3001,"")=0,C2796,0),0))</f>
        <v/>
      </c>
    </row>
    <row r="2797">
      <c r="A2797" s="6" t="n"/>
      <c r="B2797" s="9" t="n"/>
      <c r="C2797" s="6" t="n"/>
      <c r="D2797" s="6" t="n"/>
      <c r="E2797" s="6" t="n"/>
      <c r="F2797" s="6" t="n"/>
      <c r="G2797" s="6" t="n"/>
      <c r="H2797" s="10">
        <f>IF(F2797="","",IFERROR(INDEX(Roster!$A$2:$A$600,MATCH(F2797,Roster!$E$2:$E$600,0)),""))</f>
        <v/>
      </c>
      <c r="I2797" s="10">
        <f>IF(AND(D2797="",C2797="",F2797=""),"",IF(G2797&lt;&gt;"","Void",IF(F2797="","Needs child",IF(H2797="","Child not found",IF(OR(B2797="",NOT(ISNUMBER(C2797))),"Needs month/pages","OK")))))</f>
        <v/>
      </c>
      <c r="J2797" s="10">
        <f>IF(I2797="","",IF(I2797="OK",IF(COUNTIFS(H2798:H$3001,H2797,B2798:B$3001,B2797,G2798:G$3001,"")=0,C2797,0),0))</f>
        <v/>
      </c>
    </row>
    <row r="2798">
      <c r="A2798" s="6" t="n"/>
      <c r="B2798" s="9" t="n"/>
      <c r="C2798" s="6" t="n"/>
      <c r="D2798" s="6" t="n"/>
      <c r="E2798" s="6" t="n"/>
      <c r="F2798" s="6" t="n"/>
      <c r="G2798" s="6" t="n"/>
      <c r="H2798" s="10">
        <f>IF(F2798="","",IFERROR(INDEX(Roster!$A$2:$A$600,MATCH(F2798,Roster!$E$2:$E$600,0)),""))</f>
        <v/>
      </c>
      <c r="I2798" s="10">
        <f>IF(AND(D2798="",C2798="",F2798=""),"",IF(G2798&lt;&gt;"","Void",IF(F2798="","Needs child",IF(H2798="","Child not found",IF(OR(B2798="",NOT(ISNUMBER(C2798))),"Needs month/pages","OK")))))</f>
        <v/>
      </c>
      <c r="J2798" s="10">
        <f>IF(I2798="","",IF(I2798="OK",IF(COUNTIFS(H2799:H$3001,H2798,B2799:B$3001,B2798,G2799:G$3001,"")=0,C2798,0),0))</f>
        <v/>
      </c>
    </row>
    <row r="2799">
      <c r="A2799" s="6" t="n"/>
      <c r="B2799" s="9" t="n"/>
      <c r="C2799" s="6" t="n"/>
      <c r="D2799" s="6" t="n"/>
      <c r="E2799" s="6" t="n"/>
      <c r="F2799" s="6" t="n"/>
      <c r="G2799" s="6" t="n"/>
      <c r="H2799" s="10">
        <f>IF(F2799="","",IFERROR(INDEX(Roster!$A$2:$A$600,MATCH(F2799,Roster!$E$2:$E$600,0)),""))</f>
        <v/>
      </c>
      <c r="I2799" s="10">
        <f>IF(AND(D2799="",C2799="",F2799=""),"",IF(G2799&lt;&gt;"","Void",IF(F2799="","Needs child",IF(H2799="","Child not found",IF(OR(B2799="",NOT(ISNUMBER(C2799))),"Needs month/pages","OK")))))</f>
        <v/>
      </c>
      <c r="J2799" s="10">
        <f>IF(I2799="","",IF(I2799="OK",IF(COUNTIFS(H2800:H$3001,H2799,B2800:B$3001,B2799,G2800:G$3001,"")=0,C2799,0),0))</f>
        <v/>
      </c>
    </row>
    <row r="2800">
      <c r="A2800" s="6" t="n"/>
      <c r="B2800" s="9" t="n"/>
      <c r="C2800" s="6" t="n"/>
      <c r="D2800" s="6" t="n"/>
      <c r="E2800" s="6" t="n"/>
      <c r="F2800" s="6" t="n"/>
      <c r="G2800" s="6" t="n"/>
      <c r="H2800" s="10">
        <f>IF(F2800="","",IFERROR(INDEX(Roster!$A$2:$A$600,MATCH(F2800,Roster!$E$2:$E$600,0)),""))</f>
        <v/>
      </c>
      <c r="I2800" s="10">
        <f>IF(AND(D2800="",C2800="",F2800=""),"",IF(G2800&lt;&gt;"","Void",IF(F2800="","Needs child",IF(H2800="","Child not found",IF(OR(B2800="",NOT(ISNUMBER(C2800))),"Needs month/pages","OK")))))</f>
        <v/>
      </c>
      <c r="J2800" s="10">
        <f>IF(I2800="","",IF(I2800="OK",IF(COUNTIFS(H2801:H$3001,H2800,B2801:B$3001,B2800,G2801:G$3001,"")=0,C2800,0),0))</f>
        <v/>
      </c>
    </row>
    <row r="2801">
      <c r="A2801" s="6" t="n"/>
      <c r="B2801" s="9" t="n"/>
      <c r="C2801" s="6" t="n"/>
      <c r="D2801" s="6" t="n"/>
      <c r="E2801" s="6" t="n"/>
      <c r="F2801" s="6" t="n"/>
      <c r="G2801" s="6" t="n"/>
      <c r="H2801" s="10">
        <f>IF(F2801="","",IFERROR(INDEX(Roster!$A$2:$A$600,MATCH(F2801,Roster!$E$2:$E$600,0)),""))</f>
        <v/>
      </c>
      <c r="I2801" s="10">
        <f>IF(AND(D2801="",C2801="",F2801=""),"",IF(G2801&lt;&gt;"","Void",IF(F2801="","Needs child",IF(H2801="","Child not found",IF(OR(B2801="",NOT(ISNUMBER(C2801))),"Needs month/pages","OK")))))</f>
        <v/>
      </c>
      <c r="J2801" s="10">
        <f>IF(I2801="","",IF(I2801="OK",IF(COUNTIFS(H2802:H$3001,H2801,B2802:B$3001,B2801,G2802:G$3001,"")=0,C2801,0),0))</f>
        <v/>
      </c>
    </row>
    <row r="2802">
      <c r="A2802" s="6" t="n"/>
      <c r="B2802" s="9" t="n"/>
      <c r="C2802" s="6" t="n"/>
      <c r="D2802" s="6" t="n"/>
      <c r="E2802" s="6" t="n"/>
      <c r="F2802" s="6" t="n"/>
      <c r="G2802" s="6" t="n"/>
      <c r="H2802" s="10">
        <f>IF(F2802="","",IFERROR(INDEX(Roster!$A$2:$A$600,MATCH(F2802,Roster!$E$2:$E$600,0)),""))</f>
        <v/>
      </c>
      <c r="I2802" s="10">
        <f>IF(AND(D2802="",C2802="",F2802=""),"",IF(G2802&lt;&gt;"","Void",IF(F2802="","Needs child",IF(H2802="","Child not found",IF(OR(B2802="",NOT(ISNUMBER(C2802))),"Needs month/pages","OK")))))</f>
        <v/>
      </c>
      <c r="J2802" s="10">
        <f>IF(I2802="","",IF(I2802="OK",IF(COUNTIFS(H2803:H$3001,H2802,B2803:B$3001,B2802,G2803:G$3001,"")=0,C2802,0),0))</f>
        <v/>
      </c>
    </row>
    <row r="2803">
      <c r="A2803" s="6" t="n"/>
      <c r="B2803" s="9" t="n"/>
      <c r="C2803" s="6" t="n"/>
      <c r="D2803" s="6" t="n"/>
      <c r="E2803" s="6" t="n"/>
      <c r="F2803" s="6" t="n"/>
      <c r="G2803" s="6" t="n"/>
      <c r="H2803" s="10">
        <f>IF(F2803="","",IFERROR(INDEX(Roster!$A$2:$A$600,MATCH(F2803,Roster!$E$2:$E$600,0)),""))</f>
        <v/>
      </c>
      <c r="I2803" s="10">
        <f>IF(AND(D2803="",C2803="",F2803=""),"",IF(G2803&lt;&gt;"","Void",IF(F2803="","Needs child",IF(H2803="","Child not found",IF(OR(B2803="",NOT(ISNUMBER(C2803))),"Needs month/pages","OK")))))</f>
        <v/>
      </c>
      <c r="J2803" s="10">
        <f>IF(I2803="","",IF(I2803="OK",IF(COUNTIFS(H2804:H$3001,H2803,B2804:B$3001,B2803,G2804:G$3001,"")=0,C2803,0),0))</f>
        <v/>
      </c>
    </row>
    <row r="2804">
      <c r="A2804" s="6" t="n"/>
      <c r="B2804" s="9" t="n"/>
      <c r="C2804" s="6" t="n"/>
      <c r="D2804" s="6" t="n"/>
      <c r="E2804" s="6" t="n"/>
      <c r="F2804" s="6" t="n"/>
      <c r="G2804" s="6" t="n"/>
      <c r="H2804" s="10">
        <f>IF(F2804="","",IFERROR(INDEX(Roster!$A$2:$A$600,MATCH(F2804,Roster!$E$2:$E$600,0)),""))</f>
        <v/>
      </c>
      <c r="I2804" s="10">
        <f>IF(AND(D2804="",C2804="",F2804=""),"",IF(G2804&lt;&gt;"","Void",IF(F2804="","Needs child",IF(H2804="","Child not found",IF(OR(B2804="",NOT(ISNUMBER(C2804))),"Needs month/pages","OK")))))</f>
        <v/>
      </c>
      <c r="J2804" s="10">
        <f>IF(I2804="","",IF(I2804="OK",IF(COUNTIFS(H2805:H$3001,H2804,B2805:B$3001,B2804,G2805:G$3001,"")=0,C2804,0),0))</f>
        <v/>
      </c>
    </row>
    <row r="2805">
      <c r="A2805" s="6" t="n"/>
      <c r="B2805" s="9" t="n"/>
      <c r="C2805" s="6" t="n"/>
      <c r="D2805" s="6" t="n"/>
      <c r="E2805" s="6" t="n"/>
      <c r="F2805" s="6" t="n"/>
      <c r="G2805" s="6" t="n"/>
      <c r="H2805" s="10">
        <f>IF(F2805="","",IFERROR(INDEX(Roster!$A$2:$A$600,MATCH(F2805,Roster!$E$2:$E$600,0)),""))</f>
        <v/>
      </c>
      <c r="I2805" s="10">
        <f>IF(AND(D2805="",C2805="",F2805=""),"",IF(G2805&lt;&gt;"","Void",IF(F2805="","Needs child",IF(H2805="","Child not found",IF(OR(B2805="",NOT(ISNUMBER(C2805))),"Needs month/pages","OK")))))</f>
        <v/>
      </c>
      <c r="J2805" s="10">
        <f>IF(I2805="","",IF(I2805="OK",IF(COUNTIFS(H2806:H$3001,H2805,B2806:B$3001,B2805,G2806:G$3001,"")=0,C2805,0),0))</f>
        <v/>
      </c>
    </row>
    <row r="2806">
      <c r="A2806" s="6" t="n"/>
      <c r="B2806" s="9" t="n"/>
      <c r="C2806" s="6" t="n"/>
      <c r="D2806" s="6" t="n"/>
      <c r="E2806" s="6" t="n"/>
      <c r="F2806" s="6" t="n"/>
      <c r="G2806" s="6" t="n"/>
      <c r="H2806" s="10">
        <f>IF(F2806="","",IFERROR(INDEX(Roster!$A$2:$A$600,MATCH(F2806,Roster!$E$2:$E$600,0)),""))</f>
        <v/>
      </c>
      <c r="I2806" s="10">
        <f>IF(AND(D2806="",C2806="",F2806=""),"",IF(G2806&lt;&gt;"","Void",IF(F2806="","Needs child",IF(H2806="","Child not found",IF(OR(B2806="",NOT(ISNUMBER(C2806))),"Needs month/pages","OK")))))</f>
        <v/>
      </c>
      <c r="J2806" s="10">
        <f>IF(I2806="","",IF(I2806="OK",IF(COUNTIFS(H2807:H$3001,H2806,B2807:B$3001,B2806,G2807:G$3001,"")=0,C2806,0),0))</f>
        <v/>
      </c>
    </row>
    <row r="2807">
      <c r="A2807" s="6" t="n"/>
      <c r="B2807" s="9" t="n"/>
      <c r="C2807" s="6" t="n"/>
      <c r="D2807" s="6" t="n"/>
      <c r="E2807" s="6" t="n"/>
      <c r="F2807" s="6" t="n"/>
      <c r="G2807" s="6" t="n"/>
      <c r="H2807" s="10">
        <f>IF(F2807="","",IFERROR(INDEX(Roster!$A$2:$A$600,MATCH(F2807,Roster!$E$2:$E$600,0)),""))</f>
        <v/>
      </c>
      <c r="I2807" s="10">
        <f>IF(AND(D2807="",C2807="",F2807=""),"",IF(G2807&lt;&gt;"","Void",IF(F2807="","Needs child",IF(H2807="","Child not found",IF(OR(B2807="",NOT(ISNUMBER(C2807))),"Needs month/pages","OK")))))</f>
        <v/>
      </c>
      <c r="J2807" s="10">
        <f>IF(I2807="","",IF(I2807="OK",IF(COUNTIFS(H2808:H$3001,H2807,B2808:B$3001,B2807,G2808:G$3001,"")=0,C2807,0),0))</f>
        <v/>
      </c>
    </row>
    <row r="2808">
      <c r="A2808" s="6" t="n"/>
      <c r="B2808" s="9" t="n"/>
      <c r="C2808" s="6" t="n"/>
      <c r="D2808" s="6" t="n"/>
      <c r="E2808" s="6" t="n"/>
      <c r="F2808" s="6" t="n"/>
      <c r="G2808" s="6" t="n"/>
      <c r="H2808" s="10">
        <f>IF(F2808="","",IFERROR(INDEX(Roster!$A$2:$A$600,MATCH(F2808,Roster!$E$2:$E$600,0)),""))</f>
        <v/>
      </c>
      <c r="I2808" s="10">
        <f>IF(AND(D2808="",C2808="",F2808=""),"",IF(G2808&lt;&gt;"","Void",IF(F2808="","Needs child",IF(H2808="","Child not found",IF(OR(B2808="",NOT(ISNUMBER(C2808))),"Needs month/pages","OK")))))</f>
        <v/>
      </c>
      <c r="J2808" s="10">
        <f>IF(I2808="","",IF(I2808="OK",IF(COUNTIFS(H2809:H$3001,H2808,B2809:B$3001,B2808,G2809:G$3001,"")=0,C2808,0),0))</f>
        <v/>
      </c>
    </row>
    <row r="2809">
      <c r="A2809" s="6" t="n"/>
      <c r="B2809" s="9" t="n"/>
      <c r="C2809" s="6" t="n"/>
      <c r="D2809" s="6" t="n"/>
      <c r="E2809" s="6" t="n"/>
      <c r="F2809" s="6" t="n"/>
      <c r="G2809" s="6" t="n"/>
      <c r="H2809" s="10">
        <f>IF(F2809="","",IFERROR(INDEX(Roster!$A$2:$A$600,MATCH(F2809,Roster!$E$2:$E$600,0)),""))</f>
        <v/>
      </c>
      <c r="I2809" s="10">
        <f>IF(AND(D2809="",C2809="",F2809=""),"",IF(G2809&lt;&gt;"","Void",IF(F2809="","Needs child",IF(H2809="","Child not found",IF(OR(B2809="",NOT(ISNUMBER(C2809))),"Needs month/pages","OK")))))</f>
        <v/>
      </c>
      <c r="J2809" s="10">
        <f>IF(I2809="","",IF(I2809="OK",IF(COUNTIFS(H2810:H$3001,H2809,B2810:B$3001,B2809,G2810:G$3001,"")=0,C2809,0),0))</f>
        <v/>
      </c>
    </row>
    <row r="2810">
      <c r="A2810" s="6" t="n"/>
      <c r="B2810" s="9" t="n"/>
      <c r="C2810" s="6" t="n"/>
      <c r="D2810" s="6" t="n"/>
      <c r="E2810" s="6" t="n"/>
      <c r="F2810" s="6" t="n"/>
      <c r="G2810" s="6" t="n"/>
      <c r="H2810" s="10">
        <f>IF(F2810="","",IFERROR(INDEX(Roster!$A$2:$A$600,MATCH(F2810,Roster!$E$2:$E$600,0)),""))</f>
        <v/>
      </c>
      <c r="I2810" s="10">
        <f>IF(AND(D2810="",C2810="",F2810=""),"",IF(G2810&lt;&gt;"","Void",IF(F2810="","Needs child",IF(H2810="","Child not found",IF(OR(B2810="",NOT(ISNUMBER(C2810))),"Needs month/pages","OK")))))</f>
        <v/>
      </c>
      <c r="J2810" s="10">
        <f>IF(I2810="","",IF(I2810="OK",IF(COUNTIFS(H2811:H$3001,H2810,B2811:B$3001,B2810,G2811:G$3001,"")=0,C2810,0),0))</f>
        <v/>
      </c>
    </row>
    <row r="2811">
      <c r="A2811" s="6" t="n"/>
      <c r="B2811" s="9" t="n"/>
      <c r="C2811" s="6" t="n"/>
      <c r="D2811" s="6" t="n"/>
      <c r="E2811" s="6" t="n"/>
      <c r="F2811" s="6" t="n"/>
      <c r="G2811" s="6" t="n"/>
      <c r="H2811" s="10">
        <f>IF(F2811="","",IFERROR(INDEX(Roster!$A$2:$A$600,MATCH(F2811,Roster!$E$2:$E$600,0)),""))</f>
        <v/>
      </c>
      <c r="I2811" s="10">
        <f>IF(AND(D2811="",C2811="",F2811=""),"",IF(G2811&lt;&gt;"","Void",IF(F2811="","Needs child",IF(H2811="","Child not found",IF(OR(B2811="",NOT(ISNUMBER(C2811))),"Needs month/pages","OK")))))</f>
        <v/>
      </c>
      <c r="J2811" s="10">
        <f>IF(I2811="","",IF(I2811="OK",IF(COUNTIFS(H2812:H$3001,H2811,B2812:B$3001,B2811,G2812:G$3001,"")=0,C2811,0),0))</f>
        <v/>
      </c>
    </row>
    <row r="2812">
      <c r="A2812" s="6" t="n"/>
      <c r="B2812" s="9" t="n"/>
      <c r="C2812" s="6" t="n"/>
      <c r="D2812" s="6" t="n"/>
      <c r="E2812" s="6" t="n"/>
      <c r="F2812" s="6" t="n"/>
      <c r="G2812" s="6" t="n"/>
      <c r="H2812" s="10">
        <f>IF(F2812="","",IFERROR(INDEX(Roster!$A$2:$A$600,MATCH(F2812,Roster!$E$2:$E$600,0)),""))</f>
        <v/>
      </c>
      <c r="I2812" s="10">
        <f>IF(AND(D2812="",C2812="",F2812=""),"",IF(G2812&lt;&gt;"","Void",IF(F2812="","Needs child",IF(H2812="","Child not found",IF(OR(B2812="",NOT(ISNUMBER(C2812))),"Needs month/pages","OK")))))</f>
        <v/>
      </c>
      <c r="J2812" s="10">
        <f>IF(I2812="","",IF(I2812="OK",IF(COUNTIFS(H2813:H$3001,H2812,B2813:B$3001,B2812,G2813:G$3001,"")=0,C2812,0),0))</f>
        <v/>
      </c>
    </row>
    <row r="2813">
      <c r="A2813" s="6" t="n"/>
      <c r="B2813" s="9" t="n"/>
      <c r="C2813" s="6" t="n"/>
      <c r="D2813" s="6" t="n"/>
      <c r="E2813" s="6" t="n"/>
      <c r="F2813" s="6" t="n"/>
      <c r="G2813" s="6" t="n"/>
      <c r="H2813" s="10">
        <f>IF(F2813="","",IFERROR(INDEX(Roster!$A$2:$A$600,MATCH(F2813,Roster!$E$2:$E$600,0)),""))</f>
        <v/>
      </c>
      <c r="I2813" s="10">
        <f>IF(AND(D2813="",C2813="",F2813=""),"",IF(G2813&lt;&gt;"","Void",IF(F2813="","Needs child",IF(H2813="","Child not found",IF(OR(B2813="",NOT(ISNUMBER(C2813))),"Needs month/pages","OK")))))</f>
        <v/>
      </c>
      <c r="J2813" s="10">
        <f>IF(I2813="","",IF(I2813="OK",IF(COUNTIFS(H2814:H$3001,H2813,B2814:B$3001,B2813,G2814:G$3001,"")=0,C2813,0),0))</f>
        <v/>
      </c>
    </row>
    <row r="2814">
      <c r="A2814" s="6" t="n"/>
      <c r="B2814" s="9" t="n"/>
      <c r="C2814" s="6" t="n"/>
      <c r="D2814" s="6" t="n"/>
      <c r="E2814" s="6" t="n"/>
      <c r="F2814" s="6" t="n"/>
      <c r="G2814" s="6" t="n"/>
      <c r="H2814" s="10">
        <f>IF(F2814="","",IFERROR(INDEX(Roster!$A$2:$A$600,MATCH(F2814,Roster!$E$2:$E$600,0)),""))</f>
        <v/>
      </c>
      <c r="I2814" s="10">
        <f>IF(AND(D2814="",C2814="",F2814=""),"",IF(G2814&lt;&gt;"","Void",IF(F2814="","Needs child",IF(H2814="","Child not found",IF(OR(B2814="",NOT(ISNUMBER(C2814))),"Needs month/pages","OK")))))</f>
        <v/>
      </c>
      <c r="J2814" s="10">
        <f>IF(I2814="","",IF(I2814="OK",IF(COUNTIFS(H2815:H$3001,H2814,B2815:B$3001,B2814,G2815:G$3001,"")=0,C2814,0),0))</f>
        <v/>
      </c>
    </row>
    <row r="2815">
      <c r="A2815" s="6" t="n"/>
      <c r="B2815" s="9" t="n"/>
      <c r="C2815" s="6" t="n"/>
      <c r="D2815" s="6" t="n"/>
      <c r="E2815" s="6" t="n"/>
      <c r="F2815" s="6" t="n"/>
      <c r="G2815" s="6" t="n"/>
      <c r="H2815" s="10">
        <f>IF(F2815="","",IFERROR(INDEX(Roster!$A$2:$A$600,MATCH(F2815,Roster!$E$2:$E$600,0)),""))</f>
        <v/>
      </c>
      <c r="I2815" s="10">
        <f>IF(AND(D2815="",C2815="",F2815=""),"",IF(G2815&lt;&gt;"","Void",IF(F2815="","Needs child",IF(H2815="","Child not found",IF(OR(B2815="",NOT(ISNUMBER(C2815))),"Needs month/pages","OK")))))</f>
        <v/>
      </c>
      <c r="J2815" s="10">
        <f>IF(I2815="","",IF(I2815="OK",IF(COUNTIFS(H2816:H$3001,H2815,B2816:B$3001,B2815,G2816:G$3001,"")=0,C2815,0),0))</f>
        <v/>
      </c>
    </row>
    <row r="2816">
      <c r="A2816" s="6" t="n"/>
      <c r="B2816" s="9" t="n"/>
      <c r="C2816" s="6" t="n"/>
      <c r="D2816" s="6" t="n"/>
      <c r="E2816" s="6" t="n"/>
      <c r="F2816" s="6" t="n"/>
      <c r="G2816" s="6" t="n"/>
      <c r="H2816" s="10">
        <f>IF(F2816="","",IFERROR(INDEX(Roster!$A$2:$A$600,MATCH(F2816,Roster!$E$2:$E$600,0)),""))</f>
        <v/>
      </c>
      <c r="I2816" s="10">
        <f>IF(AND(D2816="",C2816="",F2816=""),"",IF(G2816&lt;&gt;"","Void",IF(F2816="","Needs child",IF(H2816="","Child not found",IF(OR(B2816="",NOT(ISNUMBER(C2816))),"Needs month/pages","OK")))))</f>
        <v/>
      </c>
      <c r="J2816" s="10">
        <f>IF(I2816="","",IF(I2816="OK",IF(COUNTIFS(H2817:H$3001,H2816,B2817:B$3001,B2816,G2817:G$3001,"")=0,C2816,0),0))</f>
        <v/>
      </c>
    </row>
    <row r="2817">
      <c r="A2817" s="6" t="n"/>
      <c r="B2817" s="9" t="n"/>
      <c r="C2817" s="6" t="n"/>
      <c r="D2817" s="6" t="n"/>
      <c r="E2817" s="6" t="n"/>
      <c r="F2817" s="6" t="n"/>
      <c r="G2817" s="6" t="n"/>
      <c r="H2817" s="10">
        <f>IF(F2817="","",IFERROR(INDEX(Roster!$A$2:$A$600,MATCH(F2817,Roster!$E$2:$E$600,0)),""))</f>
        <v/>
      </c>
      <c r="I2817" s="10">
        <f>IF(AND(D2817="",C2817="",F2817=""),"",IF(G2817&lt;&gt;"","Void",IF(F2817="","Needs child",IF(H2817="","Child not found",IF(OR(B2817="",NOT(ISNUMBER(C2817))),"Needs month/pages","OK")))))</f>
        <v/>
      </c>
      <c r="J2817" s="10">
        <f>IF(I2817="","",IF(I2817="OK",IF(COUNTIFS(H2818:H$3001,H2817,B2818:B$3001,B2817,G2818:G$3001,"")=0,C2817,0),0))</f>
        <v/>
      </c>
    </row>
    <row r="2818">
      <c r="A2818" s="6" t="n"/>
      <c r="B2818" s="9" t="n"/>
      <c r="C2818" s="6" t="n"/>
      <c r="D2818" s="6" t="n"/>
      <c r="E2818" s="6" t="n"/>
      <c r="F2818" s="6" t="n"/>
      <c r="G2818" s="6" t="n"/>
      <c r="H2818" s="10">
        <f>IF(F2818="","",IFERROR(INDEX(Roster!$A$2:$A$600,MATCH(F2818,Roster!$E$2:$E$600,0)),""))</f>
        <v/>
      </c>
      <c r="I2818" s="10">
        <f>IF(AND(D2818="",C2818="",F2818=""),"",IF(G2818&lt;&gt;"","Void",IF(F2818="","Needs child",IF(H2818="","Child not found",IF(OR(B2818="",NOT(ISNUMBER(C2818))),"Needs month/pages","OK")))))</f>
        <v/>
      </c>
      <c r="J2818" s="10">
        <f>IF(I2818="","",IF(I2818="OK",IF(COUNTIFS(H2819:H$3001,H2818,B2819:B$3001,B2818,G2819:G$3001,"")=0,C2818,0),0))</f>
        <v/>
      </c>
    </row>
    <row r="2819">
      <c r="A2819" s="6" t="n"/>
      <c r="B2819" s="9" t="n"/>
      <c r="C2819" s="6" t="n"/>
      <c r="D2819" s="6" t="n"/>
      <c r="E2819" s="6" t="n"/>
      <c r="F2819" s="6" t="n"/>
      <c r="G2819" s="6" t="n"/>
      <c r="H2819" s="10">
        <f>IF(F2819="","",IFERROR(INDEX(Roster!$A$2:$A$600,MATCH(F2819,Roster!$E$2:$E$600,0)),""))</f>
        <v/>
      </c>
      <c r="I2819" s="10">
        <f>IF(AND(D2819="",C2819="",F2819=""),"",IF(G2819&lt;&gt;"","Void",IF(F2819="","Needs child",IF(H2819="","Child not found",IF(OR(B2819="",NOT(ISNUMBER(C2819))),"Needs month/pages","OK")))))</f>
        <v/>
      </c>
      <c r="J2819" s="10">
        <f>IF(I2819="","",IF(I2819="OK",IF(COUNTIFS(H2820:H$3001,H2819,B2820:B$3001,B2819,G2820:G$3001,"")=0,C2819,0),0))</f>
        <v/>
      </c>
    </row>
    <row r="2820">
      <c r="A2820" s="6" t="n"/>
      <c r="B2820" s="9" t="n"/>
      <c r="C2820" s="6" t="n"/>
      <c r="D2820" s="6" t="n"/>
      <c r="E2820" s="6" t="n"/>
      <c r="F2820" s="6" t="n"/>
      <c r="G2820" s="6" t="n"/>
      <c r="H2820" s="10">
        <f>IF(F2820="","",IFERROR(INDEX(Roster!$A$2:$A$600,MATCH(F2820,Roster!$E$2:$E$600,0)),""))</f>
        <v/>
      </c>
      <c r="I2820" s="10">
        <f>IF(AND(D2820="",C2820="",F2820=""),"",IF(G2820&lt;&gt;"","Void",IF(F2820="","Needs child",IF(H2820="","Child not found",IF(OR(B2820="",NOT(ISNUMBER(C2820))),"Needs month/pages","OK")))))</f>
        <v/>
      </c>
      <c r="J2820" s="10">
        <f>IF(I2820="","",IF(I2820="OK",IF(COUNTIFS(H2821:H$3001,H2820,B2821:B$3001,B2820,G2821:G$3001,"")=0,C2820,0),0))</f>
        <v/>
      </c>
    </row>
    <row r="2821">
      <c r="A2821" s="6" t="n"/>
      <c r="B2821" s="9" t="n"/>
      <c r="C2821" s="6" t="n"/>
      <c r="D2821" s="6" t="n"/>
      <c r="E2821" s="6" t="n"/>
      <c r="F2821" s="6" t="n"/>
      <c r="G2821" s="6" t="n"/>
      <c r="H2821" s="10">
        <f>IF(F2821="","",IFERROR(INDEX(Roster!$A$2:$A$600,MATCH(F2821,Roster!$E$2:$E$600,0)),""))</f>
        <v/>
      </c>
      <c r="I2821" s="10">
        <f>IF(AND(D2821="",C2821="",F2821=""),"",IF(G2821&lt;&gt;"","Void",IF(F2821="","Needs child",IF(H2821="","Child not found",IF(OR(B2821="",NOT(ISNUMBER(C2821))),"Needs month/pages","OK")))))</f>
        <v/>
      </c>
      <c r="J2821" s="10">
        <f>IF(I2821="","",IF(I2821="OK",IF(COUNTIFS(H2822:H$3001,H2821,B2822:B$3001,B2821,G2822:G$3001,"")=0,C2821,0),0))</f>
        <v/>
      </c>
    </row>
    <row r="2822">
      <c r="A2822" s="6" t="n"/>
      <c r="B2822" s="9" t="n"/>
      <c r="C2822" s="6" t="n"/>
      <c r="D2822" s="6" t="n"/>
      <c r="E2822" s="6" t="n"/>
      <c r="F2822" s="6" t="n"/>
      <c r="G2822" s="6" t="n"/>
      <c r="H2822" s="10">
        <f>IF(F2822="","",IFERROR(INDEX(Roster!$A$2:$A$600,MATCH(F2822,Roster!$E$2:$E$600,0)),""))</f>
        <v/>
      </c>
      <c r="I2822" s="10">
        <f>IF(AND(D2822="",C2822="",F2822=""),"",IF(G2822&lt;&gt;"","Void",IF(F2822="","Needs child",IF(H2822="","Child not found",IF(OR(B2822="",NOT(ISNUMBER(C2822))),"Needs month/pages","OK")))))</f>
        <v/>
      </c>
      <c r="J2822" s="10">
        <f>IF(I2822="","",IF(I2822="OK",IF(COUNTIFS(H2823:H$3001,H2822,B2823:B$3001,B2822,G2823:G$3001,"")=0,C2822,0),0))</f>
        <v/>
      </c>
    </row>
    <row r="2823">
      <c r="A2823" s="6" t="n"/>
      <c r="B2823" s="9" t="n"/>
      <c r="C2823" s="6" t="n"/>
      <c r="D2823" s="6" t="n"/>
      <c r="E2823" s="6" t="n"/>
      <c r="F2823" s="6" t="n"/>
      <c r="G2823" s="6" t="n"/>
      <c r="H2823" s="10">
        <f>IF(F2823="","",IFERROR(INDEX(Roster!$A$2:$A$600,MATCH(F2823,Roster!$E$2:$E$600,0)),""))</f>
        <v/>
      </c>
      <c r="I2823" s="10">
        <f>IF(AND(D2823="",C2823="",F2823=""),"",IF(G2823&lt;&gt;"","Void",IF(F2823="","Needs child",IF(H2823="","Child not found",IF(OR(B2823="",NOT(ISNUMBER(C2823))),"Needs month/pages","OK")))))</f>
        <v/>
      </c>
      <c r="J2823" s="10">
        <f>IF(I2823="","",IF(I2823="OK",IF(COUNTIFS(H2824:H$3001,H2823,B2824:B$3001,B2823,G2824:G$3001,"")=0,C2823,0),0))</f>
        <v/>
      </c>
    </row>
    <row r="2824">
      <c r="A2824" s="6" t="n"/>
      <c r="B2824" s="9" t="n"/>
      <c r="C2824" s="6" t="n"/>
      <c r="D2824" s="6" t="n"/>
      <c r="E2824" s="6" t="n"/>
      <c r="F2824" s="6" t="n"/>
      <c r="G2824" s="6" t="n"/>
      <c r="H2824" s="10">
        <f>IF(F2824="","",IFERROR(INDEX(Roster!$A$2:$A$600,MATCH(F2824,Roster!$E$2:$E$600,0)),""))</f>
        <v/>
      </c>
      <c r="I2824" s="10">
        <f>IF(AND(D2824="",C2824="",F2824=""),"",IF(G2824&lt;&gt;"","Void",IF(F2824="","Needs child",IF(H2824="","Child not found",IF(OR(B2824="",NOT(ISNUMBER(C2824))),"Needs month/pages","OK")))))</f>
        <v/>
      </c>
      <c r="J2824" s="10">
        <f>IF(I2824="","",IF(I2824="OK",IF(COUNTIFS(H2825:H$3001,H2824,B2825:B$3001,B2824,G2825:G$3001,"")=0,C2824,0),0))</f>
        <v/>
      </c>
    </row>
    <row r="2825">
      <c r="A2825" s="6" t="n"/>
      <c r="B2825" s="9" t="n"/>
      <c r="C2825" s="6" t="n"/>
      <c r="D2825" s="6" t="n"/>
      <c r="E2825" s="6" t="n"/>
      <c r="F2825" s="6" t="n"/>
      <c r="G2825" s="6" t="n"/>
      <c r="H2825" s="10">
        <f>IF(F2825="","",IFERROR(INDEX(Roster!$A$2:$A$600,MATCH(F2825,Roster!$E$2:$E$600,0)),""))</f>
        <v/>
      </c>
      <c r="I2825" s="10">
        <f>IF(AND(D2825="",C2825="",F2825=""),"",IF(G2825&lt;&gt;"","Void",IF(F2825="","Needs child",IF(H2825="","Child not found",IF(OR(B2825="",NOT(ISNUMBER(C2825))),"Needs month/pages","OK")))))</f>
        <v/>
      </c>
      <c r="J2825" s="10">
        <f>IF(I2825="","",IF(I2825="OK",IF(COUNTIFS(H2826:H$3001,H2825,B2826:B$3001,B2825,G2826:G$3001,"")=0,C2825,0),0))</f>
        <v/>
      </c>
    </row>
    <row r="2826">
      <c r="A2826" s="6" t="n"/>
      <c r="B2826" s="9" t="n"/>
      <c r="C2826" s="6" t="n"/>
      <c r="D2826" s="6" t="n"/>
      <c r="E2826" s="6" t="n"/>
      <c r="F2826" s="6" t="n"/>
      <c r="G2826" s="6" t="n"/>
      <c r="H2826" s="10">
        <f>IF(F2826="","",IFERROR(INDEX(Roster!$A$2:$A$600,MATCH(F2826,Roster!$E$2:$E$600,0)),""))</f>
        <v/>
      </c>
      <c r="I2826" s="10">
        <f>IF(AND(D2826="",C2826="",F2826=""),"",IF(G2826&lt;&gt;"","Void",IF(F2826="","Needs child",IF(H2826="","Child not found",IF(OR(B2826="",NOT(ISNUMBER(C2826))),"Needs month/pages","OK")))))</f>
        <v/>
      </c>
      <c r="J2826" s="10">
        <f>IF(I2826="","",IF(I2826="OK",IF(COUNTIFS(H2827:H$3001,H2826,B2827:B$3001,B2826,G2827:G$3001,"")=0,C2826,0),0))</f>
        <v/>
      </c>
    </row>
    <row r="2827">
      <c r="A2827" s="6" t="n"/>
      <c r="B2827" s="9" t="n"/>
      <c r="C2827" s="6" t="n"/>
      <c r="D2827" s="6" t="n"/>
      <c r="E2827" s="6" t="n"/>
      <c r="F2827" s="6" t="n"/>
      <c r="G2827" s="6" t="n"/>
      <c r="H2827" s="10">
        <f>IF(F2827="","",IFERROR(INDEX(Roster!$A$2:$A$600,MATCH(F2827,Roster!$E$2:$E$600,0)),""))</f>
        <v/>
      </c>
      <c r="I2827" s="10">
        <f>IF(AND(D2827="",C2827="",F2827=""),"",IF(G2827&lt;&gt;"","Void",IF(F2827="","Needs child",IF(H2827="","Child not found",IF(OR(B2827="",NOT(ISNUMBER(C2827))),"Needs month/pages","OK")))))</f>
        <v/>
      </c>
      <c r="J2827" s="10">
        <f>IF(I2827="","",IF(I2827="OK",IF(COUNTIFS(H2828:H$3001,H2827,B2828:B$3001,B2827,G2828:G$3001,"")=0,C2827,0),0))</f>
        <v/>
      </c>
    </row>
    <row r="2828">
      <c r="A2828" s="6" t="n"/>
      <c r="B2828" s="9" t="n"/>
      <c r="C2828" s="6" t="n"/>
      <c r="D2828" s="6" t="n"/>
      <c r="E2828" s="6" t="n"/>
      <c r="F2828" s="6" t="n"/>
      <c r="G2828" s="6" t="n"/>
      <c r="H2828" s="10">
        <f>IF(F2828="","",IFERROR(INDEX(Roster!$A$2:$A$600,MATCH(F2828,Roster!$E$2:$E$600,0)),""))</f>
        <v/>
      </c>
      <c r="I2828" s="10">
        <f>IF(AND(D2828="",C2828="",F2828=""),"",IF(G2828&lt;&gt;"","Void",IF(F2828="","Needs child",IF(H2828="","Child not found",IF(OR(B2828="",NOT(ISNUMBER(C2828))),"Needs month/pages","OK")))))</f>
        <v/>
      </c>
      <c r="J2828" s="10">
        <f>IF(I2828="","",IF(I2828="OK",IF(COUNTIFS(H2829:H$3001,H2828,B2829:B$3001,B2828,G2829:G$3001,"")=0,C2828,0),0))</f>
        <v/>
      </c>
    </row>
    <row r="2829">
      <c r="A2829" s="6" t="n"/>
      <c r="B2829" s="9" t="n"/>
      <c r="C2829" s="6" t="n"/>
      <c r="D2829" s="6" t="n"/>
      <c r="E2829" s="6" t="n"/>
      <c r="F2829" s="6" t="n"/>
      <c r="G2829" s="6" t="n"/>
      <c r="H2829" s="10">
        <f>IF(F2829="","",IFERROR(INDEX(Roster!$A$2:$A$600,MATCH(F2829,Roster!$E$2:$E$600,0)),""))</f>
        <v/>
      </c>
      <c r="I2829" s="10">
        <f>IF(AND(D2829="",C2829="",F2829=""),"",IF(G2829&lt;&gt;"","Void",IF(F2829="","Needs child",IF(H2829="","Child not found",IF(OR(B2829="",NOT(ISNUMBER(C2829))),"Needs month/pages","OK")))))</f>
        <v/>
      </c>
      <c r="J2829" s="10">
        <f>IF(I2829="","",IF(I2829="OK",IF(COUNTIFS(H2830:H$3001,H2829,B2830:B$3001,B2829,G2830:G$3001,"")=0,C2829,0),0))</f>
        <v/>
      </c>
    </row>
    <row r="2830">
      <c r="A2830" s="6" t="n"/>
      <c r="B2830" s="9" t="n"/>
      <c r="C2830" s="6" t="n"/>
      <c r="D2830" s="6" t="n"/>
      <c r="E2830" s="6" t="n"/>
      <c r="F2830" s="6" t="n"/>
      <c r="G2830" s="6" t="n"/>
      <c r="H2830" s="10">
        <f>IF(F2830="","",IFERROR(INDEX(Roster!$A$2:$A$600,MATCH(F2830,Roster!$E$2:$E$600,0)),""))</f>
        <v/>
      </c>
      <c r="I2830" s="10">
        <f>IF(AND(D2830="",C2830="",F2830=""),"",IF(G2830&lt;&gt;"","Void",IF(F2830="","Needs child",IF(H2830="","Child not found",IF(OR(B2830="",NOT(ISNUMBER(C2830))),"Needs month/pages","OK")))))</f>
        <v/>
      </c>
      <c r="J2830" s="10">
        <f>IF(I2830="","",IF(I2830="OK",IF(COUNTIFS(H2831:H$3001,H2830,B2831:B$3001,B2830,G2831:G$3001,"")=0,C2830,0),0))</f>
        <v/>
      </c>
    </row>
    <row r="2831">
      <c r="A2831" s="6" t="n"/>
      <c r="B2831" s="9" t="n"/>
      <c r="C2831" s="6" t="n"/>
      <c r="D2831" s="6" t="n"/>
      <c r="E2831" s="6" t="n"/>
      <c r="F2831" s="6" t="n"/>
      <c r="G2831" s="6" t="n"/>
      <c r="H2831" s="10">
        <f>IF(F2831="","",IFERROR(INDEX(Roster!$A$2:$A$600,MATCH(F2831,Roster!$E$2:$E$600,0)),""))</f>
        <v/>
      </c>
      <c r="I2831" s="10">
        <f>IF(AND(D2831="",C2831="",F2831=""),"",IF(G2831&lt;&gt;"","Void",IF(F2831="","Needs child",IF(H2831="","Child not found",IF(OR(B2831="",NOT(ISNUMBER(C2831))),"Needs month/pages","OK")))))</f>
        <v/>
      </c>
      <c r="J2831" s="10">
        <f>IF(I2831="","",IF(I2831="OK",IF(COUNTIFS(H2832:H$3001,H2831,B2832:B$3001,B2831,G2832:G$3001,"")=0,C2831,0),0))</f>
        <v/>
      </c>
    </row>
    <row r="2832">
      <c r="A2832" s="6" t="n"/>
      <c r="B2832" s="9" t="n"/>
      <c r="C2832" s="6" t="n"/>
      <c r="D2832" s="6" t="n"/>
      <c r="E2832" s="6" t="n"/>
      <c r="F2832" s="6" t="n"/>
      <c r="G2832" s="6" t="n"/>
      <c r="H2832" s="10">
        <f>IF(F2832="","",IFERROR(INDEX(Roster!$A$2:$A$600,MATCH(F2832,Roster!$E$2:$E$600,0)),""))</f>
        <v/>
      </c>
      <c r="I2832" s="10">
        <f>IF(AND(D2832="",C2832="",F2832=""),"",IF(G2832&lt;&gt;"","Void",IF(F2832="","Needs child",IF(H2832="","Child not found",IF(OR(B2832="",NOT(ISNUMBER(C2832))),"Needs month/pages","OK")))))</f>
        <v/>
      </c>
      <c r="J2832" s="10">
        <f>IF(I2832="","",IF(I2832="OK",IF(COUNTIFS(H2833:H$3001,H2832,B2833:B$3001,B2832,G2833:G$3001,"")=0,C2832,0),0))</f>
        <v/>
      </c>
    </row>
    <row r="2833">
      <c r="A2833" s="6" t="n"/>
      <c r="B2833" s="9" t="n"/>
      <c r="C2833" s="6" t="n"/>
      <c r="D2833" s="6" t="n"/>
      <c r="E2833" s="6" t="n"/>
      <c r="F2833" s="6" t="n"/>
      <c r="G2833" s="6" t="n"/>
      <c r="H2833" s="10">
        <f>IF(F2833="","",IFERROR(INDEX(Roster!$A$2:$A$600,MATCH(F2833,Roster!$E$2:$E$600,0)),""))</f>
        <v/>
      </c>
      <c r="I2833" s="10">
        <f>IF(AND(D2833="",C2833="",F2833=""),"",IF(G2833&lt;&gt;"","Void",IF(F2833="","Needs child",IF(H2833="","Child not found",IF(OR(B2833="",NOT(ISNUMBER(C2833))),"Needs month/pages","OK")))))</f>
        <v/>
      </c>
      <c r="J2833" s="10">
        <f>IF(I2833="","",IF(I2833="OK",IF(COUNTIFS(H2834:H$3001,H2833,B2834:B$3001,B2833,G2834:G$3001,"")=0,C2833,0),0))</f>
        <v/>
      </c>
    </row>
    <row r="2834">
      <c r="A2834" s="6" t="n"/>
      <c r="B2834" s="9" t="n"/>
      <c r="C2834" s="6" t="n"/>
      <c r="D2834" s="6" t="n"/>
      <c r="E2834" s="6" t="n"/>
      <c r="F2834" s="6" t="n"/>
      <c r="G2834" s="6" t="n"/>
      <c r="H2834" s="10">
        <f>IF(F2834="","",IFERROR(INDEX(Roster!$A$2:$A$600,MATCH(F2834,Roster!$E$2:$E$600,0)),""))</f>
        <v/>
      </c>
      <c r="I2834" s="10">
        <f>IF(AND(D2834="",C2834="",F2834=""),"",IF(G2834&lt;&gt;"","Void",IF(F2834="","Needs child",IF(H2834="","Child not found",IF(OR(B2834="",NOT(ISNUMBER(C2834))),"Needs month/pages","OK")))))</f>
        <v/>
      </c>
      <c r="J2834" s="10">
        <f>IF(I2834="","",IF(I2834="OK",IF(COUNTIFS(H2835:H$3001,H2834,B2835:B$3001,B2834,G2835:G$3001,"")=0,C2834,0),0))</f>
        <v/>
      </c>
    </row>
    <row r="2835">
      <c r="A2835" s="6" t="n"/>
      <c r="B2835" s="9" t="n"/>
      <c r="C2835" s="6" t="n"/>
      <c r="D2835" s="6" t="n"/>
      <c r="E2835" s="6" t="n"/>
      <c r="F2835" s="6" t="n"/>
      <c r="G2835" s="6" t="n"/>
      <c r="H2835" s="10">
        <f>IF(F2835="","",IFERROR(INDEX(Roster!$A$2:$A$600,MATCH(F2835,Roster!$E$2:$E$600,0)),""))</f>
        <v/>
      </c>
      <c r="I2835" s="10">
        <f>IF(AND(D2835="",C2835="",F2835=""),"",IF(G2835&lt;&gt;"","Void",IF(F2835="","Needs child",IF(H2835="","Child not found",IF(OR(B2835="",NOT(ISNUMBER(C2835))),"Needs month/pages","OK")))))</f>
        <v/>
      </c>
      <c r="J2835" s="10">
        <f>IF(I2835="","",IF(I2835="OK",IF(COUNTIFS(H2836:H$3001,H2835,B2836:B$3001,B2835,G2836:G$3001,"")=0,C2835,0),0))</f>
        <v/>
      </c>
    </row>
    <row r="2836">
      <c r="A2836" s="6" t="n"/>
      <c r="B2836" s="9" t="n"/>
      <c r="C2836" s="6" t="n"/>
      <c r="D2836" s="6" t="n"/>
      <c r="E2836" s="6" t="n"/>
      <c r="F2836" s="6" t="n"/>
      <c r="G2836" s="6" t="n"/>
      <c r="H2836" s="10">
        <f>IF(F2836="","",IFERROR(INDEX(Roster!$A$2:$A$600,MATCH(F2836,Roster!$E$2:$E$600,0)),""))</f>
        <v/>
      </c>
      <c r="I2836" s="10">
        <f>IF(AND(D2836="",C2836="",F2836=""),"",IF(G2836&lt;&gt;"","Void",IF(F2836="","Needs child",IF(H2836="","Child not found",IF(OR(B2836="",NOT(ISNUMBER(C2836))),"Needs month/pages","OK")))))</f>
        <v/>
      </c>
      <c r="J2836" s="10">
        <f>IF(I2836="","",IF(I2836="OK",IF(COUNTIFS(H2837:H$3001,H2836,B2837:B$3001,B2836,G2837:G$3001,"")=0,C2836,0),0))</f>
        <v/>
      </c>
    </row>
    <row r="2837">
      <c r="A2837" s="6" t="n"/>
      <c r="B2837" s="9" t="n"/>
      <c r="C2837" s="6" t="n"/>
      <c r="D2837" s="6" t="n"/>
      <c r="E2837" s="6" t="n"/>
      <c r="F2837" s="6" t="n"/>
      <c r="G2837" s="6" t="n"/>
      <c r="H2837" s="10">
        <f>IF(F2837="","",IFERROR(INDEX(Roster!$A$2:$A$600,MATCH(F2837,Roster!$E$2:$E$600,0)),""))</f>
        <v/>
      </c>
      <c r="I2837" s="10">
        <f>IF(AND(D2837="",C2837="",F2837=""),"",IF(G2837&lt;&gt;"","Void",IF(F2837="","Needs child",IF(H2837="","Child not found",IF(OR(B2837="",NOT(ISNUMBER(C2837))),"Needs month/pages","OK")))))</f>
        <v/>
      </c>
      <c r="J2837" s="10">
        <f>IF(I2837="","",IF(I2837="OK",IF(COUNTIFS(H2838:H$3001,H2837,B2838:B$3001,B2837,G2838:G$3001,"")=0,C2837,0),0))</f>
        <v/>
      </c>
    </row>
    <row r="2838">
      <c r="A2838" s="6" t="n"/>
      <c r="B2838" s="9" t="n"/>
      <c r="C2838" s="6" t="n"/>
      <c r="D2838" s="6" t="n"/>
      <c r="E2838" s="6" t="n"/>
      <c r="F2838" s="6" t="n"/>
      <c r="G2838" s="6" t="n"/>
      <c r="H2838" s="10">
        <f>IF(F2838="","",IFERROR(INDEX(Roster!$A$2:$A$600,MATCH(F2838,Roster!$E$2:$E$600,0)),""))</f>
        <v/>
      </c>
      <c r="I2838" s="10">
        <f>IF(AND(D2838="",C2838="",F2838=""),"",IF(G2838&lt;&gt;"","Void",IF(F2838="","Needs child",IF(H2838="","Child not found",IF(OR(B2838="",NOT(ISNUMBER(C2838))),"Needs month/pages","OK")))))</f>
        <v/>
      </c>
      <c r="J2838" s="10">
        <f>IF(I2838="","",IF(I2838="OK",IF(COUNTIFS(H2839:H$3001,H2838,B2839:B$3001,B2838,G2839:G$3001,"")=0,C2838,0),0))</f>
        <v/>
      </c>
    </row>
    <row r="2839">
      <c r="A2839" s="6" t="n"/>
      <c r="B2839" s="9" t="n"/>
      <c r="C2839" s="6" t="n"/>
      <c r="D2839" s="6" t="n"/>
      <c r="E2839" s="6" t="n"/>
      <c r="F2839" s="6" t="n"/>
      <c r="G2839" s="6" t="n"/>
      <c r="H2839" s="10">
        <f>IF(F2839="","",IFERROR(INDEX(Roster!$A$2:$A$600,MATCH(F2839,Roster!$E$2:$E$600,0)),""))</f>
        <v/>
      </c>
      <c r="I2839" s="10">
        <f>IF(AND(D2839="",C2839="",F2839=""),"",IF(G2839&lt;&gt;"","Void",IF(F2839="","Needs child",IF(H2839="","Child not found",IF(OR(B2839="",NOT(ISNUMBER(C2839))),"Needs month/pages","OK")))))</f>
        <v/>
      </c>
      <c r="J2839" s="10">
        <f>IF(I2839="","",IF(I2839="OK",IF(COUNTIFS(H2840:H$3001,H2839,B2840:B$3001,B2839,G2840:G$3001,"")=0,C2839,0),0))</f>
        <v/>
      </c>
    </row>
    <row r="2840">
      <c r="A2840" s="6" t="n"/>
      <c r="B2840" s="9" t="n"/>
      <c r="C2840" s="6" t="n"/>
      <c r="D2840" s="6" t="n"/>
      <c r="E2840" s="6" t="n"/>
      <c r="F2840" s="6" t="n"/>
      <c r="G2840" s="6" t="n"/>
      <c r="H2840" s="10">
        <f>IF(F2840="","",IFERROR(INDEX(Roster!$A$2:$A$600,MATCH(F2840,Roster!$E$2:$E$600,0)),""))</f>
        <v/>
      </c>
      <c r="I2840" s="10">
        <f>IF(AND(D2840="",C2840="",F2840=""),"",IF(G2840&lt;&gt;"","Void",IF(F2840="","Needs child",IF(H2840="","Child not found",IF(OR(B2840="",NOT(ISNUMBER(C2840))),"Needs month/pages","OK")))))</f>
        <v/>
      </c>
      <c r="J2840" s="10">
        <f>IF(I2840="","",IF(I2840="OK",IF(COUNTIFS(H2841:H$3001,H2840,B2841:B$3001,B2840,G2841:G$3001,"")=0,C2840,0),0))</f>
        <v/>
      </c>
    </row>
    <row r="2841">
      <c r="A2841" s="6" t="n"/>
      <c r="B2841" s="9" t="n"/>
      <c r="C2841" s="6" t="n"/>
      <c r="D2841" s="6" t="n"/>
      <c r="E2841" s="6" t="n"/>
      <c r="F2841" s="6" t="n"/>
      <c r="G2841" s="6" t="n"/>
      <c r="H2841" s="10">
        <f>IF(F2841="","",IFERROR(INDEX(Roster!$A$2:$A$600,MATCH(F2841,Roster!$E$2:$E$600,0)),""))</f>
        <v/>
      </c>
      <c r="I2841" s="10">
        <f>IF(AND(D2841="",C2841="",F2841=""),"",IF(G2841&lt;&gt;"","Void",IF(F2841="","Needs child",IF(H2841="","Child not found",IF(OR(B2841="",NOT(ISNUMBER(C2841))),"Needs month/pages","OK")))))</f>
        <v/>
      </c>
      <c r="J2841" s="10">
        <f>IF(I2841="","",IF(I2841="OK",IF(COUNTIFS(H2842:H$3001,H2841,B2842:B$3001,B2841,G2842:G$3001,"")=0,C2841,0),0))</f>
        <v/>
      </c>
    </row>
    <row r="2842">
      <c r="A2842" s="6" t="n"/>
      <c r="B2842" s="9" t="n"/>
      <c r="C2842" s="6" t="n"/>
      <c r="D2842" s="6" t="n"/>
      <c r="E2842" s="6" t="n"/>
      <c r="F2842" s="6" t="n"/>
      <c r="G2842" s="6" t="n"/>
      <c r="H2842" s="10">
        <f>IF(F2842="","",IFERROR(INDEX(Roster!$A$2:$A$600,MATCH(F2842,Roster!$E$2:$E$600,0)),""))</f>
        <v/>
      </c>
      <c r="I2842" s="10">
        <f>IF(AND(D2842="",C2842="",F2842=""),"",IF(G2842&lt;&gt;"","Void",IF(F2842="","Needs child",IF(H2842="","Child not found",IF(OR(B2842="",NOT(ISNUMBER(C2842))),"Needs month/pages","OK")))))</f>
        <v/>
      </c>
      <c r="J2842" s="10">
        <f>IF(I2842="","",IF(I2842="OK",IF(COUNTIFS(H2843:H$3001,H2842,B2843:B$3001,B2842,G2843:G$3001,"")=0,C2842,0),0))</f>
        <v/>
      </c>
    </row>
    <row r="2843">
      <c r="A2843" s="6" t="n"/>
      <c r="B2843" s="9" t="n"/>
      <c r="C2843" s="6" t="n"/>
      <c r="D2843" s="6" t="n"/>
      <c r="E2843" s="6" t="n"/>
      <c r="F2843" s="6" t="n"/>
      <c r="G2843" s="6" t="n"/>
      <c r="H2843" s="10">
        <f>IF(F2843="","",IFERROR(INDEX(Roster!$A$2:$A$600,MATCH(F2843,Roster!$E$2:$E$600,0)),""))</f>
        <v/>
      </c>
      <c r="I2843" s="10">
        <f>IF(AND(D2843="",C2843="",F2843=""),"",IF(G2843&lt;&gt;"","Void",IF(F2843="","Needs child",IF(H2843="","Child not found",IF(OR(B2843="",NOT(ISNUMBER(C2843))),"Needs month/pages","OK")))))</f>
        <v/>
      </c>
      <c r="J2843" s="10">
        <f>IF(I2843="","",IF(I2843="OK",IF(COUNTIFS(H2844:H$3001,H2843,B2844:B$3001,B2843,G2844:G$3001,"")=0,C2843,0),0))</f>
        <v/>
      </c>
    </row>
    <row r="2844">
      <c r="A2844" s="6" t="n"/>
      <c r="B2844" s="9" t="n"/>
      <c r="C2844" s="6" t="n"/>
      <c r="D2844" s="6" t="n"/>
      <c r="E2844" s="6" t="n"/>
      <c r="F2844" s="6" t="n"/>
      <c r="G2844" s="6" t="n"/>
      <c r="H2844" s="10">
        <f>IF(F2844="","",IFERROR(INDEX(Roster!$A$2:$A$600,MATCH(F2844,Roster!$E$2:$E$600,0)),""))</f>
        <v/>
      </c>
      <c r="I2844" s="10">
        <f>IF(AND(D2844="",C2844="",F2844=""),"",IF(G2844&lt;&gt;"","Void",IF(F2844="","Needs child",IF(H2844="","Child not found",IF(OR(B2844="",NOT(ISNUMBER(C2844))),"Needs month/pages","OK")))))</f>
        <v/>
      </c>
      <c r="J2844" s="10">
        <f>IF(I2844="","",IF(I2844="OK",IF(COUNTIFS(H2845:H$3001,H2844,B2845:B$3001,B2844,G2845:G$3001,"")=0,C2844,0),0))</f>
        <v/>
      </c>
    </row>
    <row r="2845">
      <c r="A2845" s="6" t="n"/>
      <c r="B2845" s="9" t="n"/>
      <c r="C2845" s="6" t="n"/>
      <c r="D2845" s="6" t="n"/>
      <c r="E2845" s="6" t="n"/>
      <c r="F2845" s="6" t="n"/>
      <c r="G2845" s="6" t="n"/>
      <c r="H2845" s="10">
        <f>IF(F2845="","",IFERROR(INDEX(Roster!$A$2:$A$600,MATCH(F2845,Roster!$E$2:$E$600,0)),""))</f>
        <v/>
      </c>
      <c r="I2845" s="10">
        <f>IF(AND(D2845="",C2845="",F2845=""),"",IF(G2845&lt;&gt;"","Void",IF(F2845="","Needs child",IF(H2845="","Child not found",IF(OR(B2845="",NOT(ISNUMBER(C2845))),"Needs month/pages","OK")))))</f>
        <v/>
      </c>
      <c r="J2845" s="10">
        <f>IF(I2845="","",IF(I2845="OK",IF(COUNTIFS(H2846:H$3001,H2845,B2846:B$3001,B2845,G2846:G$3001,"")=0,C2845,0),0))</f>
        <v/>
      </c>
    </row>
    <row r="2846">
      <c r="A2846" s="6" t="n"/>
      <c r="B2846" s="9" t="n"/>
      <c r="C2846" s="6" t="n"/>
      <c r="D2846" s="6" t="n"/>
      <c r="E2846" s="6" t="n"/>
      <c r="F2846" s="6" t="n"/>
      <c r="G2846" s="6" t="n"/>
      <c r="H2846" s="10">
        <f>IF(F2846="","",IFERROR(INDEX(Roster!$A$2:$A$600,MATCH(F2846,Roster!$E$2:$E$600,0)),""))</f>
        <v/>
      </c>
      <c r="I2846" s="10">
        <f>IF(AND(D2846="",C2846="",F2846=""),"",IF(G2846&lt;&gt;"","Void",IF(F2846="","Needs child",IF(H2846="","Child not found",IF(OR(B2846="",NOT(ISNUMBER(C2846))),"Needs month/pages","OK")))))</f>
        <v/>
      </c>
      <c r="J2846" s="10">
        <f>IF(I2846="","",IF(I2846="OK",IF(COUNTIFS(H2847:H$3001,H2846,B2847:B$3001,B2846,G2847:G$3001,"")=0,C2846,0),0))</f>
        <v/>
      </c>
    </row>
    <row r="2847">
      <c r="A2847" s="6" t="n"/>
      <c r="B2847" s="9" t="n"/>
      <c r="C2847" s="6" t="n"/>
      <c r="D2847" s="6" t="n"/>
      <c r="E2847" s="6" t="n"/>
      <c r="F2847" s="6" t="n"/>
      <c r="G2847" s="6" t="n"/>
      <c r="H2847" s="10">
        <f>IF(F2847="","",IFERROR(INDEX(Roster!$A$2:$A$600,MATCH(F2847,Roster!$E$2:$E$600,0)),""))</f>
        <v/>
      </c>
      <c r="I2847" s="10">
        <f>IF(AND(D2847="",C2847="",F2847=""),"",IF(G2847&lt;&gt;"","Void",IF(F2847="","Needs child",IF(H2847="","Child not found",IF(OR(B2847="",NOT(ISNUMBER(C2847))),"Needs month/pages","OK")))))</f>
        <v/>
      </c>
      <c r="J2847" s="10">
        <f>IF(I2847="","",IF(I2847="OK",IF(COUNTIFS(H2848:H$3001,H2847,B2848:B$3001,B2847,G2848:G$3001,"")=0,C2847,0),0))</f>
        <v/>
      </c>
    </row>
    <row r="2848">
      <c r="A2848" s="6" t="n"/>
      <c r="B2848" s="9" t="n"/>
      <c r="C2848" s="6" t="n"/>
      <c r="D2848" s="6" t="n"/>
      <c r="E2848" s="6" t="n"/>
      <c r="F2848" s="6" t="n"/>
      <c r="G2848" s="6" t="n"/>
      <c r="H2848" s="10">
        <f>IF(F2848="","",IFERROR(INDEX(Roster!$A$2:$A$600,MATCH(F2848,Roster!$E$2:$E$600,0)),""))</f>
        <v/>
      </c>
      <c r="I2848" s="10">
        <f>IF(AND(D2848="",C2848="",F2848=""),"",IF(G2848&lt;&gt;"","Void",IF(F2848="","Needs child",IF(H2848="","Child not found",IF(OR(B2848="",NOT(ISNUMBER(C2848))),"Needs month/pages","OK")))))</f>
        <v/>
      </c>
      <c r="J2848" s="10">
        <f>IF(I2848="","",IF(I2848="OK",IF(COUNTIFS(H2849:H$3001,H2848,B2849:B$3001,B2848,G2849:G$3001,"")=0,C2848,0),0))</f>
        <v/>
      </c>
    </row>
    <row r="2849">
      <c r="A2849" s="6" t="n"/>
      <c r="B2849" s="9" t="n"/>
      <c r="C2849" s="6" t="n"/>
      <c r="D2849" s="6" t="n"/>
      <c r="E2849" s="6" t="n"/>
      <c r="F2849" s="6" t="n"/>
      <c r="G2849" s="6" t="n"/>
      <c r="H2849" s="10">
        <f>IF(F2849="","",IFERROR(INDEX(Roster!$A$2:$A$600,MATCH(F2849,Roster!$E$2:$E$600,0)),""))</f>
        <v/>
      </c>
      <c r="I2849" s="10">
        <f>IF(AND(D2849="",C2849="",F2849=""),"",IF(G2849&lt;&gt;"","Void",IF(F2849="","Needs child",IF(H2849="","Child not found",IF(OR(B2849="",NOT(ISNUMBER(C2849))),"Needs month/pages","OK")))))</f>
        <v/>
      </c>
      <c r="J2849" s="10">
        <f>IF(I2849="","",IF(I2849="OK",IF(COUNTIFS(H2850:H$3001,H2849,B2850:B$3001,B2849,G2850:G$3001,"")=0,C2849,0),0))</f>
        <v/>
      </c>
    </row>
    <row r="2850">
      <c r="A2850" s="6" t="n"/>
      <c r="B2850" s="9" t="n"/>
      <c r="C2850" s="6" t="n"/>
      <c r="D2850" s="6" t="n"/>
      <c r="E2850" s="6" t="n"/>
      <c r="F2850" s="6" t="n"/>
      <c r="G2850" s="6" t="n"/>
      <c r="H2850" s="10">
        <f>IF(F2850="","",IFERROR(INDEX(Roster!$A$2:$A$600,MATCH(F2850,Roster!$E$2:$E$600,0)),""))</f>
        <v/>
      </c>
      <c r="I2850" s="10">
        <f>IF(AND(D2850="",C2850="",F2850=""),"",IF(G2850&lt;&gt;"","Void",IF(F2850="","Needs child",IF(H2850="","Child not found",IF(OR(B2850="",NOT(ISNUMBER(C2850))),"Needs month/pages","OK")))))</f>
        <v/>
      </c>
      <c r="J2850" s="10">
        <f>IF(I2850="","",IF(I2850="OK",IF(COUNTIFS(H2851:H$3001,H2850,B2851:B$3001,B2850,G2851:G$3001,"")=0,C2850,0),0))</f>
        <v/>
      </c>
    </row>
    <row r="2851">
      <c r="A2851" s="6" t="n"/>
      <c r="B2851" s="9" t="n"/>
      <c r="C2851" s="6" t="n"/>
      <c r="D2851" s="6" t="n"/>
      <c r="E2851" s="6" t="n"/>
      <c r="F2851" s="6" t="n"/>
      <c r="G2851" s="6" t="n"/>
      <c r="H2851" s="10">
        <f>IF(F2851="","",IFERROR(INDEX(Roster!$A$2:$A$600,MATCH(F2851,Roster!$E$2:$E$600,0)),""))</f>
        <v/>
      </c>
      <c r="I2851" s="10">
        <f>IF(AND(D2851="",C2851="",F2851=""),"",IF(G2851&lt;&gt;"","Void",IF(F2851="","Needs child",IF(H2851="","Child not found",IF(OR(B2851="",NOT(ISNUMBER(C2851))),"Needs month/pages","OK")))))</f>
        <v/>
      </c>
      <c r="J2851" s="10">
        <f>IF(I2851="","",IF(I2851="OK",IF(COUNTIFS(H2852:H$3001,H2851,B2852:B$3001,B2851,G2852:G$3001,"")=0,C2851,0),0))</f>
        <v/>
      </c>
    </row>
    <row r="2852">
      <c r="A2852" s="6" t="n"/>
      <c r="B2852" s="9" t="n"/>
      <c r="C2852" s="6" t="n"/>
      <c r="D2852" s="6" t="n"/>
      <c r="E2852" s="6" t="n"/>
      <c r="F2852" s="6" t="n"/>
      <c r="G2852" s="6" t="n"/>
      <c r="H2852" s="10">
        <f>IF(F2852="","",IFERROR(INDEX(Roster!$A$2:$A$600,MATCH(F2852,Roster!$E$2:$E$600,0)),""))</f>
        <v/>
      </c>
      <c r="I2852" s="10">
        <f>IF(AND(D2852="",C2852="",F2852=""),"",IF(G2852&lt;&gt;"","Void",IF(F2852="","Needs child",IF(H2852="","Child not found",IF(OR(B2852="",NOT(ISNUMBER(C2852))),"Needs month/pages","OK")))))</f>
        <v/>
      </c>
      <c r="J2852" s="10">
        <f>IF(I2852="","",IF(I2852="OK",IF(COUNTIFS(H2853:H$3001,H2852,B2853:B$3001,B2852,G2853:G$3001,"")=0,C2852,0),0))</f>
        <v/>
      </c>
    </row>
    <row r="2853">
      <c r="A2853" s="6" t="n"/>
      <c r="B2853" s="9" t="n"/>
      <c r="C2853" s="6" t="n"/>
      <c r="D2853" s="6" t="n"/>
      <c r="E2853" s="6" t="n"/>
      <c r="F2853" s="6" t="n"/>
      <c r="G2853" s="6" t="n"/>
      <c r="H2853" s="10">
        <f>IF(F2853="","",IFERROR(INDEX(Roster!$A$2:$A$600,MATCH(F2853,Roster!$E$2:$E$600,0)),""))</f>
        <v/>
      </c>
      <c r="I2853" s="10">
        <f>IF(AND(D2853="",C2853="",F2853=""),"",IF(G2853&lt;&gt;"","Void",IF(F2853="","Needs child",IF(H2853="","Child not found",IF(OR(B2853="",NOT(ISNUMBER(C2853))),"Needs month/pages","OK")))))</f>
        <v/>
      </c>
      <c r="J2853" s="10">
        <f>IF(I2853="","",IF(I2853="OK",IF(COUNTIFS(H2854:H$3001,H2853,B2854:B$3001,B2853,G2854:G$3001,"")=0,C2853,0),0))</f>
        <v/>
      </c>
    </row>
    <row r="2854">
      <c r="A2854" s="6" t="n"/>
      <c r="B2854" s="9" t="n"/>
      <c r="C2854" s="6" t="n"/>
      <c r="D2854" s="6" t="n"/>
      <c r="E2854" s="6" t="n"/>
      <c r="F2854" s="6" t="n"/>
      <c r="G2854" s="6" t="n"/>
      <c r="H2854" s="10">
        <f>IF(F2854="","",IFERROR(INDEX(Roster!$A$2:$A$600,MATCH(F2854,Roster!$E$2:$E$600,0)),""))</f>
        <v/>
      </c>
      <c r="I2854" s="10">
        <f>IF(AND(D2854="",C2854="",F2854=""),"",IF(G2854&lt;&gt;"","Void",IF(F2854="","Needs child",IF(H2854="","Child not found",IF(OR(B2854="",NOT(ISNUMBER(C2854))),"Needs month/pages","OK")))))</f>
        <v/>
      </c>
      <c r="J2854" s="10">
        <f>IF(I2854="","",IF(I2854="OK",IF(COUNTIFS(H2855:H$3001,H2854,B2855:B$3001,B2854,G2855:G$3001,"")=0,C2854,0),0))</f>
        <v/>
      </c>
    </row>
    <row r="2855">
      <c r="A2855" s="6" t="n"/>
      <c r="B2855" s="9" t="n"/>
      <c r="C2855" s="6" t="n"/>
      <c r="D2855" s="6" t="n"/>
      <c r="E2855" s="6" t="n"/>
      <c r="F2855" s="6" t="n"/>
      <c r="G2855" s="6" t="n"/>
      <c r="H2855" s="10">
        <f>IF(F2855="","",IFERROR(INDEX(Roster!$A$2:$A$600,MATCH(F2855,Roster!$E$2:$E$600,0)),""))</f>
        <v/>
      </c>
      <c r="I2855" s="10">
        <f>IF(AND(D2855="",C2855="",F2855=""),"",IF(G2855&lt;&gt;"","Void",IF(F2855="","Needs child",IF(H2855="","Child not found",IF(OR(B2855="",NOT(ISNUMBER(C2855))),"Needs month/pages","OK")))))</f>
        <v/>
      </c>
      <c r="J2855" s="10">
        <f>IF(I2855="","",IF(I2855="OK",IF(COUNTIFS(H2856:H$3001,H2855,B2856:B$3001,B2855,G2856:G$3001,"")=0,C2855,0),0))</f>
        <v/>
      </c>
    </row>
    <row r="2856">
      <c r="A2856" s="6" t="n"/>
      <c r="B2856" s="9" t="n"/>
      <c r="C2856" s="6" t="n"/>
      <c r="D2856" s="6" t="n"/>
      <c r="E2856" s="6" t="n"/>
      <c r="F2856" s="6" t="n"/>
      <c r="G2856" s="6" t="n"/>
      <c r="H2856" s="10">
        <f>IF(F2856="","",IFERROR(INDEX(Roster!$A$2:$A$600,MATCH(F2856,Roster!$E$2:$E$600,0)),""))</f>
        <v/>
      </c>
      <c r="I2856" s="10">
        <f>IF(AND(D2856="",C2856="",F2856=""),"",IF(G2856&lt;&gt;"","Void",IF(F2856="","Needs child",IF(H2856="","Child not found",IF(OR(B2856="",NOT(ISNUMBER(C2856))),"Needs month/pages","OK")))))</f>
        <v/>
      </c>
      <c r="J2856" s="10">
        <f>IF(I2856="","",IF(I2856="OK",IF(COUNTIFS(H2857:H$3001,H2856,B2857:B$3001,B2856,G2857:G$3001,"")=0,C2856,0),0))</f>
        <v/>
      </c>
    </row>
    <row r="2857">
      <c r="A2857" s="6" t="n"/>
      <c r="B2857" s="9" t="n"/>
      <c r="C2857" s="6" t="n"/>
      <c r="D2857" s="6" t="n"/>
      <c r="E2857" s="6" t="n"/>
      <c r="F2857" s="6" t="n"/>
      <c r="G2857" s="6" t="n"/>
      <c r="H2857" s="10">
        <f>IF(F2857="","",IFERROR(INDEX(Roster!$A$2:$A$600,MATCH(F2857,Roster!$E$2:$E$600,0)),""))</f>
        <v/>
      </c>
      <c r="I2857" s="10">
        <f>IF(AND(D2857="",C2857="",F2857=""),"",IF(G2857&lt;&gt;"","Void",IF(F2857="","Needs child",IF(H2857="","Child not found",IF(OR(B2857="",NOT(ISNUMBER(C2857))),"Needs month/pages","OK")))))</f>
        <v/>
      </c>
      <c r="J2857" s="10">
        <f>IF(I2857="","",IF(I2857="OK",IF(COUNTIFS(H2858:H$3001,H2857,B2858:B$3001,B2857,G2858:G$3001,"")=0,C2857,0),0))</f>
        <v/>
      </c>
    </row>
    <row r="2858">
      <c r="A2858" s="6" t="n"/>
      <c r="B2858" s="9" t="n"/>
      <c r="C2858" s="6" t="n"/>
      <c r="D2858" s="6" t="n"/>
      <c r="E2858" s="6" t="n"/>
      <c r="F2858" s="6" t="n"/>
      <c r="G2858" s="6" t="n"/>
      <c r="H2858" s="10">
        <f>IF(F2858="","",IFERROR(INDEX(Roster!$A$2:$A$600,MATCH(F2858,Roster!$E$2:$E$600,0)),""))</f>
        <v/>
      </c>
      <c r="I2858" s="10">
        <f>IF(AND(D2858="",C2858="",F2858=""),"",IF(G2858&lt;&gt;"","Void",IF(F2858="","Needs child",IF(H2858="","Child not found",IF(OR(B2858="",NOT(ISNUMBER(C2858))),"Needs month/pages","OK")))))</f>
        <v/>
      </c>
      <c r="J2858" s="10">
        <f>IF(I2858="","",IF(I2858="OK",IF(COUNTIFS(H2859:H$3001,H2858,B2859:B$3001,B2858,G2859:G$3001,"")=0,C2858,0),0))</f>
        <v/>
      </c>
    </row>
    <row r="2859">
      <c r="A2859" s="6" t="n"/>
      <c r="B2859" s="9" t="n"/>
      <c r="C2859" s="6" t="n"/>
      <c r="D2859" s="6" t="n"/>
      <c r="E2859" s="6" t="n"/>
      <c r="F2859" s="6" t="n"/>
      <c r="G2859" s="6" t="n"/>
      <c r="H2859" s="10">
        <f>IF(F2859="","",IFERROR(INDEX(Roster!$A$2:$A$600,MATCH(F2859,Roster!$E$2:$E$600,0)),""))</f>
        <v/>
      </c>
      <c r="I2859" s="10">
        <f>IF(AND(D2859="",C2859="",F2859=""),"",IF(G2859&lt;&gt;"","Void",IF(F2859="","Needs child",IF(H2859="","Child not found",IF(OR(B2859="",NOT(ISNUMBER(C2859))),"Needs month/pages","OK")))))</f>
        <v/>
      </c>
      <c r="J2859" s="10">
        <f>IF(I2859="","",IF(I2859="OK",IF(COUNTIFS(H2860:H$3001,H2859,B2860:B$3001,B2859,G2860:G$3001,"")=0,C2859,0),0))</f>
        <v/>
      </c>
    </row>
    <row r="2860">
      <c r="A2860" s="6" t="n"/>
      <c r="B2860" s="9" t="n"/>
      <c r="C2860" s="6" t="n"/>
      <c r="D2860" s="6" t="n"/>
      <c r="E2860" s="6" t="n"/>
      <c r="F2860" s="6" t="n"/>
      <c r="G2860" s="6" t="n"/>
      <c r="H2860" s="10">
        <f>IF(F2860="","",IFERROR(INDEX(Roster!$A$2:$A$600,MATCH(F2860,Roster!$E$2:$E$600,0)),""))</f>
        <v/>
      </c>
      <c r="I2860" s="10">
        <f>IF(AND(D2860="",C2860="",F2860=""),"",IF(G2860&lt;&gt;"","Void",IF(F2860="","Needs child",IF(H2860="","Child not found",IF(OR(B2860="",NOT(ISNUMBER(C2860))),"Needs month/pages","OK")))))</f>
        <v/>
      </c>
      <c r="J2860" s="10">
        <f>IF(I2860="","",IF(I2860="OK",IF(COUNTIFS(H2861:H$3001,H2860,B2861:B$3001,B2860,G2861:G$3001,"")=0,C2860,0),0))</f>
        <v/>
      </c>
    </row>
    <row r="2861">
      <c r="A2861" s="6" t="n"/>
      <c r="B2861" s="9" t="n"/>
      <c r="C2861" s="6" t="n"/>
      <c r="D2861" s="6" t="n"/>
      <c r="E2861" s="6" t="n"/>
      <c r="F2861" s="6" t="n"/>
      <c r="G2861" s="6" t="n"/>
      <c r="H2861" s="10">
        <f>IF(F2861="","",IFERROR(INDEX(Roster!$A$2:$A$600,MATCH(F2861,Roster!$E$2:$E$600,0)),""))</f>
        <v/>
      </c>
      <c r="I2861" s="10">
        <f>IF(AND(D2861="",C2861="",F2861=""),"",IF(G2861&lt;&gt;"","Void",IF(F2861="","Needs child",IF(H2861="","Child not found",IF(OR(B2861="",NOT(ISNUMBER(C2861))),"Needs month/pages","OK")))))</f>
        <v/>
      </c>
      <c r="J2861" s="10">
        <f>IF(I2861="","",IF(I2861="OK",IF(COUNTIFS(H2862:H$3001,H2861,B2862:B$3001,B2861,G2862:G$3001,"")=0,C2861,0),0))</f>
        <v/>
      </c>
    </row>
    <row r="2862">
      <c r="A2862" s="6" t="n"/>
      <c r="B2862" s="9" t="n"/>
      <c r="C2862" s="6" t="n"/>
      <c r="D2862" s="6" t="n"/>
      <c r="E2862" s="6" t="n"/>
      <c r="F2862" s="6" t="n"/>
      <c r="G2862" s="6" t="n"/>
      <c r="H2862" s="10">
        <f>IF(F2862="","",IFERROR(INDEX(Roster!$A$2:$A$600,MATCH(F2862,Roster!$E$2:$E$600,0)),""))</f>
        <v/>
      </c>
      <c r="I2862" s="10">
        <f>IF(AND(D2862="",C2862="",F2862=""),"",IF(G2862&lt;&gt;"","Void",IF(F2862="","Needs child",IF(H2862="","Child not found",IF(OR(B2862="",NOT(ISNUMBER(C2862))),"Needs month/pages","OK")))))</f>
        <v/>
      </c>
      <c r="J2862" s="10">
        <f>IF(I2862="","",IF(I2862="OK",IF(COUNTIFS(H2863:H$3001,H2862,B2863:B$3001,B2862,G2863:G$3001,"")=0,C2862,0),0))</f>
        <v/>
      </c>
    </row>
    <row r="2863">
      <c r="A2863" s="6" t="n"/>
      <c r="B2863" s="9" t="n"/>
      <c r="C2863" s="6" t="n"/>
      <c r="D2863" s="6" t="n"/>
      <c r="E2863" s="6" t="n"/>
      <c r="F2863" s="6" t="n"/>
      <c r="G2863" s="6" t="n"/>
      <c r="H2863" s="10">
        <f>IF(F2863="","",IFERROR(INDEX(Roster!$A$2:$A$600,MATCH(F2863,Roster!$E$2:$E$600,0)),""))</f>
        <v/>
      </c>
      <c r="I2863" s="10">
        <f>IF(AND(D2863="",C2863="",F2863=""),"",IF(G2863&lt;&gt;"","Void",IF(F2863="","Needs child",IF(H2863="","Child not found",IF(OR(B2863="",NOT(ISNUMBER(C2863))),"Needs month/pages","OK")))))</f>
        <v/>
      </c>
      <c r="J2863" s="10">
        <f>IF(I2863="","",IF(I2863="OK",IF(COUNTIFS(H2864:H$3001,H2863,B2864:B$3001,B2863,G2864:G$3001,"")=0,C2863,0),0))</f>
        <v/>
      </c>
    </row>
    <row r="2864">
      <c r="A2864" s="6" t="n"/>
      <c r="B2864" s="9" t="n"/>
      <c r="C2864" s="6" t="n"/>
      <c r="D2864" s="6" t="n"/>
      <c r="E2864" s="6" t="n"/>
      <c r="F2864" s="6" t="n"/>
      <c r="G2864" s="6" t="n"/>
      <c r="H2864" s="10">
        <f>IF(F2864="","",IFERROR(INDEX(Roster!$A$2:$A$600,MATCH(F2864,Roster!$E$2:$E$600,0)),""))</f>
        <v/>
      </c>
      <c r="I2864" s="10">
        <f>IF(AND(D2864="",C2864="",F2864=""),"",IF(G2864&lt;&gt;"","Void",IF(F2864="","Needs child",IF(H2864="","Child not found",IF(OR(B2864="",NOT(ISNUMBER(C2864))),"Needs month/pages","OK")))))</f>
        <v/>
      </c>
      <c r="J2864" s="10">
        <f>IF(I2864="","",IF(I2864="OK",IF(COUNTIFS(H2865:H$3001,H2864,B2865:B$3001,B2864,G2865:G$3001,"")=0,C2864,0),0))</f>
        <v/>
      </c>
    </row>
    <row r="2865">
      <c r="A2865" s="6" t="n"/>
      <c r="B2865" s="9" t="n"/>
      <c r="C2865" s="6" t="n"/>
      <c r="D2865" s="6" t="n"/>
      <c r="E2865" s="6" t="n"/>
      <c r="F2865" s="6" t="n"/>
      <c r="G2865" s="6" t="n"/>
      <c r="H2865" s="10">
        <f>IF(F2865="","",IFERROR(INDEX(Roster!$A$2:$A$600,MATCH(F2865,Roster!$E$2:$E$600,0)),""))</f>
        <v/>
      </c>
      <c r="I2865" s="10">
        <f>IF(AND(D2865="",C2865="",F2865=""),"",IF(G2865&lt;&gt;"","Void",IF(F2865="","Needs child",IF(H2865="","Child not found",IF(OR(B2865="",NOT(ISNUMBER(C2865))),"Needs month/pages","OK")))))</f>
        <v/>
      </c>
      <c r="J2865" s="10">
        <f>IF(I2865="","",IF(I2865="OK",IF(COUNTIFS(H2866:H$3001,H2865,B2866:B$3001,B2865,G2866:G$3001,"")=0,C2865,0),0))</f>
        <v/>
      </c>
    </row>
    <row r="2866">
      <c r="A2866" s="6" t="n"/>
      <c r="B2866" s="9" t="n"/>
      <c r="C2866" s="6" t="n"/>
      <c r="D2866" s="6" t="n"/>
      <c r="E2866" s="6" t="n"/>
      <c r="F2866" s="6" t="n"/>
      <c r="G2866" s="6" t="n"/>
      <c r="H2866" s="10">
        <f>IF(F2866="","",IFERROR(INDEX(Roster!$A$2:$A$600,MATCH(F2866,Roster!$E$2:$E$600,0)),""))</f>
        <v/>
      </c>
      <c r="I2866" s="10">
        <f>IF(AND(D2866="",C2866="",F2866=""),"",IF(G2866&lt;&gt;"","Void",IF(F2866="","Needs child",IF(H2866="","Child not found",IF(OR(B2866="",NOT(ISNUMBER(C2866))),"Needs month/pages","OK")))))</f>
        <v/>
      </c>
      <c r="J2866" s="10">
        <f>IF(I2866="","",IF(I2866="OK",IF(COUNTIFS(H2867:H$3001,H2866,B2867:B$3001,B2866,G2867:G$3001,"")=0,C2866,0),0))</f>
        <v/>
      </c>
    </row>
    <row r="2867">
      <c r="A2867" s="6" t="n"/>
      <c r="B2867" s="9" t="n"/>
      <c r="C2867" s="6" t="n"/>
      <c r="D2867" s="6" t="n"/>
      <c r="E2867" s="6" t="n"/>
      <c r="F2867" s="6" t="n"/>
      <c r="G2867" s="6" t="n"/>
      <c r="H2867" s="10">
        <f>IF(F2867="","",IFERROR(INDEX(Roster!$A$2:$A$600,MATCH(F2867,Roster!$E$2:$E$600,0)),""))</f>
        <v/>
      </c>
      <c r="I2867" s="10">
        <f>IF(AND(D2867="",C2867="",F2867=""),"",IF(G2867&lt;&gt;"","Void",IF(F2867="","Needs child",IF(H2867="","Child not found",IF(OR(B2867="",NOT(ISNUMBER(C2867))),"Needs month/pages","OK")))))</f>
        <v/>
      </c>
      <c r="J2867" s="10">
        <f>IF(I2867="","",IF(I2867="OK",IF(COUNTIFS(H2868:H$3001,H2867,B2868:B$3001,B2867,G2868:G$3001,"")=0,C2867,0),0))</f>
        <v/>
      </c>
    </row>
    <row r="2868">
      <c r="A2868" s="6" t="n"/>
      <c r="B2868" s="9" t="n"/>
      <c r="C2868" s="6" t="n"/>
      <c r="D2868" s="6" t="n"/>
      <c r="E2868" s="6" t="n"/>
      <c r="F2868" s="6" t="n"/>
      <c r="G2868" s="6" t="n"/>
      <c r="H2868" s="10">
        <f>IF(F2868="","",IFERROR(INDEX(Roster!$A$2:$A$600,MATCH(F2868,Roster!$E$2:$E$600,0)),""))</f>
        <v/>
      </c>
      <c r="I2868" s="10">
        <f>IF(AND(D2868="",C2868="",F2868=""),"",IF(G2868&lt;&gt;"","Void",IF(F2868="","Needs child",IF(H2868="","Child not found",IF(OR(B2868="",NOT(ISNUMBER(C2868))),"Needs month/pages","OK")))))</f>
        <v/>
      </c>
      <c r="J2868" s="10">
        <f>IF(I2868="","",IF(I2868="OK",IF(COUNTIFS(H2869:H$3001,H2868,B2869:B$3001,B2868,G2869:G$3001,"")=0,C2868,0),0))</f>
        <v/>
      </c>
    </row>
    <row r="2869">
      <c r="A2869" s="6" t="n"/>
      <c r="B2869" s="9" t="n"/>
      <c r="C2869" s="6" t="n"/>
      <c r="D2869" s="6" t="n"/>
      <c r="E2869" s="6" t="n"/>
      <c r="F2869" s="6" t="n"/>
      <c r="G2869" s="6" t="n"/>
      <c r="H2869" s="10">
        <f>IF(F2869="","",IFERROR(INDEX(Roster!$A$2:$A$600,MATCH(F2869,Roster!$E$2:$E$600,0)),""))</f>
        <v/>
      </c>
      <c r="I2869" s="10">
        <f>IF(AND(D2869="",C2869="",F2869=""),"",IF(G2869&lt;&gt;"","Void",IF(F2869="","Needs child",IF(H2869="","Child not found",IF(OR(B2869="",NOT(ISNUMBER(C2869))),"Needs month/pages","OK")))))</f>
        <v/>
      </c>
      <c r="J2869" s="10">
        <f>IF(I2869="","",IF(I2869="OK",IF(COUNTIFS(H2870:H$3001,H2869,B2870:B$3001,B2869,G2870:G$3001,"")=0,C2869,0),0))</f>
        <v/>
      </c>
    </row>
    <row r="2870">
      <c r="A2870" s="6" t="n"/>
      <c r="B2870" s="9" t="n"/>
      <c r="C2870" s="6" t="n"/>
      <c r="D2870" s="6" t="n"/>
      <c r="E2870" s="6" t="n"/>
      <c r="F2870" s="6" t="n"/>
      <c r="G2870" s="6" t="n"/>
      <c r="H2870" s="10">
        <f>IF(F2870="","",IFERROR(INDEX(Roster!$A$2:$A$600,MATCH(F2870,Roster!$E$2:$E$600,0)),""))</f>
        <v/>
      </c>
      <c r="I2870" s="10">
        <f>IF(AND(D2870="",C2870="",F2870=""),"",IF(G2870&lt;&gt;"","Void",IF(F2870="","Needs child",IF(H2870="","Child not found",IF(OR(B2870="",NOT(ISNUMBER(C2870))),"Needs month/pages","OK")))))</f>
        <v/>
      </c>
      <c r="J2870" s="10">
        <f>IF(I2870="","",IF(I2870="OK",IF(COUNTIFS(H2871:H$3001,H2870,B2871:B$3001,B2870,G2871:G$3001,"")=0,C2870,0),0))</f>
        <v/>
      </c>
    </row>
    <row r="2871">
      <c r="A2871" s="6" t="n"/>
      <c r="B2871" s="9" t="n"/>
      <c r="C2871" s="6" t="n"/>
      <c r="D2871" s="6" t="n"/>
      <c r="E2871" s="6" t="n"/>
      <c r="F2871" s="6" t="n"/>
      <c r="G2871" s="6" t="n"/>
      <c r="H2871" s="10">
        <f>IF(F2871="","",IFERROR(INDEX(Roster!$A$2:$A$600,MATCH(F2871,Roster!$E$2:$E$600,0)),""))</f>
        <v/>
      </c>
      <c r="I2871" s="10">
        <f>IF(AND(D2871="",C2871="",F2871=""),"",IF(G2871&lt;&gt;"","Void",IF(F2871="","Needs child",IF(H2871="","Child not found",IF(OR(B2871="",NOT(ISNUMBER(C2871))),"Needs month/pages","OK")))))</f>
        <v/>
      </c>
      <c r="J2871" s="10">
        <f>IF(I2871="","",IF(I2871="OK",IF(COUNTIFS(H2872:H$3001,H2871,B2872:B$3001,B2871,G2872:G$3001,"")=0,C2871,0),0))</f>
        <v/>
      </c>
    </row>
    <row r="2872">
      <c r="A2872" s="6" t="n"/>
      <c r="B2872" s="9" t="n"/>
      <c r="C2872" s="6" t="n"/>
      <c r="D2872" s="6" t="n"/>
      <c r="E2872" s="6" t="n"/>
      <c r="F2872" s="6" t="n"/>
      <c r="G2872" s="6" t="n"/>
      <c r="H2872" s="10">
        <f>IF(F2872="","",IFERROR(INDEX(Roster!$A$2:$A$600,MATCH(F2872,Roster!$E$2:$E$600,0)),""))</f>
        <v/>
      </c>
      <c r="I2872" s="10">
        <f>IF(AND(D2872="",C2872="",F2872=""),"",IF(G2872&lt;&gt;"","Void",IF(F2872="","Needs child",IF(H2872="","Child not found",IF(OR(B2872="",NOT(ISNUMBER(C2872))),"Needs month/pages","OK")))))</f>
        <v/>
      </c>
      <c r="J2872" s="10">
        <f>IF(I2872="","",IF(I2872="OK",IF(COUNTIFS(H2873:H$3001,H2872,B2873:B$3001,B2872,G2873:G$3001,"")=0,C2872,0),0))</f>
        <v/>
      </c>
    </row>
    <row r="2873">
      <c r="A2873" s="6" t="n"/>
      <c r="B2873" s="9" t="n"/>
      <c r="C2873" s="6" t="n"/>
      <c r="D2873" s="6" t="n"/>
      <c r="E2873" s="6" t="n"/>
      <c r="F2873" s="6" t="n"/>
      <c r="G2873" s="6" t="n"/>
      <c r="H2873" s="10">
        <f>IF(F2873="","",IFERROR(INDEX(Roster!$A$2:$A$600,MATCH(F2873,Roster!$E$2:$E$600,0)),""))</f>
        <v/>
      </c>
      <c r="I2873" s="10">
        <f>IF(AND(D2873="",C2873="",F2873=""),"",IF(G2873&lt;&gt;"","Void",IF(F2873="","Needs child",IF(H2873="","Child not found",IF(OR(B2873="",NOT(ISNUMBER(C2873))),"Needs month/pages","OK")))))</f>
        <v/>
      </c>
      <c r="J2873" s="10">
        <f>IF(I2873="","",IF(I2873="OK",IF(COUNTIFS(H2874:H$3001,H2873,B2874:B$3001,B2873,G2874:G$3001,"")=0,C2873,0),0))</f>
        <v/>
      </c>
    </row>
    <row r="2874">
      <c r="A2874" s="6" t="n"/>
      <c r="B2874" s="9" t="n"/>
      <c r="C2874" s="6" t="n"/>
      <c r="D2874" s="6" t="n"/>
      <c r="E2874" s="6" t="n"/>
      <c r="F2874" s="6" t="n"/>
      <c r="G2874" s="6" t="n"/>
      <c r="H2874" s="10">
        <f>IF(F2874="","",IFERROR(INDEX(Roster!$A$2:$A$600,MATCH(F2874,Roster!$E$2:$E$600,0)),""))</f>
        <v/>
      </c>
      <c r="I2874" s="10">
        <f>IF(AND(D2874="",C2874="",F2874=""),"",IF(G2874&lt;&gt;"","Void",IF(F2874="","Needs child",IF(H2874="","Child not found",IF(OR(B2874="",NOT(ISNUMBER(C2874))),"Needs month/pages","OK")))))</f>
        <v/>
      </c>
      <c r="J2874" s="10">
        <f>IF(I2874="","",IF(I2874="OK",IF(COUNTIFS(H2875:H$3001,H2874,B2875:B$3001,B2874,G2875:G$3001,"")=0,C2874,0),0))</f>
        <v/>
      </c>
    </row>
    <row r="2875">
      <c r="A2875" s="6" t="n"/>
      <c r="B2875" s="9" t="n"/>
      <c r="C2875" s="6" t="n"/>
      <c r="D2875" s="6" t="n"/>
      <c r="E2875" s="6" t="n"/>
      <c r="F2875" s="6" t="n"/>
      <c r="G2875" s="6" t="n"/>
      <c r="H2875" s="10">
        <f>IF(F2875="","",IFERROR(INDEX(Roster!$A$2:$A$600,MATCH(F2875,Roster!$E$2:$E$600,0)),""))</f>
        <v/>
      </c>
      <c r="I2875" s="10">
        <f>IF(AND(D2875="",C2875="",F2875=""),"",IF(G2875&lt;&gt;"","Void",IF(F2875="","Needs child",IF(H2875="","Child not found",IF(OR(B2875="",NOT(ISNUMBER(C2875))),"Needs month/pages","OK")))))</f>
        <v/>
      </c>
      <c r="J2875" s="10">
        <f>IF(I2875="","",IF(I2875="OK",IF(COUNTIFS(H2876:H$3001,H2875,B2876:B$3001,B2875,G2876:G$3001,"")=0,C2875,0),0))</f>
        <v/>
      </c>
    </row>
    <row r="2876">
      <c r="A2876" s="6" t="n"/>
      <c r="B2876" s="9" t="n"/>
      <c r="C2876" s="6" t="n"/>
      <c r="D2876" s="6" t="n"/>
      <c r="E2876" s="6" t="n"/>
      <c r="F2876" s="6" t="n"/>
      <c r="G2876" s="6" t="n"/>
      <c r="H2876" s="10">
        <f>IF(F2876="","",IFERROR(INDEX(Roster!$A$2:$A$600,MATCH(F2876,Roster!$E$2:$E$600,0)),""))</f>
        <v/>
      </c>
      <c r="I2876" s="10">
        <f>IF(AND(D2876="",C2876="",F2876=""),"",IF(G2876&lt;&gt;"","Void",IF(F2876="","Needs child",IF(H2876="","Child not found",IF(OR(B2876="",NOT(ISNUMBER(C2876))),"Needs month/pages","OK")))))</f>
        <v/>
      </c>
      <c r="J2876" s="10">
        <f>IF(I2876="","",IF(I2876="OK",IF(COUNTIFS(H2877:H$3001,H2876,B2877:B$3001,B2876,G2877:G$3001,"")=0,C2876,0),0))</f>
        <v/>
      </c>
    </row>
    <row r="2877">
      <c r="A2877" s="6" t="n"/>
      <c r="B2877" s="9" t="n"/>
      <c r="C2877" s="6" t="n"/>
      <c r="D2877" s="6" t="n"/>
      <c r="E2877" s="6" t="n"/>
      <c r="F2877" s="6" t="n"/>
      <c r="G2877" s="6" t="n"/>
      <c r="H2877" s="10">
        <f>IF(F2877="","",IFERROR(INDEX(Roster!$A$2:$A$600,MATCH(F2877,Roster!$E$2:$E$600,0)),""))</f>
        <v/>
      </c>
      <c r="I2877" s="10">
        <f>IF(AND(D2877="",C2877="",F2877=""),"",IF(G2877&lt;&gt;"","Void",IF(F2877="","Needs child",IF(H2877="","Child not found",IF(OR(B2877="",NOT(ISNUMBER(C2877))),"Needs month/pages","OK")))))</f>
        <v/>
      </c>
      <c r="J2877" s="10">
        <f>IF(I2877="","",IF(I2877="OK",IF(COUNTIFS(H2878:H$3001,H2877,B2878:B$3001,B2877,G2878:G$3001,"")=0,C2877,0),0))</f>
        <v/>
      </c>
    </row>
    <row r="2878">
      <c r="A2878" s="6" t="n"/>
      <c r="B2878" s="9" t="n"/>
      <c r="C2878" s="6" t="n"/>
      <c r="D2878" s="6" t="n"/>
      <c r="E2878" s="6" t="n"/>
      <c r="F2878" s="6" t="n"/>
      <c r="G2878" s="6" t="n"/>
      <c r="H2878" s="10">
        <f>IF(F2878="","",IFERROR(INDEX(Roster!$A$2:$A$600,MATCH(F2878,Roster!$E$2:$E$600,0)),""))</f>
        <v/>
      </c>
      <c r="I2878" s="10">
        <f>IF(AND(D2878="",C2878="",F2878=""),"",IF(G2878&lt;&gt;"","Void",IF(F2878="","Needs child",IF(H2878="","Child not found",IF(OR(B2878="",NOT(ISNUMBER(C2878))),"Needs month/pages","OK")))))</f>
        <v/>
      </c>
      <c r="J2878" s="10">
        <f>IF(I2878="","",IF(I2878="OK",IF(COUNTIFS(H2879:H$3001,H2878,B2879:B$3001,B2878,G2879:G$3001,"")=0,C2878,0),0))</f>
        <v/>
      </c>
    </row>
    <row r="2879">
      <c r="A2879" s="6" t="n"/>
      <c r="B2879" s="9" t="n"/>
      <c r="C2879" s="6" t="n"/>
      <c r="D2879" s="6" t="n"/>
      <c r="E2879" s="6" t="n"/>
      <c r="F2879" s="6" t="n"/>
      <c r="G2879" s="6" t="n"/>
      <c r="H2879" s="10">
        <f>IF(F2879="","",IFERROR(INDEX(Roster!$A$2:$A$600,MATCH(F2879,Roster!$E$2:$E$600,0)),""))</f>
        <v/>
      </c>
      <c r="I2879" s="10">
        <f>IF(AND(D2879="",C2879="",F2879=""),"",IF(G2879&lt;&gt;"","Void",IF(F2879="","Needs child",IF(H2879="","Child not found",IF(OR(B2879="",NOT(ISNUMBER(C2879))),"Needs month/pages","OK")))))</f>
        <v/>
      </c>
      <c r="J2879" s="10">
        <f>IF(I2879="","",IF(I2879="OK",IF(COUNTIFS(H2880:H$3001,H2879,B2880:B$3001,B2879,G2880:G$3001,"")=0,C2879,0),0))</f>
        <v/>
      </c>
    </row>
    <row r="2880">
      <c r="A2880" s="6" t="n"/>
      <c r="B2880" s="9" t="n"/>
      <c r="C2880" s="6" t="n"/>
      <c r="D2880" s="6" t="n"/>
      <c r="E2880" s="6" t="n"/>
      <c r="F2880" s="6" t="n"/>
      <c r="G2880" s="6" t="n"/>
      <c r="H2880" s="10">
        <f>IF(F2880="","",IFERROR(INDEX(Roster!$A$2:$A$600,MATCH(F2880,Roster!$E$2:$E$600,0)),""))</f>
        <v/>
      </c>
      <c r="I2880" s="10">
        <f>IF(AND(D2880="",C2880="",F2880=""),"",IF(G2880&lt;&gt;"","Void",IF(F2880="","Needs child",IF(H2880="","Child not found",IF(OR(B2880="",NOT(ISNUMBER(C2880))),"Needs month/pages","OK")))))</f>
        <v/>
      </c>
      <c r="J2880" s="10">
        <f>IF(I2880="","",IF(I2880="OK",IF(COUNTIFS(H2881:H$3001,H2880,B2881:B$3001,B2880,G2881:G$3001,"")=0,C2880,0),0))</f>
        <v/>
      </c>
    </row>
    <row r="2881">
      <c r="A2881" s="6" t="n"/>
      <c r="B2881" s="9" t="n"/>
      <c r="C2881" s="6" t="n"/>
      <c r="D2881" s="6" t="n"/>
      <c r="E2881" s="6" t="n"/>
      <c r="F2881" s="6" t="n"/>
      <c r="G2881" s="6" t="n"/>
      <c r="H2881" s="10">
        <f>IF(F2881="","",IFERROR(INDEX(Roster!$A$2:$A$600,MATCH(F2881,Roster!$E$2:$E$600,0)),""))</f>
        <v/>
      </c>
      <c r="I2881" s="10">
        <f>IF(AND(D2881="",C2881="",F2881=""),"",IF(G2881&lt;&gt;"","Void",IF(F2881="","Needs child",IF(H2881="","Child not found",IF(OR(B2881="",NOT(ISNUMBER(C2881))),"Needs month/pages","OK")))))</f>
        <v/>
      </c>
      <c r="J2881" s="10">
        <f>IF(I2881="","",IF(I2881="OK",IF(COUNTIFS(H2882:H$3001,H2881,B2882:B$3001,B2881,G2882:G$3001,"")=0,C2881,0),0))</f>
        <v/>
      </c>
    </row>
    <row r="2882">
      <c r="A2882" s="6" t="n"/>
      <c r="B2882" s="9" t="n"/>
      <c r="C2882" s="6" t="n"/>
      <c r="D2882" s="6" t="n"/>
      <c r="E2882" s="6" t="n"/>
      <c r="F2882" s="6" t="n"/>
      <c r="G2882" s="6" t="n"/>
      <c r="H2882" s="10">
        <f>IF(F2882="","",IFERROR(INDEX(Roster!$A$2:$A$600,MATCH(F2882,Roster!$E$2:$E$600,0)),""))</f>
        <v/>
      </c>
      <c r="I2882" s="10">
        <f>IF(AND(D2882="",C2882="",F2882=""),"",IF(G2882&lt;&gt;"","Void",IF(F2882="","Needs child",IF(H2882="","Child not found",IF(OR(B2882="",NOT(ISNUMBER(C2882))),"Needs month/pages","OK")))))</f>
        <v/>
      </c>
      <c r="J2882" s="10">
        <f>IF(I2882="","",IF(I2882="OK",IF(COUNTIFS(H2883:H$3001,H2882,B2883:B$3001,B2882,G2883:G$3001,"")=0,C2882,0),0))</f>
        <v/>
      </c>
    </row>
    <row r="2883">
      <c r="A2883" s="6" t="n"/>
      <c r="B2883" s="9" t="n"/>
      <c r="C2883" s="6" t="n"/>
      <c r="D2883" s="6" t="n"/>
      <c r="E2883" s="6" t="n"/>
      <c r="F2883" s="6" t="n"/>
      <c r="G2883" s="6" t="n"/>
      <c r="H2883" s="10">
        <f>IF(F2883="","",IFERROR(INDEX(Roster!$A$2:$A$600,MATCH(F2883,Roster!$E$2:$E$600,0)),""))</f>
        <v/>
      </c>
      <c r="I2883" s="10">
        <f>IF(AND(D2883="",C2883="",F2883=""),"",IF(G2883&lt;&gt;"","Void",IF(F2883="","Needs child",IF(H2883="","Child not found",IF(OR(B2883="",NOT(ISNUMBER(C2883))),"Needs month/pages","OK")))))</f>
        <v/>
      </c>
      <c r="J2883" s="10">
        <f>IF(I2883="","",IF(I2883="OK",IF(COUNTIFS(H2884:H$3001,H2883,B2884:B$3001,B2883,G2884:G$3001,"")=0,C2883,0),0))</f>
        <v/>
      </c>
    </row>
    <row r="2884">
      <c r="A2884" s="6" t="n"/>
      <c r="B2884" s="9" t="n"/>
      <c r="C2884" s="6" t="n"/>
      <c r="D2884" s="6" t="n"/>
      <c r="E2884" s="6" t="n"/>
      <c r="F2884" s="6" t="n"/>
      <c r="G2884" s="6" t="n"/>
      <c r="H2884" s="10">
        <f>IF(F2884="","",IFERROR(INDEX(Roster!$A$2:$A$600,MATCH(F2884,Roster!$E$2:$E$600,0)),""))</f>
        <v/>
      </c>
      <c r="I2884" s="10">
        <f>IF(AND(D2884="",C2884="",F2884=""),"",IF(G2884&lt;&gt;"","Void",IF(F2884="","Needs child",IF(H2884="","Child not found",IF(OR(B2884="",NOT(ISNUMBER(C2884))),"Needs month/pages","OK")))))</f>
        <v/>
      </c>
      <c r="J2884" s="10">
        <f>IF(I2884="","",IF(I2884="OK",IF(COUNTIFS(H2885:H$3001,H2884,B2885:B$3001,B2884,G2885:G$3001,"")=0,C2884,0),0))</f>
        <v/>
      </c>
    </row>
    <row r="2885">
      <c r="A2885" s="6" t="n"/>
      <c r="B2885" s="9" t="n"/>
      <c r="C2885" s="6" t="n"/>
      <c r="D2885" s="6" t="n"/>
      <c r="E2885" s="6" t="n"/>
      <c r="F2885" s="6" t="n"/>
      <c r="G2885" s="6" t="n"/>
      <c r="H2885" s="10">
        <f>IF(F2885="","",IFERROR(INDEX(Roster!$A$2:$A$600,MATCH(F2885,Roster!$E$2:$E$600,0)),""))</f>
        <v/>
      </c>
      <c r="I2885" s="10">
        <f>IF(AND(D2885="",C2885="",F2885=""),"",IF(G2885&lt;&gt;"","Void",IF(F2885="","Needs child",IF(H2885="","Child not found",IF(OR(B2885="",NOT(ISNUMBER(C2885))),"Needs month/pages","OK")))))</f>
        <v/>
      </c>
      <c r="J2885" s="10">
        <f>IF(I2885="","",IF(I2885="OK",IF(COUNTIFS(H2886:H$3001,H2885,B2886:B$3001,B2885,G2886:G$3001,"")=0,C2885,0),0))</f>
        <v/>
      </c>
    </row>
    <row r="2886">
      <c r="A2886" s="6" t="n"/>
      <c r="B2886" s="9" t="n"/>
      <c r="C2886" s="6" t="n"/>
      <c r="D2886" s="6" t="n"/>
      <c r="E2886" s="6" t="n"/>
      <c r="F2886" s="6" t="n"/>
      <c r="G2886" s="6" t="n"/>
      <c r="H2886" s="10">
        <f>IF(F2886="","",IFERROR(INDEX(Roster!$A$2:$A$600,MATCH(F2886,Roster!$E$2:$E$600,0)),""))</f>
        <v/>
      </c>
      <c r="I2886" s="10">
        <f>IF(AND(D2886="",C2886="",F2886=""),"",IF(G2886&lt;&gt;"","Void",IF(F2886="","Needs child",IF(H2886="","Child not found",IF(OR(B2886="",NOT(ISNUMBER(C2886))),"Needs month/pages","OK")))))</f>
        <v/>
      </c>
      <c r="J2886" s="10">
        <f>IF(I2886="","",IF(I2886="OK",IF(COUNTIFS(H2887:H$3001,H2886,B2887:B$3001,B2886,G2887:G$3001,"")=0,C2886,0),0))</f>
        <v/>
      </c>
    </row>
    <row r="2887">
      <c r="A2887" s="6" t="n"/>
      <c r="B2887" s="9" t="n"/>
      <c r="C2887" s="6" t="n"/>
      <c r="D2887" s="6" t="n"/>
      <c r="E2887" s="6" t="n"/>
      <c r="F2887" s="6" t="n"/>
      <c r="G2887" s="6" t="n"/>
      <c r="H2887" s="10">
        <f>IF(F2887="","",IFERROR(INDEX(Roster!$A$2:$A$600,MATCH(F2887,Roster!$E$2:$E$600,0)),""))</f>
        <v/>
      </c>
      <c r="I2887" s="10">
        <f>IF(AND(D2887="",C2887="",F2887=""),"",IF(G2887&lt;&gt;"","Void",IF(F2887="","Needs child",IF(H2887="","Child not found",IF(OR(B2887="",NOT(ISNUMBER(C2887))),"Needs month/pages","OK")))))</f>
        <v/>
      </c>
      <c r="J2887" s="10">
        <f>IF(I2887="","",IF(I2887="OK",IF(COUNTIFS(H2888:H$3001,H2887,B2888:B$3001,B2887,G2888:G$3001,"")=0,C2887,0),0))</f>
        <v/>
      </c>
    </row>
    <row r="2888">
      <c r="A2888" s="6" t="n"/>
      <c r="B2888" s="9" t="n"/>
      <c r="C2888" s="6" t="n"/>
      <c r="D2888" s="6" t="n"/>
      <c r="E2888" s="6" t="n"/>
      <c r="F2888" s="6" t="n"/>
      <c r="G2888" s="6" t="n"/>
      <c r="H2888" s="10">
        <f>IF(F2888="","",IFERROR(INDEX(Roster!$A$2:$A$600,MATCH(F2888,Roster!$E$2:$E$600,0)),""))</f>
        <v/>
      </c>
      <c r="I2888" s="10">
        <f>IF(AND(D2888="",C2888="",F2888=""),"",IF(G2888&lt;&gt;"","Void",IF(F2888="","Needs child",IF(H2888="","Child not found",IF(OR(B2888="",NOT(ISNUMBER(C2888))),"Needs month/pages","OK")))))</f>
        <v/>
      </c>
      <c r="J2888" s="10">
        <f>IF(I2888="","",IF(I2888="OK",IF(COUNTIFS(H2889:H$3001,H2888,B2889:B$3001,B2888,G2889:G$3001,"")=0,C2888,0),0))</f>
        <v/>
      </c>
    </row>
    <row r="2889">
      <c r="A2889" s="6" t="n"/>
      <c r="B2889" s="9" t="n"/>
      <c r="C2889" s="6" t="n"/>
      <c r="D2889" s="6" t="n"/>
      <c r="E2889" s="6" t="n"/>
      <c r="F2889" s="6" t="n"/>
      <c r="G2889" s="6" t="n"/>
      <c r="H2889" s="10">
        <f>IF(F2889="","",IFERROR(INDEX(Roster!$A$2:$A$600,MATCH(F2889,Roster!$E$2:$E$600,0)),""))</f>
        <v/>
      </c>
      <c r="I2889" s="10">
        <f>IF(AND(D2889="",C2889="",F2889=""),"",IF(G2889&lt;&gt;"","Void",IF(F2889="","Needs child",IF(H2889="","Child not found",IF(OR(B2889="",NOT(ISNUMBER(C2889))),"Needs month/pages","OK")))))</f>
        <v/>
      </c>
      <c r="J2889" s="10">
        <f>IF(I2889="","",IF(I2889="OK",IF(COUNTIFS(H2890:H$3001,H2889,B2890:B$3001,B2889,G2890:G$3001,"")=0,C2889,0),0))</f>
        <v/>
      </c>
    </row>
    <row r="2890">
      <c r="A2890" s="6" t="n"/>
      <c r="B2890" s="9" t="n"/>
      <c r="C2890" s="6" t="n"/>
      <c r="D2890" s="6" t="n"/>
      <c r="E2890" s="6" t="n"/>
      <c r="F2890" s="6" t="n"/>
      <c r="G2890" s="6" t="n"/>
      <c r="H2890" s="10">
        <f>IF(F2890="","",IFERROR(INDEX(Roster!$A$2:$A$600,MATCH(F2890,Roster!$E$2:$E$600,0)),""))</f>
        <v/>
      </c>
      <c r="I2890" s="10">
        <f>IF(AND(D2890="",C2890="",F2890=""),"",IF(G2890&lt;&gt;"","Void",IF(F2890="","Needs child",IF(H2890="","Child not found",IF(OR(B2890="",NOT(ISNUMBER(C2890))),"Needs month/pages","OK")))))</f>
        <v/>
      </c>
      <c r="J2890" s="10">
        <f>IF(I2890="","",IF(I2890="OK",IF(COUNTIFS(H2891:H$3001,H2890,B2891:B$3001,B2890,G2891:G$3001,"")=0,C2890,0),0))</f>
        <v/>
      </c>
    </row>
    <row r="2891">
      <c r="A2891" s="6" t="n"/>
      <c r="B2891" s="9" t="n"/>
      <c r="C2891" s="6" t="n"/>
      <c r="D2891" s="6" t="n"/>
      <c r="E2891" s="6" t="n"/>
      <c r="F2891" s="6" t="n"/>
      <c r="G2891" s="6" t="n"/>
      <c r="H2891" s="10">
        <f>IF(F2891="","",IFERROR(INDEX(Roster!$A$2:$A$600,MATCH(F2891,Roster!$E$2:$E$600,0)),""))</f>
        <v/>
      </c>
      <c r="I2891" s="10">
        <f>IF(AND(D2891="",C2891="",F2891=""),"",IF(G2891&lt;&gt;"","Void",IF(F2891="","Needs child",IF(H2891="","Child not found",IF(OR(B2891="",NOT(ISNUMBER(C2891))),"Needs month/pages","OK")))))</f>
        <v/>
      </c>
      <c r="J2891" s="10">
        <f>IF(I2891="","",IF(I2891="OK",IF(COUNTIFS(H2892:H$3001,H2891,B2892:B$3001,B2891,G2892:G$3001,"")=0,C2891,0),0))</f>
        <v/>
      </c>
    </row>
    <row r="2892">
      <c r="A2892" s="6" t="n"/>
      <c r="B2892" s="9" t="n"/>
      <c r="C2892" s="6" t="n"/>
      <c r="D2892" s="6" t="n"/>
      <c r="E2892" s="6" t="n"/>
      <c r="F2892" s="6" t="n"/>
      <c r="G2892" s="6" t="n"/>
      <c r="H2892" s="10">
        <f>IF(F2892="","",IFERROR(INDEX(Roster!$A$2:$A$600,MATCH(F2892,Roster!$E$2:$E$600,0)),""))</f>
        <v/>
      </c>
      <c r="I2892" s="10">
        <f>IF(AND(D2892="",C2892="",F2892=""),"",IF(G2892&lt;&gt;"","Void",IF(F2892="","Needs child",IF(H2892="","Child not found",IF(OR(B2892="",NOT(ISNUMBER(C2892))),"Needs month/pages","OK")))))</f>
        <v/>
      </c>
      <c r="J2892" s="10">
        <f>IF(I2892="","",IF(I2892="OK",IF(COUNTIFS(H2893:H$3001,H2892,B2893:B$3001,B2892,G2893:G$3001,"")=0,C2892,0),0))</f>
        <v/>
      </c>
    </row>
    <row r="2893">
      <c r="A2893" s="6" t="n"/>
      <c r="B2893" s="9" t="n"/>
      <c r="C2893" s="6" t="n"/>
      <c r="D2893" s="6" t="n"/>
      <c r="E2893" s="6" t="n"/>
      <c r="F2893" s="6" t="n"/>
      <c r="G2893" s="6" t="n"/>
      <c r="H2893" s="10">
        <f>IF(F2893="","",IFERROR(INDEX(Roster!$A$2:$A$600,MATCH(F2893,Roster!$E$2:$E$600,0)),""))</f>
        <v/>
      </c>
      <c r="I2893" s="10">
        <f>IF(AND(D2893="",C2893="",F2893=""),"",IF(G2893&lt;&gt;"","Void",IF(F2893="","Needs child",IF(H2893="","Child not found",IF(OR(B2893="",NOT(ISNUMBER(C2893))),"Needs month/pages","OK")))))</f>
        <v/>
      </c>
      <c r="J2893" s="10">
        <f>IF(I2893="","",IF(I2893="OK",IF(COUNTIFS(H2894:H$3001,H2893,B2894:B$3001,B2893,G2894:G$3001,"")=0,C2893,0),0))</f>
        <v/>
      </c>
    </row>
    <row r="2894">
      <c r="A2894" s="6" t="n"/>
      <c r="B2894" s="9" t="n"/>
      <c r="C2894" s="6" t="n"/>
      <c r="D2894" s="6" t="n"/>
      <c r="E2894" s="6" t="n"/>
      <c r="F2894" s="6" t="n"/>
      <c r="G2894" s="6" t="n"/>
      <c r="H2894" s="10">
        <f>IF(F2894="","",IFERROR(INDEX(Roster!$A$2:$A$600,MATCH(F2894,Roster!$E$2:$E$600,0)),""))</f>
        <v/>
      </c>
      <c r="I2894" s="10">
        <f>IF(AND(D2894="",C2894="",F2894=""),"",IF(G2894&lt;&gt;"","Void",IF(F2894="","Needs child",IF(H2894="","Child not found",IF(OR(B2894="",NOT(ISNUMBER(C2894))),"Needs month/pages","OK")))))</f>
        <v/>
      </c>
      <c r="J2894" s="10">
        <f>IF(I2894="","",IF(I2894="OK",IF(COUNTIFS(H2895:H$3001,H2894,B2895:B$3001,B2894,G2895:G$3001,"")=0,C2894,0),0))</f>
        <v/>
      </c>
    </row>
    <row r="2895">
      <c r="A2895" s="6" t="n"/>
      <c r="B2895" s="9" t="n"/>
      <c r="C2895" s="6" t="n"/>
      <c r="D2895" s="6" t="n"/>
      <c r="E2895" s="6" t="n"/>
      <c r="F2895" s="6" t="n"/>
      <c r="G2895" s="6" t="n"/>
      <c r="H2895" s="10">
        <f>IF(F2895="","",IFERROR(INDEX(Roster!$A$2:$A$600,MATCH(F2895,Roster!$E$2:$E$600,0)),""))</f>
        <v/>
      </c>
      <c r="I2895" s="10">
        <f>IF(AND(D2895="",C2895="",F2895=""),"",IF(G2895&lt;&gt;"","Void",IF(F2895="","Needs child",IF(H2895="","Child not found",IF(OR(B2895="",NOT(ISNUMBER(C2895))),"Needs month/pages","OK")))))</f>
        <v/>
      </c>
      <c r="J2895" s="10">
        <f>IF(I2895="","",IF(I2895="OK",IF(COUNTIFS(H2896:H$3001,H2895,B2896:B$3001,B2895,G2896:G$3001,"")=0,C2895,0),0))</f>
        <v/>
      </c>
    </row>
    <row r="2896">
      <c r="A2896" s="6" t="n"/>
      <c r="B2896" s="9" t="n"/>
      <c r="C2896" s="6" t="n"/>
      <c r="D2896" s="6" t="n"/>
      <c r="E2896" s="6" t="n"/>
      <c r="F2896" s="6" t="n"/>
      <c r="G2896" s="6" t="n"/>
      <c r="H2896" s="10">
        <f>IF(F2896="","",IFERROR(INDEX(Roster!$A$2:$A$600,MATCH(F2896,Roster!$E$2:$E$600,0)),""))</f>
        <v/>
      </c>
      <c r="I2896" s="10">
        <f>IF(AND(D2896="",C2896="",F2896=""),"",IF(G2896&lt;&gt;"","Void",IF(F2896="","Needs child",IF(H2896="","Child not found",IF(OR(B2896="",NOT(ISNUMBER(C2896))),"Needs month/pages","OK")))))</f>
        <v/>
      </c>
      <c r="J2896" s="10">
        <f>IF(I2896="","",IF(I2896="OK",IF(COUNTIFS(H2897:H$3001,H2896,B2897:B$3001,B2896,G2897:G$3001,"")=0,C2896,0),0))</f>
        <v/>
      </c>
    </row>
    <row r="2897">
      <c r="A2897" s="6" t="n"/>
      <c r="B2897" s="9" t="n"/>
      <c r="C2897" s="6" t="n"/>
      <c r="D2897" s="6" t="n"/>
      <c r="E2897" s="6" t="n"/>
      <c r="F2897" s="6" t="n"/>
      <c r="G2897" s="6" t="n"/>
      <c r="H2897" s="10">
        <f>IF(F2897="","",IFERROR(INDEX(Roster!$A$2:$A$600,MATCH(F2897,Roster!$E$2:$E$600,0)),""))</f>
        <v/>
      </c>
      <c r="I2897" s="10">
        <f>IF(AND(D2897="",C2897="",F2897=""),"",IF(G2897&lt;&gt;"","Void",IF(F2897="","Needs child",IF(H2897="","Child not found",IF(OR(B2897="",NOT(ISNUMBER(C2897))),"Needs month/pages","OK")))))</f>
        <v/>
      </c>
      <c r="J2897" s="10">
        <f>IF(I2897="","",IF(I2897="OK",IF(COUNTIFS(H2898:H$3001,H2897,B2898:B$3001,B2897,G2898:G$3001,"")=0,C2897,0),0))</f>
        <v/>
      </c>
    </row>
    <row r="2898">
      <c r="A2898" s="6" t="n"/>
      <c r="B2898" s="9" t="n"/>
      <c r="C2898" s="6" t="n"/>
      <c r="D2898" s="6" t="n"/>
      <c r="E2898" s="6" t="n"/>
      <c r="F2898" s="6" t="n"/>
      <c r="G2898" s="6" t="n"/>
      <c r="H2898" s="10">
        <f>IF(F2898="","",IFERROR(INDEX(Roster!$A$2:$A$600,MATCH(F2898,Roster!$E$2:$E$600,0)),""))</f>
        <v/>
      </c>
      <c r="I2898" s="10">
        <f>IF(AND(D2898="",C2898="",F2898=""),"",IF(G2898&lt;&gt;"","Void",IF(F2898="","Needs child",IF(H2898="","Child not found",IF(OR(B2898="",NOT(ISNUMBER(C2898))),"Needs month/pages","OK")))))</f>
        <v/>
      </c>
      <c r="J2898" s="10">
        <f>IF(I2898="","",IF(I2898="OK",IF(COUNTIFS(H2899:H$3001,H2898,B2899:B$3001,B2898,G2899:G$3001,"")=0,C2898,0),0))</f>
        <v/>
      </c>
    </row>
    <row r="2899">
      <c r="A2899" s="6" t="n"/>
      <c r="B2899" s="9" t="n"/>
      <c r="C2899" s="6" t="n"/>
      <c r="D2899" s="6" t="n"/>
      <c r="E2899" s="6" t="n"/>
      <c r="F2899" s="6" t="n"/>
      <c r="G2899" s="6" t="n"/>
      <c r="H2899" s="10">
        <f>IF(F2899="","",IFERROR(INDEX(Roster!$A$2:$A$600,MATCH(F2899,Roster!$E$2:$E$600,0)),""))</f>
        <v/>
      </c>
      <c r="I2899" s="10">
        <f>IF(AND(D2899="",C2899="",F2899=""),"",IF(G2899&lt;&gt;"","Void",IF(F2899="","Needs child",IF(H2899="","Child not found",IF(OR(B2899="",NOT(ISNUMBER(C2899))),"Needs month/pages","OK")))))</f>
        <v/>
      </c>
      <c r="J2899" s="10">
        <f>IF(I2899="","",IF(I2899="OK",IF(COUNTIFS(H2900:H$3001,H2899,B2900:B$3001,B2899,G2900:G$3001,"")=0,C2899,0),0))</f>
        <v/>
      </c>
    </row>
    <row r="2900">
      <c r="A2900" s="6" t="n"/>
      <c r="B2900" s="9" t="n"/>
      <c r="C2900" s="6" t="n"/>
      <c r="D2900" s="6" t="n"/>
      <c r="E2900" s="6" t="n"/>
      <c r="F2900" s="6" t="n"/>
      <c r="G2900" s="6" t="n"/>
      <c r="H2900" s="10">
        <f>IF(F2900="","",IFERROR(INDEX(Roster!$A$2:$A$600,MATCH(F2900,Roster!$E$2:$E$600,0)),""))</f>
        <v/>
      </c>
      <c r="I2900" s="10">
        <f>IF(AND(D2900="",C2900="",F2900=""),"",IF(G2900&lt;&gt;"","Void",IF(F2900="","Needs child",IF(H2900="","Child not found",IF(OR(B2900="",NOT(ISNUMBER(C2900))),"Needs month/pages","OK")))))</f>
        <v/>
      </c>
      <c r="J2900" s="10">
        <f>IF(I2900="","",IF(I2900="OK",IF(COUNTIFS(H2901:H$3001,H2900,B2901:B$3001,B2900,G2901:G$3001,"")=0,C2900,0),0))</f>
        <v/>
      </c>
    </row>
    <row r="2901">
      <c r="A2901" s="6" t="n"/>
      <c r="B2901" s="9" t="n"/>
      <c r="C2901" s="6" t="n"/>
      <c r="D2901" s="6" t="n"/>
      <c r="E2901" s="6" t="n"/>
      <c r="F2901" s="6" t="n"/>
      <c r="G2901" s="6" t="n"/>
      <c r="H2901" s="10">
        <f>IF(F2901="","",IFERROR(INDEX(Roster!$A$2:$A$600,MATCH(F2901,Roster!$E$2:$E$600,0)),""))</f>
        <v/>
      </c>
      <c r="I2901" s="10">
        <f>IF(AND(D2901="",C2901="",F2901=""),"",IF(G2901&lt;&gt;"","Void",IF(F2901="","Needs child",IF(H2901="","Child not found",IF(OR(B2901="",NOT(ISNUMBER(C2901))),"Needs month/pages","OK")))))</f>
        <v/>
      </c>
      <c r="J2901" s="10">
        <f>IF(I2901="","",IF(I2901="OK",IF(COUNTIFS(H2902:H$3001,H2901,B2902:B$3001,B2901,G2902:G$3001,"")=0,C2901,0),0))</f>
        <v/>
      </c>
    </row>
    <row r="2902">
      <c r="A2902" s="6" t="n"/>
      <c r="B2902" s="9" t="n"/>
      <c r="C2902" s="6" t="n"/>
      <c r="D2902" s="6" t="n"/>
      <c r="E2902" s="6" t="n"/>
      <c r="F2902" s="6" t="n"/>
      <c r="G2902" s="6" t="n"/>
      <c r="H2902" s="10">
        <f>IF(F2902="","",IFERROR(INDEX(Roster!$A$2:$A$600,MATCH(F2902,Roster!$E$2:$E$600,0)),""))</f>
        <v/>
      </c>
      <c r="I2902" s="10">
        <f>IF(AND(D2902="",C2902="",F2902=""),"",IF(G2902&lt;&gt;"","Void",IF(F2902="","Needs child",IF(H2902="","Child not found",IF(OR(B2902="",NOT(ISNUMBER(C2902))),"Needs month/pages","OK")))))</f>
        <v/>
      </c>
      <c r="J2902" s="10">
        <f>IF(I2902="","",IF(I2902="OK",IF(COUNTIFS(H2903:H$3001,H2902,B2903:B$3001,B2902,G2903:G$3001,"")=0,C2902,0),0))</f>
        <v/>
      </c>
    </row>
    <row r="2903">
      <c r="A2903" s="6" t="n"/>
      <c r="B2903" s="9" t="n"/>
      <c r="C2903" s="6" t="n"/>
      <c r="D2903" s="6" t="n"/>
      <c r="E2903" s="6" t="n"/>
      <c r="F2903" s="6" t="n"/>
      <c r="G2903" s="6" t="n"/>
      <c r="H2903" s="10">
        <f>IF(F2903="","",IFERROR(INDEX(Roster!$A$2:$A$600,MATCH(F2903,Roster!$E$2:$E$600,0)),""))</f>
        <v/>
      </c>
      <c r="I2903" s="10">
        <f>IF(AND(D2903="",C2903="",F2903=""),"",IF(G2903&lt;&gt;"","Void",IF(F2903="","Needs child",IF(H2903="","Child not found",IF(OR(B2903="",NOT(ISNUMBER(C2903))),"Needs month/pages","OK")))))</f>
        <v/>
      </c>
      <c r="J2903" s="10">
        <f>IF(I2903="","",IF(I2903="OK",IF(COUNTIFS(H2904:H$3001,H2903,B2904:B$3001,B2903,G2904:G$3001,"")=0,C2903,0),0))</f>
        <v/>
      </c>
    </row>
    <row r="2904">
      <c r="A2904" s="6" t="n"/>
      <c r="B2904" s="9" t="n"/>
      <c r="C2904" s="6" t="n"/>
      <c r="D2904" s="6" t="n"/>
      <c r="E2904" s="6" t="n"/>
      <c r="F2904" s="6" t="n"/>
      <c r="G2904" s="6" t="n"/>
      <c r="H2904" s="10">
        <f>IF(F2904="","",IFERROR(INDEX(Roster!$A$2:$A$600,MATCH(F2904,Roster!$E$2:$E$600,0)),""))</f>
        <v/>
      </c>
      <c r="I2904" s="10">
        <f>IF(AND(D2904="",C2904="",F2904=""),"",IF(G2904&lt;&gt;"","Void",IF(F2904="","Needs child",IF(H2904="","Child not found",IF(OR(B2904="",NOT(ISNUMBER(C2904))),"Needs month/pages","OK")))))</f>
        <v/>
      </c>
      <c r="J2904" s="10">
        <f>IF(I2904="","",IF(I2904="OK",IF(COUNTIFS(H2905:H$3001,H2904,B2905:B$3001,B2904,G2905:G$3001,"")=0,C2904,0),0))</f>
        <v/>
      </c>
    </row>
    <row r="2905">
      <c r="A2905" s="6" t="n"/>
      <c r="B2905" s="9" t="n"/>
      <c r="C2905" s="6" t="n"/>
      <c r="D2905" s="6" t="n"/>
      <c r="E2905" s="6" t="n"/>
      <c r="F2905" s="6" t="n"/>
      <c r="G2905" s="6" t="n"/>
      <c r="H2905" s="10">
        <f>IF(F2905="","",IFERROR(INDEX(Roster!$A$2:$A$600,MATCH(F2905,Roster!$E$2:$E$600,0)),""))</f>
        <v/>
      </c>
      <c r="I2905" s="10">
        <f>IF(AND(D2905="",C2905="",F2905=""),"",IF(G2905&lt;&gt;"","Void",IF(F2905="","Needs child",IF(H2905="","Child not found",IF(OR(B2905="",NOT(ISNUMBER(C2905))),"Needs month/pages","OK")))))</f>
        <v/>
      </c>
      <c r="J2905" s="10">
        <f>IF(I2905="","",IF(I2905="OK",IF(COUNTIFS(H2906:H$3001,H2905,B2906:B$3001,B2905,G2906:G$3001,"")=0,C2905,0),0))</f>
        <v/>
      </c>
    </row>
    <row r="2906">
      <c r="A2906" s="6" t="n"/>
      <c r="B2906" s="9" t="n"/>
      <c r="C2906" s="6" t="n"/>
      <c r="D2906" s="6" t="n"/>
      <c r="E2906" s="6" t="n"/>
      <c r="F2906" s="6" t="n"/>
      <c r="G2906" s="6" t="n"/>
      <c r="H2906" s="10">
        <f>IF(F2906="","",IFERROR(INDEX(Roster!$A$2:$A$600,MATCH(F2906,Roster!$E$2:$E$600,0)),""))</f>
        <v/>
      </c>
      <c r="I2906" s="10">
        <f>IF(AND(D2906="",C2906="",F2906=""),"",IF(G2906&lt;&gt;"","Void",IF(F2906="","Needs child",IF(H2906="","Child not found",IF(OR(B2906="",NOT(ISNUMBER(C2906))),"Needs month/pages","OK")))))</f>
        <v/>
      </c>
      <c r="J2906" s="10">
        <f>IF(I2906="","",IF(I2906="OK",IF(COUNTIFS(H2907:H$3001,H2906,B2907:B$3001,B2906,G2907:G$3001,"")=0,C2906,0),0))</f>
        <v/>
      </c>
    </row>
    <row r="2907">
      <c r="A2907" s="6" t="n"/>
      <c r="B2907" s="9" t="n"/>
      <c r="C2907" s="6" t="n"/>
      <c r="D2907" s="6" t="n"/>
      <c r="E2907" s="6" t="n"/>
      <c r="F2907" s="6" t="n"/>
      <c r="G2907" s="6" t="n"/>
      <c r="H2907" s="10">
        <f>IF(F2907="","",IFERROR(INDEX(Roster!$A$2:$A$600,MATCH(F2907,Roster!$E$2:$E$600,0)),""))</f>
        <v/>
      </c>
      <c r="I2907" s="10">
        <f>IF(AND(D2907="",C2907="",F2907=""),"",IF(G2907&lt;&gt;"","Void",IF(F2907="","Needs child",IF(H2907="","Child not found",IF(OR(B2907="",NOT(ISNUMBER(C2907))),"Needs month/pages","OK")))))</f>
        <v/>
      </c>
      <c r="J2907" s="10">
        <f>IF(I2907="","",IF(I2907="OK",IF(COUNTIFS(H2908:H$3001,H2907,B2908:B$3001,B2907,G2908:G$3001,"")=0,C2907,0),0))</f>
        <v/>
      </c>
    </row>
    <row r="2908">
      <c r="A2908" s="6" t="n"/>
      <c r="B2908" s="9" t="n"/>
      <c r="C2908" s="6" t="n"/>
      <c r="D2908" s="6" t="n"/>
      <c r="E2908" s="6" t="n"/>
      <c r="F2908" s="6" t="n"/>
      <c r="G2908" s="6" t="n"/>
      <c r="H2908" s="10">
        <f>IF(F2908="","",IFERROR(INDEX(Roster!$A$2:$A$600,MATCH(F2908,Roster!$E$2:$E$600,0)),""))</f>
        <v/>
      </c>
      <c r="I2908" s="10">
        <f>IF(AND(D2908="",C2908="",F2908=""),"",IF(G2908&lt;&gt;"","Void",IF(F2908="","Needs child",IF(H2908="","Child not found",IF(OR(B2908="",NOT(ISNUMBER(C2908))),"Needs month/pages","OK")))))</f>
        <v/>
      </c>
      <c r="J2908" s="10">
        <f>IF(I2908="","",IF(I2908="OK",IF(COUNTIFS(H2909:H$3001,H2908,B2909:B$3001,B2908,G2909:G$3001,"")=0,C2908,0),0))</f>
        <v/>
      </c>
    </row>
    <row r="2909">
      <c r="A2909" s="6" t="n"/>
      <c r="B2909" s="9" t="n"/>
      <c r="C2909" s="6" t="n"/>
      <c r="D2909" s="6" t="n"/>
      <c r="E2909" s="6" t="n"/>
      <c r="F2909" s="6" t="n"/>
      <c r="G2909" s="6" t="n"/>
      <c r="H2909" s="10">
        <f>IF(F2909="","",IFERROR(INDEX(Roster!$A$2:$A$600,MATCH(F2909,Roster!$E$2:$E$600,0)),""))</f>
        <v/>
      </c>
      <c r="I2909" s="10">
        <f>IF(AND(D2909="",C2909="",F2909=""),"",IF(G2909&lt;&gt;"","Void",IF(F2909="","Needs child",IF(H2909="","Child not found",IF(OR(B2909="",NOT(ISNUMBER(C2909))),"Needs month/pages","OK")))))</f>
        <v/>
      </c>
      <c r="J2909" s="10">
        <f>IF(I2909="","",IF(I2909="OK",IF(COUNTIFS(H2910:H$3001,H2909,B2910:B$3001,B2909,G2910:G$3001,"")=0,C2909,0),0))</f>
        <v/>
      </c>
    </row>
    <row r="2910">
      <c r="A2910" s="6" t="n"/>
      <c r="B2910" s="9" t="n"/>
      <c r="C2910" s="6" t="n"/>
      <c r="D2910" s="6" t="n"/>
      <c r="E2910" s="6" t="n"/>
      <c r="F2910" s="6" t="n"/>
      <c r="G2910" s="6" t="n"/>
      <c r="H2910" s="10">
        <f>IF(F2910="","",IFERROR(INDEX(Roster!$A$2:$A$600,MATCH(F2910,Roster!$E$2:$E$600,0)),""))</f>
        <v/>
      </c>
      <c r="I2910" s="10">
        <f>IF(AND(D2910="",C2910="",F2910=""),"",IF(G2910&lt;&gt;"","Void",IF(F2910="","Needs child",IF(H2910="","Child not found",IF(OR(B2910="",NOT(ISNUMBER(C2910))),"Needs month/pages","OK")))))</f>
        <v/>
      </c>
      <c r="J2910" s="10">
        <f>IF(I2910="","",IF(I2910="OK",IF(COUNTIFS(H2911:H$3001,H2910,B2911:B$3001,B2910,G2911:G$3001,"")=0,C2910,0),0))</f>
        <v/>
      </c>
    </row>
    <row r="2911">
      <c r="A2911" s="6" t="n"/>
      <c r="B2911" s="9" t="n"/>
      <c r="C2911" s="6" t="n"/>
      <c r="D2911" s="6" t="n"/>
      <c r="E2911" s="6" t="n"/>
      <c r="F2911" s="6" t="n"/>
      <c r="G2911" s="6" t="n"/>
      <c r="H2911" s="10">
        <f>IF(F2911="","",IFERROR(INDEX(Roster!$A$2:$A$600,MATCH(F2911,Roster!$E$2:$E$600,0)),""))</f>
        <v/>
      </c>
      <c r="I2911" s="10">
        <f>IF(AND(D2911="",C2911="",F2911=""),"",IF(G2911&lt;&gt;"","Void",IF(F2911="","Needs child",IF(H2911="","Child not found",IF(OR(B2911="",NOT(ISNUMBER(C2911))),"Needs month/pages","OK")))))</f>
        <v/>
      </c>
      <c r="J2911" s="10">
        <f>IF(I2911="","",IF(I2911="OK",IF(COUNTIFS(H2912:H$3001,H2911,B2912:B$3001,B2911,G2912:G$3001,"")=0,C2911,0),0))</f>
        <v/>
      </c>
    </row>
    <row r="2912">
      <c r="A2912" s="6" t="n"/>
      <c r="B2912" s="9" t="n"/>
      <c r="C2912" s="6" t="n"/>
      <c r="D2912" s="6" t="n"/>
      <c r="E2912" s="6" t="n"/>
      <c r="F2912" s="6" t="n"/>
      <c r="G2912" s="6" t="n"/>
      <c r="H2912" s="10">
        <f>IF(F2912="","",IFERROR(INDEX(Roster!$A$2:$A$600,MATCH(F2912,Roster!$E$2:$E$600,0)),""))</f>
        <v/>
      </c>
      <c r="I2912" s="10">
        <f>IF(AND(D2912="",C2912="",F2912=""),"",IF(G2912&lt;&gt;"","Void",IF(F2912="","Needs child",IF(H2912="","Child not found",IF(OR(B2912="",NOT(ISNUMBER(C2912))),"Needs month/pages","OK")))))</f>
        <v/>
      </c>
      <c r="J2912" s="10">
        <f>IF(I2912="","",IF(I2912="OK",IF(COUNTIFS(H2913:H$3001,H2912,B2913:B$3001,B2912,G2913:G$3001,"")=0,C2912,0),0))</f>
        <v/>
      </c>
    </row>
    <row r="2913">
      <c r="A2913" s="6" t="n"/>
      <c r="B2913" s="9" t="n"/>
      <c r="C2913" s="6" t="n"/>
      <c r="D2913" s="6" t="n"/>
      <c r="E2913" s="6" t="n"/>
      <c r="F2913" s="6" t="n"/>
      <c r="G2913" s="6" t="n"/>
      <c r="H2913" s="10">
        <f>IF(F2913="","",IFERROR(INDEX(Roster!$A$2:$A$600,MATCH(F2913,Roster!$E$2:$E$600,0)),""))</f>
        <v/>
      </c>
      <c r="I2913" s="10">
        <f>IF(AND(D2913="",C2913="",F2913=""),"",IF(G2913&lt;&gt;"","Void",IF(F2913="","Needs child",IF(H2913="","Child not found",IF(OR(B2913="",NOT(ISNUMBER(C2913))),"Needs month/pages","OK")))))</f>
        <v/>
      </c>
      <c r="J2913" s="10">
        <f>IF(I2913="","",IF(I2913="OK",IF(COUNTIFS(H2914:H$3001,H2913,B2914:B$3001,B2913,G2914:G$3001,"")=0,C2913,0),0))</f>
        <v/>
      </c>
    </row>
    <row r="2914">
      <c r="A2914" s="6" t="n"/>
      <c r="B2914" s="9" t="n"/>
      <c r="C2914" s="6" t="n"/>
      <c r="D2914" s="6" t="n"/>
      <c r="E2914" s="6" t="n"/>
      <c r="F2914" s="6" t="n"/>
      <c r="G2914" s="6" t="n"/>
      <c r="H2914" s="10">
        <f>IF(F2914="","",IFERROR(INDEX(Roster!$A$2:$A$600,MATCH(F2914,Roster!$E$2:$E$600,0)),""))</f>
        <v/>
      </c>
      <c r="I2914" s="10">
        <f>IF(AND(D2914="",C2914="",F2914=""),"",IF(G2914&lt;&gt;"","Void",IF(F2914="","Needs child",IF(H2914="","Child not found",IF(OR(B2914="",NOT(ISNUMBER(C2914))),"Needs month/pages","OK")))))</f>
        <v/>
      </c>
      <c r="J2914" s="10">
        <f>IF(I2914="","",IF(I2914="OK",IF(COUNTIFS(H2915:H$3001,H2914,B2915:B$3001,B2914,G2915:G$3001,"")=0,C2914,0),0))</f>
        <v/>
      </c>
    </row>
    <row r="2915">
      <c r="A2915" s="6" t="n"/>
      <c r="B2915" s="9" t="n"/>
      <c r="C2915" s="6" t="n"/>
      <c r="D2915" s="6" t="n"/>
      <c r="E2915" s="6" t="n"/>
      <c r="F2915" s="6" t="n"/>
      <c r="G2915" s="6" t="n"/>
      <c r="H2915" s="10">
        <f>IF(F2915="","",IFERROR(INDEX(Roster!$A$2:$A$600,MATCH(F2915,Roster!$E$2:$E$600,0)),""))</f>
        <v/>
      </c>
      <c r="I2915" s="10">
        <f>IF(AND(D2915="",C2915="",F2915=""),"",IF(G2915&lt;&gt;"","Void",IF(F2915="","Needs child",IF(H2915="","Child not found",IF(OR(B2915="",NOT(ISNUMBER(C2915))),"Needs month/pages","OK")))))</f>
        <v/>
      </c>
      <c r="J2915" s="10">
        <f>IF(I2915="","",IF(I2915="OK",IF(COUNTIFS(H2916:H$3001,H2915,B2916:B$3001,B2915,G2916:G$3001,"")=0,C2915,0),0))</f>
        <v/>
      </c>
    </row>
    <row r="2916">
      <c r="A2916" s="6" t="n"/>
      <c r="B2916" s="9" t="n"/>
      <c r="C2916" s="6" t="n"/>
      <c r="D2916" s="6" t="n"/>
      <c r="E2916" s="6" t="n"/>
      <c r="F2916" s="6" t="n"/>
      <c r="G2916" s="6" t="n"/>
      <c r="H2916" s="10">
        <f>IF(F2916="","",IFERROR(INDEX(Roster!$A$2:$A$600,MATCH(F2916,Roster!$E$2:$E$600,0)),""))</f>
        <v/>
      </c>
      <c r="I2916" s="10">
        <f>IF(AND(D2916="",C2916="",F2916=""),"",IF(G2916&lt;&gt;"","Void",IF(F2916="","Needs child",IF(H2916="","Child not found",IF(OR(B2916="",NOT(ISNUMBER(C2916))),"Needs month/pages","OK")))))</f>
        <v/>
      </c>
      <c r="J2916" s="10">
        <f>IF(I2916="","",IF(I2916="OK",IF(COUNTIFS(H2917:H$3001,H2916,B2917:B$3001,B2916,G2917:G$3001,"")=0,C2916,0),0))</f>
        <v/>
      </c>
    </row>
    <row r="2917">
      <c r="A2917" s="6" t="n"/>
      <c r="B2917" s="9" t="n"/>
      <c r="C2917" s="6" t="n"/>
      <c r="D2917" s="6" t="n"/>
      <c r="E2917" s="6" t="n"/>
      <c r="F2917" s="6" t="n"/>
      <c r="G2917" s="6" t="n"/>
      <c r="H2917" s="10">
        <f>IF(F2917="","",IFERROR(INDEX(Roster!$A$2:$A$600,MATCH(F2917,Roster!$E$2:$E$600,0)),""))</f>
        <v/>
      </c>
      <c r="I2917" s="10">
        <f>IF(AND(D2917="",C2917="",F2917=""),"",IF(G2917&lt;&gt;"","Void",IF(F2917="","Needs child",IF(H2917="","Child not found",IF(OR(B2917="",NOT(ISNUMBER(C2917))),"Needs month/pages","OK")))))</f>
        <v/>
      </c>
      <c r="J2917" s="10">
        <f>IF(I2917="","",IF(I2917="OK",IF(COUNTIFS(H2918:H$3001,H2917,B2918:B$3001,B2917,G2918:G$3001,"")=0,C2917,0),0))</f>
        <v/>
      </c>
    </row>
    <row r="2918">
      <c r="A2918" s="6" t="n"/>
      <c r="B2918" s="9" t="n"/>
      <c r="C2918" s="6" t="n"/>
      <c r="D2918" s="6" t="n"/>
      <c r="E2918" s="6" t="n"/>
      <c r="F2918" s="6" t="n"/>
      <c r="G2918" s="6" t="n"/>
      <c r="H2918" s="10">
        <f>IF(F2918="","",IFERROR(INDEX(Roster!$A$2:$A$600,MATCH(F2918,Roster!$E$2:$E$600,0)),""))</f>
        <v/>
      </c>
      <c r="I2918" s="10">
        <f>IF(AND(D2918="",C2918="",F2918=""),"",IF(G2918&lt;&gt;"","Void",IF(F2918="","Needs child",IF(H2918="","Child not found",IF(OR(B2918="",NOT(ISNUMBER(C2918))),"Needs month/pages","OK")))))</f>
        <v/>
      </c>
      <c r="J2918" s="10">
        <f>IF(I2918="","",IF(I2918="OK",IF(COUNTIFS(H2919:H$3001,H2918,B2919:B$3001,B2918,G2919:G$3001,"")=0,C2918,0),0))</f>
        <v/>
      </c>
    </row>
    <row r="2919">
      <c r="A2919" s="6" t="n"/>
      <c r="B2919" s="9" t="n"/>
      <c r="C2919" s="6" t="n"/>
      <c r="D2919" s="6" t="n"/>
      <c r="E2919" s="6" t="n"/>
      <c r="F2919" s="6" t="n"/>
      <c r="G2919" s="6" t="n"/>
      <c r="H2919" s="10">
        <f>IF(F2919="","",IFERROR(INDEX(Roster!$A$2:$A$600,MATCH(F2919,Roster!$E$2:$E$600,0)),""))</f>
        <v/>
      </c>
      <c r="I2919" s="10">
        <f>IF(AND(D2919="",C2919="",F2919=""),"",IF(G2919&lt;&gt;"","Void",IF(F2919="","Needs child",IF(H2919="","Child not found",IF(OR(B2919="",NOT(ISNUMBER(C2919))),"Needs month/pages","OK")))))</f>
        <v/>
      </c>
      <c r="J2919" s="10">
        <f>IF(I2919="","",IF(I2919="OK",IF(COUNTIFS(H2920:H$3001,H2919,B2920:B$3001,B2919,G2920:G$3001,"")=0,C2919,0),0))</f>
        <v/>
      </c>
    </row>
    <row r="2920">
      <c r="A2920" s="6" t="n"/>
      <c r="B2920" s="9" t="n"/>
      <c r="C2920" s="6" t="n"/>
      <c r="D2920" s="6" t="n"/>
      <c r="E2920" s="6" t="n"/>
      <c r="F2920" s="6" t="n"/>
      <c r="G2920" s="6" t="n"/>
      <c r="H2920" s="10">
        <f>IF(F2920="","",IFERROR(INDEX(Roster!$A$2:$A$600,MATCH(F2920,Roster!$E$2:$E$600,0)),""))</f>
        <v/>
      </c>
      <c r="I2920" s="10">
        <f>IF(AND(D2920="",C2920="",F2920=""),"",IF(G2920&lt;&gt;"","Void",IF(F2920="","Needs child",IF(H2920="","Child not found",IF(OR(B2920="",NOT(ISNUMBER(C2920))),"Needs month/pages","OK")))))</f>
        <v/>
      </c>
      <c r="J2920" s="10">
        <f>IF(I2920="","",IF(I2920="OK",IF(COUNTIFS(H2921:H$3001,H2920,B2921:B$3001,B2920,G2921:G$3001,"")=0,C2920,0),0))</f>
        <v/>
      </c>
    </row>
    <row r="2921">
      <c r="A2921" s="6" t="n"/>
      <c r="B2921" s="9" t="n"/>
      <c r="C2921" s="6" t="n"/>
      <c r="D2921" s="6" t="n"/>
      <c r="E2921" s="6" t="n"/>
      <c r="F2921" s="6" t="n"/>
      <c r="G2921" s="6" t="n"/>
      <c r="H2921" s="10">
        <f>IF(F2921="","",IFERROR(INDEX(Roster!$A$2:$A$600,MATCH(F2921,Roster!$E$2:$E$600,0)),""))</f>
        <v/>
      </c>
      <c r="I2921" s="10">
        <f>IF(AND(D2921="",C2921="",F2921=""),"",IF(G2921&lt;&gt;"","Void",IF(F2921="","Needs child",IF(H2921="","Child not found",IF(OR(B2921="",NOT(ISNUMBER(C2921))),"Needs month/pages","OK")))))</f>
        <v/>
      </c>
      <c r="J2921" s="10">
        <f>IF(I2921="","",IF(I2921="OK",IF(COUNTIFS(H2922:H$3001,H2921,B2922:B$3001,B2921,G2922:G$3001,"")=0,C2921,0),0))</f>
        <v/>
      </c>
    </row>
    <row r="2922">
      <c r="A2922" s="6" t="n"/>
      <c r="B2922" s="9" t="n"/>
      <c r="C2922" s="6" t="n"/>
      <c r="D2922" s="6" t="n"/>
      <c r="E2922" s="6" t="n"/>
      <c r="F2922" s="6" t="n"/>
      <c r="G2922" s="6" t="n"/>
      <c r="H2922" s="10">
        <f>IF(F2922="","",IFERROR(INDEX(Roster!$A$2:$A$600,MATCH(F2922,Roster!$E$2:$E$600,0)),""))</f>
        <v/>
      </c>
      <c r="I2922" s="10">
        <f>IF(AND(D2922="",C2922="",F2922=""),"",IF(G2922&lt;&gt;"","Void",IF(F2922="","Needs child",IF(H2922="","Child not found",IF(OR(B2922="",NOT(ISNUMBER(C2922))),"Needs month/pages","OK")))))</f>
        <v/>
      </c>
      <c r="J2922" s="10">
        <f>IF(I2922="","",IF(I2922="OK",IF(COUNTIFS(H2923:H$3001,H2922,B2923:B$3001,B2922,G2923:G$3001,"")=0,C2922,0),0))</f>
        <v/>
      </c>
    </row>
    <row r="2923">
      <c r="A2923" s="6" t="n"/>
      <c r="B2923" s="9" t="n"/>
      <c r="C2923" s="6" t="n"/>
      <c r="D2923" s="6" t="n"/>
      <c r="E2923" s="6" t="n"/>
      <c r="F2923" s="6" t="n"/>
      <c r="G2923" s="6" t="n"/>
      <c r="H2923" s="10">
        <f>IF(F2923="","",IFERROR(INDEX(Roster!$A$2:$A$600,MATCH(F2923,Roster!$E$2:$E$600,0)),""))</f>
        <v/>
      </c>
      <c r="I2923" s="10">
        <f>IF(AND(D2923="",C2923="",F2923=""),"",IF(G2923&lt;&gt;"","Void",IF(F2923="","Needs child",IF(H2923="","Child not found",IF(OR(B2923="",NOT(ISNUMBER(C2923))),"Needs month/pages","OK")))))</f>
        <v/>
      </c>
      <c r="J2923" s="10">
        <f>IF(I2923="","",IF(I2923="OK",IF(COUNTIFS(H2924:H$3001,H2923,B2924:B$3001,B2923,G2924:G$3001,"")=0,C2923,0),0))</f>
        <v/>
      </c>
    </row>
    <row r="2924">
      <c r="A2924" s="6" t="n"/>
      <c r="B2924" s="9" t="n"/>
      <c r="C2924" s="6" t="n"/>
      <c r="D2924" s="6" t="n"/>
      <c r="E2924" s="6" t="n"/>
      <c r="F2924" s="6" t="n"/>
      <c r="G2924" s="6" t="n"/>
      <c r="H2924" s="10">
        <f>IF(F2924="","",IFERROR(INDEX(Roster!$A$2:$A$600,MATCH(F2924,Roster!$E$2:$E$600,0)),""))</f>
        <v/>
      </c>
      <c r="I2924" s="10">
        <f>IF(AND(D2924="",C2924="",F2924=""),"",IF(G2924&lt;&gt;"","Void",IF(F2924="","Needs child",IF(H2924="","Child not found",IF(OR(B2924="",NOT(ISNUMBER(C2924))),"Needs month/pages","OK")))))</f>
        <v/>
      </c>
      <c r="J2924" s="10">
        <f>IF(I2924="","",IF(I2924="OK",IF(COUNTIFS(H2925:H$3001,H2924,B2925:B$3001,B2924,G2925:G$3001,"")=0,C2924,0),0))</f>
        <v/>
      </c>
    </row>
    <row r="2925">
      <c r="A2925" s="6" t="n"/>
      <c r="B2925" s="9" t="n"/>
      <c r="C2925" s="6" t="n"/>
      <c r="D2925" s="6" t="n"/>
      <c r="E2925" s="6" t="n"/>
      <c r="F2925" s="6" t="n"/>
      <c r="G2925" s="6" t="n"/>
      <c r="H2925" s="10">
        <f>IF(F2925="","",IFERROR(INDEX(Roster!$A$2:$A$600,MATCH(F2925,Roster!$E$2:$E$600,0)),""))</f>
        <v/>
      </c>
      <c r="I2925" s="10">
        <f>IF(AND(D2925="",C2925="",F2925=""),"",IF(G2925&lt;&gt;"","Void",IF(F2925="","Needs child",IF(H2925="","Child not found",IF(OR(B2925="",NOT(ISNUMBER(C2925))),"Needs month/pages","OK")))))</f>
        <v/>
      </c>
      <c r="J2925" s="10">
        <f>IF(I2925="","",IF(I2925="OK",IF(COUNTIFS(H2926:H$3001,H2925,B2926:B$3001,B2925,G2926:G$3001,"")=0,C2925,0),0))</f>
        <v/>
      </c>
    </row>
    <row r="2926">
      <c r="A2926" s="6" t="n"/>
      <c r="B2926" s="9" t="n"/>
      <c r="C2926" s="6" t="n"/>
      <c r="D2926" s="6" t="n"/>
      <c r="E2926" s="6" t="n"/>
      <c r="F2926" s="6" t="n"/>
      <c r="G2926" s="6" t="n"/>
      <c r="H2926" s="10">
        <f>IF(F2926="","",IFERROR(INDEX(Roster!$A$2:$A$600,MATCH(F2926,Roster!$E$2:$E$600,0)),""))</f>
        <v/>
      </c>
      <c r="I2926" s="10">
        <f>IF(AND(D2926="",C2926="",F2926=""),"",IF(G2926&lt;&gt;"","Void",IF(F2926="","Needs child",IF(H2926="","Child not found",IF(OR(B2926="",NOT(ISNUMBER(C2926))),"Needs month/pages","OK")))))</f>
        <v/>
      </c>
      <c r="J2926" s="10">
        <f>IF(I2926="","",IF(I2926="OK",IF(COUNTIFS(H2927:H$3001,H2926,B2927:B$3001,B2926,G2927:G$3001,"")=0,C2926,0),0))</f>
        <v/>
      </c>
    </row>
    <row r="2927">
      <c r="A2927" s="6" t="n"/>
      <c r="B2927" s="9" t="n"/>
      <c r="C2927" s="6" t="n"/>
      <c r="D2927" s="6" t="n"/>
      <c r="E2927" s="6" t="n"/>
      <c r="F2927" s="6" t="n"/>
      <c r="G2927" s="6" t="n"/>
      <c r="H2927" s="10">
        <f>IF(F2927="","",IFERROR(INDEX(Roster!$A$2:$A$600,MATCH(F2927,Roster!$E$2:$E$600,0)),""))</f>
        <v/>
      </c>
      <c r="I2927" s="10">
        <f>IF(AND(D2927="",C2927="",F2927=""),"",IF(G2927&lt;&gt;"","Void",IF(F2927="","Needs child",IF(H2927="","Child not found",IF(OR(B2927="",NOT(ISNUMBER(C2927))),"Needs month/pages","OK")))))</f>
        <v/>
      </c>
      <c r="J2927" s="10">
        <f>IF(I2927="","",IF(I2927="OK",IF(COUNTIFS(H2928:H$3001,H2927,B2928:B$3001,B2927,G2928:G$3001,"")=0,C2927,0),0))</f>
        <v/>
      </c>
    </row>
    <row r="2928">
      <c r="A2928" s="6" t="n"/>
      <c r="B2928" s="9" t="n"/>
      <c r="C2928" s="6" t="n"/>
      <c r="D2928" s="6" t="n"/>
      <c r="E2928" s="6" t="n"/>
      <c r="F2928" s="6" t="n"/>
      <c r="G2928" s="6" t="n"/>
      <c r="H2928" s="10">
        <f>IF(F2928="","",IFERROR(INDEX(Roster!$A$2:$A$600,MATCH(F2928,Roster!$E$2:$E$600,0)),""))</f>
        <v/>
      </c>
      <c r="I2928" s="10">
        <f>IF(AND(D2928="",C2928="",F2928=""),"",IF(G2928&lt;&gt;"","Void",IF(F2928="","Needs child",IF(H2928="","Child not found",IF(OR(B2928="",NOT(ISNUMBER(C2928))),"Needs month/pages","OK")))))</f>
        <v/>
      </c>
      <c r="J2928" s="10">
        <f>IF(I2928="","",IF(I2928="OK",IF(COUNTIFS(H2929:H$3001,H2928,B2929:B$3001,B2928,G2929:G$3001,"")=0,C2928,0),0))</f>
        <v/>
      </c>
    </row>
    <row r="2929">
      <c r="A2929" s="6" t="n"/>
      <c r="B2929" s="9" t="n"/>
      <c r="C2929" s="6" t="n"/>
      <c r="D2929" s="6" t="n"/>
      <c r="E2929" s="6" t="n"/>
      <c r="F2929" s="6" t="n"/>
      <c r="G2929" s="6" t="n"/>
      <c r="H2929" s="10">
        <f>IF(F2929="","",IFERROR(INDEX(Roster!$A$2:$A$600,MATCH(F2929,Roster!$E$2:$E$600,0)),""))</f>
        <v/>
      </c>
      <c r="I2929" s="10">
        <f>IF(AND(D2929="",C2929="",F2929=""),"",IF(G2929&lt;&gt;"","Void",IF(F2929="","Needs child",IF(H2929="","Child not found",IF(OR(B2929="",NOT(ISNUMBER(C2929))),"Needs month/pages","OK")))))</f>
        <v/>
      </c>
      <c r="J2929" s="10">
        <f>IF(I2929="","",IF(I2929="OK",IF(COUNTIFS(H2930:H$3001,H2929,B2930:B$3001,B2929,G2930:G$3001,"")=0,C2929,0),0))</f>
        <v/>
      </c>
    </row>
    <row r="2930">
      <c r="A2930" s="6" t="n"/>
      <c r="B2930" s="9" t="n"/>
      <c r="C2930" s="6" t="n"/>
      <c r="D2930" s="6" t="n"/>
      <c r="E2930" s="6" t="n"/>
      <c r="F2930" s="6" t="n"/>
      <c r="G2930" s="6" t="n"/>
      <c r="H2930" s="10">
        <f>IF(F2930="","",IFERROR(INDEX(Roster!$A$2:$A$600,MATCH(F2930,Roster!$E$2:$E$600,0)),""))</f>
        <v/>
      </c>
      <c r="I2930" s="10">
        <f>IF(AND(D2930="",C2930="",F2930=""),"",IF(G2930&lt;&gt;"","Void",IF(F2930="","Needs child",IF(H2930="","Child not found",IF(OR(B2930="",NOT(ISNUMBER(C2930))),"Needs month/pages","OK")))))</f>
        <v/>
      </c>
      <c r="J2930" s="10">
        <f>IF(I2930="","",IF(I2930="OK",IF(COUNTIFS(H2931:H$3001,H2930,B2931:B$3001,B2930,G2931:G$3001,"")=0,C2930,0),0))</f>
        <v/>
      </c>
    </row>
    <row r="2931">
      <c r="A2931" s="6" t="n"/>
      <c r="B2931" s="9" t="n"/>
      <c r="C2931" s="6" t="n"/>
      <c r="D2931" s="6" t="n"/>
      <c r="E2931" s="6" t="n"/>
      <c r="F2931" s="6" t="n"/>
      <c r="G2931" s="6" t="n"/>
      <c r="H2931" s="10">
        <f>IF(F2931="","",IFERROR(INDEX(Roster!$A$2:$A$600,MATCH(F2931,Roster!$E$2:$E$600,0)),""))</f>
        <v/>
      </c>
      <c r="I2931" s="10">
        <f>IF(AND(D2931="",C2931="",F2931=""),"",IF(G2931&lt;&gt;"","Void",IF(F2931="","Needs child",IF(H2931="","Child not found",IF(OR(B2931="",NOT(ISNUMBER(C2931))),"Needs month/pages","OK")))))</f>
        <v/>
      </c>
      <c r="J2931" s="10">
        <f>IF(I2931="","",IF(I2931="OK",IF(COUNTIFS(H2932:H$3001,H2931,B2932:B$3001,B2931,G2932:G$3001,"")=0,C2931,0),0))</f>
        <v/>
      </c>
    </row>
    <row r="2932">
      <c r="A2932" s="6" t="n"/>
      <c r="B2932" s="9" t="n"/>
      <c r="C2932" s="6" t="n"/>
      <c r="D2932" s="6" t="n"/>
      <c r="E2932" s="6" t="n"/>
      <c r="F2932" s="6" t="n"/>
      <c r="G2932" s="6" t="n"/>
      <c r="H2932" s="10">
        <f>IF(F2932="","",IFERROR(INDEX(Roster!$A$2:$A$600,MATCH(F2932,Roster!$E$2:$E$600,0)),""))</f>
        <v/>
      </c>
      <c r="I2932" s="10">
        <f>IF(AND(D2932="",C2932="",F2932=""),"",IF(G2932&lt;&gt;"","Void",IF(F2932="","Needs child",IF(H2932="","Child not found",IF(OR(B2932="",NOT(ISNUMBER(C2932))),"Needs month/pages","OK")))))</f>
        <v/>
      </c>
      <c r="J2932" s="10">
        <f>IF(I2932="","",IF(I2932="OK",IF(COUNTIFS(H2933:H$3001,H2932,B2933:B$3001,B2932,G2933:G$3001,"")=0,C2932,0),0))</f>
        <v/>
      </c>
    </row>
    <row r="2933">
      <c r="A2933" s="6" t="n"/>
      <c r="B2933" s="9" t="n"/>
      <c r="C2933" s="6" t="n"/>
      <c r="D2933" s="6" t="n"/>
      <c r="E2933" s="6" t="n"/>
      <c r="F2933" s="6" t="n"/>
      <c r="G2933" s="6" t="n"/>
      <c r="H2933" s="10">
        <f>IF(F2933="","",IFERROR(INDEX(Roster!$A$2:$A$600,MATCH(F2933,Roster!$E$2:$E$600,0)),""))</f>
        <v/>
      </c>
      <c r="I2933" s="10">
        <f>IF(AND(D2933="",C2933="",F2933=""),"",IF(G2933&lt;&gt;"","Void",IF(F2933="","Needs child",IF(H2933="","Child not found",IF(OR(B2933="",NOT(ISNUMBER(C2933))),"Needs month/pages","OK")))))</f>
        <v/>
      </c>
      <c r="J2933" s="10">
        <f>IF(I2933="","",IF(I2933="OK",IF(COUNTIFS(H2934:H$3001,H2933,B2934:B$3001,B2933,G2934:G$3001,"")=0,C2933,0),0))</f>
        <v/>
      </c>
    </row>
    <row r="2934">
      <c r="A2934" s="6" t="n"/>
      <c r="B2934" s="9" t="n"/>
      <c r="C2934" s="6" t="n"/>
      <c r="D2934" s="6" t="n"/>
      <c r="E2934" s="6" t="n"/>
      <c r="F2934" s="6" t="n"/>
      <c r="G2934" s="6" t="n"/>
      <c r="H2934" s="10">
        <f>IF(F2934="","",IFERROR(INDEX(Roster!$A$2:$A$600,MATCH(F2934,Roster!$E$2:$E$600,0)),""))</f>
        <v/>
      </c>
      <c r="I2934" s="10">
        <f>IF(AND(D2934="",C2934="",F2934=""),"",IF(G2934&lt;&gt;"","Void",IF(F2934="","Needs child",IF(H2934="","Child not found",IF(OR(B2934="",NOT(ISNUMBER(C2934))),"Needs month/pages","OK")))))</f>
        <v/>
      </c>
      <c r="J2934" s="10">
        <f>IF(I2934="","",IF(I2934="OK",IF(COUNTIFS(H2935:H$3001,H2934,B2935:B$3001,B2934,G2935:G$3001,"")=0,C2934,0),0))</f>
        <v/>
      </c>
    </row>
    <row r="2935">
      <c r="A2935" s="6" t="n"/>
      <c r="B2935" s="9" t="n"/>
      <c r="C2935" s="6" t="n"/>
      <c r="D2935" s="6" t="n"/>
      <c r="E2935" s="6" t="n"/>
      <c r="F2935" s="6" t="n"/>
      <c r="G2935" s="6" t="n"/>
      <c r="H2935" s="10">
        <f>IF(F2935="","",IFERROR(INDEX(Roster!$A$2:$A$600,MATCH(F2935,Roster!$E$2:$E$600,0)),""))</f>
        <v/>
      </c>
      <c r="I2935" s="10">
        <f>IF(AND(D2935="",C2935="",F2935=""),"",IF(G2935&lt;&gt;"","Void",IF(F2935="","Needs child",IF(H2935="","Child not found",IF(OR(B2935="",NOT(ISNUMBER(C2935))),"Needs month/pages","OK")))))</f>
        <v/>
      </c>
      <c r="J2935" s="10">
        <f>IF(I2935="","",IF(I2935="OK",IF(COUNTIFS(H2936:H$3001,H2935,B2936:B$3001,B2935,G2936:G$3001,"")=0,C2935,0),0))</f>
        <v/>
      </c>
    </row>
    <row r="2936">
      <c r="A2936" s="6" t="n"/>
      <c r="B2936" s="9" t="n"/>
      <c r="C2936" s="6" t="n"/>
      <c r="D2936" s="6" t="n"/>
      <c r="E2936" s="6" t="n"/>
      <c r="F2936" s="6" t="n"/>
      <c r="G2936" s="6" t="n"/>
      <c r="H2936" s="10">
        <f>IF(F2936="","",IFERROR(INDEX(Roster!$A$2:$A$600,MATCH(F2936,Roster!$E$2:$E$600,0)),""))</f>
        <v/>
      </c>
      <c r="I2936" s="10">
        <f>IF(AND(D2936="",C2936="",F2936=""),"",IF(G2936&lt;&gt;"","Void",IF(F2936="","Needs child",IF(H2936="","Child not found",IF(OR(B2936="",NOT(ISNUMBER(C2936))),"Needs month/pages","OK")))))</f>
        <v/>
      </c>
      <c r="J2936" s="10">
        <f>IF(I2936="","",IF(I2936="OK",IF(COUNTIFS(H2937:H$3001,H2936,B2937:B$3001,B2936,G2937:G$3001,"")=0,C2936,0),0))</f>
        <v/>
      </c>
    </row>
    <row r="2937">
      <c r="A2937" s="6" t="n"/>
      <c r="B2937" s="9" t="n"/>
      <c r="C2937" s="6" t="n"/>
      <c r="D2937" s="6" t="n"/>
      <c r="E2937" s="6" t="n"/>
      <c r="F2937" s="6" t="n"/>
      <c r="G2937" s="6" t="n"/>
      <c r="H2937" s="10">
        <f>IF(F2937="","",IFERROR(INDEX(Roster!$A$2:$A$600,MATCH(F2937,Roster!$E$2:$E$600,0)),""))</f>
        <v/>
      </c>
      <c r="I2937" s="10">
        <f>IF(AND(D2937="",C2937="",F2937=""),"",IF(G2937&lt;&gt;"","Void",IF(F2937="","Needs child",IF(H2937="","Child not found",IF(OR(B2937="",NOT(ISNUMBER(C2937))),"Needs month/pages","OK")))))</f>
        <v/>
      </c>
      <c r="J2937" s="10">
        <f>IF(I2937="","",IF(I2937="OK",IF(COUNTIFS(H2938:H$3001,H2937,B2938:B$3001,B2937,G2938:G$3001,"")=0,C2937,0),0))</f>
        <v/>
      </c>
    </row>
    <row r="2938">
      <c r="A2938" s="6" t="n"/>
      <c r="B2938" s="9" t="n"/>
      <c r="C2938" s="6" t="n"/>
      <c r="D2938" s="6" t="n"/>
      <c r="E2938" s="6" t="n"/>
      <c r="F2938" s="6" t="n"/>
      <c r="G2938" s="6" t="n"/>
      <c r="H2938" s="10">
        <f>IF(F2938="","",IFERROR(INDEX(Roster!$A$2:$A$600,MATCH(F2938,Roster!$E$2:$E$600,0)),""))</f>
        <v/>
      </c>
      <c r="I2938" s="10">
        <f>IF(AND(D2938="",C2938="",F2938=""),"",IF(G2938&lt;&gt;"","Void",IF(F2938="","Needs child",IF(H2938="","Child not found",IF(OR(B2938="",NOT(ISNUMBER(C2938))),"Needs month/pages","OK")))))</f>
        <v/>
      </c>
      <c r="J2938" s="10">
        <f>IF(I2938="","",IF(I2938="OK",IF(COUNTIFS(H2939:H$3001,H2938,B2939:B$3001,B2938,G2939:G$3001,"")=0,C2938,0),0))</f>
        <v/>
      </c>
    </row>
    <row r="2939">
      <c r="A2939" s="6" t="n"/>
      <c r="B2939" s="9" t="n"/>
      <c r="C2939" s="6" t="n"/>
      <c r="D2939" s="6" t="n"/>
      <c r="E2939" s="6" t="n"/>
      <c r="F2939" s="6" t="n"/>
      <c r="G2939" s="6" t="n"/>
      <c r="H2939" s="10">
        <f>IF(F2939="","",IFERROR(INDEX(Roster!$A$2:$A$600,MATCH(F2939,Roster!$E$2:$E$600,0)),""))</f>
        <v/>
      </c>
      <c r="I2939" s="10">
        <f>IF(AND(D2939="",C2939="",F2939=""),"",IF(G2939&lt;&gt;"","Void",IF(F2939="","Needs child",IF(H2939="","Child not found",IF(OR(B2939="",NOT(ISNUMBER(C2939))),"Needs month/pages","OK")))))</f>
        <v/>
      </c>
      <c r="J2939" s="10">
        <f>IF(I2939="","",IF(I2939="OK",IF(COUNTIFS(H2940:H$3001,H2939,B2940:B$3001,B2939,G2940:G$3001,"")=0,C2939,0),0))</f>
        <v/>
      </c>
    </row>
    <row r="2940">
      <c r="A2940" s="6" t="n"/>
      <c r="B2940" s="9" t="n"/>
      <c r="C2940" s="6" t="n"/>
      <c r="D2940" s="6" t="n"/>
      <c r="E2940" s="6" t="n"/>
      <c r="F2940" s="6" t="n"/>
      <c r="G2940" s="6" t="n"/>
      <c r="H2940" s="10">
        <f>IF(F2940="","",IFERROR(INDEX(Roster!$A$2:$A$600,MATCH(F2940,Roster!$E$2:$E$600,0)),""))</f>
        <v/>
      </c>
      <c r="I2940" s="10">
        <f>IF(AND(D2940="",C2940="",F2940=""),"",IF(G2940&lt;&gt;"","Void",IF(F2940="","Needs child",IF(H2940="","Child not found",IF(OR(B2940="",NOT(ISNUMBER(C2940))),"Needs month/pages","OK")))))</f>
        <v/>
      </c>
      <c r="J2940" s="10">
        <f>IF(I2940="","",IF(I2940="OK",IF(COUNTIFS(H2941:H$3001,H2940,B2941:B$3001,B2940,G2941:G$3001,"")=0,C2940,0),0))</f>
        <v/>
      </c>
    </row>
    <row r="2941">
      <c r="A2941" s="6" t="n"/>
      <c r="B2941" s="9" t="n"/>
      <c r="C2941" s="6" t="n"/>
      <c r="D2941" s="6" t="n"/>
      <c r="E2941" s="6" t="n"/>
      <c r="F2941" s="6" t="n"/>
      <c r="G2941" s="6" t="n"/>
      <c r="H2941" s="10">
        <f>IF(F2941="","",IFERROR(INDEX(Roster!$A$2:$A$600,MATCH(F2941,Roster!$E$2:$E$600,0)),""))</f>
        <v/>
      </c>
      <c r="I2941" s="10">
        <f>IF(AND(D2941="",C2941="",F2941=""),"",IF(G2941&lt;&gt;"","Void",IF(F2941="","Needs child",IF(H2941="","Child not found",IF(OR(B2941="",NOT(ISNUMBER(C2941))),"Needs month/pages","OK")))))</f>
        <v/>
      </c>
      <c r="J2941" s="10">
        <f>IF(I2941="","",IF(I2941="OK",IF(COUNTIFS(H2942:H$3001,H2941,B2942:B$3001,B2941,G2942:G$3001,"")=0,C2941,0),0))</f>
        <v/>
      </c>
    </row>
    <row r="2942">
      <c r="A2942" s="6" t="n"/>
      <c r="B2942" s="9" t="n"/>
      <c r="C2942" s="6" t="n"/>
      <c r="D2942" s="6" t="n"/>
      <c r="E2942" s="6" t="n"/>
      <c r="F2942" s="6" t="n"/>
      <c r="G2942" s="6" t="n"/>
      <c r="H2942" s="10">
        <f>IF(F2942="","",IFERROR(INDEX(Roster!$A$2:$A$600,MATCH(F2942,Roster!$E$2:$E$600,0)),""))</f>
        <v/>
      </c>
      <c r="I2942" s="10">
        <f>IF(AND(D2942="",C2942="",F2942=""),"",IF(G2942&lt;&gt;"","Void",IF(F2942="","Needs child",IF(H2942="","Child not found",IF(OR(B2942="",NOT(ISNUMBER(C2942))),"Needs month/pages","OK")))))</f>
        <v/>
      </c>
      <c r="J2942" s="10">
        <f>IF(I2942="","",IF(I2942="OK",IF(COUNTIFS(H2943:H$3001,H2942,B2943:B$3001,B2942,G2943:G$3001,"")=0,C2942,0),0))</f>
        <v/>
      </c>
    </row>
    <row r="2943">
      <c r="A2943" s="6" t="n"/>
      <c r="B2943" s="9" t="n"/>
      <c r="C2943" s="6" t="n"/>
      <c r="D2943" s="6" t="n"/>
      <c r="E2943" s="6" t="n"/>
      <c r="F2943" s="6" t="n"/>
      <c r="G2943" s="6" t="n"/>
      <c r="H2943" s="10">
        <f>IF(F2943="","",IFERROR(INDEX(Roster!$A$2:$A$600,MATCH(F2943,Roster!$E$2:$E$600,0)),""))</f>
        <v/>
      </c>
      <c r="I2943" s="10">
        <f>IF(AND(D2943="",C2943="",F2943=""),"",IF(G2943&lt;&gt;"","Void",IF(F2943="","Needs child",IF(H2943="","Child not found",IF(OR(B2943="",NOT(ISNUMBER(C2943))),"Needs month/pages","OK")))))</f>
        <v/>
      </c>
      <c r="J2943" s="10">
        <f>IF(I2943="","",IF(I2943="OK",IF(COUNTIFS(H2944:H$3001,H2943,B2944:B$3001,B2943,G2944:G$3001,"")=0,C2943,0),0))</f>
        <v/>
      </c>
    </row>
    <row r="2944">
      <c r="A2944" s="6" t="n"/>
      <c r="B2944" s="9" t="n"/>
      <c r="C2944" s="6" t="n"/>
      <c r="D2944" s="6" t="n"/>
      <c r="E2944" s="6" t="n"/>
      <c r="F2944" s="6" t="n"/>
      <c r="G2944" s="6" t="n"/>
      <c r="H2944" s="10">
        <f>IF(F2944="","",IFERROR(INDEX(Roster!$A$2:$A$600,MATCH(F2944,Roster!$E$2:$E$600,0)),""))</f>
        <v/>
      </c>
      <c r="I2944" s="10">
        <f>IF(AND(D2944="",C2944="",F2944=""),"",IF(G2944&lt;&gt;"","Void",IF(F2944="","Needs child",IF(H2944="","Child not found",IF(OR(B2944="",NOT(ISNUMBER(C2944))),"Needs month/pages","OK")))))</f>
        <v/>
      </c>
      <c r="J2944" s="10">
        <f>IF(I2944="","",IF(I2944="OK",IF(COUNTIFS(H2945:H$3001,H2944,B2945:B$3001,B2944,G2945:G$3001,"")=0,C2944,0),0))</f>
        <v/>
      </c>
    </row>
    <row r="2945">
      <c r="A2945" s="6" t="n"/>
      <c r="B2945" s="9" t="n"/>
      <c r="C2945" s="6" t="n"/>
      <c r="D2945" s="6" t="n"/>
      <c r="E2945" s="6" t="n"/>
      <c r="F2945" s="6" t="n"/>
      <c r="G2945" s="6" t="n"/>
      <c r="H2945" s="10">
        <f>IF(F2945="","",IFERROR(INDEX(Roster!$A$2:$A$600,MATCH(F2945,Roster!$E$2:$E$600,0)),""))</f>
        <v/>
      </c>
      <c r="I2945" s="10">
        <f>IF(AND(D2945="",C2945="",F2945=""),"",IF(G2945&lt;&gt;"","Void",IF(F2945="","Needs child",IF(H2945="","Child not found",IF(OR(B2945="",NOT(ISNUMBER(C2945))),"Needs month/pages","OK")))))</f>
        <v/>
      </c>
      <c r="J2945" s="10">
        <f>IF(I2945="","",IF(I2945="OK",IF(COUNTIFS(H2946:H$3001,H2945,B2946:B$3001,B2945,G2946:G$3001,"")=0,C2945,0),0))</f>
        <v/>
      </c>
    </row>
    <row r="2946">
      <c r="A2946" s="6" t="n"/>
      <c r="B2946" s="9" t="n"/>
      <c r="C2946" s="6" t="n"/>
      <c r="D2946" s="6" t="n"/>
      <c r="E2946" s="6" t="n"/>
      <c r="F2946" s="6" t="n"/>
      <c r="G2946" s="6" t="n"/>
      <c r="H2946" s="10">
        <f>IF(F2946="","",IFERROR(INDEX(Roster!$A$2:$A$600,MATCH(F2946,Roster!$E$2:$E$600,0)),""))</f>
        <v/>
      </c>
      <c r="I2946" s="10">
        <f>IF(AND(D2946="",C2946="",F2946=""),"",IF(G2946&lt;&gt;"","Void",IF(F2946="","Needs child",IF(H2946="","Child not found",IF(OR(B2946="",NOT(ISNUMBER(C2946))),"Needs month/pages","OK")))))</f>
        <v/>
      </c>
      <c r="J2946" s="10">
        <f>IF(I2946="","",IF(I2946="OK",IF(COUNTIFS(H2947:H$3001,H2946,B2947:B$3001,B2946,G2947:G$3001,"")=0,C2946,0),0))</f>
        <v/>
      </c>
    </row>
    <row r="2947">
      <c r="A2947" s="6" t="n"/>
      <c r="B2947" s="9" t="n"/>
      <c r="C2947" s="6" t="n"/>
      <c r="D2947" s="6" t="n"/>
      <c r="E2947" s="6" t="n"/>
      <c r="F2947" s="6" t="n"/>
      <c r="G2947" s="6" t="n"/>
      <c r="H2947" s="10">
        <f>IF(F2947="","",IFERROR(INDEX(Roster!$A$2:$A$600,MATCH(F2947,Roster!$E$2:$E$600,0)),""))</f>
        <v/>
      </c>
      <c r="I2947" s="10">
        <f>IF(AND(D2947="",C2947="",F2947=""),"",IF(G2947&lt;&gt;"","Void",IF(F2947="","Needs child",IF(H2947="","Child not found",IF(OR(B2947="",NOT(ISNUMBER(C2947))),"Needs month/pages","OK")))))</f>
        <v/>
      </c>
      <c r="J2947" s="10">
        <f>IF(I2947="","",IF(I2947="OK",IF(COUNTIFS(H2948:H$3001,H2947,B2948:B$3001,B2947,G2948:G$3001,"")=0,C2947,0),0))</f>
        <v/>
      </c>
    </row>
    <row r="2948">
      <c r="A2948" s="6" t="n"/>
      <c r="B2948" s="9" t="n"/>
      <c r="C2948" s="6" t="n"/>
      <c r="D2948" s="6" t="n"/>
      <c r="E2948" s="6" t="n"/>
      <c r="F2948" s="6" t="n"/>
      <c r="G2948" s="6" t="n"/>
      <c r="H2948" s="10">
        <f>IF(F2948="","",IFERROR(INDEX(Roster!$A$2:$A$600,MATCH(F2948,Roster!$E$2:$E$600,0)),""))</f>
        <v/>
      </c>
      <c r="I2948" s="10">
        <f>IF(AND(D2948="",C2948="",F2948=""),"",IF(G2948&lt;&gt;"","Void",IF(F2948="","Needs child",IF(H2948="","Child not found",IF(OR(B2948="",NOT(ISNUMBER(C2948))),"Needs month/pages","OK")))))</f>
        <v/>
      </c>
      <c r="J2948" s="10">
        <f>IF(I2948="","",IF(I2948="OK",IF(COUNTIFS(H2949:H$3001,H2948,B2949:B$3001,B2948,G2949:G$3001,"")=0,C2948,0),0))</f>
        <v/>
      </c>
    </row>
    <row r="2949">
      <c r="A2949" s="6" t="n"/>
      <c r="B2949" s="9" t="n"/>
      <c r="C2949" s="6" t="n"/>
      <c r="D2949" s="6" t="n"/>
      <c r="E2949" s="6" t="n"/>
      <c r="F2949" s="6" t="n"/>
      <c r="G2949" s="6" t="n"/>
      <c r="H2949" s="10">
        <f>IF(F2949="","",IFERROR(INDEX(Roster!$A$2:$A$600,MATCH(F2949,Roster!$E$2:$E$600,0)),""))</f>
        <v/>
      </c>
      <c r="I2949" s="10">
        <f>IF(AND(D2949="",C2949="",F2949=""),"",IF(G2949&lt;&gt;"","Void",IF(F2949="","Needs child",IF(H2949="","Child not found",IF(OR(B2949="",NOT(ISNUMBER(C2949))),"Needs month/pages","OK")))))</f>
        <v/>
      </c>
      <c r="J2949" s="10">
        <f>IF(I2949="","",IF(I2949="OK",IF(COUNTIFS(H2950:H$3001,H2949,B2950:B$3001,B2949,G2950:G$3001,"")=0,C2949,0),0))</f>
        <v/>
      </c>
    </row>
    <row r="2950">
      <c r="A2950" s="6" t="n"/>
      <c r="B2950" s="9" t="n"/>
      <c r="C2950" s="6" t="n"/>
      <c r="D2950" s="6" t="n"/>
      <c r="E2950" s="6" t="n"/>
      <c r="F2950" s="6" t="n"/>
      <c r="G2950" s="6" t="n"/>
      <c r="H2950" s="10">
        <f>IF(F2950="","",IFERROR(INDEX(Roster!$A$2:$A$600,MATCH(F2950,Roster!$E$2:$E$600,0)),""))</f>
        <v/>
      </c>
      <c r="I2950" s="10">
        <f>IF(AND(D2950="",C2950="",F2950=""),"",IF(G2950&lt;&gt;"","Void",IF(F2950="","Needs child",IF(H2950="","Child not found",IF(OR(B2950="",NOT(ISNUMBER(C2950))),"Needs month/pages","OK")))))</f>
        <v/>
      </c>
      <c r="J2950" s="10">
        <f>IF(I2950="","",IF(I2950="OK",IF(COUNTIFS(H2951:H$3001,H2950,B2951:B$3001,B2950,G2951:G$3001,"")=0,C2950,0),0))</f>
        <v/>
      </c>
    </row>
    <row r="2951">
      <c r="A2951" s="6" t="n"/>
      <c r="B2951" s="9" t="n"/>
      <c r="C2951" s="6" t="n"/>
      <c r="D2951" s="6" t="n"/>
      <c r="E2951" s="6" t="n"/>
      <c r="F2951" s="6" t="n"/>
      <c r="G2951" s="6" t="n"/>
      <c r="H2951" s="10">
        <f>IF(F2951="","",IFERROR(INDEX(Roster!$A$2:$A$600,MATCH(F2951,Roster!$E$2:$E$600,0)),""))</f>
        <v/>
      </c>
      <c r="I2951" s="10">
        <f>IF(AND(D2951="",C2951="",F2951=""),"",IF(G2951&lt;&gt;"","Void",IF(F2951="","Needs child",IF(H2951="","Child not found",IF(OR(B2951="",NOT(ISNUMBER(C2951))),"Needs month/pages","OK")))))</f>
        <v/>
      </c>
      <c r="J2951" s="10">
        <f>IF(I2951="","",IF(I2951="OK",IF(COUNTIFS(H2952:H$3001,H2951,B2952:B$3001,B2951,G2952:G$3001,"")=0,C2951,0),0))</f>
        <v/>
      </c>
    </row>
    <row r="2952">
      <c r="A2952" s="6" t="n"/>
      <c r="B2952" s="9" t="n"/>
      <c r="C2952" s="6" t="n"/>
      <c r="D2952" s="6" t="n"/>
      <c r="E2952" s="6" t="n"/>
      <c r="F2952" s="6" t="n"/>
      <c r="G2952" s="6" t="n"/>
      <c r="H2952" s="10">
        <f>IF(F2952="","",IFERROR(INDEX(Roster!$A$2:$A$600,MATCH(F2952,Roster!$E$2:$E$600,0)),""))</f>
        <v/>
      </c>
      <c r="I2952" s="10">
        <f>IF(AND(D2952="",C2952="",F2952=""),"",IF(G2952&lt;&gt;"","Void",IF(F2952="","Needs child",IF(H2952="","Child not found",IF(OR(B2952="",NOT(ISNUMBER(C2952))),"Needs month/pages","OK")))))</f>
        <v/>
      </c>
      <c r="J2952" s="10">
        <f>IF(I2952="","",IF(I2952="OK",IF(COUNTIFS(H2953:H$3001,H2952,B2953:B$3001,B2952,G2953:G$3001,"")=0,C2952,0),0))</f>
        <v/>
      </c>
    </row>
    <row r="2953">
      <c r="A2953" s="6" t="n"/>
      <c r="B2953" s="9" t="n"/>
      <c r="C2953" s="6" t="n"/>
      <c r="D2953" s="6" t="n"/>
      <c r="E2953" s="6" t="n"/>
      <c r="F2953" s="6" t="n"/>
      <c r="G2953" s="6" t="n"/>
      <c r="H2953" s="10">
        <f>IF(F2953="","",IFERROR(INDEX(Roster!$A$2:$A$600,MATCH(F2953,Roster!$E$2:$E$600,0)),""))</f>
        <v/>
      </c>
      <c r="I2953" s="10">
        <f>IF(AND(D2953="",C2953="",F2953=""),"",IF(G2953&lt;&gt;"","Void",IF(F2953="","Needs child",IF(H2953="","Child not found",IF(OR(B2953="",NOT(ISNUMBER(C2953))),"Needs month/pages","OK")))))</f>
        <v/>
      </c>
      <c r="J2953" s="10">
        <f>IF(I2953="","",IF(I2953="OK",IF(COUNTIFS(H2954:H$3001,H2953,B2954:B$3001,B2953,G2954:G$3001,"")=0,C2953,0),0))</f>
        <v/>
      </c>
    </row>
    <row r="2954">
      <c r="A2954" s="6" t="n"/>
      <c r="B2954" s="9" t="n"/>
      <c r="C2954" s="6" t="n"/>
      <c r="D2954" s="6" t="n"/>
      <c r="E2954" s="6" t="n"/>
      <c r="F2954" s="6" t="n"/>
      <c r="G2954" s="6" t="n"/>
      <c r="H2954" s="10">
        <f>IF(F2954="","",IFERROR(INDEX(Roster!$A$2:$A$600,MATCH(F2954,Roster!$E$2:$E$600,0)),""))</f>
        <v/>
      </c>
      <c r="I2954" s="10">
        <f>IF(AND(D2954="",C2954="",F2954=""),"",IF(G2954&lt;&gt;"","Void",IF(F2954="","Needs child",IF(H2954="","Child not found",IF(OR(B2954="",NOT(ISNUMBER(C2954))),"Needs month/pages","OK")))))</f>
        <v/>
      </c>
      <c r="J2954" s="10">
        <f>IF(I2954="","",IF(I2954="OK",IF(COUNTIFS(H2955:H$3001,H2954,B2955:B$3001,B2954,G2955:G$3001,"")=0,C2954,0),0))</f>
        <v/>
      </c>
    </row>
    <row r="2955">
      <c r="A2955" s="6" t="n"/>
      <c r="B2955" s="9" t="n"/>
      <c r="C2955" s="6" t="n"/>
      <c r="D2955" s="6" t="n"/>
      <c r="E2955" s="6" t="n"/>
      <c r="F2955" s="6" t="n"/>
      <c r="G2955" s="6" t="n"/>
      <c r="H2955" s="10">
        <f>IF(F2955="","",IFERROR(INDEX(Roster!$A$2:$A$600,MATCH(F2955,Roster!$E$2:$E$600,0)),""))</f>
        <v/>
      </c>
      <c r="I2955" s="10">
        <f>IF(AND(D2955="",C2955="",F2955=""),"",IF(G2955&lt;&gt;"","Void",IF(F2955="","Needs child",IF(H2955="","Child not found",IF(OR(B2955="",NOT(ISNUMBER(C2955))),"Needs month/pages","OK")))))</f>
        <v/>
      </c>
      <c r="J2955" s="10">
        <f>IF(I2955="","",IF(I2955="OK",IF(COUNTIFS(H2956:H$3001,H2955,B2956:B$3001,B2955,G2956:G$3001,"")=0,C2955,0),0))</f>
        <v/>
      </c>
    </row>
    <row r="2956">
      <c r="A2956" s="6" t="n"/>
      <c r="B2956" s="9" t="n"/>
      <c r="C2956" s="6" t="n"/>
      <c r="D2956" s="6" t="n"/>
      <c r="E2956" s="6" t="n"/>
      <c r="F2956" s="6" t="n"/>
      <c r="G2956" s="6" t="n"/>
      <c r="H2956" s="10">
        <f>IF(F2956="","",IFERROR(INDEX(Roster!$A$2:$A$600,MATCH(F2956,Roster!$E$2:$E$600,0)),""))</f>
        <v/>
      </c>
      <c r="I2956" s="10">
        <f>IF(AND(D2956="",C2956="",F2956=""),"",IF(G2956&lt;&gt;"","Void",IF(F2956="","Needs child",IF(H2956="","Child not found",IF(OR(B2956="",NOT(ISNUMBER(C2956))),"Needs month/pages","OK")))))</f>
        <v/>
      </c>
      <c r="J2956" s="10">
        <f>IF(I2956="","",IF(I2956="OK",IF(COUNTIFS(H2957:H$3001,H2956,B2957:B$3001,B2956,G2957:G$3001,"")=0,C2956,0),0))</f>
        <v/>
      </c>
    </row>
    <row r="2957">
      <c r="A2957" s="6" t="n"/>
      <c r="B2957" s="9" t="n"/>
      <c r="C2957" s="6" t="n"/>
      <c r="D2957" s="6" t="n"/>
      <c r="E2957" s="6" t="n"/>
      <c r="F2957" s="6" t="n"/>
      <c r="G2957" s="6" t="n"/>
      <c r="H2957" s="10">
        <f>IF(F2957="","",IFERROR(INDEX(Roster!$A$2:$A$600,MATCH(F2957,Roster!$E$2:$E$600,0)),""))</f>
        <v/>
      </c>
      <c r="I2957" s="10">
        <f>IF(AND(D2957="",C2957="",F2957=""),"",IF(G2957&lt;&gt;"","Void",IF(F2957="","Needs child",IF(H2957="","Child not found",IF(OR(B2957="",NOT(ISNUMBER(C2957))),"Needs month/pages","OK")))))</f>
        <v/>
      </c>
      <c r="J2957" s="10">
        <f>IF(I2957="","",IF(I2957="OK",IF(COUNTIFS(H2958:H$3001,H2957,B2958:B$3001,B2957,G2958:G$3001,"")=0,C2957,0),0))</f>
        <v/>
      </c>
    </row>
    <row r="2958">
      <c r="A2958" s="6" t="n"/>
      <c r="B2958" s="9" t="n"/>
      <c r="C2958" s="6" t="n"/>
      <c r="D2958" s="6" t="n"/>
      <c r="E2958" s="6" t="n"/>
      <c r="F2958" s="6" t="n"/>
      <c r="G2958" s="6" t="n"/>
      <c r="H2958" s="10">
        <f>IF(F2958="","",IFERROR(INDEX(Roster!$A$2:$A$600,MATCH(F2958,Roster!$E$2:$E$600,0)),""))</f>
        <v/>
      </c>
      <c r="I2958" s="10">
        <f>IF(AND(D2958="",C2958="",F2958=""),"",IF(G2958&lt;&gt;"","Void",IF(F2958="","Needs child",IF(H2958="","Child not found",IF(OR(B2958="",NOT(ISNUMBER(C2958))),"Needs month/pages","OK")))))</f>
        <v/>
      </c>
      <c r="J2958" s="10">
        <f>IF(I2958="","",IF(I2958="OK",IF(COUNTIFS(H2959:H$3001,H2958,B2959:B$3001,B2958,G2959:G$3001,"")=0,C2958,0),0))</f>
        <v/>
      </c>
    </row>
    <row r="2959">
      <c r="A2959" s="6" t="n"/>
      <c r="B2959" s="9" t="n"/>
      <c r="C2959" s="6" t="n"/>
      <c r="D2959" s="6" t="n"/>
      <c r="E2959" s="6" t="n"/>
      <c r="F2959" s="6" t="n"/>
      <c r="G2959" s="6" t="n"/>
      <c r="H2959" s="10">
        <f>IF(F2959="","",IFERROR(INDEX(Roster!$A$2:$A$600,MATCH(F2959,Roster!$E$2:$E$600,0)),""))</f>
        <v/>
      </c>
      <c r="I2959" s="10">
        <f>IF(AND(D2959="",C2959="",F2959=""),"",IF(G2959&lt;&gt;"","Void",IF(F2959="","Needs child",IF(H2959="","Child not found",IF(OR(B2959="",NOT(ISNUMBER(C2959))),"Needs month/pages","OK")))))</f>
        <v/>
      </c>
      <c r="J2959" s="10">
        <f>IF(I2959="","",IF(I2959="OK",IF(COUNTIFS(H2960:H$3001,H2959,B2960:B$3001,B2959,G2960:G$3001,"")=0,C2959,0),0))</f>
        <v/>
      </c>
    </row>
    <row r="2960">
      <c r="A2960" s="6" t="n"/>
      <c r="B2960" s="9" t="n"/>
      <c r="C2960" s="6" t="n"/>
      <c r="D2960" s="6" t="n"/>
      <c r="E2960" s="6" t="n"/>
      <c r="F2960" s="6" t="n"/>
      <c r="G2960" s="6" t="n"/>
      <c r="H2960" s="10">
        <f>IF(F2960="","",IFERROR(INDEX(Roster!$A$2:$A$600,MATCH(F2960,Roster!$E$2:$E$600,0)),""))</f>
        <v/>
      </c>
      <c r="I2960" s="10">
        <f>IF(AND(D2960="",C2960="",F2960=""),"",IF(G2960&lt;&gt;"","Void",IF(F2960="","Needs child",IF(H2960="","Child not found",IF(OR(B2960="",NOT(ISNUMBER(C2960))),"Needs month/pages","OK")))))</f>
        <v/>
      </c>
      <c r="J2960" s="10">
        <f>IF(I2960="","",IF(I2960="OK",IF(COUNTIFS(H2961:H$3001,H2960,B2961:B$3001,B2960,G2961:G$3001,"")=0,C2960,0),0))</f>
        <v/>
      </c>
    </row>
    <row r="2961">
      <c r="A2961" s="6" t="n"/>
      <c r="B2961" s="9" t="n"/>
      <c r="C2961" s="6" t="n"/>
      <c r="D2961" s="6" t="n"/>
      <c r="E2961" s="6" t="n"/>
      <c r="F2961" s="6" t="n"/>
      <c r="G2961" s="6" t="n"/>
      <c r="H2961" s="10">
        <f>IF(F2961="","",IFERROR(INDEX(Roster!$A$2:$A$600,MATCH(F2961,Roster!$E$2:$E$600,0)),""))</f>
        <v/>
      </c>
      <c r="I2961" s="10">
        <f>IF(AND(D2961="",C2961="",F2961=""),"",IF(G2961&lt;&gt;"","Void",IF(F2961="","Needs child",IF(H2961="","Child not found",IF(OR(B2961="",NOT(ISNUMBER(C2961))),"Needs month/pages","OK")))))</f>
        <v/>
      </c>
      <c r="J2961" s="10">
        <f>IF(I2961="","",IF(I2961="OK",IF(COUNTIFS(H2962:H$3001,H2961,B2962:B$3001,B2961,G2962:G$3001,"")=0,C2961,0),0))</f>
        <v/>
      </c>
    </row>
    <row r="2962">
      <c r="A2962" s="6" t="n"/>
      <c r="B2962" s="9" t="n"/>
      <c r="C2962" s="6" t="n"/>
      <c r="D2962" s="6" t="n"/>
      <c r="E2962" s="6" t="n"/>
      <c r="F2962" s="6" t="n"/>
      <c r="G2962" s="6" t="n"/>
      <c r="H2962" s="10">
        <f>IF(F2962="","",IFERROR(INDEX(Roster!$A$2:$A$600,MATCH(F2962,Roster!$E$2:$E$600,0)),""))</f>
        <v/>
      </c>
      <c r="I2962" s="10">
        <f>IF(AND(D2962="",C2962="",F2962=""),"",IF(G2962&lt;&gt;"","Void",IF(F2962="","Needs child",IF(H2962="","Child not found",IF(OR(B2962="",NOT(ISNUMBER(C2962))),"Needs month/pages","OK")))))</f>
        <v/>
      </c>
      <c r="J2962" s="10">
        <f>IF(I2962="","",IF(I2962="OK",IF(COUNTIFS(H2963:H$3001,H2962,B2963:B$3001,B2962,G2963:G$3001,"")=0,C2962,0),0))</f>
        <v/>
      </c>
    </row>
    <row r="2963">
      <c r="A2963" s="6" t="n"/>
      <c r="B2963" s="9" t="n"/>
      <c r="C2963" s="6" t="n"/>
      <c r="D2963" s="6" t="n"/>
      <c r="E2963" s="6" t="n"/>
      <c r="F2963" s="6" t="n"/>
      <c r="G2963" s="6" t="n"/>
      <c r="H2963" s="10">
        <f>IF(F2963="","",IFERROR(INDEX(Roster!$A$2:$A$600,MATCH(F2963,Roster!$E$2:$E$600,0)),""))</f>
        <v/>
      </c>
      <c r="I2963" s="10">
        <f>IF(AND(D2963="",C2963="",F2963=""),"",IF(G2963&lt;&gt;"","Void",IF(F2963="","Needs child",IF(H2963="","Child not found",IF(OR(B2963="",NOT(ISNUMBER(C2963))),"Needs month/pages","OK")))))</f>
        <v/>
      </c>
      <c r="J2963" s="10">
        <f>IF(I2963="","",IF(I2963="OK",IF(COUNTIFS(H2964:H$3001,H2963,B2964:B$3001,B2963,G2964:G$3001,"")=0,C2963,0),0))</f>
        <v/>
      </c>
    </row>
    <row r="2964">
      <c r="A2964" s="6" t="n"/>
      <c r="B2964" s="9" t="n"/>
      <c r="C2964" s="6" t="n"/>
      <c r="D2964" s="6" t="n"/>
      <c r="E2964" s="6" t="n"/>
      <c r="F2964" s="6" t="n"/>
      <c r="G2964" s="6" t="n"/>
      <c r="H2964" s="10">
        <f>IF(F2964="","",IFERROR(INDEX(Roster!$A$2:$A$600,MATCH(F2964,Roster!$E$2:$E$600,0)),""))</f>
        <v/>
      </c>
      <c r="I2964" s="10">
        <f>IF(AND(D2964="",C2964="",F2964=""),"",IF(G2964&lt;&gt;"","Void",IF(F2964="","Needs child",IF(H2964="","Child not found",IF(OR(B2964="",NOT(ISNUMBER(C2964))),"Needs month/pages","OK")))))</f>
        <v/>
      </c>
      <c r="J2964" s="10">
        <f>IF(I2964="","",IF(I2964="OK",IF(COUNTIFS(H2965:H$3001,H2964,B2965:B$3001,B2964,G2965:G$3001,"")=0,C2964,0),0))</f>
        <v/>
      </c>
    </row>
    <row r="2965">
      <c r="A2965" s="6" t="n"/>
      <c r="B2965" s="9" t="n"/>
      <c r="C2965" s="6" t="n"/>
      <c r="D2965" s="6" t="n"/>
      <c r="E2965" s="6" t="n"/>
      <c r="F2965" s="6" t="n"/>
      <c r="G2965" s="6" t="n"/>
      <c r="H2965" s="10">
        <f>IF(F2965="","",IFERROR(INDEX(Roster!$A$2:$A$600,MATCH(F2965,Roster!$E$2:$E$600,0)),""))</f>
        <v/>
      </c>
      <c r="I2965" s="10">
        <f>IF(AND(D2965="",C2965="",F2965=""),"",IF(G2965&lt;&gt;"","Void",IF(F2965="","Needs child",IF(H2965="","Child not found",IF(OR(B2965="",NOT(ISNUMBER(C2965))),"Needs month/pages","OK")))))</f>
        <v/>
      </c>
      <c r="J2965" s="10">
        <f>IF(I2965="","",IF(I2965="OK",IF(COUNTIFS(H2966:H$3001,H2965,B2966:B$3001,B2965,G2966:G$3001,"")=0,C2965,0),0))</f>
        <v/>
      </c>
    </row>
    <row r="2966">
      <c r="A2966" s="6" t="n"/>
      <c r="B2966" s="9" t="n"/>
      <c r="C2966" s="6" t="n"/>
      <c r="D2966" s="6" t="n"/>
      <c r="E2966" s="6" t="n"/>
      <c r="F2966" s="6" t="n"/>
      <c r="G2966" s="6" t="n"/>
      <c r="H2966" s="10">
        <f>IF(F2966="","",IFERROR(INDEX(Roster!$A$2:$A$600,MATCH(F2966,Roster!$E$2:$E$600,0)),""))</f>
        <v/>
      </c>
      <c r="I2966" s="10">
        <f>IF(AND(D2966="",C2966="",F2966=""),"",IF(G2966&lt;&gt;"","Void",IF(F2966="","Needs child",IF(H2966="","Child not found",IF(OR(B2966="",NOT(ISNUMBER(C2966))),"Needs month/pages","OK")))))</f>
        <v/>
      </c>
      <c r="J2966" s="10">
        <f>IF(I2966="","",IF(I2966="OK",IF(COUNTIFS(H2967:H$3001,H2966,B2967:B$3001,B2966,G2967:G$3001,"")=0,C2966,0),0))</f>
        <v/>
      </c>
    </row>
    <row r="2967">
      <c r="A2967" s="6" t="n"/>
      <c r="B2967" s="9" t="n"/>
      <c r="C2967" s="6" t="n"/>
      <c r="D2967" s="6" t="n"/>
      <c r="E2967" s="6" t="n"/>
      <c r="F2967" s="6" t="n"/>
      <c r="G2967" s="6" t="n"/>
      <c r="H2967" s="10">
        <f>IF(F2967="","",IFERROR(INDEX(Roster!$A$2:$A$600,MATCH(F2967,Roster!$E$2:$E$600,0)),""))</f>
        <v/>
      </c>
      <c r="I2967" s="10">
        <f>IF(AND(D2967="",C2967="",F2967=""),"",IF(G2967&lt;&gt;"","Void",IF(F2967="","Needs child",IF(H2967="","Child not found",IF(OR(B2967="",NOT(ISNUMBER(C2967))),"Needs month/pages","OK")))))</f>
        <v/>
      </c>
      <c r="J2967" s="10">
        <f>IF(I2967="","",IF(I2967="OK",IF(COUNTIFS(H2968:H$3001,H2967,B2968:B$3001,B2967,G2968:G$3001,"")=0,C2967,0),0))</f>
        <v/>
      </c>
    </row>
    <row r="2968">
      <c r="A2968" s="6" t="n"/>
      <c r="B2968" s="9" t="n"/>
      <c r="C2968" s="6" t="n"/>
      <c r="D2968" s="6" t="n"/>
      <c r="E2968" s="6" t="n"/>
      <c r="F2968" s="6" t="n"/>
      <c r="G2968" s="6" t="n"/>
      <c r="H2968" s="10">
        <f>IF(F2968="","",IFERROR(INDEX(Roster!$A$2:$A$600,MATCH(F2968,Roster!$E$2:$E$600,0)),""))</f>
        <v/>
      </c>
      <c r="I2968" s="10">
        <f>IF(AND(D2968="",C2968="",F2968=""),"",IF(G2968&lt;&gt;"","Void",IF(F2968="","Needs child",IF(H2968="","Child not found",IF(OR(B2968="",NOT(ISNUMBER(C2968))),"Needs month/pages","OK")))))</f>
        <v/>
      </c>
      <c r="J2968" s="10">
        <f>IF(I2968="","",IF(I2968="OK",IF(COUNTIFS(H2969:H$3001,H2968,B2969:B$3001,B2968,G2969:G$3001,"")=0,C2968,0),0))</f>
        <v/>
      </c>
    </row>
    <row r="2969">
      <c r="A2969" s="6" t="n"/>
      <c r="B2969" s="9" t="n"/>
      <c r="C2969" s="6" t="n"/>
      <c r="D2969" s="6" t="n"/>
      <c r="E2969" s="6" t="n"/>
      <c r="F2969" s="6" t="n"/>
      <c r="G2969" s="6" t="n"/>
      <c r="H2969" s="10">
        <f>IF(F2969="","",IFERROR(INDEX(Roster!$A$2:$A$600,MATCH(F2969,Roster!$E$2:$E$600,0)),""))</f>
        <v/>
      </c>
      <c r="I2969" s="10">
        <f>IF(AND(D2969="",C2969="",F2969=""),"",IF(G2969&lt;&gt;"","Void",IF(F2969="","Needs child",IF(H2969="","Child not found",IF(OR(B2969="",NOT(ISNUMBER(C2969))),"Needs month/pages","OK")))))</f>
        <v/>
      </c>
      <c r="J2969" s="10">
        <f>IF(I2969="","",IF(I2969="OK",IF(COUNTIFS(H2970:H$3001,H2969,B2970:B$3001,B2969,G2970:G$3001,"")=0,C2969,0),0))</f>
        <v/>
      </c>
    </row>
    <row r="2970">
      <c r="A2970" s="6" t="n"/>
      <c r="B2970" s="9" t="n"/>
      <c r="C2970" s="6" t="n"/>
      <c r="D2970" s="6" t="n"/>
      <c r="E2970" s="6" t="n"/>
      <c r="F2970" s="6" t="n"/>
      <c r="G2970" s="6" t="n"/>
      <c r="H2970" s="10">
        <f>IF(F2970="","",IFERROR(INDEX(Roster!$A$2:$A$600,MATCH(F2970,Roster!$E$2:$E$600,0)),""))</f>
        <v/>
      </c>
      <c r="I2970" s="10">
        <f>IF(AND(D2970="",C2970="",F2970=""),"",IF(G2970&lt;&gt;"","Void",IF(F2970="","Needs child",IF(H2970="","Child not found",IF(OR(B2970="",NOT(ISNUMBER(C2970))),"Needs month/pages","OK")))))</f>
        <v/>
      </c>
      <c r="J2970" s="10">
        <f>IF(I2970="","",IF(I2970="OK",IF(COUNTIFS(H2971:H$3001,H2970,B2971:B$3001,B2970,G2971:G$3001,"")=0,C2970,0),0))</f>
        <v/>
      </c>
    </row>
    <row r="2971">
      <c r="A2971" s="6" t="n"/>
      <c r="B2971" s="9" t="n"/>
      <c r="C2971" s="6" t="n"/>
      <c r="D2971" s="6" t="n"/>
      <c r="E2971" s="6" t="n"/>
      <c r="F2971" s="6" t="n"/>
      <c r="G2971" s="6" t="n"/>
      <c r="H2971" s="10">
        <f>IF(F2971="","",IFERROR(INDEX(Roster!$A$2:$A$600,MATCH(F2971,Roster!$E$2:$E$600,0)),""))</f>
        <v/>
      </c>
      <c r="I2971" s="10">
        <f>IF(AND(D2971="",C2971="",F2971=""),"",IF(G2971&lt;&gt;"","Void",IF(F2971="","Needs child",IF(H2971="","Child not found",IF(OR(B2971="",NOT(ISNUMBER(C2971))),"Needs month/pages","OK")))))</f>
        <v/>
      </c>
      <c r="J2971" s="10">
        <f>IF(I2971="","",IF(I2971="OK",IF(COUNTIFS(H2972:H$3001,H2971,B2972:B$3001,B2971,G2972:G$3001,"")=0,C2971,0),0))</f>
        <v/>
      </c>
    </row>
    <row r="2972">
      <c r="A2972" s="6" t="n"/>
      <c r="B2972" s="9" t="n"/>
      <c r="C2972" s="6" t="n"/>
      <c r="D2972" s="6" t="n"/>
      <c r="E2972" s="6" t="n"/>
      <c r="F2972" s="6" t="n"/>
      <c r="G2972" s="6" t="n"/>
      <c r="H2972" s="10">
        <f>IF(F2972="","",IFERROR(INDEX(Roster!$A$2:$A$600,MATCH(F2972,Roster!$E$2:$E$600,0)),""))</f>
        <v/>
      </c>
      <c r="I2972" s="10">
        <f>IF(AND(D2972="",C2972="",F2972=""),"",IF(G2972&lt;&gt;"","Void",IF(F2972="","Needs child",IF(H2972="","Child not found",IF(OR(B2972="",NOT(ISNUMBER(C2972))),"Needs month/pages","OK")))))</f>
        <v/>
      </c>
      <c r="J2972" s="10">
        <f>IF(I2972="","",IF(I2972="OK",IF(COUNTIFS(H2973:H$3001,H2972,B2973:B$3001,B2972,G2973:G$3001,"")=0,C2972,0),0))</f>
        <v/>
      </c>
    </row>
    <row r="2973">
      <c r="A2973" s="6" t="n"/>
      <c r="B2973" s="9" t="n"/>
      <c r="C2973" s="6" t="n"/>
      <c r="D2973" s="6" t="n"/>
      <c r="E2973" s="6" t="n"/>
      <c r="F2973" s="6" t="n"/>
      <c r="G2973" s="6" t="n"/>
      <c r="H2973" s="10">
        <f>IF(F2973="","",IFERROR(INDEX(Roster!$A$2:$A$600,MATCH(F2973,Roster!$E$2:$E$600,0)),""))</f>
        <v/>
      </c>
      <c r="I2973" s="10">
        <f>IF(AND(D2973="",C2973="",F2973=""),"",IF(G2973&lt;&gt;"","Void",IF(F2973="","Needs child",IF(H2973="","Child not found",IF(OR(B2973="",NOT(ISNUMBER(C2973))),"Needs month/pages","OK")))))</f>
        <v/>
      </c>
      <c r="J2973" s="10">
        <f>IF(I2973="","",IF(I2973="OK",IF(COUNTIFS(H2974:H$3001,H2973,B2974:B$3001,B2973,G2974:G$3001,"")=0,C2973,0),0))</f>
        <v/>
      </c>
    </row>
    <row r="2974">
      <c r="A2974" s="6" t="n"/>
      <c r="B2974" s="9" t="n"/>
      <c r="C2974" s="6" t="n"/>
      <c r="D2974" s="6" t="n"/>
      <c r="E2974" s="6" t="n"/>
      <c r="F2974" s="6" t="n"/>
      <c r="G2974" s="6" t="n"/>
      <c r="H2974" s="10">
        <f>IF(F2974="","",IFERROR(INDEX(Roster!$A$2:$A$600,MATCH(F2974,Roster!$E$2:$E$600,0)),""))</f>
        <v/>
      </c>
      <c r="I2974" s="10">
        <f>IF(AND(D2974="",C2974="",F2974=""),"",IF(G2974&lt;&gt;"","Void",IF(F2974="","Needs child",IF(H2974="","Child not found",IF(OR(B2974="",NOT(ISNUMBER(C2974))),"Needs month/pages","OK")))))</f>
        <v/>
      </c>
      <c r="J2974" s="10">
        <f>IF(I2974="","",IF(I2974="OK",IF(COUNTIFS(H2975:H$3001,H2974,B2975:B$3001,B2974,G2975:G$3001,"")=0,C2974,0),0))</f>
        <v/>
      </c>
    </row>
    <row r="2975">
      <c r="A2975" s="6" t="n"/>
      <c r="B2975" s="9" t="n"/>
      <c r="C2975" s="6" t="n"/>
      <c r="D2975" s="6" t="n"/>
      <c r="E2975" s="6" t="n"/>
      <c r="F2975" s="6" t="n"/>
      <c r="G2975" s="6" t="n"/>
      <c r="H2975" s="10">
        <f>IF(F2975="","",IFERROR(INDEX(Roster!$A$2:$A$600,MATCH(F2975,Roster!$E$2:$E$600,0)),""))</f>
        <v/>
      </c>
      <c r="I2975" s="10">
        <f>IF(AND(D2975="",C2975="",F2975=""),"",IF(G2975&lt;&gt;"","Void",IF(F2975="","Needs child",IF(H2975="","Child not found",IF(OR(B2975="",NOT(ISNUMBER(C2975))),"Needs month/pages","OK")))))</f>
        <v/>
      </c>
      <c r="J2975" s="10">
        <f>IF(I2975="","",IF(I2975="OK",IF(COUNTIFS(H2976:H$3001,H2975,B2976:B$3001,B2975,G2976:G$3001,"")=0,C2975,0),0))</f>
        <v/>
      </c>
    </row>
    <row r="2976">
      <c r="A2976" s="6" t="n"/>
      <c r="B2976" s="9" t="n"/>
      <c r="C2976" s="6" t="n"/>
      <c r="D2976" s="6" t="n"/>
      <c r="E2976" s="6" t="n"/>
      <c r="F2976" s="6" t="n"/>
      <c r="G2976" s="6" t="n"/>
      <c r="H2976" s="10">
        <f>IF(F2976="","",IFERROR(INDEX(Roster!$A$2:$A$600,MATCH(F2976,Roster!$E$2:$E$600,0)),""))</f>
        <v/>
      </c>
      <c r="I2976" s="10">
        <f>IF(AND(D2976="",C2976="",F2976=""),"",IF(G2976&lt;&gt;"","Void",IF(F2976="","Needs child",IF(H2976="","Child not found",IF(OR(B2976="",NOT(ISNUMBER(C2976))),"Needs month/pages","OK")))))</f>
        <v/>
      </c>
      <c r="J2976" s="10">
        <f>IF(I2976="","",IF(I2976="OK",IF(COUNTIFS(H2977:H$3001,H2976,B2977:B$3001,B2976,G2977:G$3001,"")=0,C2976,0),0))</f>
        <v/>
      </c>
    </row>
    <row r="2977">
      <c r="A2977" s="6" t="n"/>
      <c r="B2977" s="9" t="n"/>
      <c r="C2977" s="6" t="n"/>
      <c r="D2977" s="6" t="n"/>
      <c r="E2977" s="6" t="n"/>
      <c r="F2977" s="6" t="n"/>
      <c r="G2977" s="6" t="n"/>
      <c r="H2977" s="10">
        <f>IF(F2977="","",IFERROR(INDEX(Roster!$A$2:$A$600,MATCH(F2977,Roster!$E$2:$E$600,0)),""))</f>
        <v/>
      </c>
      <c r="I2977" s="10">
        <f>IF(AND(D2977="",C2977="",F2977=""),"",IF(G2977&lt;&gt;"","Void",IF(F2977="","Needs child",IF(H2977="","Child not found",IF(OR(B2977="",NOT(ISNUMBER(C2977))),"Needs month/pages","OK")))))</f>
        <v/>
      </c>
      <c r="J2977" s="10">
        <f>IF(I2977="","",IF(I2977="OK",IF(COUNTIFS(H2978:H$3001,H2977,B2978:B$3001,B2977,G2978:G$3001,"")=0,C2977,0),0))</f>
        <v/>
      </c>
    </row>
    <row r="2978">
      <c r="A2978" s="6" t="n"/>
      <c r="B2978" s="9" t="n"/>
      <c r="C2978" s="6" t="n"/>
      <c r="D2978" s="6" t="n"/>
      <c r="E2978" s="6" t="n"/>
      <c r="F2978" s="6" t="n"/>
      <c r="G2978" s="6" t="n"/>
      <c r="H2978" s="10">
        <f>IF(F2978="","",IFERROR(INDEX(Roster!$A$2:$A$600,MATCH(F2978,Roster!$E$2:$E$600,0)),""))</f>
        <v/>
      </c>
      <c r="I2978" s="10">
        <f>IF(AND(D2978="",C2978="",F2978=""),"",IF(G2978&lt;&gt;"","Void",IF(F2978="","Needs child",IF(H2978="","Child not found",IF(OR(B2978="",NOT(ISNUMBER(C2978))),"Needs month/pages","OK")))))</f>
        <v/>
      </c>
      <c r="J2978" s="10">
        <f>IF(I2978="","",IF(I2978="OK",IF(COUNTIFS(H2979:H$3001,H2978,B2979:B$3001,B2978,G2979:G$3001,"")=0,C2978,0),0))</f>
        <v/>
      </c>
    </row>
    <row r="2979">
      <c r="A2979" s="6" t="n"/>
      <c r="B2979" s="9" t="n"/>
      <c r="C2979" s="6" t="n"/>
      <c r="D2979" s="6" t="n"/>
      <c r="E2979" s="6" t="n"/>
      <c r="F2979" s="6" t="n"/>
      <c r="G2979" s="6" t="n"/>
      <c r="H2979" s="10">
        <f>IF(F2979="","",IFERROR(INDEX(Roster!$A$2:$A$600,MATCH(F2979,Roster!$E$2:$E$600,0)),""))</f>
        <v/>
      </c>
      <c r="I2979" s="10">
        <f>IF(AND(D2979="",C2979="",F2979=""),"",IF(G2979&lt;&gt;"","Void",IF(F2979="","Needs child",IF(H2979="","Child not found",IF(OR(B2979="",NOT(ISNUMBER(C2979))),"Needs month/pages","OK")))))</f>
        <v/>
      </c>
      <c r="J2979" s="10">
        <f>IF(I2979="","",IF(I2979="OK",IF(COUNTIFS(H2980:H$3001,H2979,B2980:B$3001,B2979,G2980:G$3001,"")=0,C2979,0),0))</f>
        <v/>
      </c>
    </row>
    <row r="2980">
      <c r="A2980" s="6" t="n"/>
      <c r="B2980" s="9" t="n"/>
      <c r="C2980" s="6" t="n"/>
      <c r="D2980" s="6" t="n"/>
      <c r="E2980" s="6" t="n"/>
      <c r="F2980" s="6" t="n"/>
      <c r="G2980" s="6" t="n"/>
      <c r="H2980" s="10">
        <f>IF(F2980="","",IFERROR(INDEX(Roster!$A$2:$A$600,MATCH(F2980,Roster!$E$2:$E$600,0)),""))</f>
        <v/>
      </c>
      <c r="I2980" s="10">
        <f>IF(AND(D2980="",C2980="",F2980=""),"",IF(G2980&lt;&gt;"","Void",IF(F2980="","Needs child",IF(H2980="","Child not found",IF(OR(B2980="",NOT(ISNUMBER(C2980))),"Needs month/pages","OK")))))</f>
        <v/>
      </c>
      <c r="J2980" s="10">
        <f>IF(I2980="","",IF(I2980="OK",IF(COUNTIFS(H2981:H$3001,H2980,B2981:B$3001,B2980,G2981:G$3001,"")=0,C2980,0),0))</f>
        <v/>
      </c>
    </row>
    <row r="2981">
      <c r="A2981" s="6" t="n"/>
      <c r="B2981" s="9" t="n"/>
      <c r="C2981" s="6" t="n"/>
      <c r="D2981" s="6" t="n"/>
      <c r="E2981" s="6" t="n"/>
      <c r="F2981" s="6" t="n"/>
      <c r="G2981" s="6" t="n"/>
      <c r="H2981" s="10">
        <f>IF(F2981="","",IFERROR(INDEX(Roster!$A$2:$A$600,MATCH(F2981,Roster!$E$2:$E$600,0)),""))</f>
        <v/>
      </c>
      <c r="I2981" s="10">
        <f>IF(AND(D2981="",C2981="",F2981=""),"",IF(G2981&lt;&gt;"","Void",IF(F2981="","Needs child",IF(H2981="","Child not found",IF(OR(B2981="",NOT(ISNUMBER(C2981))),"Needs month/pages","OK")))))</f>
        <v/>
      </c>
      <c r="J2981" s="10">
        <f>IF(I2981="","",IF(I2981="OK",IF(COUNTIFS(H2982:H$3001,H2981,B2982:B$3001,B2981,G2982:G$3001,"")=0,C2981,0),0))</f>
        <v/>
      </c>
    </row>
    <row r="2982">
      <c r="A2982" s="6" t="n"/>
      <c r="B2982" s="9" t="n"/>
      <c r="C2982" s="6" t="n"/>
      <c r="D2982" s="6" t="n"/>
      <c r="E2982" s="6" t="n"/>
      <c r="F2982" s="6" t="n"/>
      <c r="G2982" s="6" t="n"/>
      <c r="H2982" s="10">
        <f>IF(F2982="","",IFERROR(INDEX(Roster!$A$2:$A$600,MATCH(F2982,Roster!$E$2:$E$600,0)),""))</f>
        <v/>
      </c>
      <c r="I2982" s="10">
        <f>IF(AND(D2982="",C2982="",F2982=""),"",IF(G2982&lt;&gt;"","Void",IF(F2982="","Needs child",IF(H2982="","Child not found",IF(OR(B2982="",NOT(ISNUMBER(C2982))),"Needs month/pages","OK")))))</f>
        <v/>
      </c>
      <c r="J2982" s="10">
        <f>IF(I2982="","",IF(I2982="OK",IF(COUNTIFS(H2983:H$3001,H2982,B2983:B$3001,B2982,G2983:G$3001,"")=0,C2982,0),0))</f>
        <v/>
      </c>
    </row>
    <row r="2983">
      <c r="A2983" s="6" t="n"/>
      <c r="B2983" s="9" t="n"/>
      <c r="C2983" s="6" t="n"/>
      <c r="D2983" s="6" t="n"/>
      <c r="E2983" s="6" t="n"/>
      <c r="F2983" s="6" t="n"/>
      <c r="G2983" s="6" t="n"/>
      <c r="H2983" s="10">
        <f>IF(F2983="","",IFERROR(INDEX(Roster!$A$2:$A$600,MATCH(F2983,Roster!$E$2:$E$600,0)),""))</f>
        <v/>
      </c>
      <c r="I2983" s="10">
        <f>IF(AND(D2983="",C2983="",F2983=""),"",IF(G2983&lt;&gt;"","Void",IF(F2983="","Needs child",IF(H2983="","Child not found",IF(OR(B2983="",NOT(ISNUMBER(C2983))),"Needs month/pages","OK")))))</f>
        <v/>
      </c>
      <c r="J2983" s="10">
        <f>IF(I2983="","",IF(I2983="OK",IF(COUNTIFS(H2984:H$3001,H2983,B2984:B$3001,B2983,G2984:G$3001,"")=0,C2983,0),0))</f>
        <v/>
      </c>
    </row>
    <row r="2984">
      <c r="A2984" s="6" t="n"/>
      <c r="B2984" s="9" t="n"/>
      <c r="C2984" s="6" t="n"/>
      <c r="D2984" s="6" t="n"/>
      <c r="E2984" s="6" t="n"/>
      <c r="F2984" s="6" t="n"/>
      <c r="G2984" s="6" t="n"/>
      <c r="H2984" s="10">
        <f>IF(F2984="","",IFERROR(INDEX(Roster!$A$2:$A$600,MATCH(F2984,Roster!$E$2:$E$600,0)),""))</f>
        <v/>
      </c>
      <c r="I2984" s="10">
        <f>IF(AND(D2984="",C2984="",F2984=""),"",IF(G2984&lt;&gt;"","Void",IF(F2984="","Needs child",IF(H2984="","Child not found",IF(OR(B2984="",NOT(ISNUMBER(C2984))),"Needs month/pages","OK")))))</f>
        <v/>
      </c>
      <c r="J2984" s="10">
        <f>IF(I2984="","",IF(I2984="OK",IF(COUNTIFS(H2985:H$3001,H2984,B2985:B$3001,B2984,G2985:G$3001,"")=0,C2984,0),0))</f>
        <v/>
      </c>
    </row>
    <row r="2985">
      <c r="A2985" s="6" t="n"/>
      <c r="B2985" s="9" t="n"/>
      <c r="C2985" s="6" t="n"/>
      <c r="D2985" s="6" t="n"/>
      <c r="E2985" s="6" t="n"/>
      <c r="F2985" s="6" t="n"/>
      <c r="G2985" s="6" t="n"/>
      <c r="H2985" s="10">
        <f>IF(F2985="","",IFERROR(INDEX(Roster!$A$2:$A$600,MATCH(F2985,Roster!$E$2:$E$600,0)),""))</f>
        <v/>
      </c>
      <c r="I2985" s="10">
        <f>IF(AND(D2985="",C2985="",F2985=""),"",IF(G2985&lt;&gt;"","Void",IF(F2985="","Needs child",IF(H2985="","Child not found",IF(OR(B2985="",NOT(ISNUMBER(C2985))),"Needs month/pages","OK")))))</f>
        <v/>
      </c>
      <c r="J2985" s="10">
        <f>IF(I2985="","",IF(I2985="OK",IF(COUNTIFS(H2986:H$3001,H2985,B2986:B$3001,B2985,G2986:G$3001,"")=0,C2985,0),0))</f>
        <v/>
      </c>
    </row>
    <row r="2986">
      <c r="A2986" s="6" t="n"/>
      <c r="B2986" s="9" t="n"/>
      <c r="C2986" s="6" t="n"/>
      <c r="D2986" s="6" t="n"/>
      <c r="E2986" s="6" t="n"/>
      <c r="F2986" s="6" t="n"/>
      <c r="G2986" s="6" t="n"/>
      <c r="H2986" s="10">
        <f>IF(F2986="","",IFERROR(INDEX(Roster!$A$2:$A$600,MATCH(F2986,Roster!$E$2:$E$600,0)),""))</f>
        <v/>
      </c>
      <c r="I2986" s="10">
        <f>IF(AND(D2986="",C2986="",F2986=""),"",IF(G2986&lt;&gt;"","Void",IF(F2986="","Needs child",IF(H2986="","Child not found",IF(OR(B2986="",NOT(ISNUMBER(C2986))),"Needs month/pages","OK")))))</f>
        <v/>
      </c>
      <c r="J2986" s="10">
        <f>IF(I2986="","",IF(I2986="OK",IF(COUNTIFS(H2987:H$3001,H2986,B2987:B$3001,B2986,G2987:G$3001,"")=0,C2986,0),0))</f>
        <v/>
      </c>
    </row>
    <row r="2987">
      <c r="A2987" s="6" t="n"/>
      <c r="B2987" s="9" t="n"/>
      <c r="C2987" s="6" t="n"/>
      <c r="D2987" s="6" t="n"/>
      <c r="E2987" s="6" t="n"/>
      <c r="F2987" s="6" t="n"/>
      <c r="G2987" s="6" t="n"/>
      <c r="H2987" s="10">
        <f>IF(F2987="","",IFERROR(INDEX(Roster!$A$2:$A$600,MATCH(F2987,Roster!$E$2:$E$600,0)),""))</f>
        <v/>
      </c>
      <c r="I2987" s="10">
        <f>IF(AND(D2987="",C2987="",F2987=""),"",IF(G2987&lt;&gt;"","Void",IF(F2987="","Needs child",IF(H2987="","Child not found",IF(OR(B2987="",NOT(ISNUMBER(C2987))),"Needs month/pages","OK")))))</f>
        <v/>
      </c>
      <c r="J2987" s="10">
        <f>IF(I2987="","",IF(I2987="OK",IF(COUNTIFS(H2988:H$3001,H2987,B2988:B$3001,B2987,G2988:G$3001,"")=0,C2987,0),0))</f>
        <v/>
      </c>
    </row>
    <row r="2988">
      <c r="A2988" s="6" t="n"/>
      <c r="B2988" s="9" t="n"/>
      <c r="C2988" s="6" t="n"/>
      <c r="D2988" s="6" t="n"/>
      <c r="E2988" s="6" t="n"/>
      <c r="F2988" s="6" t="n"/>
      <c r="G2988" s="6" t="n"/>
      <c r="H2988" s="10">
        <f>IF(F2988="","",IFERROR(INDEX(Roster!$A$2:$A$600,MATCH(F2988,Roster!$E$2:$E$600,0)),""))</f>
        <v/>
      </c>
      <c r="I2988" s="10">
        <f>IF(AND(D2988="",C2988="",F2988=""),"",IF(G2988&lt;&gt;"","Void",IF(F2988="","Needs child",IF(H2988="","Child not found",IF(OR(B2988="",NOT(ISNUMBER(C2988))),"Needs month/pages","OK")))))</f>
        <v/>
      </c>
      <c r="J2988" s="10">
        <f>IF(I2988="","",IF(I2988="OK",IF(COUNTIFS(H2989:H$3001,H2988,B2989:B$3001,B2988,G2989:G$3001,"")=0,C2988,0),0))</f>
        <v/>
      </c>
    </row>
    <row r="2989">
      <c r="A2989" s="6" t="n"/>
      <c r="B2989" s="9" t="n"/>
      <c r="C2989" s="6" t="n"/>
      <c r="D2989" s="6" t="n"/>
      <c r="E2989" s="6" t="n"/>
      <c r="F2989" s="6" t="n"/>
      <c r="G2989" s="6" t="n"/>
      <c r="H2989" s="10">
        <f>IF(F2989="","",IFERROR(INDEX(Roster!$A$2:$A$600,MATCH(F2989,Roster!$E$2:$E$600,0)),""))</f>
        <v/>
      </c>
      <c r="I2989" s="10">
        <f>IF(AND(D2989="",C2989="",F2989=""),"",IF(G2989&lt;&gt;"","Void",IF(F2989="","Needs child",IF(H2989="","Child not found",IF(OR(B2989="",NOT(ISNUMBER(C2989))),"Needs month/pages","OK")))))</f>
        <v/>
      </c>
      <c r="J2989" s="10">
        <f>IF(I2989="","",IF(I2989="OK",IF(COUNTIFS(H2990:H$3001,H2989,B2990:B$3001,B2989,G2990:G$3001,"")=0,C2989,0),0))</f>
        <v/>
      </c>
    </row>
    <row r="2990">
      <c r="A2990" s="6" t="n"/>
      <c r="B2990" s="9" t="n"/>
      <c r="C2990" s="6" t="n"/>
      <c r="D2990" s="6" t="n"/>
      <c r="E2990" s="6" t="n"/>
      <c r="F2990" s="6" t="n"/>
      <c r="G2990" s="6" t="n"/>
      <c r="H2990" s="10">
        <f>IF(F2990="","",IFERROR(INDEX(Roster!$A$2:$A$600,MATCH(F2990,Roster!$E$2:$E$600,0)),""))</f>
        <v/>
      </c>
      <c r="I2990" s="10">
        <f>IF(AND(D2990="",C2990="",F2990=""),"",IF(G2990&lt;&gt;"","Void",IF(F2990="","Needs child",IF(H2990="","Child not found",IF(OR(B2990="",NOT(ISNUMBER(C2990))),"Needs month/pages","OK")))))</f>
        <v/>
      </c>
      <c r="J2990" s="10">
        <f>IF(I2990="","",IF(I2990="OK",IF(COUNTIFS(H2991:H$3001,H2990,B2991:B$3001,B2990,G2991:G$3001,"")=0,C2990,0),0))</f>
        <v/>
      </c>
    </row>
    <row r="2991">
      <c r="A2991" s="6" t="n"/>
      <c r="B2991" s="9" t="n"/>
      <c r="C2991" s="6" t="n"/>
      <c r="D2991" s="6" t="n"/>
      <c r="E2991" s="6" t="n"/>
      <c r="F2991" s="6" t="n"/>
      <c r="G2991" s="6" t="n"/>
      <c r="H2991" s="10">
        <f>IF(F2991="","",IFERROR(INDEX(Roster!$A$2:$A$600,MATCH(F2991,Roster!$E$2:$E$600,0)),""))</f>
        <v/>
      </c>
      <c r="I2991" s="10">
        <f>IF(AND(D2991="",C2991="",F2991=""),"",IF(G2991&lt;&gt;"","Void",IF(F2991="","Needs child",IF(H2991="","Child not found",IF(OR(B2991="",NOT(ISNUMBER(C2991))),"Needs month/pages","OK")))))</f>
        <v/>
      </c>
      <c r="J2991" s="10">
        <f>IF(I2991="","",IF(I2991="OK",IF(COUNTIFS(H2992:H$3001,H2991,B2992:B$3001,B2991,G2992:G$3001,"")=0,C2991,0),0))</f>
        <v/>
      </c>
    </row>
    <row r="2992">
      <c r="A2992" s="6" t="n"/>
      <c r="B2992" s="9" t="n"/>
      <c r="C2992" s="6" t="n"/>
      <c r="D2992" s="6" t="n"/>
      <c r="E2992" s="6" t="n"/>
      <c r="F2992" s="6" t="n"/>
      <c r="G2992" s="6" t="n"/>
      <c r="H2992" s="10">
        <f>IF(F2992="","",IFERROR(INDEX(Roster!$A$2:$A$600,MATCH(F2992,Roster!$E$2:$E$600,0)),""))</f>
        <v/>
      </c>
      <c r="I2992" s="10">
        <f>IF(AND(D2992="",C2992="",F2992=""),"",IF(G2992&lt;&gt;"","Void",IF(F2992="","Needs child",IF(H2992="","Child not found",IF(OR(B2992="",NOT(ISNUMBER(C2992))),"Needs month/pages","OK")))))</f>
        <v/>
      </c>
      <c r="J2992" s="10">
        <f>IF(I2992="","",IF(I2992="OK",IF(COUNTIFS(H2993:H$3001,H2992,B2993:B$3001,B2992,G2993:G$3001,"")=0,C2992,0),0))</f>
        <v/>
      </c>
    </row>
    <row r="2993">
      <c r="A2993" s="6" t="n"/>
      <c r="B2993" s="9" t="n"/>
      <c r="C2993" s="6" t="n"/>
      <c r="D2993" s="6" t="n"/>
      <c r="E2993" s="6" t="n"/>
      <c r="F2993" s="6" t="n"/>
      <c r="G2993" s="6" t="n"/>
      <c r="H2993" s="10">
        <f>IF(F2993="","",IFERROR(INDEX(Roster!$A$2:$A$600,MATCH(F2993,Roster!$E$2:$E$600,0)),""))</f>
        <v/>
      </c>
      <c r="I2993" s="10">
        <f>IF(AND(D2993="",C2993="",F2993=""),"",IF(G2993&lt;&gt;"","Void",IF(F2993="","Needs child",IF(H2993="","Child not found",IF(OR(B2993="",NOT(ISNUMBER(C2993))),"Needs month/pages","OK")))))</f>
        <v/>
      </c>
      <c r="J2993" s="10">
        <f>IF(I2993="","",IF(I2993="OK",IF(COUNTIFS(H2994:H$3001,H2993,B2994:B$3001,B2993,G2994:G$3001,"")=0,C2993,0),0))</f>
        <v/>
      </c>
    </row>
    <row r="2994">
      <c r="A2994" s="6" t="n"/>
      <c r="B2994" s="9" t="n"/>
      <c r="C2994" s="6" t="n"/>
      <c r="D2994" s="6" t="n"/>
      <c r="E2994" s="6" t="n"/>
      <c r="F2994" s="6" t="n"/>
      <c r="G2994" s="6" t="n"/>
      <c r="H2994" s="10">
        <f>IF(F2994="","",IFERROR(INDEX(Roster!$A$2:$A$600,MATCH(F2994,Roster!$E$2:$E$600,0)),""))</f>
        <v/>
      </c>
      <c r="I2994" s="10">
        <f>IF(AND(D2994="",C2994="",F2994=""),"",IF(G2994&lt;&gt;"","Void",IF(F2994="","Needs child",IF(H2994="","Child not found",IF(OR(B2994="",NOT(ISNUMBER(C2994))),"Needs month/pages","OK")))))</f>
        <v/>
      </c>
      <c r="J2994" s="10">
        <f>IF(I2994="","",IF(I2994="OK",IF(COUNTIFS(H2995:H$3001,H2994,B2995:B$3001,B2994,G2995:G$3001,"")=0,C2994,0),0))</f>
        <v/>
      </c>
    </row>
    <row r="2995">
      <c r="A2995" s="6" t="n"/>
      <c r="B2995" s="9" t="n"/>
      <c r="C2995" s="6" t="n"/>
      <c r="D2995" s="6" t="n"/>
      <c r="E2995" s="6" t="n"/>
      <c r="F2995" s="6" t="n"/>
      <c r="G2995" s="6" t="n"/>
      <c r="H2995" s="10">
        <f>IF(F2995="","",IFERROR(INDEX(Roster!$A$2:$A$600,MATCH(F2995,Roster!$E$2:$E$600,0)),""))</f>
        <v/>
      </c>
      <c r="I2995" s="10">
        <f>IF(AND(D2995="",C2995="",F2995=""),"",IF(G2995&lt;&gt;"","Void",IF(F2995="","Needs child",IF(H2995="","Child not found",IF(OR(B2995="",NOT(ISNUMBER(C2995))),"Needs month/pages","OK")))))</f>
        <v/>
      </c>
      <c r="J2995" s="10">
        <f>IF(I2995="","",IF(I2995="OK",IF(COUNTIFS(H2996:H$3001,H2995,B2996:B$3001,B2995,G2996:G$3001,"")=0,C2995,0),0))</f>
        <v/>
      </c>
    </row>
    <row r="2996">
      <c r="A2996" s="6" t="n"/>
      <c r="B2996" s="9" t="n"/>
      <c r="C2996" s="6" t="n"/>
      <c r="D2996" s="6" t="n"/>
      <c r="E2996" s="6" t="n"/>
      <c r="F2996" s="6" t="n"/>
      <c r="G2996" s="6" t="n"/>
      <c r="H2996" s="10">
        <f>IF(F2996="","",IFERROR(INDEX(Roster!$A$2:$A$600,MATCH(F2996,Roster!$E$2:$E$600,0)),""))</f>
        <v/>
      </c>
      <c r="I2996" s="10">
        <f>IF(AND(D2996="",C2996="",F2996=""),"",IF(G2996&lt;&gt;"","Void",IF(F2996="","Needs child",IF(H2996="","Child not found",IF(OR(B2996="",NOT(ISNUMBER(C2996))),"Needs month/pages","OK")))))</f>
        <v/>
      </c>
      <c r="J2996" s="10">
        <f>IF(I2996="","",IF(I2996="OK",IF(COUNTIFS(H2997:H$3001,H2996,B2997:B$3001,B2996,G2997:G$3001,"")=0,C2996,0),0))</f>
        <v/>
      </c>
    </row>
    <row r="2997">
      <c r="A2997" s="6" t="n"/>
      <c r="B2997" s="9" t="n"/>
      <c r="C2997" s="6" t="n"/>
      <c r="D2997" s="6" t="n"/>
      <c r="E2997" s="6" t="n"/>
      <c r="F2997" s="6" t="n"/>
      <c r="G2997" s="6" t="n"/>
      <c r="H2997" s="10">
        <f>IF(F2997="","",IFERROR(INDEX(Roster!$A$2:$A$600,MATCH(F2997,Roster!$E$2:$E$600,0)),""))</f>
        <v/>
      </c>
      <c r="I2997" s="10">
        <f>IF(AND(D2997="",C2997="",F2997=""),"",IF(G2997&lt;&gt;"","Void",IF(F2997="","Needs child",IF(H2997="","Child not found",IF(OR(B2997="",NOT(ISNUMBER(C2997))),"Needs month/pages","OK")))))</f>
        <v/>
      </c>
      <c r="J2997" s="10">
        <f>IF(I2997="","",IF(I2997="OK",IF(COUNTIFS(H2998:H$3001,H2997,B2998:B$3001,B2997,G2998:G$3001,"")=0,C2997,0),0))</f>
        <v/>
      </c>
    </row>
    <row r="2998">
      <c r="A2998" s="6" t="n"/>
      <c r="B2998" s="9" t="n"/>
      <c r="C2998" s="6" t="n"/>
      <c r="D2998" s="6" t="n"/>
      <c r="E2998" s="6" t="n"/>
      <c r="F2998" s="6" t="n"/>
      <c r="G2998" s="6" t="n"/>
      <c r="H2998" s="10">
        <f>IF(F2998="","",IFERROR(INDEX(Roster!$A$2:$A$600,MATCH(F2998,Roster!$E$2:$E$600,0)),""))</f>
        <v/>
      </c>
      <c r="I2998" s="10">
        <f>IF(AND(D2998="",C2998="",F2998=""),"",IF(G2998&lt;&gt;"","Void",IF(F2998="","Needs child",IF(H2998="","Child not found",IF(OR(B2998="",NOT(ISNUMBER(C2998))),"Needs month/pages","OK")))))</f>
        <v/>
      </c>
      <c r="J2998" s="10">
        <f>IF(I2998="","",IF(I2998="OK",IF(COUNTIFS(H2999:H$3001,H2998,B2999:B$3001,B2998,G2999:G$3001,"")=0,C2998,0),0))</f>
        <v/>
      </c>
    </row>
    <row r="2999">
      <c r="A2999" s="6" t="n"/>
      <c r="B2999" s="9" t="n"/>
      <c r="C2999" s="6" t="n"/>
      <c r="D2999" s="6" t="n"/>
      <c r="E2999" s="6" t="n"/>
      <c r="F2999" s="6" t="n"/>
      <c r="G2999" s="6" t="n"/>
      <c r="H2999" s="10">
        <f>IF(F2999="","",IFERROR(INDEX(Roster!$A$2:$A$600,MATCH(F2999,Roster!$E$2:$E$600,0)),""))</f>
        <v/>
      </c>
      <c r="I2999" s="10">
        <f>IF(AND(D2999="",C2999="",F2999=""),"",IF(G2999&lt;&gt;"","Void",IF(F2999="","Needs child",IF(H2999="","Child not found",IF(OR(B2999="",NOT(ISNUMBER(C2999))),"Needs month/pages","OK")))))</f>
        <v/>
      </c>
      <c r="J2999" s="10">
        <f>IF(I2999="","",IF(I2999="OK",IF(COUNTIFS(H3000:H$3001,H2999,B3000:B$3001,B2999,G3000:G$3001,"")=0,C2999,0),0))</f>
        <v/>
      </c>
    </row>
    <row r="3000">
      <c r="A3000" s="6" t="n"/>
      <c r="B3000" s="9" t="n"/>
      <c r="C3000" s="6" t="n"/>
      <c r="D3000" s="6" t="n"/>
      <c r="E3000" s="6" t="n"/>
      <c r="F3000" s="6" t="n"/>
      <c r="G3000" s="6" t="n"/>
      <c r="H3000" s="10">
        <f>IF(F3000="","",IFERROR(INDEX(Roster!$A$2:$A$600,MATCH(F3000,Roster!$E$2:$E$600,0)),""))</f>
        <v/>
      </c>
      <c r="I3000" s="10">
        <f>IF(AND(D3000="",C3000="",F3000=""),"",IF(G3000&lt;&gt;"","Void",IF(F3000="","Needs child",IF(H3000="","Child not found",IF(OR(B3000="",NOT(ISNUMBER(C3000))),"Needs month/pages","OK")))))</f>
        <v/>
      </c>
      <c r="J3000" s="10">
        <f>IF(I3000="","",IF(I3000="OK",IF(COUNTIFS(H3001:H$3001,H3000,B3001:B$3001,B3000,G3001:G$3001,"")=0,C3000,0),0))</f>
        <v/>
      </c>
    </row>
  </sheetData>
  <conditionalFormatting sqref="A2:J3000">
    <cfRule type="expression" priority="1" dxfId="0">
      <formula>OR($I2="Needs child",$I2="Child not found",$I2="Needs month/pages")</formula>
    </cfRule>
    <cfRule type="expression" priority="2" dxfId="1">
      <formula>$I2="Void"</formula>
    </cfRule>
  </conditionalFormatting>
  <dataValidations count="3">
    <dataValidation sqref="B2:B3000" showDropDown="0" showInputMessage="0" showErrorMessage="1" allowBlank="1" type="list" errorStyle="stop">
      <formula1>"2026-09,2026-10,2026-11,2026-12,2027-01,2027-02,2027-03,2027-04,2027-05,2027-06"</formula1>
    </dataValidation>
    <dataValidation sqref="F2:F3000" showDropDown="0" showInputMessage="0" showErrorMessage="1" allowBlank="1" type="list" errorStyle="stop">
      <formula1>=Roster!$E$2:$E$600</formula1>
    </dataValidation>
    <dataValidation sqref="G2:G3000" showDropDown="0" showInputMessage="0" showErrorMessage="1" allowBlank="1" type="list" errorStyle="stop">
      <formula1>"x"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1" customWidth="1" min="4" max="4"/>
    <col width="10" customWidth="1" min="5" max="5"/>
    <col width="38" customWidth="1" min="6" max="6"/>
    <col width="8" customWidth="1" min="7" max="7"/>
    <col width="18" customWidth="1" min="8" max="8"/>
  </cols>
  <sheetData>
    <row r="1" ht="32" customHeight="1">
      <c r="A1" s="8" t="inlineStr">
        <is>
          <t>Given on</t>
        </is>
      </c>
      <c r="B1" s="8" t="inlineStr">
        <is>
          <t>Child</t>
        </is>
      </c>
      <c r="C1" s="8" t="inlineStr">
        <is>
          <t>Level</t>
        </is>
      </c>
      <c r="D1" s="8" t="inlineStr">
        <is>
          <t>Threshold</t>
        </is>
      </c>
      <c r="E1" s="8" t="inlineStr">
        <is>
          <t>Child ID</t>
        </is>
      </c>
      <c r="F1" s="8" t="inlineStr">
        <is>
          <t>Prize</t>
        </is>
      </c>
      <c r="G1" s="8" t="inlineStr">
        <is>
          <t>Void (x)</t>
        </is>
      </c>
      <c r="H1" s="8" t="inlineStr">
        <is>
          <t>Status</t>
        </is>
      </c>
    </row>
    <row r="2">
      <c r="A2" s="6" t="n"/>
      <c r="B2" s="6" t="n"/>
      <c r="C2" s="6" t="n"/>
      <c r="D2" s="11">
        <f>IF(C2="","",IFERROR(INDEX(Levels!$A$2:$A$30,MATCH(C2,Levels!$B$2:$B$30,0)),""))</f>
        <v/>
      </c>
      <c r="E2" s="10">
        <f>IF(B2="","",IFERROR(INDEX(Roster!$A$2:$A$600,MATCH(B2,Roster!$E$2:$E$600,0)),""))</f>
        <v/>
      </c>
      <c r="F2" s="10">
        <f>IF(C2="","",IFERROR(INDEX(Levels!$C$2:$C$30,MATCH(C2,Levels!$B$2:$B$30,0)),""))</f>
        <v/>
      </c>
      <c r="G2" s="6" t="n"/>
      <c r="H2" s="10">
        <f>IF(AND(B2="",C2=""),"",IF(G2&lt;&gt;"","Void",IF(OR(B2="",E2=""),"Needs child",IF(D2="","Needs level","OK"))))</f>
        <v/>
      </c>
    </row>
    <row r="3">
      <c r="A3" s="6" t="n"/>
      <c r="B3" s="6" t="n"/>
      <c r="C3" s="6" t="n"/>
      <c r="D3" s="11">
        <f>IF(C3="","",IFERROR(INDEX(Levels!$A$2:$A$30,MATCH(C3,Levels!$B$2:$B$30,0)),""))</f>
        <v/>
      </c>
      <c r="E3" s="10">
        <f>IF(B3="","",IFERROR(INDEX(Roster!$A$2:$A$600,MATCH(B3,Roster!$E$2:$E$600,0)),""))</f>
        <v/>
      </c>
      <c r="F3" s="10">
        <f>IF(C3="","",IFERROR(INDEX(Levels!$C$2:$C$30,MATCH(C3,Levels!$B$2:$B$30,0)),""))</f>
        <v/>
      </c>
      <c r="G3" s="6" t="n"/>
      <c r="H3" s="10">
        <f>IF(AND(B3="",C3=""),"",IF(G3&lt;&gt;"","Void",IF(OR(B3="",E3=""),"Needs child",IF(D3="","Needs level","OK"))))</f>
        <v/>
      </c>
    </row>
    <row r="4">
      <c r="A4" s="6" t="n"/>
      <c r="B4" s="6" t="n"/>
      <c r="C4" s="6" t="n"/>
      <c r="D4" s="11">
        <f>IF(C4="","",IFERROR(INDEX(Levels!$A$2:$A$30,MATCH(C4,Levels!$B$2:$B$30,0)),""))</f>
        <v/>
      </c>
      <c r="E4" s="10">
        <f>IF(B4="","",IFERROR(INDEX(Roster!$A$2:$A$600,MATCH(B4,Roster!$E$2:$E$600,0)),""))</f>
        <v/>
      </c>
      <c r="F4" s="10">
        <f>IF(C4="","",IFERROR(INDEX(Levels!$C$2:$C$30,MATCH(C4,Levels!$B$2:$B$30,0)),""))</f>
        <v/>
      </c>
      <c r="G4" s="6" t="n"/>
      <c r="H4" s="10">
        <f>IF(AND(B4="",C4=""),"",IF(G4&lt;&gt;"","Void",IF(OR(B4="",E4=""),"Needs child",IF(D4="","Needs level","OK"))))</f>
        <v/>
      </c>
    </row>
    <row r="5">
      <c r="A5" s="6" t="n"/>
      <c r="B5" s="6" t="n"/>
      <c r="C5" s="6" t="n"/>
      <c r="D5" s="11">
        <f>IF(C5="","",IFERROR(INDEX(Levels!$A$2:$A$30,MATCH(C5,Levels!$B$2:$B$30,0)),""))</f>
        <v/>
      </c>
      <c r="E5" s="10">
        <f>IF(B5="","",IFERROR(INDEX(Roster!$A$2:$A$600,MATCH(B5,Roster!$E$2:$E$600,0)),""))</f>
        <v/>
      </c>
      <c r="F5" s="10">
        <f>IF(C5="","",IFERROR(INDEX(Levels!$C$2:$C$30,MATCH(C5,Levels!$B$2:$B$30,0)),""))</f>
        <v/>
      </c>
      <c r="G5" s="6" t="n"/>
      <c r="H5" s="10">
        <f>IF(AND(B5="",C5=""),"",IF(G5&lt;&gt;"","Void",IF(OR(B5="",E5=""),"Needs child",IF(D5="","Needs level","OK"))))</f>
        <v/>
      </c>
    </row>
    <row r="6">
      <c r="A6" s="6" t="n"/>
      <c r="B6" s="6" t="n"/>
      <c r="C6" s="6" t="n"/>
      <c r="D6" s="11">
        <f>IF(C6="","",IFERROR(INDEX(Levels!$A$2:$A$30,MATCH(C6,Levels!$B$2:$B$30,0)),""))</f>
        <v/>
      </c>
      <c r="E6" s="10">
        <f>IF(B6="","",IFERROR(INDEX(Roster!$A$2:$A$600,MATCH(B6,Roster!$E$2:$E$600,0)),""))</f>
        <v/>
      </c>
      <c r="F6" s="10">
        <f>IF(C6="","",IFERROR(INDEX(Levels!$C$2:$C$30,MATCH(C6,Levels!$B$2:$B$30,0)),""))</f>
        <v/>
      </c>
      <c r="G6" s="6" t="n"/>
      <c r="H6" s="10">
        <f>IF(AND(B6="",C6=""),"",IF(G6&lt;&gt;"","Void",IF(OR(B6="",E6=""),"Needs child",IF(D6="","Needs level","OK"))))</f>
        <v/>
      </c>
    </row>
    <row r="7">
      <c r="A7" s="6" t="n"/>
      <c r="B7" s="6" t="n"/>
      <c r="C7" s="6" t="n"/>
      <c r="D7" s="11">
        <f>IF(C7="","",IFERROR(INDEX(Levels!$A$2:$A$30,MATCH(C7,Levels!$B$2:$B$30,0)),""))</f>
        <v/>
      </c>
      <c r="E7" s="10">
        <f>IF(B7="","",IFERROR(INDEX(Roster!$A$2:$A$600,MATCH(B7,Roster!$E$2:$E$600,0)),""))</f>
        <v/>
      </c>
      <c r="F7" s="10">
        <f>IF(C7="","",IFERROR(INDEX(Levels!$C$2:$C$30,MATCH(C7,Levels!$B$2:$B$30,0)),""))</f>
        <v/>
      </c>
      <c r="G7" s="6" t="n"/>
      <c r="H7" s="10">
        <f>IF(AND(B7="",C7=""),"",IF(G7&lt;&gt;"","Void",IF(OR(B7="",E7=""),"Needs child",IF(D7="","Needs level","OK"))))</f>
        <v/>
      </c>
    </row>
    <row r="8">
      <c r="A8" s="6" t="n"/>
      <c r="B8" s="6" t="n"/>
      <c r="C8" s="6" t="n"/>
      <c r="D8" s="11">
        <f>IF(C8="","",IFERROR(INDEX(Levels!$A$2:$A$30,MATCH(C8,Levels!$B$2:$B$30,0)),""))</f>
        <v/>
      </c>
      <c r="E8" s="10">
        <f>IF(B8="","",IFERROR(INDEX(Roster!$A$2:$A$600,MATCH(B8,Roster!$E$2:$E$600,0)),""))</f>
        <v/>
      </c>
      <c r="F8" s="10">
        <f>IF(C8="","",IFERROR(INDEX(Levels!$C$2:$C$30,MATCH(C8,Levels!$B$2:$B$30,0)),""))</f>
        <v/>
      </c>
      <c r="G8" s="6" t="n"/>
      <c r="H8" s="10">
        <f>IF(AND(B8="",C8=""),"",IF(G8&lt;&gt;"","Void",IF(OR(B8="",E8=""),"Needs child",IF(D8="","Needs level","OK"))))</f>
        <v/>
      </c>
    </row>
    <row r="9">
      <c r="A9" s="6" t="n"/>
      <c r="B9" s="6" t="n"/>
      <c r="C9" s="6" t="n"/>
      <c r="D9" s="11">
        <f>IF(C9="","",IFERROR(INDEX(Levels!$A$2:$A$30,MATCH(C9,Levels!$B$2:$B$30,0)),""))</f>
        <v/>
      </c>
      <c r="E9" s="10">
        <f>IF(B9="","",IFERROR(INDEX(Roster!$A$2:$A$600,MATCH(B9,Roster!$E$2:$E$600,0)),""))</f>
        <v/>
      </c>
      <c r="F9" s="10">
        <f>IF(C9="","",IFERROR(INDEX(Levels!$C$2:$C$30,MATCH(C9,Levels!$B$2:$B$30,0)),""))</f>
        <v/>
      </c>
      <c r="G9" s="6" t="n"/>
      <c r="H9" s="10">
        <f>IF(AND(B9="",C9=""),"",IF(G9&lt;&gt;"","Void",IF(OR(B9="",E9=""),"Needs child",IF(D9="","Needs level","OK"))))</f>
        <v/>
      </c>
    </row>
    <row r="10">
      <c r="A10" s="6" t="n"/>
      <c r="B10" s="6" t="n"/>
      <c r="C10" s="6" t="n"/>
      <c r="D10" s="11">
        <f>IF(C10="","",IFERROR(INDEX(Levels!$A$2:$A$30,MATCH(C10,Levels!$B$2:$B$30,0)),""))</f>
        <v/>
      </c>
      <c r="E10" s="10">
        <f>IF(B10="","",IFERROR(INDEX(Roster!$A$2:$A$600,MATCH(B10,Roster!$E$2:$E$600,0)),""))</f>
        <v/>
      </c>
      <c r="F10" s="10">
        <f>IF(C10="","",IFERROR(INDEX(Levels!$C$2:$C$30,MATCH(C10,Levels!$B$2:$B$30,0)),""))</f>
        <v/>
      </c>
      <c r="G10" s="6" t="n"/>
      <c r="H10" s="10">
        <f>IF(AND(B10="",C10=""),"",IF(G10&lt;&gt;"","Void",IF(OR(B10="",E10=""),"Needs child",IF(D10="","Needs level","OK"))))</f>
        <v/>
      </c>
    </row>
    <row r="11">
      <c r="A11" s="6" t="n"/>
      <c r="B11" s="6" t="n"/>
      <c r="C11" s="6" t="n"/>
      <c r="D11" s="11">
        <f>IF(C11="","",IFERROR(INDEX(Levels!$A$2:$A$30,MATCH(C11,Levels!$B$2:$B$30,0)),""))</f>
        <v/>
      </c>
      <c r="E11" s="10">
        <f>IF(B11="","",IFERROR(INDEX(Roster!$A$2:$A$600,MATCH(B11,Roster!$E$2:$E$600,0)),""))</f>
        <v/>
      </c>
      <c r="F11" s="10">
        <f>IF(C11="","",IFERROR(INDEX(Levels!$C$2:$C$30,MATCH(C11,Levels!$B$2:$B$30,0)),""))</f>
        <v/>
      </c>
      <c r="G11" s="6" t="n"/>
      <c r="H11" s="10">
        <f>IF(AND(B11="",C11=""),"",IF(G11&lt;&gt;"","Void",IF(OR(B11="",E11=""),"Needs child",IF(D11="","Needs level","OK"))))</f>
        <v/>
      </c>
    </row>
    <row r="12">
      <c r="A12" s="6" t="n"/>
      <c r="B12" s="6" t="n"/>
      <c r="C12" s="6" t="n"/>
      <c r="D12" s="11">
        <f>IF(C12="","",IFERROR(INDEX(Levels!$A$2:$A$30,MATCH(C12,Levels!$B$2:$B$30,0)),""))</f>
        <v/>
      </c>
      <c r="E12" s="10">
        <f>IF(B12="","",IFERROR(INDEX(Roster!$A$2:$A$600,MATCH(B12,Roster!$E$2:$E$600,0)),""))</f>
        <v/>
      </c>
      <c r="F12" s="10">
        <f>IF(C12="","",IFERROR(INDEX(Levels!$C$2:$C$30,MATCH(C12,Levels!$B$2:$B$30,0)),""))</f>
        <v/>
      </c>
      <c r="G12" s="6" t="n"/>
      <c r="H12" s="10">
        <f>IF(AND(B12="",C12=""),"",IF(G12&lt;&gt;"","Void",IF(OR(B12="",E12=""),"Needs child",IF(D12="","Needs level","OK"))))</f>
        <v/>
      </c>
    </row>
    <row r="13">
      <c r="A13" s="6" t="n"/>
      <c r="B13" s="6" t="n"/>
      <c r="C13" s="6" t="n"/>
      <c r="D13" s="11">
        <f>IF(C13="","",IFERROR(INDEX(Levels!$A$2:$A$30,MATCH(C13,Levels!$B$2:$B$30,0)),""))</f>
        <v/>
      </c>
      <c r="E13" s="10">
        <f>IF(B13="","",IFERROR(INDEX(Roster!$A$2:$A$600,MATCH(B13,Roster!$E$2:$E$600,0)),""))</f>
        <v/>
      </c>
      <c r="F13" s="10">
        <f>IF(C13="","",IFERROR(INDEX(Levels!$C$2:$C$30,MATCH(C13,Levels!$B$2:$B$30,0)),""))</f>
        <v/>
      </c>
      <c r="G13" s="6" t="n"/>
      <c r="H13" s="10">
        <f>IF(AND(B13="",C13=""),"",IF(G13&lt;&gt;"","Void",IF(OR(B13="",E13=""),"Needs child",IF(D13="","Needs level","OK"))))</f>
        <v/>
      </c>
    </row>
    <row r="14">
      <c r="A14" s="6" t="n"/>
      <c r="B14" s="6" t="n"/>
      <c r="C14" s="6" t="n"/>
      <c r="D14" s="11">
        <f>IF(C14="","",IFERROR(INDEX(Levels!$A$2:$A$30,MATCH(C14,Levels!$B$2:$B$30,0)),""))</f>
        <v/>
      </c>
      <c r="E14" s="10">
        <f>IF(B14="","",IFERROR(INDEX(Roster!$A$2:$A$600,MATCH(B14,Roster!$E$2:$E$600,0)),""))</f>
        <v/>
      </c>
      <c r="F14" s="10">
        <f>IF(C14="","",IFERROR(INDEX(Levels!$C$2:$C$30,MATCH(C14,Levels!$B$2:$B$30,0)),""))</f>
        <v/>
      </c>
      <c r="G14" s="6" t="n"/>
      <c r="H14" s="10">
        <f>IF(AND(B14="",C14=""),"",IF(G14&lt;&gt;"","Void",IF(OR(B14="",E14=""),"Needs child",IF(D14="","Needs level","OK"))))</f>
        <v/>
      </c>
    </row>
    <row r="15">
      <c r="A15" s="6" t="n"/>
      <c r="B15" s="6" t="n"/>
      <c r="C15" s="6" t="n"/>
      <c r="D15" s="11">
        <f>IF(C15="","",IFERROR(INDEX(Levels!$A$2:$A$30,MATCH(C15,Levels!$B$2:$B$30,0)),""))</f>
        <v/>
      </c>
      <c r="E15" s="10">
        <f>IF(B15="","",IFERROR(INDEX(Roster!$A$2:$A$600,MATCH(B15,Roster!$E$2:$E$600,0)),""))</f>
        <v/>
      </c>
      <c r="F15" s="10">
        <f>IF(C15="","",IFERROR(INDEX(Levels!$C$2:$C$30,MATCH(C15,Levels!$B$2:$B$30,0)),""))</f>
        <v/>
      </c>
      <c r="G15" s="6" t="n"/>
      <c r="H15" s="10">
        <f>IF(AND(B15="",C15=""),"",IF(G15&lt;&gt;"","Void",IF(OR(B15="",E15=""),"Needs child",IF(D15="","Needs level","OK"))))</f>
        <v/>
      </c>
    </row>
    <row r="16">
      <c r="A16" s="6" t="n"/>
      <c r="B16" s="6" t="n"/>
      <c r="C16" s="6" t="n"/>
      <c r="D16" s="11">
        <f>IF(C16="","",IFERROR(INDEX(Levels!$A$2:$A$30,MATCH(C16,Levels!$B$2:$B$30,0)),""))</f>
        <v/>
      </c>
      <c r="E16" s="10">
        <f>IF(B16="","",IFERROR(INDEX(Roster!$A$2:$A$600,MATCH(B16,Roster!$E$2:$E$600,0)),""))</f>
        <v/>
      </c>
      <c r="F16" s="10">
        <f>IF(C16="","",IFERROR(INDEX(Levels!$C$2:$C$30,MATCH(C16,Levels!$B$2:$B$30,0)),""))</f>
        <v/>
      </c>
      <c r="G16" s="6" t="n"/>
      <c r="H16" s="10">
        <f>IF(AND(B16="",C16=""),"",IF(G16&lt;&gt;"","Void",IF(OR(B16="",E16=""),"Needs child",IF(D16="","Needs level","OK"))))</f>
        <v/>
      </c>
    </row>
    <row r="17">
      <c r="A17" s="6" t="n"/>
      <c r="B17" s="6" t="n"/>
      <c r="C17" s="6" t="n"/>
      <c r="D17" s="11">
        <f>IF(C17="","",IFERROR(INDEX(Levels!$A$2:$A$30,MATCH(C17,Levels!$B$2:$B$30,0)),""))</f>
        <v/>
      </c>
      <c r="E17" s="10">
        <f>IF(B17="","",IFERROR(INDEX(Roster!$A$2:$A$600,MATCH(B17,Roster!$E$2:$E$600,0)),""))</f>
        <v/>
      </c>
      <c r="F17" s="10">
        <f>IF(C17="","",IFERROR(INDEX(Levels!$C$2:$C$30,MATCH(C17,Levels!$B$2:$B$30,0)),""))</f>
        <v/>
      </c>
      <c r="G17" s="6" t="n"/>
      <c r="H17" s="10">
        <f>IF(AND(B17="",C17=""),"",IF(G17&lt;&gt;"","Void",IF(OR(B17="",E17=""),"Needs child",IF(D17="","Needs level","OK"))))</f>
        <v/>
      </c>
    </row>
    <row r="18">
      <c r="A18" s="6" t="n"/>
      <c r="B18" s="6" t="n"/>
      <c r="C18" s="6" t="n"/>
      <c r="D18" s="11">
        <f>IF(C18="","",IFERROR(INDEX(Levels!$A$2:$A$30,MATCH(C18,Levels!$B$2:$B$30,0)),""))</f>
        <v/>
      </c>
      <c r="E18" s="10">
        <f>IF(B18="","",IFERROR(INDEX(Roster!$A$2:$A$600,MATCH(B18,Roster!$E$2:$E$600,0)),""))</f>
        <v/>
      </c>
      <c r="F18" s="10">
        <f>IF(C18="","",IFERROR(INDEX(Levels!$C$2:$C$30,MATCH(C18,Levels!$B$2:$B$30,0)),""))</f>
        <v/>
      </c>
      <c r="G18" s="6" t="n"/>
      <c r="H18" s="10">
        <f>IF(AND(B18="",C18=""),"",IF(G18&lt;&gt;"","Void",IF(OR(B18="",E18=""),"Needs child",IF(D18="","Needs level","OK"))))</f>
        <v/>
      </c>
    </row>
    <row r="19">
      <c r="A19" s="6" t="n"/>
      <c r="B19" s="6" t="n"/>
      <c r="C19" s="6" t="n"/>
      <c r="D19" s="11">
        <f>IF(C19="","",IFERROR(INDEX(Levels!$A$2:$A$30,MATCH(C19,Levels!$B$2:$B$30,0)),""))</f>
        <v/>
      </c>
      <c r="E19" s="10">
        <f>IF(B19="","",IFERROR(INDEX(Roster!$A$2:$A$600,MATCH(B19,Roster!$E$2:$E$600,0)),""))</f>
        <v/>
      </c>
      <c r="F19" s="10">
        <f>IF(C19="","",IFERROR(INDEX(Levels!$C$2:$C$30,MATCH(C19,Levels!$B$2:$B$30,0)),""))</f>
        <v/>
      </c>
      <c r="G19" s="6" t="n"/>
      <c r="H19" s="10">
        <f>IF(AND(B19="",C19=""),"",IF(G19&lt;&gt;"","Void",IF(OR(B19="",E19=""),"Needs child",IF(D19="","Needs level","OK"))))</f>
        <v/>
      </c>
    </row>
    <row r="20">
      <c r="A20" s="6" t="n"/>
      <c r="B20" s="6" t="n"/>
      <c r="C20" s="6" t="n"/>
      <c r="D20" s="11">
        <f>IF(C20="","",IFERROR(INDEX(Levels!$A$2:$A$30,MATCH(C20,Levels!$B$2:$B$30,0)),""))</f>
        <v/>
      </c>
      <c r="E20" s="10">
        <f>IF(B20="","",IFERROR(INDEX(Roster!$A$2:$A$600,MATCH(B20,Roster!$E$2:$E$600,0)),""))</f>
        <v/>
      </c>
      <c r="F20" s="10">
        <f>IF(C20="","",IFERROR(INDEX(Levels!$C$2:$C$30,MATCH(C20,Levels!$B$2:$B$30,0)),""))</f>
        <v/>
      </c>
      <c r="G20" s="6" t="n"/>
      <c r="H20" s="10">
        <f>IF(AND(B20="",C20=""),"",IF(G20&lt;&gt;"","Void",IF(OR(B20="",E20=""),"Needs child",IF(D20="","Needs level","OK"))))</f>
        <v/>
      </c>
    </row>
    <row r="21">
      <c r="A21" s="6" t="n"/>
      <c r="B21" s="6" t="n"/>
      <c r="C21" s="6" t="n"/>
      <c r="D21" s="11">
        <f>IF(C21="","",IFERROR(INDEX(Levels!$A$2:$A$30,MATCH(C21,Levels!$B$2:$B$30,0)),""))</f>
        <v/>
      </c>
      <c r="E21" s="10">
        <f>IF(B21="","",IFERROR(INDEX(Roster!$A$2:$A$600,MATCH(B21,Roster!$E$2:$E$600,0)),""))</f>
        <v/>
      </c>
      <c r="F21" s="10">
        <f>IF(C21="","",IFERROR(INDEX(Levels!$C$2:$C$30,MATCH(C21,Levels!$B$2:$B$30,0)),""))</f>
        <v/>
      </c>
      <c r="G21" s="6" t="n"/>
      <c r="H21" s="10">
        <f>IF(AND(B21="",C21=""),"",IF(G21&lt;&gt;"","Void",IF(OR(B21="",E21=""),"Needs child",IF(D21="","Needs level","OK"))))</f>
        <v/>
      </c>
    </row>
    <row r="22">
      <c r="A22" s="6" t="n"/>
      <c r="B22" s="6" t="n"/>
      <c r="C22" s="6" t="n"/>
      <c r="D22" s="11">
        <f>IF(C22="","",IFERROR(INDEX(Levels!$A$2:$A$30,MATCH(C22,Levels!$B$2:$B$30,0)),""))</f>
        <v/>
      </c>
      <c r="E22" s="10">
        <f>IF(B22="","",IFERROR(INDEX(Roster!$A$2:$A$600,MATCH(B22,Roster!$E$2:$E$600,0)),""))</f>
        <v/>
      </c>
      <c r="F22" s="10">
        <f>IF(C22="","",IFERROR(INDEX(Levels!$C$2:$C$30,MATCH(C22,Levels!$B$2:$B$30,0)),""))</f>
        <v/>
      </c>
      <c r="G22" s="6" t="n"/>
      <c r="H22" s="10">
        <f>IF(AND(B22="",C22=""),"",IF(G22&lt;&gt;"","Void",IF(OR(B22="",E22=""),"Needs child",IF(D22="","Needs level","OK"))))</f>
        <v/>
      </c>
    </row>
    <row r="23">
      <c r="A23" s="6" t="n"/>
      <c r="B23" s="6" t="n"/>
      <c r="C23" s="6" t="n"/>
      <c r="D23" s="11">
        <f>IF(C23="","",IFERROR(INDEX(Levels!$A$2:$A$30,MATCH(C23,Levels!$B$2:$B$30,0)),""))</f>
        <v/>
      </c>
      <c r="E23" s="10">
        <f>IF(B23="","",IFERROR(INDEX(Roster!$A$2:$A$600,MATCH(B23,Roster!$E$2:$E$600,0)),""))</f>
        <v/>
      </c>
      <c r="F23" s="10">
        <f>IF(C23="","",IFERROR(INDEX(Levels!$C$2:$C$30,MATCH(C23,Levels!$B$2:$B$30,0)),""))</f>
        <v/>
      </c>
      <c r="G23" s="6" t="n"/>
      <c r="H23" s="10">
        <f>IF(AND(B23="",C23=""),"",IF(G23&lt;&gt;"","Void",IF(OR(B23="",E23=""),"Needs child",IF(D23="","Needs level","OK"))))</f>
        <v/>
      </c>
    </row>
    <row r="24">
      <c r="A24" s="6" t="n"/>
      <c r="B24" s="6" t="n"/>
      <c r="C24" s="6" t="n"/>
      <c r="D24" s="11">
        <f>IF(C24="","",IFERROR(INDEX(Levels!$A$2:$A$30,MATCH(C24,Levels!$B$2:$B$30,0)),""))</f>
        <v/>
      </c>
      <c r="E24" s="10">
        <f>IF(B24="","",IFERROR(INDEX(Roster!$A$2:$A$600,MATCH(B24,Roster!$E$2:$E$600,0)),""))</f>
        <v/>
      </c>
      <c r="F24" s="10">
        <f>IF(C24="","",IFERROR(INDEX(Levels!$C$2:$C$30,MATCH(C24,Levels!$B$2:$B$30,0)),""))</f>
        <v/>
      </c>
      <c r="G24" s="6" t="n"/>
      <c r="H24" s="10">
        <f>IF(AND(B24="",C24=""),"",IF(G24&lt;&gt;"","Void",IF(OR(B24="",E24=""),"Needs child",IF(D24="","Needs level","OK"))))</f>
        <v/>
      </c>
    </row>
    <row r="25">
      <c r="A25" s="6" t="n"/>
      <c r="B25" s="6" t="n"/>
      <c r="C25" s="6" t="n"/>
      <c r="D25" s="11">
        <f>IF(C25="","",IFERROR(INDEX(Levels!$A$2:$A$30,MATCH(C25,Levels!$B$2:$B$30,0)),""))</f>
        <v/>
      </c>
      <c r="E25" s="10">
        <f>IF(B25="","",IFERROR(INDEX(Roster!$A$2:$A$600,MATCH(B25,Roster!$E$2:$E$600,0)),""))</f>
        <v/>
      </c>
      <c r="F25" s="10">
        <f>IF(C25="","",IFERROR(INDEX(Levels!$C$2:$C$30,MATCH(C25,Levels!$B$2:$B$30,0)),""))</f>
        <v/>
      </c>
      <c r="G25" s="6" t="n"/>
      <c r="H25" s="10">
        <f>IF(AND(B25="",C25=""),"",IF(G25&lt;&gt;"","Void",IF(OR(B25="",E25=""),"Needs child",IF(D25="","Needs level","OK"))))</f>
        <v/>
      </c>
    </row>
    <row r="26">
      <c r="A26" s="6" t="n"/>
      <c r="B26" s="6" t="n"/>
      <c r="C26" s="6" t="n"/>
      <c r="D26" s="11">
        <f>IF(C26="","",IFERROR(INDEX(Levels!$A$2:$A$30,MATCH(C26,Levels!$B$2:$B$30,0)),""))</f>
        <v/>
      </c>
      <c r="E26" s="10">
        <f>IF(B26="","",IFERROR(INDEX(Roster!$A$2:$A$600,MATCH(B26,Roster!$E$2:$E$600,0)),""))</f>
        <v/>
      </c>
      <c r="F26" s="10">
        <f>IF(C26="","",IFERROR(INDEX(Levels!$C$2:$C$30,MATCH(C26,Levels!$B$2:$B$30,0)),""))</f>
        <v/>
      </c>
      <c r="G26" s="6" t="n"/>
      <c r="H26" s="10">
        <f>IF(AND(B26="",C26=""),"",IF(G26&lt;&gt;"","Void",IF(OR(B26="",E26=""),"Needs child",IF(D26="","Needs level","OK"))))</f>
        <v/>
      </c>
    </row>
    <row r="27">
      <c r="A27" s="6" t="n"/>
      <c r="B27" s="6" t="n"/>
      <c r="C27" s="6" t="n"/>
      <c r="D27" s="11">
        <f>IF(C27="","",IFERROR(INDEX(Levels!$A$2:$A$30,MATCH(C27,Levels!$B$2:$B$30,0)),""))</f>
        <v/>
      </c>
      <c r="E27" s="10">
        <f>IF(B27="","",IFERROR(INDEX(Roster!$A$2:$A$600,MATCH(B27,Roster!$E$2:$E$600,0)),""))</f>
        <v/>
      </c>
      <c r="F27" s="10">
        <f>IF(C27="","",IFERROR(INDEX(Levels!$C$2:$C$30,MATCH(C27,Levels!$B$2:$B$30,0)),""))</f>
        <v/>
      </c>
      <c r="G27" s="6" t="n"/>
      <c r="H27" s="10">
        <f>IF(AND(B27="",C27=""),"",IF(G27&lt;&gt;"","Void",IF(OR(B27="",E27=""),"Needs child",IF(D27="","Needs level","OK"))))</f>
        <v/>
      </c>
    </row>
    <row r="28">
      <c r="A28" s="6" t="n"/>
      <c r="B28" s="6" t="n"/>
      <c r="C28" s="6" t="n"/>
      <c r="D28" s="11">
        <f>IF(C28="","",IFERROR(INDEX(Levels!$A$2:$A$30,MATCH(C28,Levels!$B$2:$B$30,0)),""))</f>
        <v/>
      </c>
      <c r="E28" s="10">
        <f>IF(B28="","",IFERROR(INDEX(Roster!$A$2:$A$600,MATCH(B28,Roster!$E$2:$E$600,0)),""))</f>
        <v/>
      </c>
      <c r="F28" s="10">
        <f>IF(C28="","",IFERROR(INDEX(Levels!$C$2:$C$30,MATCH(C28,Levels!$B$2:$B$30,0)),""))</f>
        <v/>
      </c>
      <c r="G28" s="6" t="n"/>
      <c r="H28" s="10">
        <f>IF(AND(B28="",C28=""),"",IF(G28&lt;&gt;"","Void",IF(OR(B28="",E28=""),"Needs child",IF(D28="","Needs level","OK"))))</f>
        <v/>
      </c>
    </row>
    <row r="29">
      <c r="A29" s="6" t="n"/>
      <c r="B29" s="6" t="n"/>
      <c r="C29" s="6" t="n"/>
      <c r="D29" s="11">
        <f>IF(C29="","",IFERROR(INDEX(Levels!$A$2:$A$30,MATCH(C29,Levels!$B$2:$B$30,0)),""))</f>
        <v/>
      </c>
      <c r="E29" s="10">
        <f>IF(B29="","",IFERROR(INDEX(Roster!$A$2:$A$600,MATCH(B29,Roster!$E$2:$E$600,0)),""))</f>
        <v/>
      </c>
      <c r="F29" s="10">
        <f>IF(C29="","",IFERROR(INDEX(Levels!$C$2:$C$30,MATCH(C29,Levels!$B$2:$B$30,0)),""))</f>
        <v/>
      </c>
      <c r="G29" s="6" t="n"/>
      <c r="H29" s="10">
        <f>IF(AND(B29="",C29=""),"",IF(G29&lt;&gt;"","Void",IF(OR(B29="",E29=""),"Needs child",IF(D29="","Needs level","OK"))))</f>
        <v/>
      </c>
    </row>
    <row r="30">
      <c r="A30" s="6" t="n"/>
      <c r="B30" s="6" t="n"/>
      <c r="C30" s="6" t="n"/>
      <c r="D30" s="11">
        <f>IF(C30="","",IFERROR(INDEX(Levels!$A$2:$A$30,MATCH(C30,Levels!$B$2:$B$30,0)),""))</f>
        <v/>
      </c>
      <c r="E30" s="10">
        <f>IF(B30="","",IFERROR(INDEX(Roster!$A$2:$A$600,MATCH(B30,Roster!$E$2:$E$600,0)),""))</f>
        <v/>
      </c>
      <c r="F30" s="10">
        <f>IF(C30="","",IFERROR(INDEX(Levels!$C$2:$C$30,MATCH(C30,Levels!$B$2:$B$30,0)),""))</f>
        <v/>
      </c>
      <c r="G30" s="6" t="n"/>
      <c r="H30" s="10">
        <f>IF(AND(B30="",C30=""),"",IF(G30&lt;&gt;"","Void",IF(OR(B30="",E30=""),"Needs child",IF(D30="","Needs level","OK"))))</f>
        <v/>
      </c>
    </row>
    <row r="31">
      <c r="A31" s="6" t="n"/>
      <c r="B31" s="6" t="n"/>
      <c r="C31" s="6" t="n"/>
      <c r="D31" s="11">
        <f>IF(C31="","",IFERROR(INDEX(Levels!$A$2:$A$30,MATCH(C31,Levels!$B$2:$B$30,0)),""))</f>
        <v/>
      </c>
      <c r="E31" s="10">
        <f>IF(B31="","",IFERROR(INDEX(Roster!$A$2:$A$600,MATCH(B31,Roster!$E$2:$E$600,0)),""))</f>
        <v/>
      </c>
      <c r="F31" s="10">
        <f>IF(C31="","",IFERROR(INDEX(Levels!$C$2:$C$30,MATCH(C31,Levels!$B$2:$B$30,0)),""))</f>
        <v/>
      </c>
      <c r="G31" s="6" t="n"/>
      <c r="H31" s="10">
        <f>IF(AND(B31="",C31=""),"",IF(G31&lt;&gt;"","Void",IF(OR(B31="",E31=""),"Needs child",IF(D31="","Needs level","OK"))))</f>
        <v/>
      </c>
    </row>
    <row r="32">
      <c r="A32" s="6" t="n"/>
      <c r="B32" s="6" t="n"/>
      <c r="C32" s="6" t="n"/>
      <c r="D32" s="11">
        <f>IF(C32="","",IFERROR(INDEX(Levels!$A$2:$A$30,MATCH(C32,Levels!$B$2:$B$30,0)),""))</f>
        <v/>
      </c>
      <c r="E32" s="10">
        <f>IF(B32="","",IFERROR(INDEX(Roster!$A$2:$A$600,MATCH(B32,Roster!$E$2:$E$600,0)),""))</f>
        <v/>
      </c>
      <c r="F32" s="10">
        <f>IF(C32="","",IFERROR(INDEX(Levels!$C$2:$C$30,MATCH(C32,Levels!$B$2:$B$30,0)),""))</f>
        <v/>
      </c>
      <c r="G32" s="6" t="n"/>
      <c r="H32" s="10">
        <f>IF(AND(B32="",C32=""),"",IF(G32&lt;&gt;"","Void",IF(OR(B32="",E32=""),"Needs child",IF(D32="","Needs level","OK"))))</f>
        <v/>
      </c>
    </row>
    <row r="33">
      <c r="A33" s="6" t="n"/>
      <c r="B33" s="6" t="n"/>
      <c r="C33" s="6" t="n"/>
      <c r="D33" s="11">
        <f>IF(C33="","",IFERROR(INDEX(Levels!$A$2:$A$30,MATCH(C33,Levels!$B$2:$B$30,0)),""))</f>
        <v/>
      </c>
      <c r="E33" s="10">
        <f>IF(B33="","",IFERROR(INDEX(Roster!$A$2:$A$600,MATCH(B33,Roster!$E$2:$E$600,0)),""))</f>
        <v/>
      </c>
      <c r="F33" s="10">
        <f>IF(C33="","",IFERROR(INDEX(Levels!$C$2:$C$30,MATCH(C33,Levels!$B$2:$B$30,0)),""))</f>
        <v/>
      </c>
      <c r="G33" s="6" t="n"/>
      <c r="H33" s="10">
        <f>IF(AND(B33="",C33=""),"",IF(G33&lt;&gt;"","Void",IF(OR(B33="",E33=""),"Needs child",IF(D33="","Needs level","OK"))))</f>
        <v/>
      </c>
    </row>
    <row r="34">
      <c r="A34" s="6" t="n"/>
      <c r="B34" s="6" t="n"/>
      <c r="C34" s="6" t="n"/>
      <c r="D34" s="11">
        <f>IF(C34="","",IFERROR(INDEX(Levels!$A$2:$A$30,MATCH(C34,Levels!$B$2:$B$30,0)),""))</f>
        <v/>
      </c>
      <c r="E34" s="10">
        <f>IF(B34="","",IFERROR(INDEX(Roster!$A$2:$A$600,MATCH(B34,Roster!$E$2:$E$600,0)),""))</f>
        <v/>
      </c>
      <c r="F34" s="10">
        <f>IF(C34="","",IFERROR(INDEX(Levels!$C$2:$C$30,MATCH(C34,Levels!$B$2:$B$30,0)),""))</f>
        <v/>
      </c>
      <c r="G34" s="6" t="n"/>
      <c r="H34" s="10">
        <f>IF(AND(B34="",C34=""),"",IF(G34&lt;&gt;"","Void",IF(OR(B34="",E34=""),"Needs child",IF(D34="","Needs level","OK"))))</f>
        <v/>
      </c>
    </row>
    <row r="35">
      <c r="A35" s="6" t="n"/>
      <c r="B35" s="6" t="n"/>
      <c r="C35" s="6" t="n"/>
      <c r="D35" s="11">
        <f>IF(C35="","",IFERROR(INDEX(Levels!$A$2:$A$30,MATCH(C35,Levels!$B$2:$B$30,0)),""))</f>
        <v/>
      </c>
      <c r="E35" s="10">
        <f>IF(B35="","",IFERROR(INDEX(Roster!$A$2:$A$600,MATCH(B35,Roster!$E$2:$E$600,0)),""))</f>
        <v/>
      </c>
      <c r="F35" s="10">
        <f>IF(C35="","",IFERROR(INDEX(Levels!$C$2:$C$30,MATCH(C35,Levels!$B$2:$B$30,0)),""))</f>
        <v/>
      </c>
      <c r="G35" s="6" t="n"/>
      <c r="H35" s="10">
        <f>IF(AND(B35="",C35=""),"",IF(G35&lt;&gt;"","Void",IF(OR(B35="",E35=""),"Needs child",IF(D35="","Needs level","OK"))))</f>
        <v/>
      </c>
    </row>
    <row r="36">
      <c r="A36" s="6" t="n"/>
      <c r="B36" s="6" t="n"/>
      <c r="C36" s="6" t="n"/>
      <c r="D36" s="11">
        <f>IF(C36="","",IFERROR(INDEX(Levels!$A$2:$A$30,MATCH(C36,Levels!$B$2:$B$30,0)),""))</f>
        <v/>
      </c>
      <c r="E36" s="10">
        <f>IF(B36="","",IFERROR(INDEX(Roster!$A$2:$A$600,MATCH(B36,Roster!$E$2:$E$600,0)),""))</f>
        <v/>
      </c>
      <c r="F36" s="10">
        <f>IF(C36="","",IFERROR(INDEX(Levels!$C$2:$C$30,MATCH(C36,Levels!$B$2:$B$30,0)),""))</f>
        <v/>
      </c>
      <c r="G36" s="6" t="n"/>
      <c r="H36" s="10">
        <f>IF(AND(B36="",C36=""),"",IF(G36&lt;&gt;"","Void",IF(OR(B36="",E36=""),"Needs child",IF(D36="","Needs level","OK"))))</f>
        <v/>
      </c>
    </row>
    <row r="37">
      <c r="A37" s="6" t="n"/>
      <c r="B37" s="6" t="n"/>
      <c r="C37" s="6" t="n"/>
      <c r="D37" s="11">
        <f>IF(C37="","",IFERROR(INDEX(Levels!$A$2:$A$30,MATCH(C37,Levels!$B$2:$B$30,0)),""))</f>
        <v/>
      </c>
      <c r="E37" s="10">
        <f>IF(B37="","",IFERROR(INDEX(Roster!$A$2:$A$600,MATCH(B37,Roster!$E$2:$E$600,0)),""))</f>
        <v/>
      </c>
      <c r="F37" s="10">
        <f>IF(C37="","",IFERROR(INDEX(Levels!$C$2:$C$30,MATCH(C37,Levels!$B$2:$B$30,0)),""))</f>
        <v/>
      </c>
      <c r="G37" s="6" t="n"/>
      <c r="H37" s="10">
        <f>IF(AND(B37="",C37=""),"",IF(G37&lt;&gt;"","Void",IF(OR(B37="",E37=""),"Needs child",IF(D37="","Needs level","OK"))))</f>
        <v/>
      </c>
    </row>
    <row r="38">
      <c r="A38" s="6" t="n"/>
      <c r="B38" s="6" t="n"/>
      <c r="C38" s="6" t="n"/>
      <c r="D38" s="11">
        <f>IF(C38="","",IFERROR(INDEX(Levels!$A$2:$A$30,MATCH(C38,Levels!$B$2:$B$30,0)),""))</f>
        <v/>
      </c>
      <c r="E38" s="10">
        <f>IF(B38="","",IFERROR(INDEX(Roster!$A$2:$A$600,MATCH(B38,Roster!$E$2:$E$600,0)),""))</f>
        <v/>
      </c>
      <c r="F38" s="10">
        <f>IF(C38="","",IFERROR(INDEX(Levels!$C$2:$C$30,MATCH(C38,Levels!$B$2:$B$30,0)),""))</f>
        <v/>
      </c>
      <c r="G38" s="6" t="n"/>
      <c r="H38" s="10">
        <f>IF(AND(B38="",C38=""),"",IF(G38&lt;&gt;"","Void",IF(OR(B38="",E38=""),"Needs child",IF(D38="","Needs level","OK"))))</f>
        <v/>
      </c>
    </row>
    <row r="39">
      <c r="A39" s="6" t="n"/>
      <c r="B39" s="6" t="n"/>
      <c r="C39" s="6" t="n"/>
      <c r="D39" s="11">
        <f>IF(C39="","",IFERROR(INDEX(Levels!$A$2:$A$30,MATCH(C39,Levels!$B$2:$B$30,0)),""))</f>
        <v/>
      </c>
      <c r="E39" s="10">
        <f>IF(B39="","",IFERROR(INDEX(Roster!$A$2:$A$600,MATCH(B39,Roster!$E$2:$E$600,0)),""))</f>
        <v/>
      </c>
      <c r="F39" s="10">
        <f>IF(C39="","",IFERROR(INDEX(Levels!$C$2:$C$30,MATCH(C39,Levels!$B$2:$B$30,0)),""))</f>
        <v/>
      </c>
      <c r="G39" s="6" t="n"/>
      <c r="H39" s="10">
        <f>IF(AND(B39="",C39=""),"",IF(G39&lt;&gt;"","Void",IF(OR(B39="",E39=""),"Needs child",IF(D39="","Needs level","OK"))))</f>
        <v/>
      </c>
    </row>
    <row r="40">
      <c r="A40" s="6" t="n"/>
      <c r="B40" s="6" t="n"/>
      <c r="C40" s="6" t="n"/>
      <c r="D40" s="11">
        <f>IF(C40="","",IFERROR(INDEX(Levels!$A$2:$A$30,MATCH(C40,Levels!$B$2:$B$30,0)),""))</f>
        <v/>
      </c>
      <c r="E40" s="10">
        <f>IF(B40="","",IFERROR(INDEX(Roster!$A$2:$A$600,MATCH(B40,Roster!$E$2:$E$600,0)),""))</f>
        <v/>
      </c>
      <c r="F40" s="10">
        <f>IF(C40="","",IFERROR(INDEX(Levels!$C$2:$C$30,MATCH(C40,Levels!$B$2:$B$30,0)),""))</f>
        <v/>
      </c>
      <c r="G40" s="6" t="n"/>
      <c r="H40" s="10">
        <f>IF(AND(B40="",C40=""),"",IF(G40&lt;&gt;"","Void",IF(OR(B40="",E40=""),"Needs child",IF(D40="","Needs level","OK"))))</f>
        <v/>
      </c>
    </row>
    <row r="41">
      <c r="A41" s="6" t="n"/>
      <c r="B41" s="6" t="n"/>
      <c r="C41" s="6" t="n"/>
      <c r="D41" s="11">
        <f>IF(C41="","",IFERROR(INDEX(Levels!$A$2:$A$30,MATCH(C41,Levels!$B$2:$B$30,0)),""))</f>
        <v/>
      </c>
      <c r="E41" s="10">
        <f>IF(B41="","",IFERROR(INDEX(Roster!$A$2:$A$600,MATCH(B41,Roster!$E$2:$E$600,0)),""))</f>
        <v/>
      </c>
      <c r="F41" s="10">
        <f>IF(C41="","",IFERROR(INDEX(Levels!$C$2:$C$30,MATCH(C41,Levels!$B$2:$B$30,0)),""))</f>
        <v/>
      </c>
      <c r="G41" s="6" t="n"/>
      <c r="H41" s="10">
        <f>IF(AND(B41="",C41=""),"",IF(G41&lt;&gt;"","Void",IF(OR(B41="",E41=""),"Needs child",IF(D41="","Needs level","OK"))))</f>
        <v/>
      </c>
    </row>
    <row r="42">
      <c r="A42" s="6" t="n"/>
      <c r="B42" s="6" t="n"/>
      <c r="C42" s="6" t="n"/>
      <c r="D42" s="11">
        <f>IF(C42="","",IFERROR(INDEX(Levels!$A$2:$A$30,MATCH(C42,Levels!$B$2:$B$30,0)),""))</f>
        <v/>
      </c>
      <c r="E42" s="10">
        <f>IF(B42="","",IFERROR(INDEX(Roster!$A$2:$A$600,MATCH(B42,Roster!$E$2:$E$600,0)),""))</f>
        <v/>
      </c>
      <c r="F42" s="10">
        <f>IF(C42="","",IFERROR(INDEX(Levels!$C$2:$C$30,MATCH(C42,Levels!$B$2:$B$30,0)),""))</f>
        <v/>
      </c>
      <c r="G42" s="6" t="n"/>
      <c r="H42" s="10">
        <f>IF(AND(B42="",C42=""),"",IF(G42&lt;&gt;"","Void",IF(OR(B42="",E42=""),"Needs child",IF(D42="","Needs level","OK"))))</f>
        <v/>
      </c>
    </row>
    <row r="43">
      <c r="A43" s="6" t="n"/>
      <c r="B43" s="6" t="n"/>
      <c r="C43" s="6" t="n"/>
      <c r="D43" s="11">
        <f>IF(C43="","",IFERROR(INDEX(Levels!$A$2:$A$30,MATCH(C43,Levels!$B$2:$B$30,0)),""))</f>
        <v/>
      </c>
      <c r="E43" s="10">
        <f>IF(B43="","",IFERROR(INDEX(Roster!$A$2:$A$600,MATCH(B43,Roster!$E$2:$E$600,0)),""))</f>
        <v/>
      </c>
      <c r="F43" s="10">
        <f>IF(C43="","",IFERROR(INDEX(Levels!$C$2:$C$30,MATCH(C43,Levels!$B$2:$B$30,0)),""))</f>
        <v/>
      </c>
      <c r="G43" s="6" t="n"/>
      <c r="H43" s="10">
        <f>IF(AND(B43="",C43=""),"",IF(G43&lt;&gt;"","Void",IF(OR(B43="",E43=""),"Needs child",IF(D43="","Needs level","OK"))))</f>
        <v/>
      </c>
    </row>
    <row r="44">
      <c r="A44" s="6" t="n"/>
      <c r="B44" s="6" t="n"/>
      <c r="C44" s="6" t="n"/>
      <c r="D44" s="11">
        <f>IF(C44="","",IFERROR(INDEX(Levels!$A$2:$A$30,MATCH(C44,Levels!$B$2:$B$30,0)),""))</f>
        <v/>
      </c>
      <c r="E44" s="10">
        <f>IF(B44="","",IFERROR(INDEX(Roster!$A$2:$A$600,MATCH(B44,Roster!$E$2:$E$600,0)),""))</f>
        <v/>
      </c>
      <c r="F44" s="10">
        <f>IF(C44="","",IFERROR(INDEX(Levels!$C$2:$C$30,MATCH(C44,Levels!$B$2:$B$30,0)),""))</f>
        <v/>
      </c>
      <c r="G44" s="6" t="n"/>
      <c r="H44" s="10">
        <f>IF(AND(B44="",C44=""),"",IF(G44&lt;&gt;"","Void",IF(OR(B44="",E44=""),"Needs child",IF(D44="","Needs level","OK"))))</f>
        <v/>
      </c>
    </row>
    <row r="45">
      <c r="A45" s="6" t="n"/>
      <c r="B45" s="6" t="n"/>
      <c r="C45" s="6" t="n"/>
      <c r="D45" s="11">
        <f>IF(C45="","",IFERROR(INDEX(Levels!$A$2:$A$30,MATCH(C45,Levels!$B$2:$B$30,0)),""))</f>
        <v/>
      </c>
      <c r="E45" s="10">
        <f>IF(B45="","",IFERROR(INDEX(Roster!$A$2:$A$600,MATCH(B45,Roster!$E$2:$E$600,0)),""))</f>
        <v/>
      </c>
      <c r="F45" s="10">
        <f>IF(C45="","",IFERROR(INDEX(Levels!$C$2:$C$30,MATCH(C45,Levels!$B$2:$B$30,0)),""))</f>
        <v/>
      </c>
      <c r="G45" s="6" t="n"/>
      <c r="H45" s="10">
        <f>IF(AND(B45="",C45=""),"",IF(G45&lt;&gt;"","Void",IF(OR(B45="",E45=""),"Needs child",IF(D45="","Needs level","OK"))))</f>
        <v/>
      </c>
    </row>
    <row r="46">
      <c r="A46" s="6" t="n"/>
      <c r="B46" s="6" t="n"/>
      <c r="C46" s="6" t="n"/>
      <c r="D46" s="11">
        <f>IF(C46="","",IFERROR(INDEX(Levels!$A$2:$A$30,MATCH(C46,Levels!$B$2:$B$30,0)),""))</f>
        <v/>
      </c>
      <c r="E46" s="10">
        <f>IF(B46="","",IFERROR(INDEX(Roster!$A$2:$A$600,MATCH(B46,Roster!$E$2:$E$600,0)),""))</f>
        <v/>
      </c>
      <c r="F46" s="10">
        <f>IF(C46="","",IFERROR(INDEX(Levels!$C$2:$C$30,MATCH(C46,Levels!$B$2:$B$30,0)),""))</f>
        <v/>
      </c>
      <c r="G46" s="6" t="n"/>
      <c r="H46" s="10">
        <f>IF(AND(B46="",C46=""),"",IF(G46&lt;&gt;"","Void",IF(OR(B46="",E46=""),"Needs child",IF(D46="","Needs level","OK"))))</f>
        <v/>
      </c>
    </row>
    <row r="47">
      <c r="A47" s="6" t="n"/>
      <c r="B47" s="6" t="n"/>
      <c r="C47" s="6" t="n"/>
      <c r="D47" s="11">
        <f>IF(C47="","",IFERROR(INDEX(Levels!$A$2:$A$30,MATCH(C47,Levels!$B$2:$B$30,0)),""))</f>
        <v/>
      </c>
      <c r="E47" s="10">
        <f>IF(B47="","",IFERROR(INDEX(Roster!$A$2:$A$600,MATCH(B47,Roster!$E$2:$E$600,0)),""))</f>
        <v/>
      </c>
      <c r="F47" s="10">
        <f>IF(C47="","",IFERROR(INDEX(Levels!$C$2:$C$30,MATCH(C47,Levels!$B$2:$B$30,0)),""))</f>
        <v/>
      </c>
      <c r="G47" s="6" t="n"/>
      <c r="H47" s="10">
        <f>IF(AND(B47="",C47=""),"",IF(G47&lt;&gt;"","Void",IF(OR(B47="",E47=""),"Needs child",IF(D47="","Needs level","OK"))))</f>
        <v/>
      </c>
    </row>
    <row r="48">
      <c r="A48" s="6" t="n"/>
      <c r="B48" s="6" t="n"/>
      <c r="C48" s="6" t="n"/>
      <c r="D48" s="11">
        <f>IF(C48="","",IFERROR(INDEX(Levels!$A$2:$A$30,MATCH(C48,Levels!$B$2:$B$30,0)),""))</f>
        <v/>
      </c>
      <c r="E48" s="10">
        <f>IF(B48="","",IFERROR(INDEX(Roster!$A$2:$A$600,MATCH(B48,Roster!$E$2:$E$600,0)),""))</f>
        <v/>
      </c>
      <c r="F48" s="10">
        <f>IF(C48="","",IFERROR(INDEX(Levels!$C$2:$C$30,MATCH(C48,Levels!$B$2:$B$30,0)),""))</f>
        <v/>
      </c>
      <c r="G48" s="6" t="n"/>
      <c r="H48" s="10">
        <f>IF(AND(B48="",C48=""),"",IF(G48&lt;&gt;"","Void",IF(OR(B48="",E48=""),"Needs child",IF(D48="","Needs level","OK"))))</f>
        <v/>
      </c>
    </row>
    <row r="49">
      <c r="A49" s="6" t="n"/>
      <c r="B49" s="6" t="n"/>
      <c r="C49" s="6" t="n"/>
      <c r="D49" s="11">
        <f>IF(C49="","",IFERROR(INDEX(Levels!$A$2:$A$30,MATCH(C49,Levels!$B$2:$B$30,0)),""))</f>
        <v/>
      </c>
      <c r="E49" s="10">
        <f>IF(B49="","",IFERROR(INDEX(Roster!$A$2:$A$600,MATCH(B49,Roster!$E$2:$E$600,0)),""))</f>
        <v/>
      </c>
      <c r="F49" s="10">
        <f>IF(C49="","",IFERROR(INDEX(Levels!$C$2:$C$30,MATCH(C49,Levels!$B$2:$B$30,0)),""))</f>
        <v/>
      </c>
      <c r="G49" s="6" t="n"/>
      <c r="H49" s="10">
        <f>IF(AND(B49="",C49=""),"",IF(G49&lt;&gt;"","Void",IF(OR(B49="",E49=""),"Needs child",IF(D49="","Needs level","OK"))))</f>
        <v/>
      </c>
    </row>
    <row r="50">
      <c r="A50" s="6" t="n"/>
      <c r="B50" s="6" t="n"/>
      <c r="C50" s="6" t="n"/>
      <c r="D50" s="11">
        <f>IF(C50="","",IFERROR(INDEX(Levels!$A$2:$A$30,MATCH(C50,Levels!$B$2:$B$30,0)),""))</f>
        <v/>
      </c>
      <c r="E50" s="10">
        <f>IF(B50="","",IFERROR(INDEX(Roster!$A$2:$A$600,MATCH(B50,Roster!$E$2:$E$600,0)),""))</f>
        <v/>
      </c>
      <c r="F50" s="10">
        <f>IF(C50="","",IFERROR(INDEX(Levels!$C$2:$C$30,MATCH(C50,Levels!$B$2:$B$30,0)),""))</f>
        <v/>
      </c>
      <c r="G50" s="6" t="n"/>
      <c r="H50" s="10">
        <f>IF(AND(B50="",C50=""),"",IF(G50&lt;&gt;"","Void",IF(OR(B50="",E50=""),"Needs child",IF(D50="","Needs level","OK"))))</f>
        <v/>
      </c>
    </row>
    <row r="51">
      <c r="A51" s="6" t="n"/>
      <c r="B51" s="6" t="n"/>
      <c r="C51" s="6" t="n"/>
      <c r="D51" s="11">
        <f>IF(C51="","",IFERROR(INDEX(Levels!$A$2:$A$30,MATCH(C51,Levels!$B$2:$B$30,0)),""))</f>
        <v/>
      </c>
      <c r="E51" s="10">
        <f>IF(B51="","",IFERROR(INDEX(Roster!$A$2:$A$600,MATCH(B51,Roster!$E$2:$E$600,0)),""))</f>
        <v/>
      </c>
      <c r="F51" s="10">
        <f>IF(C51="","",IFERROR(INDEX(Levels!$C$2:$C$30,MATCH(C51,Levels!$B$2:$B$30,0)),""))</f>
        <v/>
      </c>
      <c r="G51" s="6" t="n"/>
      <c r="H51" s="10">
        <f>IF(AND(B51="",C51=""),"",IF(G51&lt;&gt;"","Void",IF(OR(B51="",E51=""),"Needs child",IF(D51="","Needs level","OK"))))</f>
        <v/>
      </c>
    </row>
    <row r="52">
      <c r="A52" s="6" t="n"/>
      <c r="B52" s="6" t="n"/>
      <c r="C52" s="6" t="n"/>
      <c r="D52" s="11">
        <f>IF(C52="","",IFERROR(INDEX(Levels!$A$2:$A$30,MATCH(C52,Levels!$B$2:$B$30,0)),""))</f>
        <v/>
      </c>
      <c r="E52" s="10">
        <f>IF(B52="","",IFERROR(INDEX(Roster!$A$2:$A$600,MATCH(B52,Roster!$E$2:$E$600,0)),""))</f>
        <v/>
      </c>
      <c r="F52" s="10">
        <f>IF(C52="","",IFERROR(INDEX(Levels!$C$2:$C$30,MATCH(C52,Levels!$B$2:$B$30,0)),""))</f>
        <v/>
      </c>
      <c r="G52" s="6" t="n"/>
      <c r="H52" s="10">
        <f>IF(AND(B52="",C52=""),"",IF(G52&lt;&gt;"","Void",IF(OR(B52="",E52=""),"Needs child",IF(D52="","Needs level","OK"))))</f>
        <v/>
      </c>
    </row>
    <row r="53">
      <c r="A53" s="6" t="n"/>
      <c r="B53" s="6" t="n"/>
      <c r="C53" s="6" t="n"/>
      <c r="D53" s="11">
        <f>IF(C53="","",IFERROR(INDEX(Levels!$A$2:$A$30,MATCH(C53,Levels!$B$2:$B$30,0)),""))</f>
        <v/>
      </c>
      <c r="E53" s="10">
        <f>IF(B53="","",IFERROR(INDEX(Roster!$A$2:$A$600,MATCH(B53,Roster!$E$2:$E$600,0)),""))</f>
        <v/>
      </c>
      <c r="F53" s="10">
        <f>IF(C53="","",IFERROR(INDEX(Levels!$C$2:$C$30,MATCH(C53,Levels!$B$2:$B$30,0)),""))</f>
        <v/>
      </c>
      <c r="G53" s="6" t="n"/>
      <c r="H53" s="10">
        <f>IF(AND(B53="",C53=""),"",IF(G53&lt;&gt;"","Void",IF(OR(B53="",E53=""),"Needs child",IF(D53="","Needs level","OK"))))</f>
        <v/>
      </c>
    </row>
    <row r="54">
      <c r="A54" s="6" t="n"/>
      <c r="B54" s="6" t="n"/>
      <c r="C54" s="6" t="n"/>
      <c r="D54" s="11">
        <f>IF(C54="","",IFERROR(INDEX(Levels!$A$2:$A$30,MATCH(C54,Levels!$B$2:$B$30,0)),""))</f>
        <v/>
      </c>
      <c r="E54" s="10">
        <f>IF(B54="","",IFERROR(INDEX(Roster!$A$2:$A$600,MATCH(B54,Roster!$E$2:$E$600,0)),""))</f>
        <v/>
      </c>
      <c r="F54" s="10">
        <f>IF(C54="","",IFERROR(INDEX(Levels!$C$2:$C$30,MATCH(C54,Levels!$B$2:$B$30,0)),""))</f>
        <v/>
      </c>
      <c r="G54" s="6" t="n"/>
      <c r="H54" s="10">
        <f>IF(AND(B54="",C54=""),"",IF(G54&lt;&gt;"","Void",IF(OR(B54="",E54=""),"Needs child",IF(D54="","Needs level","OK"))))</f>
        <v/>
      </c>
    </row>
    <row r="55">
      <c r="A55" s="6" t="n"/>
      <c r="B55" s="6" t="n"/>
      <c r="C55" s="6" t="n"/>
      <c r="D55" s="11">
        <f>IF(C55="","",IFERROR(INDEX(Levels!$A$2:$A$30,MATCH(C55,Levels!$B$2:$B$30,0)),""))</f>
        <v/>
      </c>
      <c r="E55" s="10">
        <f>IF(B55="","",IFERROR(INDEX(Roster!$A$2:$A$600,MATCH(B55,Roster!$E$2:$E$600,0)),""))</f>
        <v/>
      </c>
      <c r="F55" s="10">
        <f>IF(C55="","",IFERROR(INDEX(Levels!$C$2:$C$30,MATCH(C55,Levels!$B$2:$B$30,0)),""))</f>
        <v/>
      </c>
      <c r="G55" s="6" t="n"/>
      <c r="H55" s="10">
        <f>IF(AND(B55="",C55=""),"",IF(G55&lt;&gt;"","Void",IF(OR(B55="",E55=""),"Needs child",IF(D55="","Needs level","OK"))))</f>
        <v/>
      </c>
    </row>
    <row r="56">
      <c r="A56" s="6" t="n"/>
      <c r="B56" s="6" t="n"/>
      <c r="C56" s="6" t="n"/>
      <c r="D56" s="11">
        <f>IF(C56="","",IFERROR(INDEX(Levels!$A$2:$A$30,MATCH(C56,Levels!$B$2:$B$30,0)),""))</f>
        <v/>
      </c>
      <c r="E56" s="10">
        <f>IF(B56="","",IFERROR(INDEX(Roster!$A$2:$A$600,MATCH(B56,Roster!$E$2:$E$600,0)),""))</f>
        <v/>
      </c>
      <c r="F56" s="10">
        <f>IF(C56="","",IFERROR(INDEX(Levels!$C$2:$C$30,MATCH(C56,Levels!$B$2:$B$30,0)),""))</f>
        <v/>
      </c>
      <c r="G56" s="6" t="n"/>
      <c r="H56" s="10">
        <f>IF(AND(B56="",C56=""),"",IF(G56&lt;&gt;"","Void",IF(OR(B56="",E56=""),"Needs child",IF(D56="","Needs level","OK"))))</f>
        <v/>
      </c>
    </row>
    <row r="57">
      <c r="A57" s="6" t="n"/>
      <c r="B57" s="6" t="n"/>
      <c r="C57" s="6" t="n"/>
      <c r="D57" s="11">
        <f>IF(C57="","",IFERROR(INDEX(Levels!$A$2:$A$30,MATCH(C57,Levels!$B$2:$B$30,0)),""))</f>
        <v/>
      </c>
      <c r="E57" s="10">
        <f>IF(B57="","",IFERROR(INDEX(Roster!$A$2:$A$600,MATCH(B57,Roster!$E$2:$E$600,0)),""))</f>
        <v/>
      </c>
      <c r="F57" s="10">
        <f>IF(C57="","",IFERROR(INDEX(Levels!$C$2:$C$30,MATCH(C57,Levels!$B$2:$B$30,0)),""))</f>
        <v/>
      </c>
      <c r="G57" s="6" t="n"/>
      <c r="H57" s="10">
        <f>IF(AND(B57="",C57=""),"",IF(G57&lt;&gt;"","Void",IF(OR(B57="",E57=""),"Needs child",IF(D57="","Needs level","OK"))))</f>
        <v/>
      </c>
    </row>
    <row r="58">
      <c r="A58" s="6" t="n"/>
      <c r="B58" s="6" t="n"/>
      <c r="C58" s="6" t="n"/>
      <c r="D58" s="11">
        <f>IF(C58="","",IFERROR(INDEX(Levels!$A$2:$A$30,MATCH(C58,Levels!$B$2:$B$30,0)),""))</f>
        <v/>
      </c>
      <c r="E58" s="10">
        <f>IF(B58="","",IFERROR(INDEX(Roster!$A$2:$A$600,MATCH(B58,Roster!$E$2:$E$600,0)),""))</f>
        <v/>
      </c>
      <c r="F58" s="10">
        <f>IF(C58="","",IFERROR(INDEX(Levels!$C$2:$C$30,MATCH(C58,Levels!$B$2:$B$30,0)),""))</f>
        <v/>
      </c>
      <c r="G58" s="6" t="n"/>
      <c r="H58" s="10">
        <f>IF(AND(B58="",C58=""),"",IF(G58&lt;&gt;"","Void",IF(OR(B58="",E58=""),"Needs child",IF(D58="","Needs level","OK"))))</f>
        <v/>
      </c>
    </row>
    <row r="59">
      <c r="A59" s="6" t="n"/>
      <c r="B59" s="6" t="n"/>
      <c r="C59" s="6" t="n"/>
      <c r="D59" s="11">
        <f>IF(C59="","",IFERROR(INDEX(Levels!$A$2:$A$30,MATCH(C59,Levels!$B$2:$B$30,0)),""))</f>
        <v/>
      </c>
      <c r="E59" s="10">
        <f>IF(B59="","",IFERROR(INDEX(Roster!$A$2:$A$600,MATCH(B59,Roster!$E$2:$E$600,0)),""))</f>
        <v/>
      </c>
      <c r="F59" s="10">
        <f>IF(C59="","",IFERROR(INDEX(Levels!$C$2:$C$30,MATCH(C59,Levels!$B$2:$B$30,0)),""))</f>
        <v/>
      </c>
      <c r="G59" s="6" t="n"/>
      <c r="H59" s="10">
        <f>IF(AND(B59="",C59=""),"",IF(G59&lt;&gt;"","Void",IF(OR(B59="",E59=""),"Needs child",IF(D59="","Needs level","OK"))))</f>
        <v/>
      </c>
    </row>
    <row r="60">
      <c r="A60" s="6" t="n"/>
      <c r="B60" s="6" t="n"/>
      <c r="C60" s="6" t="n"/>
      <c r="D60" s="11">
        <f>IF(C60="","",IFERROR(INDEX(Levels!$A$2:$A$30,MATCH(C60,Levels!$B$2:$B$30,0)),""))</f>
        <v/>
      </c>
      <c r="E60" s="10">
        <f>IF(B60="","",IFERROR(INDEX(Roster!$A$2:$A$600,MATCH(B60,Roster!$E$2:$E$600,0)),""))</f>
        <v/>
      </c>
      <c r="F60" s="10">
        <f>IF(C60="","",IFERROR(INDEX(Levels!$C$2:$C$30,MATCH(C60,Levels!$B$2:$B$30,0)),""))</f>
        <v/>
      </c>
      <c r="G60" s="6" t="n"/>
      <c r="H60" s="10">
        <f>IF(AND(B60="",C60=""),"",IF(G60&lt;&gt;"","Void",IF(OR(B60="",E60=""),"Needs child",IF(D60="","Needs level","OK"))))</f>
        <v/>
      </c>
    </row>
    <row r="61">
      <c r="A61" s="6" t="n"/>
      <c r="B61" s="6" t="n"/>
      <c r="C61" s="6" t="n"/>
      <c r="D61" s="11">
        <f>IF(C61="","",IFERROR(INDEX(Levels!$A$2:$A$30,MATCH(C61,Levels!$B$2:$B$30,0)),""))</f>
        <v/>
      </c>
      <c r="E61" s="10">
        <f>IF(B61="","",IFERROR(INDEX(Roster!$A$2:$A$600,MATCH(B61,Roster!$E$2:$E$600,0)),""))</f>
        <v/>
      </c>
      <c r="F61" s="10">
        <f>IF(C61="","",IFERROR(INDEX(Levels!$C$2:$C$30,MATCH(C61,Levels!$B$2:$B$30,0)),""))</f>
        <v/>
      </c>
      <c r="G61" s="6" t="n"/>
      <c r="H61" s="10">
        <f>IF(AND(B61="",C61=""),"",IF(G61&lt;&gt;"","Void",IF(OR(B61="",E61=""),"Needs child",IF(D61="","Needs level","OK"))))</f>
        <v/>
      </c>
    </row>
    <row r="62">
      <c r="A62" s="6" t="n"/>
      <c r="B62" s="6" t="n"/>
      <c r="C62" s="6" t="n"/>
      <c r="D62" s="11">
        <f>IF(C62="","",IFERROR(INDEX(Levels!$A$2:$A$30,MATCH(C62,Levels!$B$2:$B$30,0)),""))</f>
        <v/>
      </c>
      <c r="E62" s="10">
        <f>IF(B62="","",IFERROR(INDEX(Roster!$A$2:$A$600,MATCH(B62,Roster!$E$2:$E$600,0)),""))</f>
        <v/>
      </c>
      <c r="F62" s="10">
        <f>IF(C62="","",IFERROR(INDEX(Levels!$C$2:$C$30,MATCH(C62,Levels!$B$2:$B$30,0)),""))</f>
        <v/>
      </c>
      <c r="G62" s="6" t="n"/>
      <c r="H62" s="10">
        <f>IF(AND(B62="",C62=""),"",IF(G62&lt;&gt;"","Void",IF(OR(B62="",E62=""),"Needs child",IF(D62="","Needs level","OK"))))</f>
        <v/>
      </c>
    </row>
    <row r="63">
      <c r="A63" s="6" t="n"/>
      <c r="B63" s="6" t="n"/>
      <c r="C63" s="6" t="n"/>
      <c r="D63" s="11">
        <f>IF(C63="","",IFERROR(INDEX(Levels!$A$2:$A$30,MATCH(C63,Levels!$B$2:$B$30,0)),""))</f>
        <v/>
      </c>
      <c r="E63" s="10">
        <f>IF(B63="","",IFERROR(INDEX(Roster!$A$2:$A$600,MATCH(B63,Roster!$E$2:$E$600,0)),""))</f>
        <v/>
      </c>
      <c r="F63" s="10">
        <f>IF(C63="","",IFERROR(INDEX(Levels!$C$2:$C$30,MATCH(C63,Levels!$B$2:$B$30,0)),""))</f>
        <v/>
      </c>
      <c r="G63" s="6" t="n"/>
      <c r="H63" s="10">
        <f>IF(AND(B63="",C63=""),"",IF(G63&lt;&gt;"","Void",IF(OR(B63="",E63=""),"Needs child",IF(D63="","Needs level","OK"))))</f>
        <v/>
      </c>
    </row>
    <row r="64">
      <c r="A64" s="6" t="n"/>
      <c r="B64" s="6" t="n"/>
      <c r="C64" s="6" t="n"/>
      <c r="D64" s="11">
        <f>IF(C64="","",IFERROR(INDEX(Levels!$A$2:$A$30,MATCH(C64,Levels!$B$2:$B$30,0)),""))</f>
        <v/>
      </c>
      <c r="E64" s="10">
        <f>IF(B64="","",IFERROR(INDEX(Roster!$A$2:$A$600,MATCH(B64,Roster!$E$2:$E$600,0)),""))</f>
        <v/>
      </c>
      <c r="F64" s="10">
        <f>IF(C64="","",IFERROR(INDEX(Levels!$C$2:$C$30,MATCH(C64,Levels!$B$2:$B$30,0)),""))</f>
        <v/>
      </c>
      <c r="G64" s="6" t="n"/>
      <c r="H64" s="10">
        <f>IF(AND(B64="",C64=""),"",IF(G64&lt;&gt;"","Void",IF(OR(B64="",E64=""),"Needs child",IF(D64="","Needs level","OK"))))</f>
        <v/>
      </c>
    </row>
    <row r="65">
      <c r="A65" s="6" t="n"/>
      <c r="B65" s="6" t="n"/>
      <c r="C65" s="6" t="n"/>
      <c r="D65" s="11">
        <f>IF(C65="","",IFERROR(INDEX(Levels!$A$2:$A$30,MATCH(C65,Levels!$B$2:$B$30,0)),""))</f>
        <v/>
      </c>
      <c r="E65" s="10">
        <f>IF(B65="","",IFERROR(INDEX(Roster!$A$2:$A$600,MATCH(B65,Roster!$E$2:$E$600,0)),""))</f>
        <v/>
      </c>
      <c r="F65" s="10">
        <f>IF(C65="","",IFERROR(INDEX(Levels!$C$2:$C$30,MATCH(C65,Levels!$B$2:$B$30,0)),""))</f>
        <v/>
      </c>
      <c r="G65" s="6" t="n"/>
      <c r="H65" s="10">
        <f>IF(AND(B65="",C65=""),"",IF(G65&lt;&gt;"","Void",IF(OR(B65="",E65=""),"Needs child",IF(D65="","Needs level","OK"))))</f>
        <v/>
      </c>
    </row>
    <row r="66">
      <c r="A66" s="6" t="n"/>
      <c r="B66" s="6" t="n"/>
      <c r="C66" s="6" t="n"/>
      <c r="D66" s="11">
        <f>IF(C66="","",IFERROR(INDEX(Levels!$A$2:$A$30,MATCH(C66,Levels!$B$2:$B$30,0)),""))</f>
        <v/>
      </c>
      <c r="E66" s="10">
        <f>IF(B66="","",IFERROR(INDEX(Roster!$A$2:$A$600,MATCH(B66,Roster!$E$2:$E$600,0)),""))</f>
        <v/>
      </c>
      <c r="F66" s="10">
        <f>IF(C66="","",IFERROR(INDEX(Levels!$C$2:$C$30,MATCH(C66,Levels!$B$2:$B$30,0)),""))</f>
        <v/>
      </c>
      <c r="G66" s="6" t="n"/>
      <c r="H66" s="10">
        <f>IF(AND(B66="",C66=""),"",IF(G66&lt;&gt;"","Void",IF(OR(B66="",E66=""),"Needs child",IF(D66="","Needs level","OK"))))</f>
        <v/>
      </c>
    </row>
    <row r="67">
      <c r="A67" s="6" t="n"/>
      <c r="B67" s="6" t="n"/>
      <c r="C67" s="6" t="n"/>
      <c r="D67" s="11">
        <f>IF(C67="","",IFERROR(INDEX(Levels!$A$2:$A$30,MATCH(C67,Levels!$B$2:$B$30,0)),""))</f>
        <v/>
      </c>
      <c r="E67" s="10">
        <f>IF(B67="","",IFERROR(INDEX(Roster!$A$2:$A$600,MATCH(B67,Roster!$E$2:$E$600,0)),""))</f>
        <v/>
      </c>
      <c r="F67" s="10">
        <f>IF(C67="","",IFERROR(INDEX(Levels!$C$2:$C$30,MATCH(C67,Levels!$B$2:$B$30,0)),""))</f>
        <v/>
      </c>
      <c r="G67" s="6" t="n"/>
      <c r="H67" s="10">
        <f>IF(AND(B67="",C67=""),"",IF(G67&lt;&gt;"","Void",IF(OR(B67="",E67=""),"Needs child",IF(D67="","Needs level","OK"))))</f>
        <v/>
      </c>
    </row>
    <row r="68">
      <c r="A68" s="6" t="n"/>
      <c r="B68" s="6" t="n"/>
      <c r="C68" s="6" t="n"/>
      <c r="D68" s="11">
        <f>IF(C68="","",IFERROR(INDEX(Levels!$A$2:$A$30,MATCH(C68,Levels!$B$2:$B$30,0)),""))</f>
        <v/>
      </c>
      <c r="E68" s="10">
        <f>IF(B68="","",IFERROR(INDEX(Roster!$A$2:$A$600,MATCH(B68,Roster!$E$2:$E$600,0)),""))</f>
        <v/>
      </c>
      <c r="F68" s="10">
        <f>IF(C68="","",IFERROR(INDEX(Levels!$C$2:$C$30,MATCH(C68,Levels!$B$2:$B$30,0)),""))</f>
        <v/>
      </c>
      <c r="G68" s="6" t="n"/>
      <c r="H68" s="10">
        <f>IF(AND(B68="",C68=""),"",IF(G68&lt;&gt;"","Void",IF(OR(B68="",E68=""),"Needs child",IF(D68="","Needs level","OK"))))</f>
        <v/>
      </c>
    </row>
    <row r="69">
      <c r="A69" s="6" t="n"/>
      <c r="B69" s="6" t="n"/>
      <c r="C69" s="6" t="n"/>
      <c r="D69" s="11">
        <f>IF(C69="","",IFERROR(INDEX(Levels!$A$2:$A$30,MATCH(C69,Levels!$B$2:$B$30,0)),""))</f>
        <v/>
      </c>
      <c r="E69" s="10">
        <f>IF(B69="","",IFERROR(INDEX(Roster!$A$2:$A$600,MATCH(B69,Roster!$E$2:$E$600,0)),""))</f>
        <v/>
      </c>
      <c r="F69" s="10">
        <f>IF(C69="","",IFERROR(INDEX(Levels!$C$2:$C$30,MATCH(C69,Levels!$B$2:$B$30,0)),""))</f>
        <v/>
      </c>
      <c r="G69" s="6" t="n"/>
      <c r="H69" s="10">
        <f>IF(AND(B69="",C69=""),"",IF(G69&lt;&gt;"","Void",IF(OR(B69="",E69=""),"Needs child",IF(D69="","Needs level","OK"))))</f>
        <v/>
      </c>
    </row>
    <row r="70">
      <c r="A70" s="6" t="n"/>
      <c r="B70" s="6" t="n"/>
      <c r="C70" s="6" t="n"/>
      <c r="D70" s="11">
        <f>IF(C70="","",IFERROR(INDEX(Levels!$A$2:$A$30,MATCH(C70,Levels!$B$2:$B$30,0)),""))</f>
        <v/>
      </c>
      <c r="E70" s="10">
        <f>IF(B70="","",IFERROR(INDEX(Roster!$A$2:$A$600,MATCH(B70,Roster!$E$2:$E$600,0)),""))</f>
        <v/>
      </c>
      <c r="F70" s="10">
        <f>IF(C70="","",IFERROR(INDEX(Levels!$C$2:$C$30,MATCH(C70,Levels!$B$2:$B$30,0)),""))</f>
        <v/>
      </c>
      <c r="G70" s="6" t="n"/>
      <c r="H70" s="10">
        <f>IF(AND(B70="",C70=""),"",IF(G70&lt;&gt;"","Void",IF(OR(B70="",E70=""),"Needs child",IF(D70="","Needs level","OK"))))</f>
        <v/>
      </c>
    </row>
    <row r="71">
      <c r="A71" s="6" t="n"/>
      <c r="B71" s="6" t="n"/>
      <c r="C71" s="6" t="n"/>
      <c r="D71" s="11">
        <f>IF(C71="","",IFERROR(INDEX(Levels!$A$2:$A$30,MATCH(C71,Levels!$B$2:$B$30,0)),""))</f>
        <v/>
      </c>
      <c r="E71" s="10">
        <f>IF(B71="","",IFERROR(INDEX(Roster!$A$2:$A$600,MATCH(B71,Roster!$E$2:$E$600,0)),""))</f>
        <v/>
      </c>
      <c r="F71" s="10">
        <f>IF(C71="","",IFERROR(INDEX(Levels!$C$2:$C$30,MATCH(C71,Levels!$B$2:$B$30,0)),""))</f>
        <v/>
      </c>
      <c r="G71" s="6" t="n"/>
      <c r="H71" s="10">
        <f>IF(AND(B71="",C71=""),"",IF(G71&lt;&gt;"","Void",IF(OR(B71="",E71=""),"Needs child",IF(D71="","Needs level","OK"))))</f>
        <v/>
      </c>
    </row>
    <row r="72">
      <c r="A72" s="6" t="n"/>
      <c r="B72" s="6" t="n"/>
      <c r="C72" s="6" t="n"/>
      <c r="D72" s="11">
        <f>IF(C72="","",IFERROR(INDEX(Levels!$A$2:$A$30,MATCH(C72,Levels!$B$2:$B$30,0)),""))</f>
        <v/>
      </c>
      <c r="E72" s="10">
        <f>IF(B72="","",IFERROR(INDEX(Roster!$A$2:$A$600,MATCH(B72,Roster!$E$2:$E$600,0)),""))</f>
        <v/>
      </c>
      <c r="F72" s="10">
        <f>IF(C72="","",IFERROR(INDEX(Levels!$C$2:$C$30,MATCH(C72,Levels!$B$2:$B$30,0)),""))</f>
        <v/>
      </c>
      <c r="G72" s="6" t="n"/>
      <c r="H72" s="10">
        <f>IF(AND(B72="",C72=""),"",IF(G72&lt;&gt;"","Void",IF(OR(B72="",E72=""),"Needs child",IF(D72="","Needs level","OK"))))</f>
        <v/>
      </c>
    </row>
    <row r="73">
      <c r="A73" s="6" t="n"/>
      <c r="B73" s="6" t="n"/>
      <c r="C73" s="6" t="n"/>
      <c r="D73" s="11">
        <f>IF(C73="","",IFERROR(INDEX(Levels!$A$2:$A$30,MATCH(C73,Levels!$B$2:$B$30,0)),""))</f>
        <v/>
      </c>
      <c r="E73" s="10">
        <f>IF(B73="","",IFERROR(INDEX(Roster!$A$2:$A$600,MATCH(B73,Roster!$E$2:$E$600,0)),""))</f>
        <v/>
      </c>
      <c r="F73" s="10">
        <f>IF(C73="","",IFERROR(INDEX(Levels!$C$2:$C$30,MATCH(C73,Levels!$B$2:$B$30,0)),""))</f>
        <v/>
      </c>
      <c r="G73" s="6" t="n"/>
      <c r="H73" s="10">
        <f>IF(AND(B73="",C73=""),"",IF(G73&lt;&gt;"","Void",IF(OR(B73="",E73=""),"Needs child",IF(D73="","Needs level","OK"))))</f>
        <v/>
      </c>
    </row>
    <row r="74">
      <c r="A74" s="6" t="n"/>
      <c r="B74" s="6" t="n"/>
      <c r="C74" s="6" t="n"/>
      <c r="D74" s="11">
        <f>IF(C74="","",IFERROR(INDEX(Levels!$A$2:$A$30,MATCH(C74,Levels!$B$2:$B$30,0)),""))</f>
        <v/>
      </c>
      <c r="E74" s="10">
        <f>IF(B74="","",IFERROR(INDEX(Roster!$A$2:$A$600,MATCH(B74,Roster!$E$2:$E$600,0)),""))</f>
        <v/>
      </c>
      <c r="F74" s="10">
        <f>IF(C74="","",IFERROR(INDEX(Levels!$C$2:$C$30,MATCH(C74,Levels!$B$2:$B$30,0)),""))</f>
        <v/>
      </c>
      <c r="G74" s="6" t="n"/>
      <c r="H74" s="10">
        <f>IF(AND(B74="",C74=""),"",IF(G74&lt;&gt;"","Void",IF(OR(B74="",E74=""),"Needs child",IF(D74="","Needs level","OK"))))</f>
        <v/>
      </c>
    </row>
    <row r="75">
      <c r="A75" s="6" t="n"/>
      <c r="B75" s="6" t="n"/>
      <c r="C75" s="6" t="n"/>
      <c r="D75" s="11">
        <f>IF(C75="","",IFERROR(INDEX(Levels!$A$2:$A$30,MATCH(C75,Levels!$B$2:$B$30,0)),""))</f>
        <v/>
      </c>
      <c r="E75" s="10">
        <f>IF(B75="","",IFERROR(INDEX(Roster!$A$2:$A$600,MATCH(B75,Roster!$E$2:$E$600,0)),""))</f>
        <v/>
      </c>
      <c r="F75" s="10">
        <f>IF(C75="","",IFERROR(INDEX(Levels!$C$2:$C$30,MATCH(C75,Levels!$B$2:$B$30,0)),""))</f>
        <v/>
      </c>
      <c r="G75" s="6" t="n"/>
      <c r="H75" s="10">
        <f>IF(AND(B75="",C75=""),"",IF(G75&lt;&gt;"","Void",IF(OR(B75="",E75=""),"Needs child",IF(D75="","Needs level","OK"))))</f>
        <v/>
      </c>
    </row>
    <row r="76">
      <c r="A76" s="6" t="n"/>
      <c r="B76" s="6" t="n"/>
      <c r="C76" s="6" t="n"/>
      <c r="D76" s="11">
        <f>IF(C76="","",IFERROR(INDEX(Levels!$A$2:$A$30,MATCH(C76,Levels!$B$2:$B$30,0)),""))</f>
        <v/>
      </c>
      <c r="E76" s="10">
        <f>IF(B76="","",IFERROR(INDEX(Roster!$A$2:$A$600,MATCH(B76,Roster!$E$2:$E$600,0)),""))</f>
        <v/>
      </c>
      <c r="F76" s="10">
        <f>IF(C76="","",IFERROR(INDEX(Levels!$C$2:$C$30,MATCH(C76,Levels!$B$2:$B$30,0)),""))</f>
        <v/>
      </c>
      <c r="G76" s="6" t="n"/>
      <c r="H76" s="10">
        <f>IF(AND(B76="",C76=""),"",IF(G76&lt;&gt;"","Void",IF(OR(B76="",E76=""),"Needs child",IF(D76="","Needs level","OK"))))</f>
        <v/>
      </c>
    </row>
    <row r="77">
      <c r="A77" s="6" t="n"/>
      <c r="B77" s="6" t="n"/>
      <c r="C77" s="6" t="n"/>
      <c r="D77" s="11">
        <f>IF(C77="","",IFERROR(INDEX(Levels!$A$2:$A$30,MATCH(C77,Levels!$B$2:$B$30,0)),""))</f>
        <v/>
      </c>
      <c r="E77" s="10">
        <f>IF(B77="","",IFERROR(INDEX(Roster!$A$2:$A$600,MATCH(B77,Roster!$E$2:$E$600,0)),""))</f>
        <v/>
      </c>
      <c r="F77" s="10">
        <f>IF(C77="","",IFERROR(INDEX(Levels!$C$2:$C$30,MATCH(C77,Levels!$B$2:$B$30,0)),""))</f>
        <v/>
      </c>
      <c r="G77" s="6" t="n"/>
      <c r="H77" s="10">
        <f>IF(AND(B77="",C77=""),"",IF(G77&lt;&gt;"","Void",IF(OR(B77="",E77=""),"Needs child",IF(D77="","Needs level","OK"))))</f>
        <v/>
      </c>
    </row>
    <row r="78">
      <c r="A78" s="6" t="n"/>
      <c r="B78" s="6" t="n"/>
      <c r="C78" s="6" t="n"/>
      <c r="D78" s="11">
        <f>IF(C78="","",IFERROR(INDEX(Levels!$A$2:$A$30,MATCH(C78,Levels!$B$2:$B$30,0)),""))</f>
        <v/>
      </c>
      <c r="E78" s="10">
        <f>IF(B78="","",IFERROR(INDEX(Roster!$A$2:$A$600,MATCH(B78,Roster!$E$2:$E$600,0)),""))</f>
        <v/>
      </c>
      <c r="F78" s="10">
        <f>IF(C78="","",IFERROR(INDEX(Levels!$C$2:$C$30,MATCH(C78,Levels!$B$2:$B$30,0)),""))</f>
        <v/>
      </c>
      <c r="G78" s="6" t="n"/>
      <c r="H78" s="10">
        <f>IF(AND(B78="",C78=""),"",IF(G78&lt;&gt;"","Void",IF(OR(B78="",E78=""),"Needs child",IF(D78="","Needs level","OK"))))</f>
        <v/>
      </c>
    </row>
    <row r="79">
      <c r="A79" s="6" t="n"/>
      <c r="B79" s="6" t="n"/>
      <c r="C79" s="6" t="n"/>
      <c r="D79" s="11">
        <f>IF(C79="","",IFERROR(INDEX(Levels!$A$2:$A$30,MATCH(C79,Levels!$B$2:$B$30,0)),""))</f>
        <v/>
      </c>
      <c r="E79" s="10">
        <f>IF(B79="","",IFERROR(INDEX(Roster!$A$2:$A$600,MATCH(B79,Roster!$E$2:$E$600,0)),""))</f>
        <v/>
      </c>
      <c r="F79" s="10">
        <f>IF(C79="","",IFERROR(INDEX(Levels!$C$2:$C$30,MATCH(C79,Levels!$B$2:$B$30,0)),""))</f>
        <v/>
      </c>
      <c r="G79" s="6" t="n"/>
      <c r="H79" s="10">
        <f>IF(AND(B79="",C79=""),"",IF(G79&lt;&gt;"","Void",IF(OR(B79="",E79=""),"Needs child",IF(D79="","Needs level","OK"))))</f>
        <v/>
      </c>
    </row>
    <row r="80">
      <c r="A80" s="6" t="n"/>
      <c r="B80" s="6" t="n"/>
      <c r="C80" s="6" t="n"/>
      <c r="D80" s="11">
        <f>IF(C80="","",IFERROR(INDEX(Levels!$A$2:$A$30,MATCH(C80,Levels!$B$2:$B$30,0)),""))</f>
        <v/>
      </c>
      <c r="E80" s="10">
        <f>IF(B80="","",IFERROR(INDEX(Roster!$A$2:$A$600,MATCH(B80,Roster!$E$2:$E$600,0)),""))</f>
        <v/>
      </c>
      <c r="F80" s="10">
        <f>IF(C80="","",IFERROR(INDEX(Levels!$C$2:$C$30,MATCH(C80,Levels!$B$2:$B$30,0)),""))</f>
        <v/>
      </c>
      <c r="G80" s="6" t="n"/>
      <c r="H80" s="10">
        <f>IF(AND(B80="",C80=""),"",IF(G80&lt;&gt;"","Void",IF(OR(B80="",E80=""),"Needs child",IF(D80="","Needs level","OK"))))</f>
        <v/>
      </c>
    </row>
    <row r="81">
      <c r="A81" s="6" t="n"/>
      <c r="B81" s="6" t="n"/>
      <c r="C81" s="6" t="n"/>
      <c r="D81" s="11">
        <f>IF(C81="","",IFERROR(INDEX(Levels!$A$2:$A$30,MATCH(C81,Levels!$B$2:$B$30,0)),""))</f>
        <v/>
      </c>
      <c r="E81" s="10">
        <f>IF(B81="","",IFERROR(INDEX(Roster!$A$2:$A$600,MATCH(B81,Roster!$E$2:$E$600,0)),""))</f>
        <v/>
      </c>
      <c r="F81" s="10">
        <f>IF(C81="","",IFERROR(INDEX(Levels!$C$2:$C$30,MATCH(C81,Levels!$B$2:$B$30,0)),""))</f>
        <v/>
      </c>
      <c r="G81" s="6" t="n"/>
      <c r="H81" s="10">
        <f>IF(AND(B81="",C81=""),"",IF(G81&lt;&gt;"","Void",IF(OR(B81="",E81=""),"Needs child",IF(D81="","Needs level","OK"))))</f>
        <v/>
      </c>
    </row>
    <row r="82">
      <c r="A82" s="6" t="n"/>
      <c r="B82" s="6" t="n"/>
      <c r="C82" s="6" t="n"/>
      <c r="D82" s="11">
        <f>IF(C82="","",IFERROR(INDEX(Levels!$A$2:$A$30,MATCH(C82,Levels!$B$2:$B$30,0)),""))</f>
        <v/>
      </c>
      <c r="E82" s="10">
        <f>IF(B82="","",IFERROR(INDEX(Roster!$A$2:$A$600,MATCH(B82,Roster!$E$2:$E$600,0)),""))</f>
        <v/>
      </c>
      <c r="F82" s="10">
        <f>IF(C82="","",IFERROR(INDEX(Levels!$C$2:$C$30,MATCH(C82,Levels!$B$2:$B$30,0)),""))</f>
        <v/>
      </c>
      <c r="G82" s="6" t="n"/>
      <c r="H82" s="10">
        <f>IF(AND(B82="",C82=""),"",IF(G82&lt;&gt;"","Void",IF(OR(B82="",E82=""),"Needs child",IF(D82="","Needs level","OK"))))</f>
        <v/>
      </c>
    </row>
    <row r="83">
      <c r="A83" s="6" t="n"/>
      <c r="B83" s="6" t="n"/>
      <c r="C83" s="6" t="n"/>
      <c r="D83" s="11">
        <f>IF(C83="","",IFERROR(INDEX(Levels!$A$2:$A$30,MATCH(C83,Levels!$B$2:$B$30,0)),""))</f>
        <v/>
      </c>
      <c r="E83" s="10">
        <f>IF(B83="","",IFERROR(INDEX(Roster!$A$2:$A$600,MATCH(B83,Roster!$E$2:$E$600,0)),""))</f>
        <v/>
      </c>
      <c r="F83" s="10">
        <f>IF(C83="","",IFERROR(INDEX(Levels!$C$2:$C$30,MATCH(C83,Levels!$B$2:$B$30,0)),""))</f>
        <v/>
      </c>
      <c r="G83" s="6" t="n"/>
      <c r="H83" s="10">
        <f>IF(AND(B83="",C83=""),"",IF(G83&lt;&gt;"","Void",IF(OR(B83="",E83=""),"Needs child",IF(D83="","Needs level","OK"))))</f>
        <v/>
      </c>
    </row>
    <row r="84">
      <c r="A84" s="6" t="n"/>
      <c r="B84" s="6" t="n"/>
      <c r="C84" s="6" t="n"/>
      <c r="D84" s="11">
        <f>IF(C84="","",IFERROR(INDEX(Levels!$A$2:$A$30,MATCH(C84,Levels!$B$2:$B$30,0)),""))</f>
        <v/>
      </c>
      <c r="E84" s="10">
        <f>IF(B84="","",IFERROR(INDEX(Roster!$A$2:$A$600,MATCH(B84,Roster!$E$2:$E$600,0)),""))</f>
        <v/>
      </c>
      <c r="F84" s="10">
        <f>IF(C84="","",IFERROR(INDEX(Levels!$C$2:$C$30,MATCH(C84,Levels!$B$2:$B$30,0)),""))</f>
        <v/>
      </c>
      <c r="G84" s="6" t="n"/>
      <c r="H84" s="10">
        <f>IF(AND(B84="",C84=""),"",IF(G84&lt;&gt;"","Void",IF(OR(B84="",E84=""),"Needs child",IF(D84="","Needs level","OK"))))</f>
        <v/>
      </c>
    </row>
    <row r="85">
      <c r="A85" s="6" t="n"/>
      <c r="B85" s="6" t="n"/>
      <c r="C85" s="6" t="n"/>
      <c r="D85" s="11">
        <f>IF(C85="","",IFERROR(INDEX(Levels!$A$2:$A$30,MATCH(C85,Levels!$B$2:$B$30,0)),""))</f>
        <v/>
      </c>
      <c r="E85" s="10">
        <f>IF(B85="","",IFERROR(INDEX(Roster!$A$2:$A$600,MATCH(B85,Roster!$E$2:$E$600,0)),""))</f>
        <v/>
      </c>
      <c r="F85" s="10">
        <f>IF(C85="","",IFERROR(INDEX(Levels!$C$2:$C$30,MATCH(C85,Levels!$B$2:$B$30,0)),""))</f>
        <v/>
      </c>
      <c r="G85" s="6" t="n"/>
      <c r="H85" s="10">
        <f>IF(AND(B85="",C85=""),"",IF(G85&lt;&gt;"","Void",IF(OR(B85="",E85=""),"Needs child",IF(D85="","Needs level","OK"))))</f>
        <v/>
      </c>
    </row>
    <row r="86">
      <c r="A86" s="6" t="n"/>
      <c r="B86" s="6" t="n"/>
      <c r="C86" s="6" t="n"/>
      <c r="D86" s="11">
        <f>IF(C86="","",IFERROR(INDEX(Levels!$A$2:$A$30,MATCH(C86,Levels!$B$2:$B$30,0)),""))</f>
        <v/>
      </c>
      <c r="E86" s="10">
        <f>IF(B86="","",IFERROR(INDEX(Roster!$A$2:$A$600,MATCH(B86,Roster!$E$2:$E$600,0)),""))</f>
        <v/>
      </c>
      <c r="F86" s="10">
        <f>IF(C86="","",IFERROR(INDEX(Levels!$C$2:$C$30,MATCH(C86,Levels!$B$2:$B$30,0)),""))</f>
        <v/>
      </c>
      <c r="G86" s="6" t="n"/>
      <c r="H86" s="10">
        <f>IF(AND(B86="",C86=""),"",IF(G86&lt;&gt;"","Void",IF(OR(B86="",E86=""),"Needs child",IF(D86="","Needs level","OK"))))</f>
        <v/>
      </c>
    </row>
    <row r="87">
      <c r="A87" s="6" t="n"/>
      <c r="B87" s="6" t="n"/>
      <c r="C87" s="6" t="n"/>
      <c r="D87" s="11">
        <f>IF(C87="","",IFERROR(INDEX(Levels!$A$2:$A$30,MATCH(C87,Levels!$B$2:$B$30,0)),""))</f>
        <v/>
      </c>
      <c r="E87" s="10">
        <f>IF(B87="","",IFERROR(INDEX(Roster!$A$2:$A$600,MATCH(B87,Roster!$E$2:$E$600,0)),""))</f>
        <v/>
      </c>
      <c r="F87" s="10">
        <f>IF(C87="","",IFERROR(INDEX(Levels!$C$2:$C$30,MATCH(C87,Levels!$B$2:$B$30,0)),""))</f>
        <v/>
      </c>
      <c r="G87" s="6" t="n"/>
      <c r="H87" s="10">
        <f>IF(AND(B87="",C87=""),"",IF(G87&lt;&gt;"","Void",IF(OR(B87="",E87=""),"Needs child",IF(D87="","Needs level","OK"))))</f>
        <v/>
      </c>
    </row>
    <row r="88">
      <c r="A88" s="6" t="n"/>
      <c r="B88" s="6" t="n"/>
      <c r="C88" s="6" t="n"/>
      <c r="D88" s="11">
        <f>IF(C88="","",IFERROR(INDEX(Levels!$A$2:$A$30,MATCH(C88,Levels!$B$2:$B$30,0)),""))</f>
        <v/>
      </c>
      <c r="E88" s="10">
        <f>IF(B88="","",IFERROR(INDEX(Roster!$A$2:$A$600,MATCH(B88,Roster!$E$2:$E$600,0)),""))</f>
        <v/>
      </c>
      <c r="F88" s="10">
        <f>IF(C88="","",IFERROR(INDEX(Levels!$C$2:$C$30,MATCH(C88,Levels!$B$2:$B$30,0)),""))</f>
        <v/>
      </c>
      <c r="G88" s="6" t="n"/>
      <c r="H88" s="10">
        <f>IF(AND(B88="",C88=""),"",IF(G88&lt;&gt;"","Void",IF(OR(B88="",E88=""),"Needs child",IF(D88="","Needs level","OK"))))</f>
        <v/>
      </c>
    </row>
    <row r="89">
      <c r="A89" s="6" t="n"/>
      <c r="B89" s="6" t="n"/>
      <c r="C89" s="6" t="n"/>
      <c r="D89" s="11">
        <f>IF(C89="","",IFERROR(INDEX(Levels!$A$2:$A$30,MATCH(C89,Levels!$B$2:$B$30,0)),""))</f>
        <v/>
      </c>
      <c r="E89" s="10">
        <f>IF(B89="","",IFERROR(INDEX(Roster!$A$2:$A$600,MATCH(B89,Roster!$E$2:$E$600,0)),""))</f>
        <v/>
      </c>
      <c r="F89" s="10">
        <f>IF(C89="","",IFERROR(INDEX(Levels!$C$2:$C$30,MATCH(C89,Levels!$B$2:$B$30,0)),""))</f>
        <v/>
      </c>
      <c r="G89" s="6" t="n"/>
      <c r="H89" s="10">
        <f>IF(AND(B89="",C89=""),"",IF(G89&lt;&gt;"","Void",IF(OR(B89="",E89=""),"Needs child",IF(D89="","Needs level","OK"))))</f>
        <v/>
      </c>
    </row>
    <row r="90">
      <c r="A90" s="6" t="n"/>
      <c r="B90" s="6" t="n"/>
      <c r="C90" s="6" t="n"/>
      <c r="D90" s="11">
        <f>IF(C90="","",IFERROR(INDEX(Levels!$A$2:$A$30,MATCH(C90,Levels!$B$2:$B$30,0)),""))</f>
        <v/>
      </c>
      <c r="E90" s="10">
        <f>IF(B90="","",IFERROR(INDEX(Roster!$A$2:$A$600,MATCH(B90,Roster!$E$2:$E$600,0)),""))</f>
        <v/>
      </c>
      <c r="F90" s="10">
        <f>IF(C90="","",IFERROR(INDEX(Levels!$C$2:$C$30,MATCH(C90,Levels!$B$2:$B$30,0)),""))</f>
        <v/>
      </c>
      <c r="G90" s="6" t="n"/>
      <c r="H90" s="10">
        <f>IF(AND(B90="",C90=""),"",IF(G90&lt;&gt;"","Void",IF(OR(B90="",E90=""),"Needs child",IF(D90="","Needs level","OK"))))</f>
        <v/>
      </c>
    </row>
    <row r="91">
      <c r="A91" s="6" t="n"/>
      <c r="B91" s="6" t="n"/>
      <c r="C91" s="6" t="n"/>
      <c r="D91" s="11">
        <f>IF(C91="","",IFERROR(INDEX(Levels!$A$2:$A$30,MATCH(C91,Levels!$B$2:$B$30,0)),""))</f>
        <v/>
      </c>
      <c r="E91" s="10">
        <f>IF(B91="","",IFERROR(INDEX(Roster!$A$2:$A$600,MATCH(B91,Roster!$E$2:$E$600,0)),""))</f>
        <v/>
      </c>
      <c r="F91" s="10">
        <f>IF(C91="","",IFERROR(INDEX(Levels!$C$2:$C$30,MATCH(C91,Levels!$B$2:$B$30,0)),""))</f>
        <v/>
      </c>
      <c r="G91" s="6" t="n"/>
      <c r="H91" s="10">
        <f>IF(AND(B91="",C91=""),"",IF(G91&lt;&gt;"","Void",IF(OR(B91="",E91=""),"Needs child",IF(D91="","Needs level","OK"))))</f>
        <v/>
      </c>
    </row>
    <row r="92">
      <c r="A92" s="6" t="n"/>
      <c r="B92" s="6" t="n"/>
      <c r="C92" s="6" t="n"/>
      <c r="D92" s="11">
        <f>IF(C92="","",IFERROR(INDEX(Levels!$A$2:$A$30,MATCH(C92,Levels!$B$2:$B$30,0)),""))</f>
        <v/>
      </c>
      <c r="E92" s="10">
        <f>IF(B92="","",IFERROR(INDEX(Roster!$A$2:$A$600,MATCH(B92,Roster!$E$2:$E$600,0)),""))</f>
        <v/>
      </c>
      <c r="F92" s="10">
        <f>IF(C92="","",IFERROR(INDEX(Levels!$C$2:$C$30,MATCH(C92,Levels!$B$2:$B$30,0)),""))</f>
        <v/>
      </c>
      <c r="G92" s="6" t="n"/>
      <c r="H92" s="10">
        <f>IF(AND(B92="",C92=""),"",IF(G92&lt;&gt;"","Void",IF(OR(B92="",E92=""),"Needs child",IF(D92="","Needs level","OK"))))</f>
        <v/>
      </c>
    </row>
    <row r="93">
      <c r="A93" s="6" t="n"/>
      <c r="B93" s="6" t="n"/>
      <c r="C93" s="6" t="n"/>
      <c r="D93" s="11">
        <f>IF(C93="","",IFERROR(INDEX(Levels!$A$2:$A$30,MATCH(C93,Levels!$B$2:$B$30,0)),""))</f>
        <v/>
      </c>
      <c r="E93" s="10">
        <f>IF(B93="","",IFERROR(INDEX(Roster!$A$2:$A$600,MATCH(B93,Roster!$E$2:$E$600,0)),""))</f>
        <v/>
      </c>
      <c r="F93" s="10">
        <f>IF(C93="","",IFERROR(INDEX(Levels!$C$2:$C$30,MATCH(C93,Levels!$B$2:$B$30,0)),""))</f>
        <v/>
      </c>
      <c r="G93" s="6" t="n"/>
      <c r="H93" s="10">
        <f>IF(AND(B93="",C93=""),"",IF(G93&lt;&gt;"","Void",IF(OR(B93="",E93=""),"Needs child",IF(D93="","Needs level","OK"))))</f>
        <v/>
      </c>
    </row>
    <row r="94">
      <c r="A94" s="6" t="n"/>
      <c r="B94" s="6" t="n"/>
      <c r="C94" s="6" t="n"/>
      <c r="D94" s="11">
        <f>IF(C94="","",IFERROR(INDEX(Levels!$A$2:$A$30,MATCH(C94,Levels!$B$2:$B$30,0)),""))</f>
        <v/>
      </c>
      <c r="E94" s="10">
        <f>IF(B94="","",IFERROR(INDEX(Roster!$A$2:$A$600,MATCH(B94,Roster!$E$2:$E$600,0)),""))</f>
        <v/>
      </c>
      <c r="F94" s="10">
        <f>IF(C94="","",IFERROR(INDEX(Levels!$C$2:$C$30,MATCH(C94,Levels!$B$2:$B$30,0)),""))</f>
        <v/>
      </c>
      <c r="G94" s="6" t="n"/>
      <c r="H94" s="10">
        <f>IF(AND(B94="",C94=""),"",IF(G94&lt;&gt;"","Void",IF(OR(B94="",E94=""),"Needs child",IF(D94="","Needs level","OK"))))</f>
        <v/>
      </c>
    </row>
    <row r="95">
      <c r="A95" s="6" t="n"/>
      <c r="B95" s="6" t="n"/>
      <c r="C95" s="6" t="n"/>
      <c r="D95" s="11">
        <f>IF(C95="","",IFERROR(INDEX(Levels!$A$2:$A$30,MATCH(C95,Levels!$B$2:$B$30,0)),""))</f>
        <v/>
      </c>
      <c r="E95" s="10">
        <f>IF(B95="","",IFERROR(INDEX(Roster!$A$2:$A$600,MATCH(B95,Roster!$E$2:$E$600,0)),""))</f>
        <v/>
      </c>
      <c r="F95" s="10">
        <f>IF(C95="","",IFERROR(INDEX(Levels!$C$2:$C$30,MATCH(C95,Levels!$B$2:$B$30,0)),""))</f>
        <v/>
      </c>
      <c r="G95" s="6" t="n"/>
      <c r="H95" s="10">
        <f>IF(AND(B95="",C95=""),"",IF(G95&lt;&gt;"","Void",IF(OR(B95="",E95=""),"Needs child",IF(D95="","Needs level","OK"))))</f>
        <v/>
      </c>
    </row>
    <row r="96">
      <c r="A96" s="6" t="n"/>
      <c r="B96" s="6" t="n"/>
      <c r="C96" s="6" t="n"/>
      <c r="D96" s="11">
        <f>IF(C96="","",IFERROR(INDEX(Levels!$A$2:$A$30,MATCH(C96,Levels!$B$2:$B$30,0)),""))</f>
        <v/>
      </c>
      <c r="E96" s="10">
        <f>IF(B96="","",IFERROR(INDEX(Roster!$A$2:$A$600,MATCH(B96,Roster!$E$2:$E$600,0)),""))</f>
        <v/>
      </c>
      <c r="F96" s="10">
        <f>IF(C96="","",IFERROR(INDEX(Levels!$C$2:$C$30,MATCH(C96,Levels!$B$2:$B$30,0)),""))</f>
        <v/>
      </c>
      <c r="G96" s="6" t="n"/>
      <c r="H96" s="10">
        <f>IF(AND(B96="",C96=""),"",IF(G96&lt;&gt;"","Void",IF(OR(B96="",E96=""),"Needs child",IF(D96="","Needs level","OK"))))</f>
        <v/>
      </c>
    </row>
    <row r="97">
      <c r="A97" s="6" t="n"/>
      <c r="B97" s="6" t="n"/>
      <c r="C97" s="6" t="n"/>
      <c r="D97" s="11">
        <f>IF(C97="","",IFERROR(INDEX(Levels!$A$2:$A$30,MATCH(C97,Levels!$B$2:$B$30,0)),""))</f>
        <v/>
      </c>
      <c r="E97" s="10">
        <f>IF(B97="","",IFERROR(INDEX(Roster!$A$2:$A$600,MATCH(B97,Roster!$E$2:$E$600,0)),""))</f>
        <v/>
      </c>
      <c r="F97" s="10">
        <f>IF(C97="","",IFERROR(INDEX(Levels!$C$2:$C$30,MATCH(C97,Levels!$B$2:$B$30,0)),""))</f>
        <v/>
      </c>
      <c r="G97" s="6" t="n"/>
      <c r="H97" s="10">
        <f>IF(AND(B97="",C97=""),"",IF(G97&lt;&gt;"","Void",IF(OR(B97="",E97=""),"Needs child",IF(D97="","Needs level","OK"))))</f>
        <v/>
      </c>
    </row>
    <row r="98">
      <c r="A98" s="6" t="n"/>
      <c r="B98" s="6" t="n"/>
      <c r="C98" s="6" t="n"/>
      <c r="D98" s="11">
        <f>IF(C98="","",IFERROR(INDEX(Levels!$A$2:$A$30,MATCH(C98,Levels!$B$2:$B$30,0)),""))</f>
        <v/>
      </c>
      <c r="E98" s="10">
        <f>IF(B98="","",IFERROR(INDEX(Roster!$A$2:$A$600,MATCH(B98,Roster!$E$2:$E$600,0)),""))</f>
        <v/>
      </c>
      <c r="F98" s="10">
        <f>IF(C98="","",IFERROR(INDEX(Levels!$C$2:$C$30,MATCH(C98,Levels!$B$2:$B$30,0)),""))</f>
        <v/>
      </c>
      <c r="G98" s="6" t="n"/>
      <c r="H98" s="10">
        <f>IF(AND(B98="",C98=""),"",IF(G98&lt;&gt;"","Void",IF(OR(B98="",E98=""),"Needs child",IF(D98="","Needs level","OK"))))</f>
        <v/>
      </c>
    </row>
    <row r="99">
      <c r="A99" s="6" t="n"/>
      <c r="B99" s="6" t="n"/>
      <c r="C99" s="6" t="n"/>
      <c r="D99" s="11">
        <f>IF(C99="","",IFERROR(INDEX(Levels!$A$2:$A$30,MATCH(C99,Levels!$B$2:$B$30,0)),""))</f>
        <v/>
      </c>
      <c r="E99" s="10">
        <f>IF(B99="","",IFERROR(INDEX(Roster!$A$2:$A$600,MATCH(B99,Roster!$E$2:$E$600,0)),""))</f>
        <v/>
      </c>
      <c r="F99" s="10">
        <f>IF(C99="","",IFERROR(INDEX(Levels!$C$2:$C$30,MATCH(C99,Levels!$B$2:$B$30,0)),""))</f>
        <v/>
      </c>
      <c r="G99" s="6" t="n"/>
      <c r="H99" s="10">
        <f>IF(AND(B99="",C99=""),"",IF(G99&lt;&gt;"","Void",IF(OR(B99="",E99=""),"Needs child",IF(D99="","Needs level","OK"))))</f>
        <v/>
      </c>
    </row>
    <row r="100">
      <c r="A100" s="6" t="n"/>
      <c r="B100" s="6" t="n"/>
      <c r="C100" s="6" t="n"/>
      <c r="D100" s="11">
        <f>IF(C100="","",IFERROR(INDEX(Levels!$A$2:$A$30,MATCH(C100,Levels!$B$2:$B$30,0)),""))</f>
        <v/>
      </c>
      <c r="E100" s="10">
        <f>IF(B100="","",IFERROR(INDEX(Roster!$A$2:$A$600,MATCH(B100,Roster!$E$2:$E$600,0)),""))</f>
        <v/>
      </c>
      <c r="F100" s="10">
        <f>IF(C100="","",IFERROR(INDEX(Levels!$C$2:$C$30,MATCH(C100,Levels!$B$2:$B$30,0)),""))</f>
        <v/>
      </c>
      <c r="G100" s="6" t="n"/>
      <c r="H100" s="10">
        <f>IF(AND(B100="",C100=""),"",IF(G100&lt;&gt;"","Void",IF(OR(B100="",E100=""),"Needs child",IF(D100="","Needs level","OK"))))</f>
        <v/>
      </c>
    </row>
    <row r="101">
      <c r="A101" s="6" t="n"/>
      <c r="B101" s="6" t="n"/>
      <c r="C101" s="6" t="n"/>
      <c r="D101" s="11">
        <f>IF(C101="","",IFERROR(INDEX(Levels!$A$2:$A$30,MATCH(C101,Levels!$B$2:$B$30,0)),""))</f>
        <v/>
      </c>
      <c r="E101" s="10">
        <f>IF(B101="","",IFERROR(INDEX(Roster!$A$2:$A$600,MATCH(B101,Roster!$E$2:$E$600,0)),""))</f>
        <v/>
      </c>
      <c r="F101" s="10">
        <f>IF(C101="","",IFERROR(INDEX(Levels!$C$2:$C$30,MATCH(C101,Levels!$B$2:$B$30,0)),""))</f>
        <v/>
      </c>
      <c r="G101" s="6" t="n"/>
      <c r="H101" s="10">
        <f>IF(AND(B101="",C101=""),"",IF(G101&lt;&gt;"","Void",IF(OR(B101="",E101=""),"Needs child",IF(D101="","Needs level","OK"))))</f>
        <v/>
      </c>
    </row>
    <row r="102">
      <c r="A102" s="6" t="n"/>
      <c r="B102" s="6" t="n"/>
      <c r="C102" s="6" t="n"/>
      <c r="D102" s="11">
        <f>IF(C102="","",IFERROR(INDEX(Levels!$A$2:$A$30,MATCH(C102,Levels!$B$2:$B$30,0)),""))</f>
        <v/>
      </c>
      <c r="E102" s="10">
        <f>IF(B102="","",IFERROR(INDEX(Roster!$A$2:$A$600,MATCH(B102,Roster!$E$2:$E$600,0)),""))</f>
        <v/>
      </c>
      <c r="F102" s="10">
        <f>IF(C102="","",IFERROR(INDEX(Levels!$C$2:$C$30,MATCH(C102,Levels!$B$2:$B$30,0)),""))</f>
        <v/>
      </c>
      <c r="G102" s="6" t="n"/>
      <c r="H102" s="10">
        <f>IF(AND(B102="",C102=""),"",IF(G102&lt;&gt;"","Void",IF(OR(B102="",E102=""),"Needs child",IF(D102="","Needs level","OK"))))</f>
        <v/>
      </c>
    </row>
    <row r="103">
      <c r="A103" s="6" t="n"/>
      <c r="B103" s="6" t="n"/>
      <c r="C103" s="6" t="n"/>
      <c r="D103" s="11">
        <f>IF(C103="","",IFERROR(INDEX(Levels!$A$2:$A$30,MATCH(C103,Levels!$B$2:$B$30,0)),""))</f>
        <v/>
      </c>
      <c r="E103" s="10">
        <f>IF(B103="","",IFERROR(INDEX(Roster!$A$2:$A$600,MATCH(B103,Roster!$E$2:$E$600,0)),""))</f>
        <v/>
      </c>
      <c r="F103" s="10">
        <f>IF(C103="","",IFERROR(INDEX(Levels!$C$2:$C$30,MATCH(C103,Levels!$B$2:$B$30,0)),""))</f>
        <v/>
      </c>
      <c r="G103" s="6" t="n"/>
      <c r="H103" s="10">
        <f>IF(AND(B103="",C103=""),"",IF(G103&lt;&gt;"","Void",IF(OR(B103="",E103=""),"Needs child",IF(D103="","Needs level","OK"))))</f>
        <v/>
      </c>
    </row>
    <row r="104">
      <c r="A104" s="6" t="n"/>
      <c r="B104" s="6" t="n"/>
      <c r="C104" s="6" t="n"/>
      <c r="D104" s="11">
        <f>IF(C104="","",IFERROR(INDEX(Levels!$A$2:$A$30,MATCH(C104,Levels!$B$2:$B$30,0)),""))</f>
        <v/>
      </c>
      <c r="E104" s="10">
        <f>IF(B104="","",IFERROR(INDEX(Roster!$A$2:$A$600,MATCH(B104,Roster!$E$2:$E$600,0)),""))</f>
        <v/>
      </c>
      <c r="F104" s="10">
        <f>IF(C104="","",IFERROR(INDEX(Levels!$C$2:$C$30,MATCH(C104,Levels!$B$2:$B$30,0)),""))</f>
        <v/>
      </c>
      <c r="G104" s="6" t="n"/>
      <c r="H104" s="10">
        <f>IF(AND(B104="",C104=""),"",IF(G104&lt;&gt;"","Void",IF(OR(B104="",E104=""),"Needs child",IF(D104="","Needs level","OK"))))</f>
        <v/>
      </c>
    </row>
    <row r="105">
      <c r="A105" s="6" t="n"/>
      <c r="B105" s="6" t="n"/>
      <c r="C105" s="6" t="n"/>
      <c r="D105" s="11">
        <f>IF(C105="","",IFERROR(INDEX(Levels!$A$2:$A$30,MATCH(C105,Levels!$B$2:$B$30,0)),""))</f>
        <v/>
      </c>
      <c r="E105" s="10">
        <f>IF(B105="","",IFERROR(INDEX(Roster!$A$2:$A$600,MATCH(B105,Roster!$E$2:$E$600,0)),""))</f>
        <v/>
      </c>
      <c r="F105" s="10">
        <f>IF(C105="","",IFERROR(INDEX(Levels!$C$2:$C$30,MATCH(C105,Levels!$B$2:$B$30,0)),""))</f>
        <v/>
      </c>
      <c r="G105" s="6" t="n"/>
      <c r="H105" s="10">
        <f>IF(AND(B105="",C105=""),"",IF(G105&lt;&gt;"","Void",IF(OR(B105="",E105=""),"Needs child",IF(D105="","Needs level","OK"))))</f>
        <v/>
      </c>
    </row>
    <row r="106">
      <c r="A106" s="6" t="n"/>
      <c r="B106" s="6" t="n"/>
      <c r="C106" s="6" t="n"/>
      <c r="D106" s="11">
        <f>IF(C106="","",IFERROR(INDEX(Levels!$A$2:$A$30,MATCH(C106,Levels!$B$2:$B$30,0)),""))</f>
        <v/>
      </c>
      <c r="E106" s="10">
        <f>IF(B106="","",IFERROR(INDEX(Roster!$A$2:$A$600,MATCH(B106,Roster!$E$2:$E$600,0)),""))</f>
        <v/>
      </c>
      <c r="F106" s="10">
        <f>IF(C106="","",IFERROR(INDEX(Levels!$C$2:$C$30,MATCH(C106,Levels!$B$2:$B$30,0)),""))</f>
        <v/>
      </c>
      <c r="G106" s="6" t="n"/>
      <c r="H106" s="10">
        <f>IF(AND(B106="",C106=""),"",IF(G106&lt;&gt;"","Void",IF(OR(B106="",E106=""),"Needs child",IF(D106="","Needs level","OK"))))</f>
        <v/>
      </c>
    </row>
    <row r="107">
      <c r="A107" s="6" t="n"/>
      <c r="B107" s="6" t="n"/>
      <c r="C107" s="6" t="n"/>
      <c r="D107" s="11">
        <f>IF(C107="","",IFERROR(INDEX(Levels!$A$2:$A$30,MATCH(C107,Levels!$B$2:$B$30,0)),""))</f>
        <v/>
      </c>
      <c r="E107" s="10">
        <f>IF(B107="","",IFERROR(INDEX(Roster!$A$2:$A$600,MATCH(B107,Roster!$E$2:$E$600,0)),""))</f>
        <v/>
      </c>
      <c r="F107" s="10">
        <f>IF(C107="","",IFERROR(INDEX(Levels!$C$2:$C$30,MATCH(C107,Levels!$B$2:$B$30,0)),""))</f>
        <v/>
      </c>
      <c r="G107" s="6" t="n"/>
      <c r="H107" s="10">
        <f>IF(AND(B107="",C107=""),"",IF(G107&lt;&gt;"","Void",IF(OR(B107="",E107=""),"Needs child",IF(D107="","Needs level","OK"))))</f>
        <v/>
      </c>
    </row>
    <row r="108">
      <c r="A108" s="6" t="n"/>
      <c r="B108" s="6" t="n"/>
      <c r="C108" s="6" t="n"/>
      <c r="D108" s="11">
        <f>IF(C108="","",IFERROR(INDEX(Levels!$A$2:$A$30,MATCH(C108,Levels!$B$2:$B$30,0)),""))</f>
        <v/>
      </c>
      <c r="E108" s="10">
        <f>IF(B108="","",IFERROR(INDEX(Roster!$A$2:$A$600,MATCH(B108,Roster!$E$2:$E$600,0)),""))</f>
        <v/>
      </c>
      <c r="F108" s="10">
        <f>IF(C108="","",IFERROR(INDEX(Levels!$C$2:$C$30,MATCH(C108,Levels!$B$2:$B$30,0)),""))</f>
        <v/>
      </c>
      <c r="G108" s="6" t="n"/>
      <c r="H108" s="10">
        <f>IF(AND(B108="",C108=""),"",IF(G108&lt;&gt;"","Void",IF(OR(B108="",E108=""),"Needs child",IF(D108="","Needs level","OK"))))</f>
        <v/>
      </c>
    </row>
    <row r="109">
      <c r="A109" s="6" t="n"/>
      <c r="B109" s="6" t="n"/>
      <c r="C109" s="6" t="n"/>
      <c r="D109" s="11">
        <f>IF(C109="","",IFERROR(INDEX(Levels!$A$2:$A$30,MATCH(C109,Levels!$B$2:$B$30,0)),""))</f>
        <v/>
      </c>
      <c r="E109" s="10">
        <f>IF(B109="","",IFERROR(INDEX(Roster!$A$2:$A$600,MATCH(B109,Roster!$E$2:$E$600,0)),""))</f>
        <v/>
      </c>
      <c r="F109" s="10">
        <f>IF(C109="","",IFERROR(INDEX(Levels!$C$2:$C$30,MATCH(C109,Levels!$B$2:$B$30,0)),""))</f>
        <v/>
      </c>
      <c r="G109" s="6" t="n"/>
      <c r="H109" s="10">
        <f>IF(AND(B109="",C109=""),"",IF(G109&lt;&gt;"","Void",IF(OR(B109="",E109=""),"Needs child",IF(D109="","Needs level","OK"))))</f>
        <v/>
      </c>
    </row>
    <row r="110">
      <c r="A110" s="6" t="n"/>
      <c r="B110" s="6" t="n"/>
      <c r="C110" s="6" t="n"/>
      <c r="D110" s="11">
        <f>IF(C110="","",IFERROR(INDEX(Levels!$A$2:$A$30,MATCH(C110,Levels!$B$2:$B$30,0)),""))</f>
        <v/>
      </c>
      <c r="E110" s="10">
        <f>IF(B110="","",IFERROR(INDEX(Roster!$A$2:$A$600,MATCH(B110,Roster!$E$2:$E$600,0)),""))</f>
        <v/>
      </c>
      <c r="F110" s="10">
        <f>IF(C110="","",IFERROR(INDEX(Levels!$C$2:$C$30,MATCH(C110,Levels!$B$2:$B$30,0)),""))</f>
        <v/>
      </c>
      <c r="G110" s="6" t="n"/>
      <c r="H110" s="10">
        <f>IF(AND(B110="",C110=""),"",IF(G110&lt;&gt;"","Void",IF(OR(B110="",E110=""),"Needs child",IF(D110="","Needs level","OK"))))</f>
        <v/>
      </c>
    </row>
    <row r="111">
      <c r="A111" s="6" t="n"/>
      <c r="B111" s="6" t="n"/>
      <c r="C111" s="6" t="n"/>
      <c r="D111" s="11">
        <f>IF(C111="","",IFERROR(INDEX(Levels!$A$2:$A$30,MATCH(C111,Levels!$B$2:$B$30,0)),""))</f>
        <v/>
      </c>
      <c r="E111" s="10">
        <f>IF(B111="","",IFERROR(INDEX(Roster!$A$2:$A$600,MATCH(B111,Roster!$E$2:$E$600,0)),""))</f>
        <v/>
      </c>
      <c r="F111" s="10">
        <f>IF(C111="","",IFERROR(INDEX(Levels!$C$2:$C$30,MATCH(C111,Levels!$B$2:$B$30,0)),""))</f>
        <v/>
      </c>
      <c r="G111" s="6" t="n"/>
      <c r="H111" s="10">
        <f>IF(AND(B111="",C111=""),"",IF(G111&lt;&gt;"","Void",IF(OR(B111="",E111=""),"Needs child",IF(D111="","Needs level","OK"))))</f>
        <v/>
      </c>
    </row>
    <row r="112">
      <c r="A112" s="6" t="n"/>
      <c r="B112" s="6" t="n"/>
      <c r="C112" s="6" t="n"/>
      <c r="D112" s="11">
        <f>IF(C112="","",IFERROR(INDEX(Levels!$A$2:$A$30,MATCH(C112,Levels!$B$2:$B$30,0)),""))</f>
        <v/>
      </c>
      <c r="E112" s="10">
        <f>IF(B112="","",IFERROR(INDEX(Roster!$A$2:$A$600,MATCH(B112,Roster!$E$2:$E$600,0)),""))</f>
        <v/>
      </c>
      <c r="F112" s="10">
        <f>IF(C112="","",IFERROR(INDEX(Levels!$C$2:$C$30,MATCH(C112,Levels!$B$2:$B$30,0)),""))</f>
        <v/>
      </c>
      <c r="G112" s="6" t="n"/>
      <c r="H112" s="10">
        <f>IF(AND(B112="",C112=""),"",IF(G112&lt;&gt;"","Void",IF(OR(B112="",E112=""),"Needs child",IF(D112="","Needs level","OK"))))</f>
        <v/>
      </c>
    </row>
    <row r="113">
      <c r="A113" s="6" t="n"/>
      <c r="B113" s="6" t="n"/>
      <c r="C113" s="6" t="n"/>
      <c r="D113" s="11">
        <f>IF(C113="","",IFERROR(INDEX(Levels!$A$2:$A$30,MATCH(C113,Levels!$B$2:$B$30,0)),""))</f>
        <v/>
      </c>
      <c r="E113" s="10">
        <f>IF(B113="","",IFERROR(INDEX(Roster!$A$2:$A$600,MATCH(B113,Roster!$E$2:$E$600,0)),""))</f>
        <v/>
      </c>
      <c r="F113" s="10">
        <f>IF(C113="","",IFERROR(INDEX(Levels!$C$2:$C$30,MATCH(C113,Levels!$B$2:$B$30,0)),""))</f>
        <v/>
      </c>
      <c r="G113" s="6" t="n"/>
      <c r="H113" s="10">
        <f>IF(AND(B113="",C113=""),"",IF(G113&lt;&gt;"","Void",IF(OR(B113="",E113=""),"Needs child",IF(D113="","Needs level","OK"))))</f>
        <v/>
      </c>
    </row>
    <row r="114">
      <c r="A114" s="6" t="n"/>
      <c r="B114" s="6" t="n"/>
      <c r="C114" s="6" t="n"/>
      <c r="D114" s="11">
        <f>IF(C114="","",IFERROR(INDEX(Levels!$A$2:$A$30,MATCH(C114,Levels!$B$2:$B$30,0)),""))</f>
        <v/>
      </c>
      <c r="E114" s="10">
        <f>IF(B114="","",IFERROR(INDEX(Roster!$A$2:$A$600,MATCH(B114,Roster!$E$2:$E$600,0)),""))</f>
        <v/>
      </c>
      <c r="F114" s="10">
        <f>IF(C114="","",IFERROR(INDEX(Levels!$C$2:$C$30,MATCH(C114,Levels!$B$2:$B$30,0)),""))</f>
        <v/>
      </c>
      <c r="G114" s="6" t="n"/>
      <c r="H114" s="10">
        <f>IF(AND(B114="",C114=""),"",IF(G114&lt;&gt;"","Void",IF(OR(B114="",E114=""),"Needs child",IF(D114="","Needs level","OK"))))</f>
        <v/>
      </c>
    </row>
    <row r="115">
      <c r="A115" s="6" t="n"/>
      <c r="B115" s="6" t="n"/>
      <c r="C115" s="6" t="n"/>
      <c r="D115" s="11">
        <f>IF(C115="","",IFERROR(INDEX(Levels!$A$2:$A$30,MATCH(C115,Levels!$B$2:$B$30,0)),""))</f>
        <v/>
      </c>
      <c r="E115" s="10">
        <f>IF(B115="","",IFERROR(INDEX(Roster!$A$2:$A$600,MATCH(B115,Roster!$E$2:$E$600,0)),""))</f>
        <v/>
      </c>
      <c r="F115" s="10">
        <f>IF(C115="","",IFERROR(INDEX(Levels!$C$2:$C$30,MATCH(C115,Levels!$B$2:$B$30,0)),""))</f>
        <v/>
      </c>
      <c r="G115" s="6" t="n"/>
      <c r="H115" s="10">
        <f>IF(AND(B115="",C115=""),"",IF(G115&lt;&gt;"","Void",IF(OR(B115="",E115=""),"Needs child",IF(D115="","Needs level","OK"))))</f>
        <v/>
      </c>
    </row>
    <row r="116">
      <c r="A116" s="6" t="n"/>
      <c r="B116" s="6" t="n"/>
      <c r="C116" s="6" t="n"/>
      <c r="D116" s="11">
        <f>IF(C116="","",IFERROR(INDEX(Levels!$A$2:$A$30,MATCH(C116,Levels!$B$2:$B$30,0)),""))</f>
        <v/>
      </c>
      <c r="E116" s="10">
        <f>IF(B116="","",IFERROR(INDEX(Roster!$A$2:$A$600,MATCH(B116,Roster!$E$2:$E$600,0)),""))</f>
        <v/>
      </c>
      <c r="F116" s="10">
        <f>IF(C116="","",IFERROR(INDEX(Levels!$C$2:$C$30,MATCH(C116,Levels!$B$2:$B$30,0)),""))</f>
        <v/>
      </c>
      <c r="G116" s="6" t="n"/>
      <c r="H116" s="10">
        <f>IF(AND(B116="",C116=""),"",IF(G116&lt;&gt;"","Void",IF(OR(B116="",E116=""),"Needs child",IF(D116="","Needs level","OK"))))</f>
        <v/>
      </c>
    </row>
    <row r="117">
      <c r="A117" s="6" t="n"/>
      <c r="B117" s="6" t="n"/>
      <c r="C117" s="6" t="n"/>
      <c r="D117" s="11">
        <f>IF(C117="","",IFERROR(INDEX(Levels!$A$2:$A$30,MATCH(C117,Levels!$B$2:$B$30,0)),""))</f>
        <v/>
      </c>
      <c r="E117" s="10">
        <f>IF(B117="","",IFERROR(INDEX(Roster!$A$2:$A$600,MATCH(B117,Roster!$E$2:$E$600,0)),""))</f>
        <v/>
      </c>
      <c r="F117" s="10">
        <f>IF(C117="","",IFERROR(INDEX(Levels!$C$2:$C$30,MATCH(C117,Levels!$B$2:$B$30,0)),""))</f>
        <v/>
      </c>
      <c r="G117" s="6" t="n"/>
      <c r="H117" s="10">
        <f>IF(AND(B117="",C117=""),"",IF(G117&lt;&gt;"","Void",IF(OR(B117="",E117=""),"Needs child",IF(D117="","Needs level","OK"))))</f>
        <v/>
      </c>
    </row>
    <row r="118">
      <c r="A118" s="6" t="n"/>
      <c r="B118" s="6" t="n"/>
      <c r="C118" s="6" t="n"/>
      <c r="D118" s="11">
        <f>IF(C118="","",IFERROR(INDEX(Levels!$A$2:$A$30,MATCH(C118,Levels!$B$2:$B$30,0)),""))</f>
        <v/>
      </c>
      <c r="E118" s="10">
        <f>IF(B118="","",IFERROR(INDEX(Roster!$A$2:$A$600,MATCH(B118,Roster!$E$2:$E$600,0)),""))</f>
        <v/>
      </c>
      <c r="F118" s="10">
        <f>IF(C118="","",IFERROR(INDEX(Levels!$C$2:$C$30,MATCH(C118,Levels!$B$2:$B$30,0)),""))</f>
        <v/>
      </c>
      <c r="G118" s="6" t="n"/>
      <c r="H118" s="10">
        <f>IF(AND(B118="",C118=""),"",IF(G118&lt;&gt;"","Void",IF(OR(B118="",E118=""),"Needs child",IF(D118="","Needs level","OK"))))</f>
        <v/>
      </c>
    </row>
    <row r="119">
      <c r="A119" s="6" t="n"/>
      <c r="B119" s="6" t="n"/>
      <c r="C119" s="6" t="n"/>
      <c r="D119" s="11">
        <f>IF(C119="","",IFERROR(INDEX(Levels!$A$2:$A$30,MATCH(C119,Levels!$B$2:$B$30,0)),""))</f>
        <v/>
      </c>
      <c r="E119" s="10">
        <f>IF(B119="","",IFERROR(INDEX(Roster!$A$2:$A$600,MATCH(B119,Roster!$E$2:$E$600,0)),""))</f>
        <v/>
      </c>
      <c r="F119" s="10">
        <f>IF(C119="","",IFERROR(INDEX(Levels!$C$2:$C$30,MATCH(C119,Levels!$B$2:$B$30,0)),""))</f>
        <v/>
      </c>
      <c r="G119" s="6" t="n"/>
      <c r="H119" s="10">
        <f>IF(AND(B119="",C119=""),"",IF(G119&lt;&gt;"","Void",IF(OR(B119="",E119=""),"Needs child",IF(D119="","Needs level","OK"))))</f>
        <v/>
      </c>
    </row>
    <row r="120">
      <c r="A120" s="6" t="n"/>
      <c r="B120" s="6" t="n"/>
      <c r="C120" s="6" t="n"/>
      <c r="D120" s="11">
        <f>IF(C120="","",IFERROR(INDEX(Levels!$A$2:$A$30,MATCH(C120,Levels!$B$2:$B$30,0)),""))</f>
        <v/>
      </c>
      <c r="E120" s="10">
        <f>IF(B120="","",IFERROR(INDEX(Roster!$A$2:$A$600,MATCH(B120,Roster!$E$2:$E$600,0)),""))</f>
        <v/>
      </c>
      <c r="F120" s="10">
        <f>IF(C120="","",IFERROR(INDEX(Levels!$C$2:$C$30,MATCH(C120,Levels!$B$2:$B$30,0)),""))</f>
        <v/>
      </c>
      <c r="G120" s="6" t="n"/>
      <c r="H120" s="10">
        <f>IF(AND(B120="",C120=""),"",IF(G120&lt;&gt;"","Void",IF(OR(B120="",E120=""),"Needs child",IF(D120="","Needs level","OK"))))</f>
        <v/>
      </c>
    </row>
    <row r="121">
      <c r="A121" s="6" t="n"/>
      <c r="B121" s="6" t="n"/>
      <c r="C121" s="6" t="n"/>
      <c r="D121" s="11">
        <f>IF(C121="","",IFERROR(INDEX(Levels!$A$2:$A$30,MATCH(C121,Levels!$B$2:$B$30,0)),""))</f>
        <v/>
      </c>
      <c r="E121" s="10">
        <f>IF(B121="","",IFERROR(INDEX(Roster!$A$2:$A$600,MATCH(B121,Roster!$E$2:$E$600,0)),""))</f>
        <v/>
      </c>
      <c r="F121" s="10">
        <f>IF(C121="","",IFERROR(INDEX(Levels!$C$2:$C$30,MATCH(C121,Levels!$B$2:$B$30,0)),""))</f>
        <v/>
      </c>
      <c r="G121" s="6" t="n"/>
      <c r="H121" s="10">
        <f>IF(AND(B121="",C121=""),"",IF(G121&lt;&gt;"","Void",IF(OR(B121="",E121=""),"Needs child",IF(D121="","Needs level","OK"))))</f>
        <v/>
      </c>
    </row>
    <row r="122">
      <c r="A122" s="6" t="n"/>
      <c r="B122" s="6" t="n"/>
      <c r="C122" s="6" t="n"/>
      <c r="D122" s="11">
        <f>IF(C122="","",IFERROR(INDEX(Levels!$A$2:$A$30,MATCH(C122,Levels!$B$2:$B$30,0)),""))</f>
        <v/>
      </c>
      <c r="E122" s="10">
        <f>IF(B122="","",IFERROR(INDEX(Roster!$A$2:$A$600,MATCH(B122,Roster!$E$2:$E$600,0)),""))</f>
        <v/>
      </c>
      <c r="F122" s="10">
        <f>IF(C122="","",IFERROR(INDEX(Levels!$C$2:$C$30,MATCH(C122,Levels!$B$2:$B$30,0)),""))</f>
        <v/>
      </c>
      <c r="G122" s="6" t="n"/>
      <c r="H122" s="10">
        <f>IF(AND(B122="",C122=""),"",IF(G122&lt;&gt;"","Void",IF(OR(B122="",E122=""),"Needs child",IF(D122="","Needs level","OK"))))</f>
        <v/>
      </c>
    </row>
    <row r="123">
      <c r="A123" s="6" t="n"/>
      <c r="B123" s="6" t="n"/>
      <c r="C123" s="6" t="n"/>
      <c r="D123" s="11">
        <f>IF(C123="","",IFERROR(INDEX(Levels!$A$2:$A$30,MATCH(C123,Levels!$B$2:$B$30,0)),""))</f>
        <v/>
      </c>
      <c r="E123" s="10">
        <f>IF(B123="","",IFERROR(INDEX(Roster!$A$2:$A$600,MATCH(B123,Roster!$E$2:$E$600,0)),""))</f>
        <v/>
      </c>
      <c r="F123" s="10">
        <f>IF(C123="","",IFERROR(INDEX(Levels!$C$2:$C$30,MATCH(C123,Levels!$B$2:$B$30,0)),""))</f>
        <v/>
      </c>
      <c r="G123" s="6" t="n"/>
      <c r="H123" s="10">
        <f>IF(AND(B123="",C123=""),"",IF(G123&lt;&gt;"","Void",IF(OR(B123="",E123=""),"Needs child",IF(D123="","Needs level","OK"))))</f>
        <v/>
      </c>
    </row>
    <row r="124">
      <c r="A124" s="6" t="n"/>
      <c r="B124" s="6" t="n"/>
      <c r="C124" s="6" t="n"/>
      <c r="D124" s="11">
        <f>IF(C124="","",IFERROR(INDEX(Levels!$A$2:$A$30,MATCH(C124,Levels!$B$2:$B$30,0)),""))</f>
        <v/>
      </c>
      <c r="E124" s="10">
        <f>IF(B124="","",IFERROR(INDEX(Roster!$A$2:$A$600,MATCH(B124,Roster!$E$2:$E$600,0)),""))</f>
        <v/>
      </c>
      <c r="F124" s="10">
        <f>IF(C124="","",IFERROR(INDEX(Levels!$C$2:$C$30,MATCH(C124,Levels!$B$2:$B$30,0)),""))</f>
        <v/>
      </c>
      <c r="G124" s="6" t="n"/>
      <c r="H124" s="10">
        <f>IF(AND(B124="",C124=""),"",IF(G124&lt;&gt;"","Void",IF(OR(B124="",E124=""),"Needs child",IF(D124="","Needs level","OK"))))</f>
        <v/>
      </c>
    </row>
    <row r="125">
      <c r="A125" s="6" t="n"/>
      <c r="B125" s="6" t="n"/>
      <c r="C125" s="6" t="n"/>
      <c r="D125" s="11">
        <f>IF(C125="","",IFERROR(INDEX(Levels!$A$2:$A$30,MATCH(C125,Levels!$B$2:$B$30,0)),""))</f>
        <v/>
      </c>
      <c r="E125" s="10">
        <f>IF(B125="","",IFERROR(INDEX(Roster!$A$2:$A$600,MATCH(B125,Roster!$E$2:$E$600,0)),""))</f>
        <v/>
      </c>
      <c r="F125" s="10">
        <f>IF(C125="","",IFERROR(INDEX(Levels!$C$2:$C$30,MATCH(C125,Levels!$B$2:$B$30,0)),""))</f>
        <v/>
      </c>
      <c r="G125" s="6" t="n"/>
      <c r="H125" s="10">
        <f>IF(AND(B125="",C125=""),"",IF(G125&lt;&gt;"","Void",IF(OR(B125="",E125=""),"Needs child",IF(D125="","Needs level","OK"))))</f>
        <v/>
      </c>
    </row>
    <row r="126">
      <c r="A126" s="6" t="n"/>
      <c r="B126" s="6" t="n"/>
      <c r="C126" s="6" t="n"/>
      <c r="D126" s="11">
        <f>IF(C126="","",IFERROR(INDEX(Levels!$A$2:$A$30,MATCH(C126,Levels!$B$2:$B$30,0)),""))</f>
        <v/>
      </c>
      <c r="E126" s="10">
        <f>IF(B126="","",IFERROR(INDEX(Roster!$A$2:$A$600,MATCH(B126,Roster!$E$2:$E$600,0)),""))</f>
        <v/>
      </c>
      <c r="F126" s="10">
        <f>IF(C126="","",IFERROR(INDEX(Levels!$C$2:$C$30,MATCH(C126,Levels!$B$2:$B$30,0)),""))</f>
        <v/>
      </c>
      <c r="G126" s="6" t="n"/>
      <c r="H126" s="10">
        <f>IF(AND(B126="",C126=""),"",IF(G126&lt;&gt;"","Void",IF(OR(B126="",E126=""),"Needs child",IF(D126="","Needs level","OK"))))</f>
        <v/>
      </c>
    </row>
    <row r="127">
      <c r="A127" s="6" t="n"/>
      <c r="B127" s="6" t="n"/>
      <c r="C127" s="6" t="n"/>
      <c r="D127" s="11">
        <f>IF(C127="","",IFERROR(INDEX(Levels!$A$2:$A$30,MATCH(C127,Levels!$B$2:$B$30,0)),""))</f>
        <v/>
      </c>
      <c r="E127" s="10">
        <f>IF(B127="","",IFERROR(INDEX(Roster!$A$2:$A$600,MATCH(B127,Roster!$E$2:$E$600,0)),""))</f>
        <v/>
      </c>
      <c r="F127" s="10">
        <f>IF(C127="","",IFERROR(INDEX(Levels!$C$2:$C$30,MATCH(C127,Levels!$B$2:$B$30,0)),""))</f>
        <v/>
      </c>
      <c r="G127" s="6" t="n"/>
      <c r="H127" s="10">
        <f>IF(AND(B127="",C127=""),"",IF(G127&lt;&gt;"","Void",IF(OR(B127="",E127=""),"Needs child",IF(D127="","Needs level","OK"))))</f>
        <v/>
      </c>
    </row>
    <row r="128">
      <c r="A128" s="6" t="n"/>
      <c r="B128" s="6" t="n"/>
      <c r="C128" s="6" t="n"/>
      <c r="D128" s="11">
        <f>IF(C128="","",IFERROR(INDEX(Levels!$A$2:$A$30,MATCH(C128,Levels!$B$2:$B$30,0)),""))</f>
        <v/>
      </c>
      <c r="E128" s="10">
        <f>IF(B128="","",IFERROR(INDEX(Roster!$A$2:$A$600,MATCH(B128,Roster!$E$2:$E$600,0)),""))</f>
        <v/>
      </c>
      <c r="F128" s="10">
        <f>IF(C128="","",IFERROR(INDEX(Levels!$C$2:$C$30,MATCH(C128,Levels!$B$2:$B$30,0)),""))</f>
        <v/>
      </c>
      <c r="G128" s="6" t="n"/>
      <c r="H128" s="10">
        <f>IF(AND(B128="",C128=""),"",IF(G128&lt;&gt;"","Void",IF(OR(B128="",E128=""),"Needs child",IF(D128="","Needs level","OK"))))</f>
        <v/>
      </c>
    </row>
    <row r="129">
      <c r="A129" s="6" t="n"/>
      <c r="B129" s="6" t="n"/>
      <c r="C129" s="6" t="n"/>
      <c r="D129" s="11">
        <f>IF(C129="","",IFERROR(INDEX(Levels!$A$2:$A$30,MATCH(C129,Levels!$B$2:$B$30,0)),""))</f>
        <v/>
      </c>
      <c r="E129" s="10">
        <f>IF(B129="","",IFERROR(INDEX(Roster!$A$2:$A$600,MATCH(B129,Roster!$E$2:$E$600,0)),""))</f>
        <v/>
      </c>
      <c r="F129" s="10">
        <f>IF(C129="","",IFERROR(INDEX(Levels!$C$2:$C$30,MATCH(C129,Levels!$B$2:$B$30,0)),""))</f>
        <v/>
      </c>
      <c r="G129" s="6" t="n"/>
      <c r="H129" s="10">
        <f>IF(AND(B129="",C129=""),"",IF(G129&lt;&gt;"","Void",IF(OR(B129="",E129=""),"Needs child",IF(D129="","Needs level","OK"))))</f>
        <v/>
      </c>
    </row>
    <row r="130">
      <c r="A130" s="6" t="n"/>
      <c r="B130" s="6" t="n"/>
      <c r="C130" s="6" t="n"/>
      <c r="D130" s="11">
        <f>IF(C130="","",IFERROR(INDEX(Levels!$A$2:$A$30,MATCH(C130,Levels!$B$2:$B$30,0)),""))</f>
        <v/>
      </c>
      <c r="E130" s="10">
        <f>IF(B130="","",IFERROR(INDEX(Roster!$A$2:$A$600,MATCH(B130,Roster!$E$2:$E$600,0)),""))</f>
        <v/>
      </c>
      <c r="F130" s="10">
        <f>IF(C130="","",IFERROR(INDEX(Levels!$C$2:$C$30,MATCH(C130,Levels!$B$2:$B$30,0)),""))</f>
        <v/>
      </c>
      <c r="G130" s="6" t="n"/>
      <c r="H130" s="10">
        <f>IF(AND(B130="",C130=""),"",IF(G130&lt;&gt;"","Void",IF(OR(B130="",E130=""),"Needs child",IF(D130="","Needs level","OK"))))</f>
        <v/>
      </c>
    </row>
    <row r="131">
      <c r="A131" s="6" t="n"/>
      <c r="B131" s="6" t="n"/>
      <c r="C131" s="6" t="n"/>
      <c r="D131" s="11">
        <f>IF(C131="","",IFERROR(INDEX(Levels!$A$2:$A$30,MATCH(C131,Levels!$B$2:$B$30,0)),""))</f>
        <v/>
      </c>
      <c r="E131" s="10">
        <f>IF(B131="","",IFERROR(INDEX(Roster!$A$2:$A$600,MATCH(B131,Roster!$E$2:$E$600,0)),""))</f>
        <v/>
      </c>
      <c r="F131" s="10">
        <f>IF(C131="","",IFERROR(INDEX(Levels!$C$2:$C$30,MATCH(C131,Levels!$B$2:$B$30,0)),""))</f>
        <v/>
      </c>
      <c r="G131" s="6" t="n"/>
      <c r="H131" s="10">
        <f>IF(AND(B131="",C131=""),"",IF(G131&lt;&gt;"","Void",IF(OR(B131="",E131=""),"Needs child",IF(D131="","Needs level","OK"))))</f>
        <v/>
      </c>
    </row>
    <row r="132">
      <c r="A132" s="6" t="n"/>
      <c r="B132" s="6" t="n"/>
      <c r="C132" s="6" t="n"/>
      <c r="D132" s="11">
        <f>IF(C132="","",IFERROR(INDEX(Levels!$A$2:$A$30,MATCH(C132,Levels!$B$2:$B$30,0)),""))</f>
        <v/>
      </c>
      <c r="E132" s="10">
        <f>IF(B132="","",IFERROR(INDEX(Roster!$A$2:$A$600,MATCH(B132,Roster!$E$2:$E$600,0)),""))</f>
        <v/>
      </c>
      <c r="F132" s="10">
        <f>IF(C132="","",IFERROR(INDEX(Levels!$C$2:$C$30,MATCH(C132,Levels!$B$2:$B$30,0)),""))</f>
        <v/>
      </c>
      <c r="G132" s="6" t="n"/>
      <c r="H132" s="10">
        <f>IF(AND(B132="",C132=""),"",IF(G132&lt;&gt;"","Void",IF(OR(B132="",E132=""),"Needs child",IF(D132="","Needs level","OK"))))</f>
        <v/>
      </c>
    </row>
    <row r="133">
      <c r="A133" s="6" t="n"/>
      <c r="B133" s="6" t="n"/>
      <c r="C133" s="6" t="n"/>
      <c r="D133" s="11">
        <f>IF(C133="","",IFERROR(INDEX(Levels!$A$2:$A$30,MATCH(C133,Levels!$B$2:$B$30,0)),""))</f>
        <v/>
      </c>
      <c r="E133" s="10">
        <f>IF(B133="","",IFERROR(INDEX(Roster!$A$2:$A$600,MATCH(B133,Roster!$E$2:$E$600,0)),""))</f>
        <v/>
      </c>
      <c r="F133" s="10">
        <f>IF(C133="","",IFERROR(INDEX(Levels!$C$2:$C$30,MATCH(C133,Levels!$B$2:$B$30,0)),""))</f>
        <v/>
      </c>
      <c r="G133" s="6" t="n"/>
      <c r="H133" s="10">
        <f>IF(AND(B133="",C133=""),"",IF(G133&lt;&gt;"","Void",IF(OR(B133="",E133=""),"Needs child",IF(D133="","Needs level","OK"))))</f>
        <v/>
      </c>
    </row>
    <row r="134">
      <c r="A134" s="6" t="n"/>
      <c r="B134" s="6" t="n"/>
      <c r="C134" s="6" t="n"/>
      <c r="D134" s="11">
        <f>IF(C134="","",IFERROR(INDEX(Levels!$A$2:$A$30,MATCH(C134,Levels!$B$2:$B$30,0)),""))</f>
        <v/>
      </c>
      <c r="E134" s="10">
        <f>IF(B134="","",IFERROR(INDEX(Roster!$A$2:$A$600,MATCH(B134,Roster!$E$2:$E$600,0)),""))</f>
        <v/>
      </c>
      <c r="F134" s="10">
        <f>IF(C134="","",IFERROR(INDEX(Levels!$C$2:$C$30,MATCH(C134,Levels!$B$2:$B$30,0)),""))</f>
        <v/>
      </c>
      <c r="G134" s="6" t="n"/>
      <c r="H134" s="10">
        <f>IF(AND(B134="",C134=""),"",IF(G134&lt;&gt;"","Void",IF(OR(B134="",E134=""),"Needs child",IF(D134="","Needs level","OK"))))</f>
        <v/>
      </c>
    </row>
    <row r="135">
      <c r="A135" s="6" t="n"/>
      <c r="B135" s="6" t="n"/>
      <c r="C135" s="6" t="n"/>
      <c r="D135" s="11">
        <f>IF(C135="","",IFERROR(INDEX(Levels!$A$2:$A$30,MATCH(C135,Levels!$B$2:$B$30,0)),""))</f>
        <v/>
      </c>
      <c r="E135" s="10">
        <f>IF(B135="","",IFERROR(INDEX(Roster!$A$2:$A$600,MATCH(B135,Roster!$E$2:$E$600,0)),""))</f>
        <v/>
      </c>
      <c r="F135" s="10">
        <f>IF(C135="","",IFERROR(INDEX(Levels!$C$2:$C$30,MATCH(C135,Levels!$B$2:$B$30,0)),""))</f>
        <v/>
      </c>
      <c r="G135" s="6" t="n"/>
      <c r="H135" s="10">
        <f>IF(AND(B135="",C135=""),"",IF(G135&lt;&gt;"","Void",IF(OR(B135="",E135=""),"Needs child",IF(D135="","Needs level","OK"))))</f>
        <v/>
      </c>
    </row>
    <row r="136">
      <c r="A136" s="6" t="n"/>
      <c r="B136" s="6" t="n"/>
      <c r="C136" s="6" t="n"/>
      <c r="D136" s="11">
        <f>IF(C136="","",IFERROR(INDEX(Levels!$A$2:$A$30,MATCH(C136,Levels!$B$2:$B$30,0)),""))</f>
        <v/>
      </c>
      <c r="E136" s="10">
        <f>IF(B136="","",IFERROR(INDEX(Roster!$A$2:$A$600,MATCH(B136,Roster!$E$2:$E$600,0)),""))</f>
        <v/>
      </c>
      <c r="F136" s="10">
        <f>IF(C136="","",IFERROR(INDEX(Levels!$C$2:$C$30,MATCH(C136,Levels!$B$2:$B$30,0)),""))</f>
        <v/>
      </c>
      <c r="G136" s="6" t="n"/>
      <c r="H136" s="10">
        <f>IF(AND(B136="",C136=""),"",IF(G136&lt;&gt;"","Void",IF(OR(B136="",E136=""),"Needs child",IF(D136="","Needs level","OK"))))</f>
        <v/>
      </c>
    </row>
    <row r="137">
      <c r="A137" s="6" t="n"/>
      <c r="B137" s="6" t="n"/>
      <c r="C137" s="6" t="n"/>
      <c r="D137" s="11">
        <f>IF(C137="","",IFERROR(INDEX(Levels!$A$2:$A$30,MATCH(C137,Levels!$B$2:$B$30,0)),""))</f>
        <v/>
      </c>
      <c r="E137" s="10">
        <f>IF(B137="","",IFERROR(INDEX(Roster!$A$2:$A$600,MATCH(B137,Roster!$E$2:$E$600,0)),""))</f>
        <v/>
      </c>
      <c r="F137" s="10">
        <f>IF(C137="","",IFERROR(INDEX(Levels!$C$2:$C$30,MATCH(C137,Levels!$B$2:$B$30,0)),""))</f>
        <v/>
      </c>
      <c r="G137" s="6" t="n"/>
      <c r="H137" s="10">
        <f>IF(AND(B137="",C137=""),"",IF(G137&lt;&gt;"","Void",IF(OR(B137="",E137=""),"Needs child",IF(D137="","Needs level","OK"))))</f>
        <v/>
      </c>
    </row>
    <row r="138">
      <c r="A138" s="6" t="n"/>
      <c r="B138" s="6" t="n"/>
      <c r="C138" s="6" t="n"/>
      <c r="D138" s="11">
        <f>IF(C138="","",IFERROR(INDEX(Levels!$A$2:$A$30,MATCH(C138,Levels!$B$2:$B$30,0)),""))</f>
        <v/>
      </c>
      <c r="E138" s="10">
        <f>IF(B138="","",IFERROR(INDEX(Roster!$A$2:$A$600,MATCH(B138,Roster!$E$2:$E$600,0)),""))</f>
        <v/>
      </c>
      <c r="F138" s="10">
        <f>IF(C138="","",IFERROR(INDEX(Levels!$C$2:$C$30,MATCH(C138,Levels!$B$2:$B$30,0)),""))</f>
        <v/>
      </c>
      <c r="G138" s="6" t="n"/>
      <c r="H138" s="10">
        <f>IF(AND(B138="",C138=""),"",IF(G138&lt;&gt;"","Void",IF(OR(B138="",E138=""),"Needs child",IF(D138="","Needs level","OK"))))</f>
        <v/>
      </c>
    </row>
    <row r="139">
      <c r="A139" s="6" t="n"/>
      <c r="B139" s="6" t="n"/>
      <c r="C139" s="6" t="n"/>
      <c r="D139" s="11">
        <f>IF(C139="","",IFERROR(INDEX(Levels!$A$2:$A$30,MATCH(C139,Levels!$B$2:$B$30,0)),""))</f>
        <v/>
      </c>
      <c r="E139" s="10">
        <f>IF(B139="","",IFERROR(INDEX(Roster!$A$2:$A$600,MATCH(B139,Roster!$E$2:$E$600,0)),""))</f>
        <v/>
      </c>
      <c r="F139" s="10">
        <f>IF(C139="","",IFERROR(INDEX(Levels!$C$2:$C$30,MATCH(C139,Levels!$B$2:$B$30,0)),""))</f>
        <v/>
      </c>
      <c r="G139" s="6" t="n"/>
      <c r="H139" s="10">
        <f>IF(AND(B139="",C139=""),"",IF(G139&lt;&gt;"","Void",IF(OR(B139="",E139=""),"Needs child",IF(D139="","Needs level","OK"))))</f>
        <v/>
      </c>
    </row>
    <row r="140">
      <c r="A140" s="6" t="n"/>
      <c r="B140" s="6" t="n"/>
      <c r="C140" s="6" t="n"/>
      <c r="D140" s="11">
        <f>IF(C140="","",IFERROR(INDEX(Levels!$A$2:$A$30,MATCH(C140,Levels!$B$2:$B$30,0)),""))</f>
        <v/>
      </c>
      <c r="E140" s="10">
        <f>IF(B140="","",IFERROR(INDEX(Roster!$A$2:$A$600,MATCH(B140,Roster!$E$2:$E$600,0)),""))</f>
        <v/>
      </c>
      <c r="F140" s="10">
        <f>IF(C140="","",IFERROR(INDEX(Levels!$C$2:$C$30,MATCH(C140,Levels!$B$2:$B$30,0)),""))</f>
        <v/>
      </c>
      <c r="G140" s="6" t="n"/>
      <c r="H140" s="10">
        <f>IF(AND(B140="",C140=""),"",IF(G140&lt;&gt;"","Void",IF(OR(B140="",E140=""),"Needs child",IF(D140="","Needs level","OK"))))</f>
        <v/>
      </c>
    </row>
    <row r="141">
      <c r="A141" s="6" t="n"/>
      <c r="B141" s="6" t="n"/>
      <c r="C141" s="6" t="n"/>
      <c r="D141" s="11">
        <f>IF(C141="","",IFERROR(INDEX(Levels!$A$2:$A$30,MATCH(C141,Levels!$B$2:$B$30,0)),""))</f>
        <v/>
      </c>
      <c r="E141" s="10">
        <f>IF(B141="","",IFERROR(INDEX(Roster!$A$2:$A$600,MATCH(B141,Roster!$E$2:$E$600,0)),""))</f>
        <v/>
      </c>
      <c r="F141" s="10">
        <f>IF(C141="","",IFERROR(INDEX(Levels!$C$2:$C$30,MATCH(C141,Levels!$B$2:$B$30,0)),""))</f>
        <v/>
      </c>
      <c r="G141" s="6" t="n"/>
      <c r="H141" s="10">
        <f>IF(AND(B141="",C141=""),"",IF(G141&lt;&gt;"","Void",IF(OR(B141="",E141=""),"Needs child",IF(D141="","Needs level","OK"))))</f>
        <v/>
      </c>
    </row>
    <row r="142">
      <c r="A142" s="6" t="n"/>
      <c r="B142" s="6" t="n"/>
      <c r="C142" s="6" t="n"/>
      <c r="D142" s="11">
        <f>IF(C142="","",IFERROR(INDEX(Levels!$A$2:$A$30,MATCH(C142,Levels!$B$2:$B$30,0)),""))</f>
        <v/>
      </c>
      <c r="E142" s="10">
        <f>IF(B142="","",IFERROR(INDEX(Roster!$A$2:$A$600,MATCH(B142,Roster!$E$2:$E$600,0)),""))</f>
        <v/>
      </c>
      <c r="F142" s="10">
        <f>IF(C142="","",IFERROR(INDEX(Levels!$C$2:$C$30,MATCH(C142,Levels!$B$2:$B$30,0)),""))</f>
        <v/>
      </c>
      <c r="G142" s="6" t="n"/>
      <c r="H142" s="10">
        <f>IF(AND(B142="",C142=""),"",IF(G142&lt;&gt;"","Void",IF(OR(B142="",E142=""),"Needs child",IF(D142="","Needs level","OK"))))</f>
        <v/>
      </c>
    </row>
    <row r="143">
      <c r="A143" s="6" t="n"/>
      <c r="B143" s="6" t="n"/>
      <c r="C143" s="6" t="n"/>
      <c r="D143" s="11">
        <f>IF(C143="","",IFERROR(INDEX(Levels!$A$2:$A$30,MATCH(C143,Levels!$B$2:$B$30,0)),""))</f>
        <v/>
      </c>
      <c r="E143" s="10">
        <f>IF(B143="","",IFERROR(INDEX(Roster!$A$2:$A$600,MATCH(B143,Roster!$E$2:$E$600,0)),""))</f>
        <v/>
      </c>
      <c r="F143" s="10">
        <f>IF(C143="","",IFERROR(INDEX(Levels!$C$2:$C$30,MATCH(C143,Levels!$B$2:$B$30,0)),""))</f>
        <v/>
      </c>
      <c r="G143" s="6" t="n"/>
      <c r="H143" s="10">
        <f>IF(AND(B143="",C143=""),"",IF(G143&lt;&gt;"","Void",IF(OR(B143="",E143=""),"Needs child",IF(D143="","Needs level","OK"))))</f>
        <v/>
      </c>
    </row>
    <row r="144">
      <c r="A144" s="6" t="n"/>
      <c r="B144" s="6" t="n"/>
      <c r="C144" s="6" t="n"/>
      <c r="D144" s="11">
        <f>IF(C144="","",IFERROR(INDEX(Levels!$A$2:$A$30,MATCH(C144,Levels!$B$2:$B$30,0)),""))</f>
        <v/>
      </c>
      <c r="E144" s="10">
        <f>IF(B144="","",IFERROR(INDEX(Roster!$A$2:$A$600,MATCH(B144,Roster!$E$2:$E$600,0)),""))</f>
        <v/>
      </c>
      <c r="F144" s="10">
        <f>IF(C144="","",IFERROR(INDEX(Levels!$C$2:$C$30,MATCH(C144,Levels!$B$2:$B$30,0)),""))</f>
        <v/>
      </c>
      <c r="G144" s="6" t="n"/>
      <c r="H144" s="10">
        <f>IF(AND(B144="",C144=""),"",IF(G144&lt;&gt;"","Void",IF(OR(B144="",E144=""),"Needs child",IF(D144="","Needs level","OK"))))</f>
        <v/>
      </c>
    </row>
    <row r="145">
      <c r="A145" s="6" t="n"/>
      <c r="B145" s="6" t="n"/>
      <c r="C145" s="6" t="n"/>
      <c r="D145" s="11">
        <f>IF(C145="","",IFERROR(INDEX(Levels!$A$2:$A$30,MATCH(C145,Levels!$B$2:$B$30,0)),""))</f>
        <v/>
      </c>
      <c r="E145" s="10">
        <f>IF(B145="","",IFERROR(INDEX(Roster!$A$2:$A$600,MATCH(B145,Roster!$E$2:$E$600,0)),""))</f>
        <v/>
      </c>
      <c r="F145" s="10">
        <f>IF(C145="","",IFERROR(INDEX(Levels!$C$2:$C$30,MATCH(C145,Levels!$B$2:$B$30,0)),""))</f>
        <v/>
      </c>
      <c r="G145" s="6" t="n"/>
      <c r="H145" s="10">
        <f>IF(AND(B145="",C145=""),"",IF(G145&lt;&gt;"","Void",IF(OR(B145="",E145=""),"Needs child",IF(D145="","Needs level","OK"))))</f>
        <v/>
      </c>
    </row>
    <row r="146">
      <c r="A146" s="6" t="n"/>
      <c r="B146" s="6" t="n"/>
      <c r="C146" s="6" t="n"/>
      <c r="D146" s="11">
        <f>IF(C146="","",IFERROR(INDEX(Levels!$A$2:$A$30,MATCH(C146,Levels!$B$2:$B$30,0)),""))</f>
        <v/>
      </c>
      <c r="E146" s="10">
        <f>IF(B146="","",IFERROR(INDEX(Roster!$A$2:$A$600,MATCH(B146,Roster!$E$2:$E$600,0)),""))</f>
        <v/>
      </c>
      <c r="F146" s="10">
        <f>IF(C146="","",IFERROR(INDEX(Levels!$C$2:$C$30,MATCH(C146,Levels!$B$2:$B$30,0)),""))</f>
        <v/>
      </c>
      <c r="G146" s="6" t="n"/>
      <c r="H146" s="10">
        <f>IF(AND(B146="",C146=""),"",IF(G146&lt;&gt;"","Void",IF(OR(B146="",E146=""),"Needs child",IF(D146="","Needs level","OK"))))</f>
        <v/>
      </c>
    </row>
    <row r="147">
      <c r="A147" s="6" t="n"/>
      <c r="B147" s="6" t="n"/>
      <c r="C147" s="6" t="n"/>
      <c r="D147" s="11">
        <f>IF(C147="","",IFERROR(INDEX(Levels!$A$2:$A$30,MATCH(C147,Levels!$B$2:$B$30,0)),""))</f>
        <v/>
      </c>
      <c r="E147" s="10">
        <f>IF(B147="","",IFERROR(INDEX(Roster!$A$2:$A$600,MATCH(B147,Roster!$E$2:$E$600,0)),""))</f>
        <v/>
      </c>
      <c r="F147" s="10">
        <f>IF(C147="","",IFERROR(INDEX(Levels!$C$2:$C$30,MATCH(C147,Levels!$B$2:$B$30,0)),""))</f>
        <v/>
      </c>
      <c r="G147" s="6" t="n"/>
      <c r="H147" s="10">
        <f>IF(AND(B147="",C147=""),"",IF(G147&lt;&gt;"","Void",IF(OR(B147="",E147=""),"Needs child",IF(D147="","Needs level","OK"))))</f>
        <v/>
      </c>
    </row>
    <row r="148">
      <c r="A148" s="6" t="n"/>
      <c r="B148" s="6" t="n"/>
      <c r="C148" s="6" t="n"/>
      <c r="D148" s="11">
        <f>IF(C148="","",IFERROR(INDEX(Levels!$A$2:$A$30,MATCH(C148,Levels!$B$2:$B$30,0)),""))</f>
        <v/>
      </c>
      <c r="E148" s="10">
        <f>IF(B148="","",IFERROR(INDEX(Roster!$A$2:$A$600,MATCH(B148,Roster!$E$2:$E$600,0)),""))</f>
        <v/>
      </c>
      <c r="F148" s="10">
        <f>IF(C148="","",IFERROR(INDEX(Levels!$C$2:$C$30,MATCH(C148,Levels!$B$2:$B$30,0)),""))</f>
        <v/>
      </c>
      <c r="G148" s="6" t="n"/>
      <c r="H148" s="10">
        <f>IF(AND(B148="",C148=""),"",IF(G148&lt;&gt;"","Void",IF(OR(B148="",E148=""),"Needs child",IF(D148="","Needs level","OK"))))</f>
        <v/>
      </c>
    </row>
    <row r="149">
      <c r="A149" s="6" t="n"/>
      <c r="B149" s="6" t="n"/>
      <c r="C149" s="6" t="n"/>
      <c r="D149" s="11">
        <f>IF(C149="","",IFERROR(INDEX(Levels!$A$2:$A$30,MATCH(C149,Levels!$B$2:$B$30,0)),""))</f>
        <v/>
      </c>
      <c r="E149" s="10">
        <f>IF(B149="","",IFERROR(INDEX(Roster!$A$2:$A$600,MATCH(B149,Roster!$E$2:$E$600,0)),""))</f>
        <v/>
      </c>
      <c r="F149" s="10">
        <f>IF(C149="","",IFERROR(INDEX(Levels!$C$2:$C$30,MATCH(C149,Levels!$B$2:$B$30,0)),""))</f>
        <v/>
      </c>
      <c r="G149" s="6" t="n"/>
      <c r="H149" s="10">
        <f>IF(AND(B149="",C149=""),"",IF(G149&lt;&gt;"","Void",IF(OR(B149="",E149=""),"Needs child",IF(D149="","Needs level","OK"))))</f>
        <v/>
      </c>
    </row>
    <row r="150">
      <c r="A150" s="6" t="n"/>
      <c r="B150" s="6" t="n"/>
      <c r="C150" s="6" t="n"/>
      <c r="D150" s="11">
        <f>IF(C150="","",IFERROR(INDEX(Levels!$A$2:$A$30,MATCH(C150,Levels!$B$2:$B$30,0)),""))</f>
        <v/>
      </c>
      <c r="E150" s="10">
        <f>IF(B150="","",IFERROR(INDEX(Roster!$A$2:$A$600,MATCH(B150,Roster!$E$2:$E$600,0)),""))</f>
        <v/>
      </c>
      <c r="F150" s="10">
        <f>IF(C150="","",IFERROR(INDEX(Levels!$C$2:$C$30,MATCH(C150,Levels!$B$2:$B$30,0)),""))</f>
        <v/>
      </c>
      <c r="G150" s="6" t="n"/>
      <c r="H150" s="10">
        <f>IF(AND(B150="",C150=""),"",IF(G150&lt;&gt;"","Void",IF(OR(B150="",E150=""),"Needs child",IF(D150="","Needs level","OK"))))</f>
        <v/>
      </c>
    </row>
    <row r="151">
      <c r="A151" s="6" t="n"/>
      <c r="B151" s="6" t="n"/>
      <c r="C151" s="6" t="n"/>
      <c r="D151" s="11">
        <f>IF(C151="","",IFERROR(INDEX(Levels!$A$2:$A$30,MATCH(C151,Levels!$B$2:$B$30,0)),""))</f>
        <v/>
      </c>
      <c r="E151" s="10">
        <f>IF(B151="","",IFERROR(INDEX(Roster!$A$2:$A$600,MATCH(B151,Roster!$E$2:$E$600,0)),""))</f>
        <v/>
      </c>
      <c r="F151" s="10">
        <f>IF(C151="","",IFERROR(INDEX(Levels!$C$2:$C$30,MATCH(C151,Levels!$B$2:$B$30,0)),""))</f>
        <v/>
      </c>
      <c r="G151" s="6" t="n"/>
      <c r="H151" s="10">
        <f>IF(AND(B151="",C151=""),"",IF(G151&lt;&gt;"","Void",IF(OR(B151="",E151=""),"Needs child",IF(D151="","Needs level","OK"))))</f>
        <v/>
      </c>
    </row>
    <row r="152">
      <c r="A152" s="6" t="n"/>
      <c r="B152" s="6" t="n"/>
      <c r="C152" s="6" t="n"/>
      <c r="D152" s="11">
        <f>IF(C152="","",IFERROR(INDEX(Levels!$A$2:$A$30,MATCH(C152,Levels!$B$2:$B$30,0)),""))</f>
        <v/>
      </c>
      <c r="E152" s="10">
        <f>IF(B152="","",IFERROR(INDEX(Roster!$A$2:$A$600,MATCH(B152,Roster!$E$2:$E$600,0)),""))</f>
        <v/>
      </c>
      <c r="F152" s="10">
        <f>IF(C152="","",IFERROR(INDEX(Levels!$C$2:$C$30,MATCH(C152,Levels!$B$2:$B$30,0)),""))</f>
        <v/>
      </c>
      <c r="G152" s="6" t="n"/>
      <c r="H152" s="10">
        <f>IF(AND(B152="",C152=""),"",IF(G152&lt;&gt;"","Void",IF(OR(B152="",E152=""),"Needs child",IF(D152="","Needs level","OK"))))</f>
        <v/>
      </c>
    </row>
    <row r="153">
      <c r="A153" s="6" t="n"/>
      <c r="B153" s="6" t="n"/>
      <c r="C153" s="6" t="n"/>
      <c r="D153" s="11">
        <f>IF(C153="","",IFERROR(INDEX(Levels!$A$2:$A$30,MATCH(C153,Levels!$B$2:$B$30,0)),""))</f>
        <v/>
      </c>
      <c r="E153" s="10">
        <f>IF(B153="","",IFERROR(INDEX(Roster!$A$2:$A$600,MATCH(B153,Roster!$E$2:$E$600,0)),""))</f>
        <v/>
      </c>
      <c r="F153" s="10">
        <f>IF(C153="","",IFERROR(INDEX(Levels!$C$2:$C$30,MATCH(C153,Levels!$B$2:$B$30,0)),""))</f>
        <v/>
      </c>
      <c r="G153" s="6" t="n"/>
      <c r="H153" s="10">
        <f>IF(AND(B153="",C153=""),"",IF(G153&lt;&gt;"","Void",IF(OR(B153="",E153=""),"Needs child",IF(D153="","Needs level","OK"))))</f>
        <v/>
      </c>
    </row>
    <row r="154">
      <c r="A154" s="6" t="n"/>
      <c r="B154" s="6" t="n"/>
      <c r="C154" s="6" t="n"/>
      <c r="D154" s="11">
        <f>IF(C154="","",IFERROR(INDEX(Levels!$A$2:$A$30,MATCH(C154,Levels!$B$2:$B$30,0)),""))</f>
        <v/>
      </c>
      <c r="E154" s="10">
        <f>IF(B154="","",IFERROR(INDEX(Roster!$A$2:$A$600,MATCH(B154,Roster!$E$2:$E$600,0)),""))</f>
        <v/>
      </c>
      <c r="F154" s="10">
        <f>IF(C154="","",IFERROR(INDEX(Levels!$C$2:$C$30,MATCH(C154,Levels!$B$2:$B$30,0)),""))</f>
        <v/>
      </c>
      <c r="G154" s="6" t="n"/>
      <c r="H154" s="10">
        <f>IF(AND(B154="",C154=""),"",IF(G154&lt;&gt;"","Void",IF(OR(B154="",E154=""),"Needs child",IF(D154="","Needs level","OK"))))</f>
        <v/>
      </c>
    </row>
    <row r="155">
      <c r="A155" s="6" t="n"/>
      <c r="B155" s="6" t="n"/>
      <c r="C155" s="6" t="n"/>
      <c r="D155" s="11">
        <f>IF(C155="","",IFERROR(INDEX(Levels!$A$2:$A$30,MATCH(C155,Levels!$B$2:$B$30,0)),""))</f>
        <v/>
      </c>
      <c r="E155" s="10">
        <f>IF(B155="","",IFERROR(INDEX(Roster!$A$2:$A$600,MATCH(B155,Roster!$E$2:$E$600,0)),""))</f>
        <v/>
      </c>
      <c r="F155" s="10">
        <f>IF(C155="","",IFERROR(INDEX(Levels!$C$2:$C$30,MATCH(C155,Levels!$B$2:$B$30,0)),""))</f>
        <v/>
      </c>
      <c r="G155" s="6" t="n"/>
      <c r="H155" s="10">
        <f>IF(AND(B155="",C155=""),"",IF(G155&lt;&gt;"","Void",IF(OR(B155="",E155=""),"Needs child",IF(D155="","Needs level","OK"))))</f>
        <v/>
      </c>
    </row>
    <row r="156">
      <c r="A156" s="6" t="n"/>
      <c r="B156" s="6" t="n"/>
      <c r="C156" s="6" t="n"/>
      <c r="D156" s="11">
        <f>IF(C156="","",IFERROR(INDEX(Levels!$A$2:$A$30,MATCH(C156,Levels!$B$2:$B$30,0)),""))</f>
        <v/>
      </c>
      <c r="E156" s="10">
        <f>IF(B156="","",IFERROR(INDEX(Roster!$A$2:$A$600,MATCH(B156,Roster!$E$2:$E$600,0)),""))</f>
        <v/>
      </c>
      <c r="F156" s="10">
        <f>IF(C156="","",IFERROR(INDEX(Levels!$C$2:$C$30,MATCH(C156,Levels!$B$2:$B$30,0)),""))</f>
        <v/>
      </c>
      <c r="G156" s="6" t="n"/>
      <c r="H156" s="10">
        <f>IF(AND(B156="",C156=""),"",IF(G156&lt;&gt;"","Void",IF(OR(B156="",E156=""),"Needs child",IF(D156="","Needs level","OK"))))</f>
        <v/>
      </c>
    </row>
    <row r="157">
      <c r="A157" s="6" t="n"/>
      <c r="B157" s="6" t="n"/>
      <c r="C157" s="6" t="n"/>
      <c r="D157" s="11">
        <f>IF(C157="","",IFERROR(INDEX(Levels!$A$2:$A$30,MATCH(C157,Levels!$B$2:$B$30,0)),""))</f>
        <v/>
      </c>
      <c r="E157" s="10">
        <f>IF(B157="","",IFERROR(INDEX(Roster!$A$2:$A$600,MATCH(B157,Roster!$E$2:$E$600,0)),""))</f>
        <v/>
      </c>
      <c r="F157" s="10">
        <f>IF(C157="","",IFERROR(INDEX(Levels!$C$2:$C$30,MATCH(C157,Levels!$B$2:$B$30,0)),""))</f>
        <v/>
      </c>
      <c r="G157" s="6" t="n"/>
      <c r="H157" s="10">
        <f>IF(AND(B157="",C157=""),"",IF(G157&lt;&gt;"","Void",IF(OR(B157="",E157=""),"Needs child",IF(D157="","Needs level","OK"))))</f>
        <v/>
      </c>
    </row>
    <row r="158">
      <c r="A158" s="6" t="n"/>
      <c r="B158" s="6" t="n"/>
      <c r="C158" s="6" t="n"/>
      <c r="D158" s="11">
        <f>IF(C158="","",IFERROR(INDEX(Levels!$A$2:$A$30,MATCH(C158,Levels!$B$2:$B$30,0)),""))</f>
        <v/>
      </c>
      <c r="E158" s="10">
        <f>IF(B158="","",IFERROR(INDEX(Roster!$A$2:$A$600,MATCH(B158,Roster!$E$2:$E$600,0)),""))</f>
        <v/>
      </c>
      <c r="F158" s="10">
        <f>IF(C158="","",IFERROR(INDEX(Levels!$C$2:$C$30,MATCH(C158,Levels!$B$2:$B$30,0)),""))</f>
        <v/>
      </c>
      <c r="G158" s="6" t="n"/>
      <c r="H158" s="10">
        <f>IF(AND(B158="",C158=""),"",IF(G158&lt;&gt;"","Void",IF(OR(B158="",E158=""),"Needs child",IF(D158="","Needs level","OK"))))</f>
        <v/>
      </c>
    </row>
    <row r="159">
      <c r="A159" s="6" t="n"/>
      <c r="B159" s="6" t="n"/>
      <c r="C159" s="6" t="n"/>
      <c r="D159" s="11">
        <f>IF(C159="","",IFERROR(INDEX(Levels!$A$2:$A$30,MATCH(C159,Levels!$B$2:$B$30,0)),""))</f>
        <v/>
      </c>
      <c r="E159" s="10">
        <f>IF(B159="","",IFERROR(INDEX(Roster!$A$2:$A$600,MATCH(B159,Roster!$E$2:$E$600,0)),""))</f>
        <v/>
      </c>
      <c r="F159" s="10">
        <f>IF(C159="","",IFERROR(INDEX(Levels!$C$2:$C$30,MATCH(C159,Levels!$B$2:$B$30,0)),""))</f>
        <v/>
      </c>
      <c r="G159" s="6" t="n"/>
      <c r="H159" s="10">
        <f>IF(AND(B159="",C159=""),"",IF(G159&lt;&gt;"","Void",IF(OR(B159="",E159=""),"Needs child",IF(D159="","Needs level","OK"))))</f>
        <v/>
      </c>
    </row>
    <row r="160">
      <c r="A160" s="6" t="n"/>
      <c r="B160" s="6" t="n"/>
      <c r="C160" s="6" t="n"/>
      <c r="D160" s="11">
        <f>IF(C160="","",IFERROR(INDEX(Levels!$A$2:$A$30,MATCH(C160,Levels!$B$2:$B$30,0)),""))</f>
        <v/>
      </c>
      <c r="E160" s="10">
        <f>IF(B160="","",IFERROR(INDEX(Roster!$A$2:$A$600,MATCH(B160,Roster!$E$2:$E$600,0)),""))</f>
        <v/>
      </c>
      <c r="F160" s="10">
        <f>IF(C160="","",IFERROR(INDEX(Levels!$C$2:$C$30,MATCH(C160,Levels!$B$2:$B$30,0)),""))</f>
        <v/>
      </c>
      <c r="G160" s="6" t="n"/>
      <c r="H160" s="10">
        <f>IF(AND(B160="",C160=""),"",IF(G160&lt;&gt;"","Void",IF(OR(B160="",E160=""),"Needs child",IF(D160="","Needs level","OK"))))</f>
        <v/>
      </c>
    </row>
    <row r="161">
      <c r="A161" s="6" t="n"/>
      <c r="B161" s="6" t="n"/>
      <c r="C161" s="6" t="n"/>
      <c r="D161" s="11">
        <f>IF(C161="","",IFERROR(INDEX(Levels!$A$2:$A$30,MATCH(C161,Levels!$B$2:$B$30,0)),""))</f>
        <v/>
      </c>
      <c r="E161" s="10">
        <f>IF(B161="","",IFERROR(INDEX(Roster!$A$2:$A$600,MATCH(B161,Roster!$E$2:$E$600,0)),""))</f>
        <v/>
      </c>
      <c r="F161" s="10">
        <f>IF(C161="","",IFERROR(INDEX(Levels!$C$2:$C$30,MATCH(C161,Levels!$B$2:$B$30,0)),""))</f>
        <v/>
      </c>
      <c r="G161" s="6" t="n"/>
      <c r="H161" s="10">
        <f>IF(AND(B161="",C161=""),"",IF(G161&lt;&gt;"","Void",IF(OR(B161="",E161=""),"Needs child",IF(D161="","Needs level","OK"))))</f>
        <v/>
      </c>
    </row>
    <row r="162">
      <c r="A162" s="6" t="n"/>
      <c r="B162" s="6" t="n"/>
      <c r="C162" s="6" t="n"/>
      <c r="D162" s="11">
        <f>IF(C162="","",IFERROR(INDEX(Levels!$A$2:$A$30,MATCH(C162,Levels!$B$2:$B$30,0)),""))</f>
        <v/>
      </c>
      <c r="E162" s="10">
        <f>IF(B162="","",IFERROR(INDEX(Roster!$A$2:$A$600,MATCH(B162,Roster!$E$2:$E$600,0)),""))</f>
        <v/>
      </c>
      <c r="F162" s="10">
        <f>IF(C162="","",IFERROR(INDEX(Levels!$C$2:$C$30,MATCH(C162,Levels!$B$2:$B$30,0)),""))</f>
        <v/>
      </c>
      <c r="G162" s="6" t="n"/>
      <c r="H162" s="10">
        <f>IF(AND(B162="",C162=""),"",IF(G162&lt;&gt;"","Void",IF(OR(B162="",E162=""),"Needs child",IF(D162="","Needs level","OK"))))</f>
        <v/>
      </c>
    </row>
    <row r="163">
      <c r="A163" s="6" t="n"/>
      <c r="B163" s="6" t="n"/>
      <c r="C163" s="6" t="n"/>
      <c r="D163" s="11">
        <f>IF(C163="","",IFERROR(INDEX(Levels!$A$2:$A$30,MATCH(C163,Levels!$B$2:$B$30,0)),""))</f>
        <v/>
      </c>
      <c r="E163" s="10">
        <f>IF(B163="","",IFERROR(INDEX(Roster!$A$2:$A$600,MATCH(B163,Roster!$E$2:$E$600,0)),""))</f>
        <v/>
      </c>
      <c r="F163" s="10">
        <f>IF(C163="","",IFERROR(INDEX(Levels!$C$2:$C$30,MATCH(C163,Levels!$B$2:$B$30,0)),""))</f>
        <v/>
      </c>
      <c r="G163" s="6" t="n"/>
      <c r="H163" s="10">
        <f>IF(AND(B163="",C163=""),"",IF(G163&lt;&gt;"","Void",IF(OR(B163="",E163=""),"Needs child",IF(D163="","Needs level","OK"))))</f>
        <v/>
      </c>
    </row>
    <row r="164">
      <c r="A164" s="6" t="n"/>
      <c r="B164" s="6" t="n"/>
      <c r="C164" s="6" t="n"/>
      <c r="D164" s="11">
        <f>IF(C164="","",IFERROR(INDEX(Levels!$A$2:$A$30,MATCH(C164,Levels!$B$2:$B$30,0)),""))</f>
        <v/>
      </c>
      <c r="E164" s="10">
        <f>IF(B164="","",IFERROR(INDEX(Roster!$A$2:$A$600,MATCH(B164,Roster!$E$2:$E$600,0)),""))</f>
        <v/>
      </c>
      <c r="F164" s="10">
        <f>IF(C164="","",IFERROR(INDEX(Levels!$C$2:$C$30,MATCH(C164,Levels!$B$2:$B$30,0)),""))</f>
        <v/>
      </c>
      <c r="G164" s="6" t="n"/>
      <c r="H164" s="10">
        <f>IF(AND(B164="",C164=""),"",IF(G164&lt;&gt;"","Void",IF(OR(B164="",E164=""),"Needs child",IF(D164="","Needs level","OK"))))</f>
        <v/>
      </c>
    </row>
    <row r="165">
      <c r="A165" s="6" t="n"/>
      <c r="B165" s="6" t="n"/>
      <c r="C165" s="6" t="n"/>
      <c r="D165" s="11">
        <f>IF(C165="","",IFERROR(INDEX(Levels!$A$2:$A$30,MATCH(C165,Levels!$B$2:$B$30,0)),""))</f>
        <v/>
      </c>
      <c r="E165" s="10">
        <f>IF(B165="","",IFERROR(INDEX(Roster!$A$2:$A$600,MATCH(B165,Roster!$E$2:$E$600,0)),""))</f>
        <v/>
      </c>
      <c r="F165" s="10">
        <f>IF(C165="","",IFERROR(INDEX(Levels!$C$2:$C$30,MATCH(C165,Levels!$B$2:$B$30,0)),""))</f>
        <v/>
      </c>
      <c r="G165" s="6" t="n"/>
      <c r="H165" s="10">
        <f>IF(AND(B165="",C165=""),"",IF(G165&lt;&gt;"","Void",IF(OR(B165="",E165=""),"Needs child",IF(D165="","Needs level","OK"))))</f>
        <v/>
      </c>
    </row>
    <row r="166">
      <c r="A166" s="6" t="n"/>
      <c r="B166" s="6" t="n"/>
      <c r="C166" s="6" t="n"/>
      <c r="D166" s="11">
        <f>IF(C166="","",IFERROR(INDEX(Levels!$A$2:$A$30,MATCH(C166,Levels!$B$2:$B$30,0)),""))</f>
        <v/>
      </c>
      <c r="E166" s="10">
        <f>IF(B166="","",IFERROR(INDEX(Roster!$A$2:$A$600,MATCH(B166,Roster!$E$2:$E$600,0)),""))</f>
        <v/>
      </c>
      <c r="F166" s="10">
        <f>IF(C166="","",IFERROR(INDEX(Levels!$C$2:$C$30,MATCH(C166,Levels!$B$2:$B$30,0)),""))</f>
        <v/>
      </c>
      <c r="G166" s="6" t="n"/>
      <c r="H166" s="10">
        <f>IF(AND(B166="",C166=""),"",IF(G166&lt;&gt;"","Void",IF(OR(B166="",E166=""),"Needs child",IF(D166="","Needs level","OK"))))</f>
        <v/>
      </c>
    </row>
    <row r="167">
      <c r="A167" s="6" t="n"/>
      <c r="B167" s="6" t="n"/>
      <c r="C167" s="6" t="n"/>
      <c r="D167" s="11">
        <f>IF(C167="","",IFERROR(INDEX(Levels!$A$2:$A$30,MATCH(C167,Levels!$B$2:$B$30,0)),""))</f>
        <v/>
      </c>
      <c r="E167" s="10">
        <f>IF(B167="","",IFERROR(INDEX(Roster!$A$2:$A$600,MATCH(B167,Roster!$E$2:$E$600,0)),""))</f>
        <v/>
      </c>
      <c r="F167" s="10">
        <f>IF(C167="","",IFERROR(INDEX(Levels!$C$2:$C$30,MATCH(C167,Levels!$B$2:$B$30,0)),""))</f>
        <v/>
      </c>
      <c r="G167" s="6" t="n"/>
      <c r="H167" s="10">
        <f>IF(AND(B167="",C167=""),"",IF(G167&lt;&gt;"","Void",IF(OR(B167="",E167=""),"Needs child",IF(D167="","Needs level","OK"))))</f>
        <v/>
      </c>
    </row>
    <row r="168">
      <c r="A168" s="6" t="n"/>
      <c r="B168" s="6" t="n"/>
      <c r="C168" s="6" t="n"/>
      <c r="D168" s="11">
        <f>IF(C168="","",IFERROR(INDEX(Levels!$A$2:$A$30,MATCH(C168,Levels!$B$2:$B$30,0)),""))</f>
        <v/>
      </c>
      <c r="E168" s="10">
        <f>IF(B168="","",IFERROR(INDEX(Roster!$A$2:$A$600,MATCH(B168,Roster!$E$2:$E$600,0)),""))</f>
        <v/>
      </c>
      <c r="F168" s="10">
        <f>IF(C168="","",IFERROR(INDEX(Levels!$C$2:$C$30,MATCH(C168,Levels!$B$2:$B$30,0)),""))</f>
        <v/>
      </c>
      <c r="G168" s="6" t="n"/>
      <c r="H168" s="10">
        <f>IF(AND(B168="",C168=""),"",IF(G168&lt;&gt;"","Void",IF(OR(B168="",E168=""),"Needs child",IF(D168="","Needs level","OK"))))</f>
        <v/>
      </c>
    </row>
    <row r="169">
      <c r="A169" s="6" t="n"/>
      <c r="B169" s="6" t="n"/>
      <c r="C169" s="6" t="n"/>
      <c r="D169" s="11">
        <f>IF(C169="","",IFERROR(INDEX(Levels!$A$2:$A$30,MATCH(C169,Levels!$B$2:$B$30,0)),""))</f>
        <v/>
      </c>
      <c r="E169" s="10">
        <f>IF(B169="","",IFERROR(INDEX(Roster!$A$2:$A$600,MATCH(B169,Roster!$E$2:$E$600,0)),""))</f>
        <v/>
      </c>
      <c r="F169" s="10">
        <f>IF(C169="","",IFERROR(INDEX(Levels!$C$2:$C$30,MATCH(C169,Levels!$B$2:$B$30,0)),""))</f>
        <v/>
      </c>
      <c r="G169" s="6" t="n"/>
      <c r="H169" s="10">
        <f>IF(AND(B169="",C169=""),"",IF(G169&lt;&gt;"","Void",IF(OR(B169="",E169=""),"Needs child",IF(D169="","Needs level","OK"))))</f>
        <v/>
      </c>
    </row>
    <row r="170">
      <c r="A170" s="6" t="n"/>
      <c r="B170" s="6" t="n"/>
      <c r="C170" s="6" t="n"/>
      <c r="D170" s="11">
        <f>IF(C170="","",IFERROR(INDEX(Levels!$A$2:$A$30,MATCH(C170,Levels!$B$2:$B$30,0)),""))</f>
        <v/>
      </c>
      <c r="E170" s="10">
        <f>IF(B170="","",IFERROR(INDEX(Roster!$A$2:$A$600,MATCH(B170,Roster!$E$2:$E$600,0)),""))</f>
        <v/>
      </c>
      <c r="F170" s="10">
        <f>IF(C170="","",IFERROR(INDEX(Levels!$C$2:$C$30,MATCH(C170,Levels!$B$2:$B$30,0)),""))</f>
        <v/>
      </c>
      <c r="G170" s="6" t="n"/>
      <c r="H170" s="10">
        <f>IF(AND(B170="",C170=""),"",IF(G170&lt;&gt;"","Void",IF(OR(B170="",E170=""),"Needs child",IF(D170="","Needs level","OK"))))</f>
        <v/>
      </c>
    </row>
    <row r="171">
      <c r="A171" s="6" t="n"/>
      <c r="B171" s="6" t="n"/>
      <c r="C171" s="6" t="n"/>
      <c r="D171" s="11">
        <f>IF(C171="","",IFERROR(INDEX(Levels!$A$2:$A$30,MATCH(C171,Levels!$B$2:$B$30,0)),""))</f>
        <v/>
      </c>
      <c r="E171" s="10">
        <f>IF(B171="","",IFERROR(INDEX(Roster!$A$2:$A$600,MATCH(B171,Roster!$E$2:$E$600,0)),""))</f>
        <v/>
      </c>
      <c r="F171" s="10">
        <f>IF(C171="","",IFERROR(INDEX(Levels!$C$2:$C$30,MATCH(C171,Levels!$B$2:$B$30,0)),""))</f>
        <v/>
      </c>
      <c r="G171" s="6" t="n"/>
      <c r="H171" s="10">
        <f>IF(AND(B171="",C171=""),"",IF(G171&lt;&gt;"","Void",IF(OR(B171="",E171=""),"Needs child",IF(D171="","Needs level","OK"))))</f>
        <v/>
      </c>
    </row>
    <row r="172">
      <c r="A172" s="6" t="n"/>
      <c r="B172" s="6" t="n"/>
      <c r="C172" s="6" t="n"/>
      <c r="D172" s="11">
        <f>IF(C172="","",IFERROR(INDEX(Levels!$A$2:$A$30,MATCH(C172,Levels!$B$2:$B$30,0)),""))</f>
        <v/>
      </c>
      <c r="E172" s="10">
        <f>IF(B172="","",IFERROR(INDEX(Roster!$A$2:$A$600,MATCH(B172,Roster!$E$2:$E$600,0)),""))</f>
        <v/>
      </c>
      <c r="F172" s="10">
        <f>IF(C172="","",IFERROR(INDEX(Levels!$C$2:$C$30,MATCH(C172,Levels!$B$2:$B$30,0)),""))</f>
        <v/>
      </c>
      <c r="G172" s="6" t="n"/>
      <c r="H172" s="10">
        <f>IF(AND(B172="",C172=""),"",IF(G172&lt;&gt;"","Void",IF(OR(B172="",E172=""),"Needs child",IF(D172="","Needs level","OK"))))</f>
        <v/>
      </c>
    </row>
    <row r="173">
      <c r="A173" s="6" t="n"/>
      <c r="B173" s="6" t="n"/>
      <c r="C173" s="6" t="n"/>
      <c r="D173" s="11">
        <f>IF(C173="","",IFERROR(INDEX(Levels!$A$2:$A$30,MATCH(C173,Levels!$B$2:$B$30,0)),""))</f>
        <v/>
      </c>
      <c r="E173" s="10">
        <f>IF(B173="","",IFERROR(INDEX(Roster!$A$2:$A$600,MATCH(B173,Roster!$E$2:$E$600,0)),""))</f>
        <v/>
      </c>
      <c r="F173" s="10">
        <f>IF(C173="","",IFERROR(INDEX(Levels!$C$2:$C$30,MATCH(C173,Levels!$B$2:$B$30,0)),""))</f>
        <v/>
      </c>
      <c r="G173" s="6" t="n"/>
      <c r="H173" s="10">
        <f>IF(AND(B173="",C173=""),"",IF(G173&lt;&gt;"","Void",IF(OR(B173="",E173=""),"Needs child",IF(D173="","Needs level","OK"))))</f>
        <v/>
      </c>
    </row>
    <row r="174">
      <c r="A174" s="6" t="n"/>
      <c r="B174" s="6" t="n"/>
      <c r="C174" s="6" t="n"/>
      <c r="D174" s="11">
        <f>IF(C174="","",IFERROR(INDEX(Levels!$A$2:$A$30,MATCH(C174,Levels!$B$2:$B$30,0)),""))</f>
        <v/>
      </c>
      <c r="E174" s="10">
        <f>IF(B174="","",IFERROR(INDEX(Roster!$A$2:$A$600,MATCH(B174,Roster!$E$2:$E$600,0)),""))</f>
        <v/>
      </c>
      <c r="F174" s="10">
        <f>IF(C174="","",IFERROR(INDEX(Levels!$C$2:$C$30,MATCH(C174,Levels!$B$2:$B$30,0)),""))</f>
        <v/>
      </c>
      <c r="G174" s="6" t="n"/>
      <c r="H174" s="10">
        <f>IF(AND(B174="",C174=""),"",IF(G174&lt;&gt;"","Void",IF(OR(B174="",E174=""),"Needs child",IF(D174="","Needs level","OK"))))</f>
        <v/>
      </c>
    </row>
    <row r="175">
      <c r="A175" s="6" t="n"/>
      <c r="B175" s="6" t="n"/>
      <c r="C175" s="6" t="n"/>
      <c r="D175" s="11">
        <f>IF(C175="","",IFERROR(INDEX(Levels!$A$2:$A$30,MATCH(C175,Levels!$B$2:$B$30,0)),""))</f>
        <v/>
      </c>
      <c r="E175" s="10">
        <f>IF(B175="","",IFERROR(INDEX(Roster!$A$2:$A$600,MATCH(B175,Roster!$E$2:$E$600,0)),""))</f>
        <v/>
      </c>
      <c r="F175" s="10">
        <f>IF(C175="","",IFERROR(INDEX(Levels!$C$2:$C$30,MATCH(C175,Levels!$B$2:$B$30,0)),""))</f>
        <v/>
      </c>
      <c r="G175" s="6" t="n"/>
      <c r="H175" s="10">
        <f>IF(AND(B175="",C175=""),"",IF(G175&lt;&gt;"","Void",IF(OR(B175="",E175=""),"Needs child",IF(D175="","Needs level","OK"))))</f>
        <v/>
      </c>
    </row>
    <row r="176">
      <c r="A176" s="6" t="n"/>
      <c r="B176" s="6" t="n"/>
      <c r="C176" s="6" t="n"/>
      <c r="D176" s="11">
        <f>IF(C176="","",IFERROR(INDEX(Levels!$A$2:$A$30,MATCH(C176,Levels!$B$2:$B$30,0)),""))</f>
        <v/>
      </c>
      <c r="E176" s="10">
        <f>IF(B176="","",IFERROR(INDEX(Roster!$A$2:$A$600,MATCH(B176,Roster!$E$2:$E$600,0)),""))</f>
        <v/>
      </c>
      <c r="F176" s="10">
        <f>IF(C176="","",IFERROR(INDEX(Levels!$C$2:$C$30,MATCH(C176,Levels!$B$2:$B$30,0)),""))</f>
        <v/>
      </c>
      <c r="G176" s="6" t="n"/>
      <c r="H176" s="10">
        <f>IF(AND(B176="",C176=""),"",IF(G176&lt;&gt;"","Void",IF(OR(B176="",E176=""),"Needs child",IF(D176="","Needs level","OK"))))</f>
        <v/>
      </c>
    </row>
    <row r="177">
      <c r="A177" s="6" t="n"/>
      <c r="B177" s="6" t="n"/>
      <c r="C177" s="6" t="n"/>
      <c r="D177" s="11">
        <f>IF(C177="","",IFERROR(INDEX(Levels!$A$2:$A$30,MATCH(C177,Levels!$B$2:$B$30,0)),""))</f>
        <v/>
      </c>
      <c r="E177" s="10">
        <f>IF(B177="","",IFERROR(INDEX(Roster!$A$2:$A$600,MATCH(B177,Roster!$E$2:$E$600,0)),""))</f>
        <v/>
      </c>
      <c r="F177" s="10">
        <f>IF(C177="","",IFERROR(INDEX(Levels!$C$2:$C$30,MATCH(C177,Levels!$B$2:$B$30,0)),""))</f>
        <v/>
      </c>
      <c r="G177" s="6" t="n"/>
      <c r="H177" s="10">
        <f>IF(AND(B177="",C177=""),"",IF(G177&lt;&gt;"","Void",IF(OR(B177="",E177=""),"Needs child",IF(D177="","Needs level","OK"))))</f>
        <v/>
      </c>
    </row>
    <row r="178">
      <c r="A178" s="6" t="n"/>
      <c r="B178" s="6" t="n"/>
      <c r="C178" s="6" t="n"/>
      <c r="D178" s="11">
        <f>IF(C178="","",IFERROR(INDEX(Levels!$A$2:$A$30,MATCH(C178,Levels!$B$2:$B$30,0)),""))</f>
        <v/>
      </c>
      <c r="E178" s="10">
        <f>IF(B178="","",IFERROR(INDEX(Roster!$A$2:$A$600,MATCH(B178,Roster!$E$2:$E$600,0)),""))</f>
        <v/>
      </c>
      <c r="F178" s="10">
        <f>IF(C178="","",IFERROR(INDEX(Levels!$C$2:$C$30,MATCH(C178,Levels!$B$2:$B$30,0)),""))</f>
        <v/>
      </c>
      <c r="G178" s="6" t="n"/>
      <c r="H178" s="10">
        <f>IF(AND(B178="",C178=""),"",IF(G178&lt;&gt;"","Void",IF(OR(B178="",E178=""),"Needs child",IF(D178="","Needs level","OK"))))</f>
        <v/>
      </c>
    </row>
    <row r="179">
      <c r="A179" s="6" t="n"/>
      <c r="B179" s="6" t="n"/>
      <c r="C179" s="6" t="n"/>
      <c r="D179" s="11">
        <f>IF(C179="","",IFERROR(INDEX(Levels!$A$2:$A$30,MATCH(C179,Levels!$B$2:$B$30,0)),""))</f>
        <v/>
      </c>
      <c r="E179" s="10">
        <f>IF(B179="","",IFERROR(INDEX(Roster!$A$2:$A$600,MATCH(B179,Roster!$E$2:$E$600,0)),""))</f>
        <v/>
      </c>
      <c r="F179" s="10">
        <f>IF(C179="","",IFERROR(INDEX(Levels!$C$2:$C$30,MATCH(C179,Levels!$B$2:$B$30,0)),""))</f>
        <v/>
      </c>
      <c r="G179" s="6" t="n"/>
      <c r="H179" s="10">
        <f>IF(AND(B179="",C179=""),"",IF(G179&lt;&gt;"","Void",IF(OR(B179="",E179=""),"Needs child",IF(D179="","Needs level","OK"))))</f>
        <v/>
      </c>
    </row>
    <row r="180">
      <c r="A180" s="6" t="n"/>
      <c r="B180" s="6" t="n"/>
      <c r="C180" s="6" t="n"/>
      <c r="D180" s="11">
        <f>IF(C180="","",IFERROR(INDEX(Levels!$A$2:$A$30,MATCH(C180,Levels!$B$2:$B$30,0)),""))</f>
        <v/>
      </c>
      <c r="E180" s="10">
        <f>IF(B180="","",IFERROR(INDEX(Roster!$A$2:$A$600,MATCH(B180,Roster!$E$2:$E$600,0)),""))</f>
        <v/>
      </c>
      <c r="F180" s="10">
        <f>IF(C180="","",IFERROR(INDEX(Levels!$C$2:$C$30,MATCH(C180,Levels!$B$2:$B$30,0)),""))</f>
        <v/>
      </c>
      <c r="G180" s="6" t="n"/>
      <c r="H180" s="10">
        <f>IF(AND(B180="",C180=""),"",IF(G180&lt;&gt;"","Void",IF(OR(B180="",E180=""),"Needs child",IF(D180="","Needs level","OK"))))</f>
        <v/>
      </c>
    </row>
    <row r="181">
      <c r="A181" s="6" t="n"/>
      <c r="B181" s="6" t="n"/>
      <c r="C181" s="6" t="n"/>
      <c r="D181" s="11">
        <f>IF(C181="","",IFERROR(INDEX(Levels!$A$2:$A$30,MATCH(C181,Levels!$B$2:$B$30,0)),""))</f>
        <v/>
      </c>
      <c r="E181" s="10">
        <f>IF(B181="","",IFERROR(INDEX(Roster!$A$2:$A$600,MATCH(B181,Roster!$E$2:$E$600,0)),""))</f>
        <v/>
      </c>
      <c r="F181" s="10">
        <f>IF(C181="","",IFERROR(INDEX(Levels!$C$2:$C$30,MATCH(C181,Levels!$B$2:$B$30,0)),""))</f>
        <v/>
      </c>
      <c r="G181" s="6" t="n"/>
      <c r="H181" s="10">
        <f>IF(AND(B181="",C181=""),"",IF(G181&lt;&gt;"","Void",IF(OR(B181="",E181=""),"Needs child",IF(D181="","Needs level","OK"))))</f>
        <v/>
      </c>
    </row>
    <row r="182">
      <c r="A182" s="6" t="n"/>
      <c r="B182" s="6" t="n"/>
      <c r="C182" s="6" t="n"/>
      <c r="D182" s="11">
        <f>IF(C182="","",IFERROR(INDEX(Levels!$A$2:$A$30,MATCH(C182,Levels!$B$2:$B$30,0)),""))</f>
        <v/>
      </c>
      <c r="E182" s="10">
        <f>IF(B182="","",IFERROR(INDEX(Roster!$A$2:$A$600,MATCH(B182,Roster!$E$2:$E$600,0)),""))</f>
        <v/>
      </c>
      <c r="F182" s="10">
        <f>IF(C182="","",IFERROR(INDEX(Levels!$C$2:$C$30,MATCH(C182,Levels!$B$2:$B$30,0)),""))</f>
        <v/>
      </c>
      <c r="G182" s="6" t="n"/>
      <c r="H182" s="10">
        <f>IF(AND(B182="",C182=""),"",IF(G182&lt;&gt;"","Void",IF(OR(B182="",E182=""),"Needs child",IF(D182="","Needs level","OK"))))</f>
        <v/>
      </c>
    </row>
    <row r="183">
      <c r="A183" s="6" t="n"/>
      <c r="B183" s="6" t="n"/>
      <c r="C183" s="6" t="n"/>
      <c r="D183" s="11">
        <f>IF(C183="","",IFERROR(INDEX(Levels!$A$2:$A$30,MATCH(C183,Levels!$B$2:$B$30,0)),""))</f>
        <v/>
      </c>
      <c r="E183" s="10">
        <f>IF(B183="","",IFERROR(INDEX(Roster!$A$2:$A$600,MATCH(B183,Roster!$E$2:$E$600,0)),""))</f>
        <v/>
      </c>
      <c r="F183" s="10">
        <f>IF(C183="","",IFERROR(INDEX(Levels!$C$2:$C$30,MATCH(C183,Levels!$B$2:$B$30,0)),""))</f>
        <v/>
      </c>
      <c r="G183" s="6" t="n"/>
      <c r="H183" s="10">
        <f>IF(AND(B183="",C183=""),"",IF(G183&lt;&gt;"","Void",IF(OR(B183="",E183=""),"Needs child",IF(D183="","Needs level","OK"))))</f>
        <v/>
      </c>
    </row>
    <row r="184">
      <c r="A184" s="6" t="n"/>
      <c r="B184" s="6" t="n"/>
      <c r="C184" s="6" t="n"/>
      <c r="D184" s="11">
        <f>IF(C184="","",IFERROR(INDEX(Levels!$A$2:$A$30,MATCH(C184,Levels!$B$2:$B$30,0)),""))</f>
        <v/>
      </c>
      <c r="E184" s="10">
        <f>IF(B184="","",IFERROR(INDEX(Roster!$A$2:$A$600,MATCH(B184,Roster!$E$2:$E$600,0)),""))</f>
        <v/>
      </c>
      <c r="F184" s="10">
        <f>IF(C184="","",IFERROR(INDEX(Levels!$C$2:$C$30,MATCH(C184,Levels!$B$2:$B$30,0)),""))</f>
        <v/>
      </c>
      <c r="G184" s="6" t="n"/>
      <c r="H184" s="10">
        <f>IF(AND(B184="",C184=""),"",IF(G184&lt;&gt;"","Void",IF(OR(B184="",E184=""),"Needs child",IF(D184="","Needs level","OK"))))</f>
        <v/>
      </c>
    </row>
    <row r="185">
      <c r="A185" s="6" t="n"/>
      <c r="B185" s="6" t="n"/>
      <c r="C185" s="6" t="n"/>
      <c r="D185" s="11">
        <f>IF(C185="","",IFERROR(INDEX(Levels!$A$2:$A$30,MATCH(C185,Levels!$B$2:$B$30,0)),""))</f>
        <v/>
      </c>
      <c r="E185" s="10">
        <f>IF(B185="","",IFERROR(INDEX(Roster!$A$2:$A$600,MATCH(B185,Roster!$E$2:$E$600,0)),""))</f>
        <v/>
      </c>
      <c r="F185" s="10">
        <f>IF(C185="","",IFERROR(INDEX(Levels!$C$2:$C$30,MATCH(C185,Levels!$B$2:$B$30,0)),""))</f>
        <v/>
      </c>
      <c r="G185" s="6" t="n"/>
      <c r="H185" s="10">
        <f>IF(AND(B185="",C185=""),"",IF(G185&lt;&gt;"","Void",IF(OR(B185="",E185=""),"Needs child",IF(D185="","Needs level","OK"))))</f>
        <v/>
      </c>
    </row>
    <row r="186">
      <c r="A186" s="6" t="n"/>
      <c r="B186" s="6" t="n"/>
      <c r="C186" s="6" t="n"/>
      <c r="D186" s="11">
        <f>IF(C186="","",IFERROR(INDEX(Levels!$A$2:$A$30,MATCH(C186,Levels!$B$2:$B$30,0)),""))</f>
        <v/>
      </c>
      <c r="E186" s="10">
        <f>IF(B186="","",IFERROR(INDEX(Roster!$A$2:$A$600,MATCH(B186,Roster!$E$2:$E$600,0)),""))</f>
        <v/>
      </c>
      <c r="F186" s="10">
        <f>IF(C186="","",IFERROR(INDEX(Levels!$C$2:$C$30,MATCH(C186,Levels!$B$2:$B$30,0)),""))</f>
        <v/>
      </c>
      <c r="G186" s="6" t="n"/>
      <c r="H186" s="10">
        <f>IF(AND(B186="",C186=""),"",IF(G186&lt;&gt;"","Void",IF(OR(B186="",E186=""),"Needs child",IF(D186="","Needs level","OK"))))</f>
        <v/>
      </c>
    </row>
    <row r="187">
      <c r="A187" s="6" t="n"/>
      <c r="B187" s="6" t="n"/>
      <c r="C187" s="6" t="n"/>
      <c r="D187" s="11">
        <f>IF(C187="","",IFERROR(INDEX(Levels!$A$2:$A$30,MATCH(C187,Levels!$B$2:$B$30,0)),""))</f>
        <v/>
      </c>
      <c r="E187" s="10">
        <f>IF(B187="","",IFERROR(INDEX(Roster!$A$2:$A$600,MATCH(B187,Roster!$E$2:$E$600,0)),""))</f>
        <v/>
      </c>
      <c r="F187" s="10">
        <f>IF(C187="","",IFERROR(INDEX(Levels!$C$2:$C$30,MATCH(C187,Levels!$B$2:$B$30,0)),""))</f>
        <v/>
      </c>
      <c r="G187" s="6" t="n"/>
      <c r="H187" s="10">
        <f>IF(AND(B187="",C187=""),"",IF(G187&lt;&gt;"","Void",IF(OR(B187="",E187=""),"Needs child",IF(D187="","Needs level","OK"))))</f>
        <v/>
      </c>
    </row>
    <row r="188">
      <c r="A188" s="6" t="n"/>
      <c r="B188" s="6" t="n"/>
      <c r="C188" s="6" t="n"/>
      <c r="D188" s="11">
        <f>IF(C188="","",IFERROR(INDEX(Levels!$A$2:$A$30,MATCH(C188,Levels!$B$2:$B$30,0)),""))</f>
        <v/>
      </c>
      <c r="E188" s="10">
        <f>IF(B188="","",IFERROR(INDEX(Roster!$A$2:$A$600,MATCH(B188,Roster!$E$2:$E$600,0)),""))</f>
        <v/>
      </c>
      <c r="F188" s="10">
        <f>IF(C188="","",IFERROR(INDEX(Levels!$C$2:$C$30,MATCH(C188,Levels!$B$2:$B$30,0)),""))</f>
        <v/>
      </c>
      <c r="G188" s="6" t="n"/>
      <c r="H188" s="10">
        <f>IF(AND(B188="",C188=""),"",IF(G188&lt;&gt;"","Void",IF(OR(B188="",E188=""),"Needs child",IF(D188="","Needs level","OK"))))</f>
        <v/>
      </c>
    </row>
    <row r="189">
      <c r="A189" s="6" t="n"/>
      <c r="B189" s="6" t="n"/>
      <c r="C189" s="6" t="n"/>
      <c r="D189" s="11">
        <f>IF(C189="","",IFERROR(INDEX(Levels!$A$2:$A$30,MATCH(C189,Levels!$B$2:$B$30,0)),""))</f>
        <v/>
      </c>
      <c r="E189" s="10">
        <f>IF(B189="","",IFERROR(INDEX(Roster!$A$2:$A$600,MATCH(B189,Roster!$E$2:$E$600,0)),""))</f>
        <v/>
      </c>
      <c r="F189" s="10">
        <f>IF(C189="","",IFERROR(INDEX(Levels!$C$2:$C$30,MATCH(C189,Levels!$B$2:$B$30,0)),""))</f>
        <v/>
      </c>
      <c r="G189" s="6" t="n"/>
      <c r="H189" s="10">
        <f>IF(AND(B189="",C189=""),"",IF(G189&lt;&gt;"","Void",IF(OR(B189="",E189=""),"Needs child",IF(D189="","Needs level","OK"))))</f>
        <v/>
      </c>
    </row>
    <row r="190">
      <c r="A190" s="6" t="n"/>
      <c r="B190" s="6" t="n"/>
      <c r="C190" s="6" t="n"/>
      <c r="D190" s="11">
        <f>IF(C190="","",IFERROR(INDEX(Levels!$A$2:$A$30,MATCH(C190,Levels!$B$2:$B$30,0)),""))</f>
        <v/>
      </c>
      <c r="E190" s="10">
        <f>IF(B190="","",IFERROR(INDEX(Roster!$A$2:$A$600,MATCH(B190,Roster!$E$2:$E$600,0)),""))</f>
        <v/>
      </c>
      <c r="F190" s="10">
        <f>IF(C190="","",IFERROR(INDEX(Levels!$C$2:$C$30,MATCH(C190,Levels!$B$2:$B$30,0)),""))</f>
        <v/>
      </c>
      <c r="G190" s="6" t="n"/>
      <c r="H190" s="10">
        <f>IF(AND(B190="",C190=""),"",IF(G190&lt;&gt;"","Void",IF(OR(B190="",E190=""),"Needs child",IF(D190="","Needs level","OK"))))</f>
        <v/>
      </c>
    </row>
    <row r="191">
      <c r="A191" s="6" t="n"/>
      <c r="B191" s="6" t="n"/>
      <c r="C191" s="6" t="n"/>
      <c r="D191" s="11">
        <f>IF(C191="","",IFERROR(INDEX(Levels!$A$2:$A$30,MATCH(C191,Levels!$B$2:$B$30,0)),""))</f>
        <v/>
      </c>
      <c r="E191" s="10">
        <f>IF(B191="","",IFERROR(INDEX(Roster!$A$2:$A$600,MATCH(B191,Roster!$E$2:$E$600,0)),""))</f>
        <v/>
      </c>
      <c r="F191" s="10">
        <f>IF(C191="","",IFERROR(INDEX(Levels!$C$2:$C$30,MATCH(C191,Levels!$B$2:$B$30,0)),""))</f>
        <v/>
      </c>
      <c r="G191" s="6" t="n"/>
      <c r="H191" s="10">
        <f>IF(AND(B191="",C191=""),"",IF(G191&lt;&gt;"","Void",IF(OR(B191="",E191=""),"Needs child",IF(D191="","Needs level","OK"))))</f>
        <v/>
      </c>
    </row>
    <row r="192">
      <c r="A192" s="6" t="n"/>
      <c r="B192" s="6" t="n"/>
      <c r="C192" s="6" t="n"/>
      <c r="D192" s="11">
        <f>IF(C192="","",IFERROR(INDEX(Levels!$A$2:$A$30,MATCH(C192,Levels!$B$2:$B$30,0)),""))</f>
        <v/>
      </c>
      <c r="E192" s="10">
        <f>IF(B192="","",IFERROR(INDEX(Roster!$A$2:$A$600,MATCH(B192,Roster!$E$2:$E$600,0)),""))</f>
        <v/>
      </c>
      <c r="F192" s="10">
        <f>IF(C192="","",IFERROR(INDEX(Levels!$C$2:$C$30,MATCH(C192,Levels!$B$2:$B$30,0)),""))</f>
        <v/>
      </c>
      <c r="G192" s="6" t="n"/>
      <c r="H192" s="10">
        <f>IF(AND(B192="",C192=""),"",IF(G192&lt;&gt;"","Void",IF(OR(B192="",E192=""),"Needs child",IF(D192="","Needs level","OK"))))</f>
        <v/>
      </c>
    </row>
    <row r="193">
      <c r="A193" s="6" t="n"/>
      <c r="B193" s="6" t="n"/>
      <c r="C193" s="6" t="n"/>
      <c r="D193" s="11">
        <f>IF(C193="","",IFERROR(INDEX(Levels!$A$2:$A$30,MATCH(C193,Levels!$B$2:$B$30,0)),""))</f>
        <v/>
      </c>
      <c r="E193" s="10">
        <f>IF(B193="","",IFERROR(INDEX(Roster!$A$2:$A$600,MATCH(B193,Roster!$E$2:$E$600,0)),""))</f>
        <v/>
      </c>
      <c r="F193" s="10">
        <f>IF(C193="","",IFERROR(INDEX(Levels!$C$2:$C$30,MATCH(C193,Levels!$B$2:$B$30,0)),""))</f>
        <v/>
      </c>
      <c r="G193" s="6" t="n"/>
      <c r="H193" s="10">
        <f>IF(AND(B193="",C193=""),"",IF(G193&lt;&gt;"","Void",IF(OR(B193="",E193=""),"Needs child",IF(D193="","Needs level","OK"))))</f>
        <v/>
      </c>
    </row>
    <row r="194">
      <c r="A194" s="6" t="n"/>
      <c r="B194" s="6" t="n"/>
      <c r="C194" s="6" t="n"/>
      <c r="D194" s="11">
        <f>IF(C194="","",IFERROR(INDEX(Levels!$A$2:$A$30,MATCH(C194,Levels!$B$2:$B$30,0)),""))</f>
        <v/>
      </c>
      <c r="E194" s="10">
        <f>IF(B194="","",IFERROR(INDEX(Roster!$A$2:$A$600,MATCH(B194,Roster!$E$2:$E$600,0)),""))</f>
        <v/>
      </c>
      <c r="F194" s="10">
        <f>IF(C194="","",IFERROR(INDEX(Levels!$C$2:$C$30,MATCH(C194,Levels!$B$2:$B$30,0)),""))</f>
        <v/>
      </c>
      <c r="G194" s="6" t="n"/>
      <c r="H194" s="10">
        <f>IF(AND(B194="",C194=""),"",IF(G194&lt;&gt;"","Void",IF(OR(B194="",E194=""),"Needs child",IF(D194="","Needs level","OK"))))</f>
        <v/>
      </c>
    </row>
    <row r="195">
      <c r="A195" s="6" t="n"/>
      <c r="B195" s="6" t="n"/>
      <c r="C195" s="6" t="n"/>
      <c r="D195" s="11">
        <f>IF(C195="","",IFERROR(INDEX(Levels!$A$2:$A$30,MATCH(C195,Levels!$B$2:$B$30,0)),""))</f>
        <v/>
      </c>
      <c r="E195" s="10">
        <f>IF(B195="","",IFERROR(INDEX(Roster!$A$2:$A$600,MATCH(B195,Roster!$E$2:$E$600,0)),""))</f>
        <v/>
      </c>
      <c r="F195" s="10">
        <f>IF(C195="","",IFERROR(INDEX(Levels!$C$2:$C$30,MATCH(C195,Levels!$B$2:$B$30,0)),""))</f>
        <v/>
      </c>
      <c r="G195" s="6" t="n"/>
      <c r="H195" s="10">
        <f>IF(AND(B195="",C195=""),"",IF(G195&lt;&gt;"","Void",IF(OR(B195="",E195=""),"Needs child",IF(D195="","Needs level","OK"))))</f>
        <v/>
      </c>
    </row>
    <row r="196">
      <c r="A196" s="6" t="n"/>
      <c r="B196" s="6" t="n"/>
      <c r="C196" s="6" t="n"/>
      <c r="D196" s="11">
        <f>IF(C196="","",IFERROR(INDEX(Levels!$A$2:$A$30,MATCH(C196,Levels!$B$2:$B$30,0)),""))</f>
        <v/>
      </c>
      <c r="E196" s="10">
        <f>IF(B196="","",IFERROR(INDEX(Roster!$A$2:$A$600,MATCH(B196,Roster!$E$2:$E$600,0)),""))</f>
        <v/>
      </c>
      <c r="F196" s="10">
        <f>IF(C196="","",IFERROR(INDEX(Levels!$C$2:$C$30,MATCH(C196,Levels!$B$2:$B$30,0)),""))</f>
        <v/>
      </c>
      <c r="G196" s="6" t="n"/>
      <c r="H196" s="10">
        <f>IF(AND(B196="",C196=""),"",IF(G196&lt;&gt;"","Void",IF(OR(B196="",E196=""),"Needs child",IF(D196="","Needs level","OK"))))</f>
        <v/>
      </c>
    </row>
    <row r="197">
      <c r="A197" s="6" t="n"/>
      <c r="B197" s="6" t="n"/>
      <c r="C197" s="6" t="n"/>
      <c r="D197" s="11">
        <f>IF(C197="","",IFERROR(INDEX(Levels!$A$2:$A$30,MATCH(C197,Levels!$B$2:$B$30,0)),""))</f>
        <v/>
      </c>
      <c r="E197" s="10">
        <f>IF(B197="","",IFERROR(INDEX(Roster!$A$2:$A$600,MATCH(B197,Roster!$E$2:$E$600,0)),""))</f>
        <v/>
      </c>
      <c r="F197" s="10">
        <f>IF(C197="","",IFERROR(INDEX(Levels!$C$2:$C$30,MATCH(C197,Levels!$B$2:$B$30,0)),""))</f>
        <v/>
      </c>
      <c r="G197" s="6" t="n"/>
      <c r="H197" s="10">
        <f>IF(AND(B197="",C197=""),"",IF(G197&lt;&gt;"","Void",IF(OR(B197="",E197=""),"Needs child",IF(D197="","Needs level","OK"))))</f>
        <v/>
      </c>
    </row>
    <row r="198">
      <c r="A198" s="6" t="n"/>
      <c r="B198" s="6" t="n"/>
      <c r="C198" s="6" t="n"/>
      <c r="D198" s="11">
        <f>IF(C198="","",IFERROR(INDEX(Levels!$A$2:$A$30,MATCH(C198,Levels!$B$2:$B$30,0)),""))</f>
        <v/>
      </c>
      <c r="E198" s="10">
        <f>IF(B198="","",IFERROR(INDEX(Roster!$A$2:$A$600,MATCH(B198,Roster!$E$2:$E$600,0)),""))</f>
        <v/>
      </c>
      <c r="F198" s="10">
        <f>IF(C198="","",IFERROR(INDEX(Levels!$C$2:$C$30,MATCH(C198,Levels!$B$2:$B$30,0)),""))</f>
        <v/>
      </c>
      <c r="G198" s="6" t="n"/>
      <c r="H198" s="10">
        <f>IF(AND(B198="",C198=""),"",IF(G198&lt;&gt;"","Void",IF(OR(B198="",E198=""),"Needs child",IF(D198="","Needs level","OK"))))</f>
        <v/>
      </c>
    </row>
    <row r="199">
      <c r="A199" s="6" t="n"/>
      <c r="B199" s="6" t="n"/>
      <c r="C199" s="6" t="n"/>
      <c r="D199" s="11">
        <f>IF(C199="","",IFERROR(INDEX(Levels!$A$2:$A$30,MATCH(C199,Levels!$B$2:$B$30,0)),""))</f>
        <v/>
      </c>
      <c r="E199" s="10">
        <f>IF(B199="","",IFERROR(INDEX(Roster!$A$2:$A$600,MATCH(B199,Roster!$E$2:$E$600,0)),""))</f>
        <v/>
      </c>
      <c r="F199" s="10">
        <f>IF(C199="","",IFERROR(INDEX(Levels!$C$2:$C$30,MATCH(C199,Levels!$B$2:$B$30,0)),""))</f>
        <v/>
      </c>
      <c r="G199" s="6" t="n"/>
      <c r="H199" s="10">
        <f>IF(AND(B199="",C199=""),"",IF(G199&lt;&gt;"","Void",IF(OR(B199="",E199=""),"Needs child",IF(D199="","Needs level","OK"))))</f>
        <v/>
      </c>
    </row>
    <row r="200">
      <c r="A200" s="6" t="n"/>
      <c r="B200" s="6" t="n"/>
      <c r="C200" s="6" t="n"/>
      <c r="D200" s="11">
        <f>IF(C200="","",IFERROR(INDEX(Levels!$A$2:$A$30,MATCH(C200,Levels!$B$2:$B$30,0)),""))</f>
        <v/>
      </c>
      <c r="E200" s="10">
        <f>IF(B200="","",IFERROR(INDEX(Roster!$A$2:$A$600,MATCH(B200,Roster!$E$2:$E$600,0)),""))</f>
        <v/>
      </c>
      <c r="F200" s="10">
        <f>IF(C200="","",IFERROR(INDEX(Levels!$C$2:$C$30,MATCH(C200,Levels!$B$2:$B$30,0)),""))</f>
        <v/>
      </c>
      <c r="G200" s="6" t="n"/>
      <c r="H200" s="10">
        <f>IF(AND(B200="",C200=""),"",IF(G200&lt;&gt;"","Void",IF(OR(B200="",E200=""),"Needs child",IF(D200="","Needs level","OK"))))</f>
        <v/>
      </c>
    </row>
    <row r="201">
      <c r="A201" s="6" t="n"/>
      <c r="B201" s="6" t="n"/>
      <c r="C201" s="6" t="n"/>
      <c r="D201" s="11">
        <f>IF(C201="","",IFERROR(INDEX(Levels!$A$2:$A$30,MATCH(C201,Levels!$B$2:$B$30,0)),""))</f>
        <v/>
      </c>
      <c r="E201" s="10">
        <f>IF(B201="","",IFERROR(INDEX(Roster!$A$2:$A$600,MATCH(B201,Roster!$E$2:$E$600,0)),""))</f>
        <v/>
      </c>
      <c r="F201" s="10">
        <f>IF(C201="","",IFERROR(INDEX(Levels!$C$2:$C$30,MATCH(C201,Levels!$B$2:$B$30,0)),""))</f>
        <v/>
      </c>
      <c r="G201" s="6" t="n"/>
      <c r="H201" s="10">
        <f>IF(AND(B201="",C201=""),"",IF(G201&lt;&gt;"","Void",IF(OR(B201="",E201=""),"Needs child",IF(D201="","Needs level","OK"))))</f>
        <v/>
      </c>
    </row>
    <row r="202">
      <c r="A202" s="6" t="n"/>
      <c r="B202" s="6" t="n"/>
      <c r="C202" s="6" t="n"/>
      <c r="D202" s="11">
        <f>IF(C202="","",IFERROR(INDEX(Levels!$A$2:$A$30,MATCH(C202,Levels!$B$2:$B$30,0)),""))</f>
        <v/>
      </c>
      <c r="E202" s="10">
        <f>IF(B202="","",IFERROR(INDEX(Roster!$A$2:$A$600,MATCH(B202,Roster!$E$2:$E$600,0)),""))</f>
        <v/>
      </c>
      <c r="F202" s="10">
        <f>IF(C202="","",IFERROR(INDEX(Levels!$C$2:$C$30,MATCH(C202,Levels!$B$2:$B$30,0)),""))</f>
        <v/>
      </c>
      <c r="G202" s="6" t="n"/>
      <c r="H202" s="10">
        <f>IF(AND(B202="",C202=""),"",IF(G202&lt;&gt;"","Void",IF(OR(B202="",E202=""),"Needs child",IF(D202="","Needs level","OK"))))</f>
        <v/>
      </c>
    </row>
    <row r="203">
      <c r="A203" s="6" t="n"/>
      <c r="B203" s="6" t="n"/>
      <c r="C203" s="6" t="n"/>
      <c r="D203" s="11">
        <f>IF(C203="","",IFERROR(INDEX(Levels!$A$2:$A$30,MATCH(C203,Levels!$B$2:$B$30,0)),""))</f>
        <v/>
      </c>
      <c r="E203" s="10">
        <f>IF(B203="","",IFERROR(INDEX(Roster!$A$2:$A$600,MATCH(B203,Roster!$E$2:$E$600,0)),""))</f>
        <v/>
      </c>
      <c r="F203" s="10">
        <f>IF(C203="","",IFERROR(INDEX(Levels!$C$2:$C$30,MATCH(C203,Levels!$B$2:$B$30,0)),""))</f>
        <v/>
      </c>
      <c r="G203" s="6" t="n"/>
      <c r="H203" s="10">
        <f>IF(AND(B203="",C203=""),"",IF(G203&lt;&gt;"","Void",IF(OR(B203="",E203=""),"Needs child",IF(D203="","Needs level","OK"))))</f>
        <v/>
      </c>
    </row>
    <row r="204">
      <c r="A204" s="6" t="n"/>
      <c r="B204" s="6" t="n"/>
      <c r="C204" s="6" t="n"/>
      <c r="D204" s="11">
        <f>IF(C204="","",IFERROR(INDEX(Levels!$A$2:$A$30,MATCH(C204,Levels!$B$2:$B$30,0)),""))</f>
        <v/>
      </c>
      <c r="E204" s="10">
        <f>IF(B204="","",IFERROR(INDEX(Roster!$A$2:$A$600,MATCH(B204,Roster!$E$2:$E$600,0)),""))</f>
        <v/>
      </c>
      <c r="F204" s="10">
        <f>IF(C204="","",IFERROR(INDEX(Levels!$C$2:$C$30,MATCH(C204,Levels!$B$2:$B$30,0)),""))</f>
        <v/>
      </c>
      <c r="G204" s="6" t="n"/>
      <c r="H204" s="10">
        <f>IF(AND(B204="",C204=""),"",IF(G204&lt;&gt;"","Void",IF(OR(B204="",E204=""),"Needs child",IF(D204="","Needs level","OK"))))</f>
        <v/>
      </c>
    </row>
    <row r="205">
      <c r="A205" s="6" t="n"/>
      <c r="B205" s="6" t="n"/>
      <c r="C205" s="6" t="n"/>
      <c r="D205" s="11">
        <f>IF(C205="","",IFERROR(INDEX(Levels!$A$2:$A$30,MATCH(C205,Levels!$B$2:$B$30,0)),""))</f>
        <v/>
      </c>
      <c r="E205" s="10">
        <f>IF(B205="","",IFERROR(INDEX(Roster!$A$2:$A$600,MATCH(B205,Roster!$E$2:$E$600,0)),""))</f>
        <v/>
      </c>
      <c r="F205" s="10">
        <f>IF(C205="","",IFERROR(INDEX(Levels!$C$2:$C$30,MATCH(C205,Levels!$B$2:$B$30,0)),""))</f>
        <v/>
      </c>
      <c r="G205" s="6" t="n"/>
      <c r="H205" s="10">
        <f>IF(AND(B205="",C205=""),"",IF(G205&lt;&gt;"","Void",IF(OR(B205="",E205=""),"Needs child",IF(D205="","Needs level","OK"))))</f>
        <v/>
      </c>
    </row>
    <row r="206">
      <c r="A206" s="6" t="n"/>
      <c r="B206" s="6" t="n"/>
      <c r="C206" s="6" t="n"/>
      <c r="D206" s="11">
        <f>IF(C206="","",IFERROR(INDEX(Levels!$A$2:$A$30,MATCH(C206,Levels!$B$2:$B$30,0)),""))</f>
        <v/>
      </c>
      <c r="E206" s="10">
        <f>IF(B206="","",IFERROR(INDEX(Roster!$A$2:$A$600,MATCH(B206,Roster!$E$2:$E$600,0)),""))</f>
        <v/>
      </c>
      <c r="F206" s="10">
        <f>IF(C206="","",IFERROR(INDEX(Levels!$C$2:$C$30,MATCH(C206,Levels!$B$2:$B$30,0)),""))</f>
        <v/>
      </c>
      <c r="G206" s="6" t="n"/>
      <c r="H206" s="10">
        <f>IF(AND(B206="",C206=""),"",IF(G206&lt;&gt;"","Void",IF(OR(B206="",E206=""),"Needs child",IF(D206="","Needs level","OK"))))</f>
        <v/>
      </c>
    </row>
    <row r="207">
      <c r="A207" s="6" t="n"/>
      <c r="B207" s="6" t="n"/>
      <c r="C207" s="6" t="n"/>
      <c r="D207" s="11">
        <f>IF(C207="","",IFERROR(INDEX(Levels!$A$2:$A$30,MATCH(C207,Levels!$B$2:$B$30,0)),""))</f>
        <v/>
      </c>
      <c r="E207" s="10">
        <f>IF(B207="","",IFERROR(INDEX(Roster!$A$2:$A$600,MATCH(B207,Roster!$E$2:$E$600,0)),""))</f>
        <v/>
      </c>
      <c r="F207" s="10">
        <f>IF(C207="","",IFERROR(INDEX(Levels!$C$2:$C$30,MATCH(C207,Levels!$B$2:$B$30,0)),""))</f>
        <v/>
      </c>
      <c r="G207" s="6" t="n"/>
      <c r="H207" s="10">
        <f>IF(AND(B207="",C207=""),"",IF(G207&lt;&gt;"","Void",IF(OR(B207="",E207=""),"Needs child",IF(D207="","Needs level","OK"))))</f>
        <v/>
      </c>
    </row>
    <row r="208">
      <c r="A208" s="6" t="n"/>
      <c r="B208" s="6" t="n"/>
      <c r="C208" s="6" t="n"/>
      <c r="D208" s="11">
        <f>IF(C208="","",IFERROR(INDEX(Levels!$A$2:$A$30,MATCH(C208,Levels!$B$2:$B$30,0)),""))</f>
        <v/>
      </c>
      <c r="E208" s="10">
        <f>IF(B208="","",IFERROR(INDEX(Roster!$A$2:$A$600,MATCH(B208,Roster!$E$2:$E$600,0)),""))</f>
        <v/>
      </c>
      <c r="F208" s="10">
        <f>IF(C208="","",IFERROR(INDEX(Levels!$C$2:$C$30,MATCH(C208,Levels!$B$2:$B$30,0)),""))</f>
        <v/>
      </c>
      <c r="G208" s="6" t="n"/>
      <c r="H208" s="10">
        <f>IF(AND(B208="",C208=""),"",IF(G208&lt;&gt;"","Void",IF(OR(B208="",E208=""),"Needs child",IF(D208="","Needs level","OK"))))</f>
        <v/>
      </c>
    </row>
    <row r="209">
      <c r="A209" s="6" t="n"/>
      <c r="B209" s="6" t="n"/>
      <c r="C209" s="6" t="n"/>
      <c r="D209" s="11">
        <f>IF(C209="","",IFERROR(INDEX(Levels!$A$2:$A$30,MATCH(C209,Levels!$B$2:$B$30,0)),""))</f>
        <v/>
      </c>
      <c r="E209" s="10">
        <f>IF(B209="","",IFERROR(INDEX(Roster!$A$2:$A$600,MATCH(B209,Roster!$E$2:$E$600,0)),""))</f>
        <v/>
      </c>
      <c r="F209" s="10">
        <f>IF(C209="","",IFERROR(INDEX(Levels!$C$2:$C$30,MATCH(C209,Levels!$B$2:$B$30,0)),""))</f>
        <v/>
      </c>
      <c r="G209" s="6" t="n"/>
      <c r="H209" s="10">
        <f>IF(AND(B209="",C209=""),"",IF(G209&lt;&gt;"","Void",IF(OR(B209="",E209=""),"Needs child",IF(D209="","Needs level","OK"))))</f>
        <v/>
      </c>
    </row>
    <row r="210">
      <c r="A210" s="6" t="n"/>
      <c r="B210" s="6" t="n"/>
      <c r="C210" s="6" t="n"/>
      <c r="D210" s="11">
        <f>IF(C210="","",IFERROR(INDEX(Levels!$A$2:$A$30,MATCH(C210,Levels!$B$2:$B$30,0)),""))</f>
        <v/>
      </c>
      <c r="E210" s="10">
        <f>IF(B210="","",IFERROR(INDEX(Roster!$A$2:$A$600,MATCH(B210,Roster!$E$2:$E$600,0)),""))</f>
        <v/>
      </c>
      <c r="F210" s="10">
        <f>IF(C210="","",IFERROR(INDEX(Levels!$C$2:$C$30,MATCH(C210,Levels!$B$2:$B$30,0)),""))</f>
        <v/>
      </c>
      <c r="G210" s="6" t="n"/>
      <c r="H210" s="10">
        <f>IF(AND(B210="",C210=""),"",IF(G210&lt;&gt;"","Void",IF(OR(B210="",E210=""),"Needs child",IF(D210="","Needs level","OK"))))</f>
        <v/>
      </c>
    </row>
    <row r="211">
      <c r="A211" s="6" t="n"/>
      <c r="B211" s="6" t="n"/>
      <c r="C211" s="6" t="n"/>
      <c r="D211" s="11">
        <f>IF(C211="","",IFERROR(INDEX(Levels!$A$2:$A$30,MATCH(C211,Levels!$B$2:$B$30,0)),""))</f>
        <v/>
      </c>
      <c r="E211" s="10">
        <f>IF(B211="","",IFERROR(INDEX(Roster!$A$2:$A$600,MATCH(B211,Roster!$E$2:$E$600,0)),""))</f>
        <v/>
      </c>
      <c r="F211" s="10">
        <f>IF(C211="","",IFERROR(INDEX(Levels!$C$2:$C$30,MATCH(C211,Levels!$B$2:$B$30,0)),""))</f>
        <v/>
      </c>
      <c r="G211" s="6" t="n"/>
      <c r="H211" s="10">
        <f>IF(AND(B211="",C211=""),"",IF(G211&lt;&gt;"","Void",IF(OR(B211="",E211=""),"Needs child",IF(D211="","Needs level","OK"))))</f>
        <v/>
      </c>
    </row>
    <row r="212">
      <c r="A212" s="6" t="n"/>
      <c r="B212" s="6" t="n"/>
      <c r="C212" s="6" t="n"/>
      <c r="D212" s="11">
        <f>IF(C212="","",IFERROR(INDEX(Levels!$A$2:$A$30,MATCH(C212,Levels!$B$2:$B$30,0)),""))</f>
        <v/>
      </c>
      <c r="E212" s="10">
        <f>IF(B212="","",IFERROR(INDEX(Roster!$A$2:$A$600,MATCH(B212,Roster!$E$2:$E$600,0)),""))</f>
        <v/>
      </c>
      <c r="F212" s="10">
        <f>IF(C212="","",IFERROR(INDEX(Levels!$C$2:$C$30,MATCH(C212,Levels!$B$2:$B$30,0)),""))</f>
        <v/>
      </c>
      <c r="G212" s="6" t="n"/>
      <c r="H212" s="10">
        <f>IF(AND(B212="",C212=""),"",IF(G212&lt;&gt;"","Void",IF(OR(B212="",E212=""),"Needs child",IF(D212="","Needs level","OK"))))</f>
        <v/>
      </c>
    </row>
    <row r="213">
      <c r="A213" s="6" t="n"/>
      <c r="B213" s="6" t="n"/>
      <c r="C213" s="6" t="n"/>
      <c r="D213" s="11">
        <f>IF(C213="","",IFERROR(INDEX(Levels!$A$2:$A$30,MATCH(C213,Levels!$B$2:$B$30,0)),""))</f>
        <v/>
      </c>
      <c r="E213" s="10">
        <f>IF(B213="","",IFERROR(INDEX(Roster!$A$2:$A$600,MATCH(B213,Roster!$E$2:$E$600,0)),""))</f>
        <v/>
      </c>
      <c r="F213" s="10">
        <f>IF(C213="","",IFERROR(INDEX(Levels!$C$2:$C$30,MATCH(C213,Levels!$B$2:$B$30,0)),""))</f>
        <v/>
      </c>
      <c r="G213" s="6" t="n"/>
      <c r="H213" s="10">
        <f>IF(AND(B213="",C213=""),"",IF(G213&lt;&gt;"","Void",IF(OR(B213="",E213=""),"Needs child",IF(D213="","Needs level","OK"))))</f>
        <v/>
      </c>
    </row>
    <row r="214">
      <c r="A214" s="6" t="n"/>
      <c r="B214" s="6" t="n"/>
      <c r="C214" s="6" t="n"/>
      <c r="D214" s="11">
        <f>IF(C214="","",IFERROR(INDEX(Levels!$A$2:$A$30,MATCH(C214,Levels!$B$2:$B$30,0)),""))</f>
        <v/>
      </c>
      <c r="E214" s="10">
        <f>IF(B214="","",IFERROR(INDEX(Roster!$A$2:$A$600,MATCH(B214,Roster!$E$2:$E$600,0)),""))</f>
        <v/>
      </c>
      <c r="F214" s="10">
        <f>IF(C214="","",IFERROR(INDEX(Levels!$C$2:$C$30,MATCH(C214,Levels!$B$2:$B$30,0)),""))</f>
        <v/>
      </c>
      <c r="G214" s="6" t="n"/>
      <c r="H214" s="10">
        <f>IF(AND(B214="",C214=""),"",IF(G214&lt;&gt;"","Void",IF(OR(B214="",E214=""),"Needs child",IF(D214="","Needs level","OK"))))</f>
        <v/>
      </c>
    </row>
    <row r="215">
      <c r="A215" s="6" t="n"/>
      <c r="B215" s="6" t="n"/>
      <c r="C215" s="6" t="n"/>
      <c r="D215" s="11">
        <f>IF(C215="","",IFERROR(INDEX(Levels!$A$2:$A$30,MATCH(C215,Levels!$B$2:$B$30,0)),""))</f>
        <v/>
      </c>
      <c r="E215" s="10">
        <f>IF(B215="","",IFERROR(INDEX(Roster!$A$2:$A$600,MATCH(B215,Roster!$E$2:$E$600,0)),""))</f>
        <v/>
      </c>
      <c r="F215" s="10">
        <f>IF(C215="","",IFERROR(INDEX(Levels!$C$2:$C$30,MATCH(C215,Levels!$B$2:$B$30,0)),""))</f>
        <v/>
      </c>
      <c r="G215" s="6" t="n"/>
      <c r="H215" s="10">
        <f>IF(AND(B215="",C215=""),"",IF(G215&lt;&gt;"","Void",IF(OR(B215="",E215=""),"Needs child",IF(D215="","Needs level","OK"))))</f>
        <v/>
      </c>
    </row>
    <row r="216">
      <c r="A216" s="6" t="n"/>
      <c r="B216" s="6" t="n"/>
      <c r="C216" s="6" t="n"/>
      <c r="D216" s="11">
        <f>IF(C216="","",IFERROR(INDEX(Levels!$A$2:$A$30,MATCH(C216,Levels!$B$2:$B$30,0)),""))</f>
        <v/>
      </c>
      <c r="E216" s="10">
        <f>IF(B216="","",IFERROR(INDEX(Roster!$A$2:$A$600,MATCH(B216,Roster!$E$2:$E$600,0)),""))</f>
        <v/>
      </c>
      <c r="F216" s="10">
        <f>IF(C216="","",IFERROR(INDEX(Levels!$C$2:$C$30,MATCH(C216,Levels!$B$2:$B$30,0)),""))</f>
        <v/>
      </c>
      <c r="G216" s="6" t="n"/>
      <c r="H216" s="10">
        <f>IF(AND(B216="",C216=""),"",IF(G216&lt;&gt;"","Void",IF(OR(B216="",E216=""),"Needs child",IF(D216="","Needs level","OK"))))</f>
        <v/>
      </c>
    </row>
    <row r="217">
      <c r="A217" s="6" t="n"/>
      <c r="B217" s="6" t="n"/>
      <c r="C217" s="6" t="n"/>
      <c r="D217" s="11">
        <f>IF(C217="","",IFERROR(INDEX(Levels!$A$2:$A$30,MATCH(C217,Levels!$B$2:$B$30,0)),""))</f>
        <v/>
      </c>
      <c r="E217" s="10">
        <f>IF(B217="","",IFERROR(INDEX(Roster!$A$2:$A$600,MATCH(B217,Roster!$E$2:$E$600,0)),""))</f>
        <v/>
      </c>
      <c r="F217" s="10">
        <f>IF(C217="","",IFERROR(INDEX(Levels!$C$2:$C$30,MATCH(C217,Levels!$B$2:$B$30,0)),""))</f>
        <v/>
      </c>
      <c r="G217" s="6" t="n"/>
      <c r="H217" s="10">
        <f>IF(AND(B217="",C217=""),"",IF(G217&lt;&gt;"","Void",IF(OR(B217="",E217=""),"Needs child",IF(D217="","Needs level","OK"))))</f>
        <v/>
      </c>
    </row>
    <row r="218">
      <c r="A218" s="6" t="n"/>
      <c r="B218" s="6" t="n"/>
      <c r="C218" s="6" t="n"/>
      <c r="D218" s="11">
        <f>IF(C218="","",IFERROR(INDEX(Levels!$A$2:$A$30,MATCH(C218,Levels!$B$2:$B$30,0)),""))</f>
        <v/>
      </c>
      <c r="E218" s="10">
        <f>IF(B218="","",IFERROR(INDEX(Roster!$A$2:$A$600,MATCH(B218,Roster!$E$2:$E$600,0)),""))</f>
        <v/>
      </c>
      <c r="F218" s="10">
        <f>IF(C218="","",IFERROR(INDEX(Levels!$C$2:$C$30,MATCH(C218,Levels!$B$2:$B$30,0)),""))</f>
        <v/>
      </c>
      <c r="G218" s="6" t="n"/>
      <c r="H218" s="10">
        <f>IF(AND(B218="",C218=""),"",IF(G218&lt;&gt;"","Void",IF(OR(B218="",E218=""),"Needs child",IF(D218="","Needs level","OK"))))</f>
        <v/>
      </c>
    </row>
    <row r="219">
      <c r="A219" s="6" t="n"/>
      <c r="B219" s="6" t="n"/>
      <c r="C219" s="6" t="n"/>
      <c r="D219" s="11">
        <f>IF(C219="","",IFERROR(INDEX(Levels!$A$2:$A$30,MATCH(C219,Levels!$B$2:$B$30,0)),""))</f>
        <v/>
      </c>
      <c r="E219" s="10">
        <f>IF(B219="","",IFERROR(INDEX(Roster!$A$2:$A$600,MATCH(B219,Roster!$E$2:$E$600,0)),""))</f>
        <v/>
      </c>
      <c r="F219" s="10">
        <f>IF(C219="","",IFERROR(INDEX(Levels!$C$2:$C$30,MATCH(C219,Levels!$B$2:$B$30,0)),""))</f>
        <v/>
      </c>
      <c r="G219" s="6" t="n"/>
      <c r="H219" s="10">
        <f>IF(AND(B219="",C219=""),"",IF(G219&lt;&gt;"","Void",IF(OR(B219="",E219=""),"Needs child",IF(D219="","Needs level","OK"))))</f>
        <v/>
      </c>
    </row>
    <row r="220">
      <c r="A220" s="6" t="n"/>
      <c r="B220" s="6" t="n"/>
      <c r="C220" s="6" t="n"/>
      <c r="D220" s="11">
        <f>IF(C220="","",IFERROR(INDEX(Levels!$A$2:$A$30,MATCH(C220,Levels!$B$2:$B$30,0)),""))</f>
        <v/>
      </c>
      <c r="E220" s="10">
        <f>IF(B220="","",IFERROR(INDEX(Roster!$A$2:$A$600,MATCH(B220,Roster!$E$2:$E$600,0)),""))</f>
        <v/>
      </c>
      <c r="F220" s="10">
        <f>IF(C220="","",IFERROR(INDEX(Levels!$C$2:$C$30,MATCH(C220,Levels!$B$2:$B$30,0)),""))</f>
        <v/>
      </c>
      <c r="G220" s="6" t="n"/>
      <c r="H220" s="10">
        <f>IF(AND(B220="",C220=""),"",IF(G220&lt;&gt;"","Void",IF(OR(B220="",E220=""),"Needs child",IF(D220="","Needs level","OK"))))</f>
        <v/>
      </c>
    </row>
    <row r="221">
      <c r="A221" s="6" t="n"/>
      <c r="B221" s="6" t="n"/>
      <c r="C221" s="6" t="n"/>
      <c r="D221" s="11">
        <f>IF(C221="","",IFERROR(INDEX(Levels!$A$2:$A$30,MATCH(C221,Levels!$B$2:$B$30,0)),""))</f>
        <v/>
      </c>
      <c r="E221" s="10">
        <f>IF(B221="","",IFERROR(INDEX(Roster!$A$2:$A$600,MATCH(B221,Roster!$E$2:$E$600,0)),""))</f>
        <v/>
      </c>
      <c r="F221" s="10">
        <f>IF(C221="","",IFERROR(INDEX(Levels!$C$2:$C$30,MATCH(C221,Levels!$B$2:$B$30,0)),""))</f>
        <v/>
      </c>
      <c r="G221" s="6" t="n"/>
      <c r="H221" s="10">
        <f>IF(AND(B221="",C221=""),"",IF(G221&lt;&gt;"","Void",IF(OR(B221="",E221=""),"Needs child",IF(D221="","Needs level","OK"))))</f>
        <v/>
      </c>
    </row>
    <row r="222">
      <c r="A222" s="6" t="n"/>
      <c r="B222" s="6" t="n"/>
      <c r="C222" s="6" t="n"/>
      <c r="D222" s="11">
        <f>IF(C222="","",IFERROR(INDEX(Levels!$A$2:$A$30,MATCH(C222,Levels!$B$2:$B$30,0)),""))</f>
        <v/>
      </c>
      <c r="E222" s="10">
        <f>IF(B222="","",IFERROR(INDEX(Roster!$A$2:$A$600,MATCH(B222,Roster!$E$2:$E$600,0)),""))</f>
        <v/>
      </c>
      <c r="F222" s="10">
        <f>IF(C222="","",IFERROR(INDEX(Levels!$C$2:$C$30,MATCH(C222,Levels!$B$2:$B$30,0)),""))</f>
        <v/>
      </c>
      <c r="G222" s="6" t="n"/>
      <c r="H222" s="10">
        <f>IF(AND(B222="",C222=""),"",IF(G222&lt;&gt;"","Void",IF(OR(B222="",E222=""),"Needs child",IF(D222="","Needs level","OK"))))</f>
        <v/>
      </c>
    </row>
    <row r="223">
      <c r="A223" s="6" t="n"/>
      <c r="B223" s="6" t="n"/>
      <c r="C223" s="6" t="n"/>
      <c r="D223" s="11">
        <f>IF(C223="","",IFERROR(INDEX(Levels!$A$2:$A$30,MATCH(C223,Levels!$B$2:$B$30,0)),""))</f>
        <v/>
      </c>
      <c r="E223" s="10">
        <f>IF(B223="","",IFERROR(INDEX(Roster!$A$2:$A$600,MATCH(B223,Roster!$E$2:$E$600,0)),""))</f>
        <v/>
      </c>
      <c r="F223" s="10">
        <f>IF(C223="","",IFERROR(INDEX(Levels!$C$2:$C$30,MATCH(C223,Levels!$B$2:$B$30,0)),""))</f>
        <v/>
      </c>
      <c r="G223" s="6" t="n"/>
      <c r="H223" s="10">
        <f>IF(AND(B223="",C223=""),"",IF(G223&lt;&gt;"","Void",IF(OR(B223="",E223=""),"Needs child",IF(D223="","Needs level","OK"))))</f>
        <v/>
      </c>
    </row>
    <row r="224">
      <c r="A224" s="6" t="n"/>
      <c r="B224" s="6" t="n"/>
      <c r="C224" s="6" t="n"/>
      <c r="D224" s="11">
        <f>IF(C224="","",IFERROR(INDEX(Levels!$A$2:$A$30,MATCH(C224,Levels!$B$2:$B$30,0)),""))</f>
        <v/>
      </c>
      <c r="E224" s="10">
        <f>IF(B224="","",IFERROR(INDEX(Roster!$A$2:$A$600,MATCH(B224,Roster!$E$2:$E$600,0)),""))</f>
        <v/>
      </c>
      <c r="F224" s="10">
        <f>IF(C224="","",IFERROR(INDEX(Levels!$C$2:$C$30,MATCH(C224,Levels!$B$2:$B$30,0)),""))</f>
        <v/>
      </c>
      <c r="G224" s="6" t="n"/>
      <c r="H224" s="10">
        <f>IF(AND(B224="",C224=""),"",IF(G224&lt;&gt;"","Void",IF(OR(B224="",E224=""),"Needs child",IF(D224="","Needs level","OK"))))</f>
        <v/>
      </c>
    </row>
    <row r="225">
      <c r="A225" s="6" t="n"/>
      <c r="B225" s="6" t="n"/>
      <c r="C225" s="6" t="n"/>
      <c r="D225" s="11">
        <f>IF(C225="","",IFERROR(INDEX(Levels!$A$2:$A$30,MATCH(C225,Levels!$B$2:$B$30,0)),""))</f>
        <v/>
      </c>
      <c r="E225" s="10">
        <f>IF(B225="","",IFERROR(INDEX(Roster!$A$2:$A$600,MATCH(B225,Roster!$E$2:$E$600,0)),""))</f>
        <v/>
      </c>
      <c r="F225" s="10">
        <f>IF(C225="","",IFERROR(INDEX(Levels!$C$2:$C$30,MATCH(C225,Levels!$B$2:$B$30,0)),""))</f>
        <v/>
      </c>
      <c r="G225" s="6" t="n"/>
      <c r="H225" s="10">
        <f>IF(AND(B225="",C225=""),"",IF(G225&lt;&gt;"","Void",IF(OR(B225="",E225=""),"Needs child",IF(D225="","Needs level","OK"))))</f>
        <v/>
      </c>
    </row>
    <row r="226">
      <c r="A226" s="6" t="n"/>
      <c r="B226" s="6" t="n"/>
      <c r="C226" s="6" t="n"/>
      <c r="D226" s="11">
        <f>IF(C226="","",IFERROR(INDEX(Levels!$A$2:$A$30,MATCH(C226,Levels!$B$2:$B$30,0)),""))</f>
        <v/>
      </c>
      <c r="E226" s="10">
        <f>IF(B226="","",IFERROR(INDEX(Roster!$A$2:$A$600,MATCH(B226,Roster!$E$2:$E$600,0)),""))</f>
        <v/>
      </c>
      <c r="F226" s="10">
        <f>IF(C226="","",IFERROR(INDEX(Levels!$C$2:$C$30,MATCH(C226,Levels!$B$2:$B$30,0)),""))</f>
        <v/>
      </c>
      <c r="G226" s="6" t="n"/>
      <c r="H226" s="10">
        <f>IF(AND(B226="",C226=""),"",IF(G226&lt;&gt;"","Void",IF(OR(B226="",E226=""),"Needs child",IF(D226="","Needs level","OK"))))</f>
        <v/>
      </c>
    </row>
    <row r="227">
      <c r="A227" s="6" t="n"/>
      <c r="B227" s="6" t="n"/>
      <c r="C227" s="6" t="n"/>
      <c r="D227" s="11">
        <f>IF(C227="","",IFERROR(INDEX(Levels!$A$2:$A$30,MATCH(C227,Levels!$B$2:$B$30,0)),""))</f>
        <v/>
      </c>
      <c r="E227" s="10">
        <f>IF(B227="","",IFERROR(INDEX(Roster!$A$2:$A$600,MATCH(B227,Roster!$E$2:$E$600,0)),""))</f>
        <v/>
      </c>
      <c r="F227" s="10">
        <f>IF(C227="","",IFERROR(INDEX(Levels!$C$2:$C$30,MATCH(C227,Levels!$B$2:$B$30,0)),""))</f>
        <v/>
      </c>
      <c r="G227" s="6" t="n"/>
      <c r="H227" s="10">
        <f>IF(AND(B227="",C227=""),"",IF(G227&lt;&gt;"","Void",IF(OR(B227="",E227=""),"Needs child",IF(D227="","Needs level","OK"))))</f>
        <v/>
      </c>
    </row>
    <row r="228">
      <c r="A228" s="6" t="n"/>
      <c r="B228" s="6" t="n"/>
      <c r="C228" s="6" t="n"/>
      <c r="D228" s="11">
        <f>IF(C228="","",IFERROR(INDEX(Levels!$A$2:$A$30,MATCH(C228,Levels!$B$2:$B$30,0)),""))</f>
        <v/>
      </c>
      <c r="E228" s="10">
        <f>IF(B228="","",IFERROR(INDEX(Roster!$A$2:$A$600,MATCH(B228,Roster!$E$2:$E$600,0)),""))</f>
        <v/>
      </c>
      <c r="F228" s="10">
        <f>IF(C228="","",IFERROR(INDEX(Levels!$C$2:$C$30,MATCH(C228,Levels!$B$2:$B$30,0)),""))</f>
        <v/>
      </c>
      <c r="G228" s="6" t="n"/>
      <c r="H228" s="10">
        <f>IF(AND(B228="",C228=""),"",IF(G228&lt;&gt;"","Void",IF(OR(B228="",E228=""),"Needs child",IF(D228="","Needs level","OK"))))</f>
        <v/>
      </c>
    </row>
    <row r="229">
      <c r="A229" s="6" t="n"/>
      <c r="B229" s="6" t="n"/>
      <c r="C229" s="6" t="n"/>
      <c r="D229" s="11">
        <f>IF(C229="","",IFERROR(INDEX(Levels!$A$2:$A$30,MATCH(C229,Levels!$B$2:$B$30,0)),""))</f>
        <v/>
      </c>
      <c r="E229" s="10">
        <f>IF(B229="","",IFERROR(INDEX(Roster!$A$2:$A$600,MATCH(B229,Roster!$E$2:$E$600,0)),""))</f>
        <v/>
      </c>
      <c r="F229" s="10">
        <f>IF(C229="","",IFERROR(INDEX(Levels!$C$2:$C$30,MATCH(C229,Levels!$B$2:$B$30,0)),""))</f>
        <v/>
      </c>
      <c r="G229" s="6" t="n"/>
      <c r="H229" s="10">
        <f>IF(AND(B229="",C229=""),"",IF(G229&lt;&gt;"","Void",IF(OR(B229="",E229=""),"Needs child",IF(D229="","Needs level","OK"))))</f>
        <v/>
      </c>
    </row>
    <row r="230">
      <c r="A230" s="6" t="n"/>
      <c r="B230" s="6" t="n"/>
      <c r="C230" s="6" t="n"/>
      <c r="D230" s="11">
        <f>IF(C230="","",IFERROR(INDEX(Levels!$A$2:$A$30,MATCH(C230,Levels!$B$2:$B$30,0)),""))</f>
        <v/>
      </c>
      <c r="E230" s="10">
        <f>IF(B230="","",IFERROR(INDEX(Roster!$A$2:$A$600,MATCH(B230,Roster!$E$2:$E$600,0)),""))</f>
        <v/>
      </c>
      <c r="F230" s="10">
        <f>IF(C230="","",IFERROR(INDEX(Levels!$C$2:$C$30,MATCH(C230,Levels!$B$2:$B$30,0)),""))</f>
        <v/>
      </c>
      <c r="G230" s="6" t="n"/>
      <c r="H230" s="10">
        <f>IF(AND(B230="",C230=""),"",IF(G230&lt;&gt;"","Void",IF(OR(B230="",E230=""),"Needs child",IF(D230="","Needs level","OK"))))</f>
        <v/>
      </c>
    </row>
    <row r="231">
      <c r="A231" s="6" t="n"/>
      <c r="B231" s="6" t="n"/>
      <c r="C231" s="6" t="n"/>
      <c r="D231" s="11">
        <f>IF(C231="","",IFERROR(INDEX(Levels!$A$2:$A$30,MATCH(C231,Levels!$B$2:$B$30,0)),""))</f>
        <v/>
      </c>
      <c r="E231" s="10">
        <f>IF(B231="","",IFERROR(INDEX(Roster!$A$2:$A$600,MATCH(B231,Roster!$E$2:$E$600,0)),""))</f>
        <v/>
      </c>
      <c r="F231" s="10">
        <f>IF(C231="","",IFERROR(INDEX(Levels!$C$2:$C$30,MATCH(C231,Levels!$B$2:$B$30,0)),""))</f>
        <v/>
      </c>
      <c r="G231" s="6" t="n"/>
      <c r="H231" s="10">
        <f>IF(AND(B231="",C231=""),"",IF(G231&lt;&gt;"","Void",IF(OR(B231="",E231=""),"Needs child",IF(D231="","Needs level","OK"))))</f>
        <v/>
      </c>
    </row>
    <row r="232">
      <c r="A232" s="6" t="n"/>
      <c r="B232" s="6" t="n"/>
      <c r="C232" s="6" t="n"/>
      <c r="D232" s="11">
        <f>IF(C232="","",IFERROR(INDEX(Levels!$A$2:$A$30,MATCH(C232,Levels!$B$2:$B$30,0)),""))</f>
        <v/>
      </c>
      <c r="E232" s="10">
        <f>IF(B232="","",IFERROR(INDEX(Roster!$A$2:$A$600,MATCH(B232,Roster!$E$2:$E$600,0)),""))</f>
        <v/>
      </c>
      <c r="F232" s="10">
        <f>IF(C232="","",IFERROR(INDEX(Levels!$C$2:$C$30,MATCH(C232,Levels!$B$2:$B$30,0)),""))</f>
        <v/>
      </c>
      <c r="G232" s="6" t="n"/>
      <c r="H232" s="10">
        <f>IF(AND(B232="",C232=""),"",IF(G232&lt;&gt;"","Void",IF(OR(B232="",E232=""),"Needs child",IF(D232="","Needs level","OK"))))</f>
        <v/>
      </c>
    </row>
    <row r="233">
      <c r="A233" s="6" t="n"/>
      <c r="B233" s="6" t="n"/>
      <c r="C233" s="6" t="n"/>
      <c r="D233" s="11">
        <f>IF(C233="","",IFERROR(INDEX(Levels!$A$2:$A$30,MATCH(C233,Levels!$B$2:$B$30,0)),""))</f>
        <v/>
      </c>
      <c r="E233" s="10">
        <f>IF(B233="","",IFERROR(INDEX(Roster!$A$2:$A$600,MATCH(B233,Roster!$E$2:$E$600,0)),""))</f>
        <v/>
      </c>
      <c r="F233" s="10">
        <f>IF(C233="","",IFERROR(INDEX(Levels!$C$2:$C$30,MATCH(C233,Levels!$B$2:$B$30,0)),""))</f>
        <v/>
      </c>
      <c r="G233" s="6" t="n"/>
      <c r="H233" s="10">
        <f>IF(AND(B233="",C233=""),"",IF(G233&lt;&gt;"","Void",IF(OR(B233="",E233=""),"Needs child",IF(D233="","Needs level","OK"))))</f>
        <v/>
      </c>
    </row>
    <row r="234">
      <c r="A234" s="6" t="n"/>
      <c r="B234" s="6" t="n"/>
      <c r="C234" s="6" t="n"/>
      <c r="D234" s="11">
        <f>IF(C234="","",IFERROR(INDEX(Levels!$A$2:$A$30,MATCH(C234,Levels!$B$2:$B$30,0)),""))</f>
        <v/>
      </c>
      <c r="E234" s="10">
        <f>IF(B234="","",IFERROR(INDEX(Roster!$A$2:$A$600,MATCH(B234,Roster!$E$2:$E$600,0)),""))</f>
        <v/>
      </c>
      <c r="F234" s="10">
        <f>IF(C234="","",IFERROR(INDEX(Levels!$C$2:$C$30,MATCH(C234,Levels!$B$2:$B$30,0)),""))</f>
        <v/>
      </c>
      <c r="G234" s="6" t="n"/>
      <c r="H234" s="10">
        <f>IF(AND(B234="",C234=""),"",IF(G234&lt;&gt;"","Void",IF(OR(B234="",E234=""),"Needs child",IF(D234="","Needs level","OK"))))</f>
        <v/>
      </c>
    </row>
    <row r="235">
      <c r="A235" s="6" t="n"/>
      <c r="B235" s="6" t="n"/>
      <c r="C235" s="6" t="n"/>
      <c r="D235" s="11">
        <f>IF(C235="","",IFERROR(INDEX(Levels!$A$2:$A$30,MATCH(C235,Levels!$B$2:$B$30,0)),""))</f>
        <v/>
      </c>
      <c r="E235" s="10">
        <f>IF(B235="","",IFERROR(INDEX(Roster!$A$2:$A$600,MATCH(B235,Roster!$E$2:$E$600,0)),""))</f>
        <v/>
      </c>
      <c r="F235" s="10">
        <f>IF(C235="","",IFERROR(INDEX(Levels!$C$2:$C$30,MATCH(C235,Levels!$B$2:$B$30,0)),""))</f>
        <v/>
      </c>
      <c r="G235" s="6" t="n"/>
      <c r="H235" s="10">
        <f>IF(AND(B235="",C235=""),"",IF(G235&lt;&gt;"","Void",IF(OR(B235="",E235=""),"Needs child",IF(D235="","Needs level","OK"))))</f>
        <v/>
      </c>
    </row>
    <row r="236">
      <c r="A236" s="6" t="n"/>
      <c r="B236" s="6" t="n"/>
      <c r="C236" s="6" t="n"/>
      <c r="D236" s="11">
        <f>IF(C236="","",IFERROR(INDEX(Levels!$A$2:$A$30,MATCH(C236,Levels!$B$2:$B$30,0)),""))</f>
        <v/>
      </c>
      <c r="E236" s="10">
        <f>IF(B236="","",IFERROR(INDEX(Roster!$A$2:$A$600,MATCH(B236,Roster!$E$2:$E$600,0)),""))</f>
        <v/>
      </c>
      <c r="F236" s="10">
        <f>IF(C236="","",IFERROR(INDEX(Levels!$C$2:$C$30,MATCH(C236,Levels!$B$2:$B$30,0)),""))</f>
        <v/>
      </c>
      <c r="G236" s="6" t="n"/>
      <c r="H236" s="10">
        <f>IF(AND(B236="",C236=""),"",IF(G236&lt;&gt;"","Void",IF(OR(B236="",E236=""),"Needs child",IF(D236="","Needs level","OK"))))</f>
        <v/>
      </c>
    </row>
    <row r="237">
      <c r="A237" s="6" t="n"/>
      <c r="B237" s="6" t="n"/>
      <c r="C237" s="6" t="n"/>
      <c r="D237" s="11">
        <f>IF(C237="","",IFERROR(INDEX(Levels!$A$2:$A$30,MATCH(C237,Levels!$B$2:$B$30,0)),""))</f>
        <v/>
      </c>
      <c r="E237" s="10">
        <f>IF(B237="","",IFERROR(INDEX(Roster!$A$2:$A$600,MATCH(B237,Roster!$E$2:$E$600,0)),""))</f>
        <v/>
      </c>
      <c r="F237" s="10">
        <f>IF(C237="","",IFERROR(INDEX(Levels!$C$2:$C$30,MATCH(C237,Levels!$B$2:$B$30,0)),""))</f>
        <v/>
      </c>
      <c r="G237" s="6" t="n"/>
      <c r="H237" s="10">
        <f>IF(AND(B237="",C237=""),"",IF(G237&lt;&gt;"","Void",IF(OR(B237="",E237=""),"Needs child",IF(D237="","Needs level","OK"))))</f>
        <v/>
      </c>
    </row>
    <row r="238">
      <c r="A238" s="6" t="n"/>
      <c r="B238" s="6" t="n"/>
      <c r="C238" s="6" t="n"/>
      <c r="D238" s="11">
        <f>IF(C238="","",IFERROR(INDEX(Levels!$A$2:$A$30,MATCH(C238,Levels!$B$2:$B$30,0)),""))</f>
        <v/>
      </c>
      <c r="E238" s="10">
        <f>IF(B238="","",IFERROR(INDEX(Roster!$A$2:$A$600,MATCH(B238,Roster!$E$2:$E$600,0)),""))</f>
        <v/>
      </c>
      <c r="F238" s="10">
        <f>IF(C238="","",IFERROR(INDEX(Levels!$C$2:$C$30,MATCH(C238,Levels!$B$2:$B$30,0)),""))</f>
        <v/>
      </c>
      <c r="G238" s="6" t="n"/>
      <c r="H238" s="10">
        <f>IF(AND(B238="",C238=""),"",IF(G238&lt;&gt;"","Void",IF(OR(B238="",E238=""),"Needs child",IF(D238="","Needs level","OK"))))</f>
        <v/>
      </c>
    </row>
    <row r="239">
      <c r="A239" s="6" t="n"/>
      <c r="B239" s="6" t="n"/>
      <c r="C239" s="6" t="n"/>
      <c r="D239" s="11">
        <f>IF(C239="","",IFERROR(INDEX(Levels!$A$2:$A$30,MATCH(C239,Levels!$B$2:$B$30,0)),""))</f>
        <v/>
      </c>
      <c r="E239" s="10">
        <f>IF(B239="","",IFERROR(INDEX(Roster!$A$2:$A$600,MATCH(B239,Roster!$E$2:$E$600,0)),""))</f>
        <v/>
      </c>
      <c r="F239" s="10">
        <f>IF(C239="","",IFERROR(INDEX(Levels!$C$2:$C$30,MATCH(C239,Levels!$B$2:$B$30,0)),""))</f>
        <v/>
      </c>
      <c r="G239" s="6" t="n"/>
      <c r="H239" s="10">
        <f>IF(AND(B239="",C239=""),"",IF(G239&lt;&gt;"","Void",IF(OR(B239="",E239=""),"Needs child",IF(D239="","Needs level","OK"))))</f>
        <v/>
      </c>
    </row>
    <row r="240">
      <c r="A240" s="6" t="n"/>
      <c r="B240" s="6" t="n"/>
      <c r="C240" s="6" t="n"/>
      <c r="D240" s="11">
        <f>IF(C240="","",IFERROR(INDEX(Levels!$A$2:$A$30,MATCH(C240,Levels!$B$2:$B$30,0)),""))</f>
        <v/>
      </c>
      <c r="E240" s="10">
        <f>IF(B240="","",IFERROR(INDEX(Roster!$A$2:$A$600,MATCH(B240,Roster!$E$2:$E$600,0)),""))</f>
        <v/>
      </c>
      <c r="F240" s="10">
        <f>IF(C240="","",IFERROR(INDEX(Levels!$C$2:$C$30,MATCH(C240,Levels!$B$2:$B$30,0)),""))</f>
        <v/>
      </c>
      <c r="G240" s="6" t="n"/>
      <c r="H240" s="10">
        <f>IF(AND(B240="",C240=""),"",IF(G240&lt;&gt;"","Void",IF(OR(B240="",E240=""),"Needs child",IF(D240="","Needs level","OK"))))</f>
        <v/>
      </c>
    </row>
    <row r="241">
      <c r="A241" s="6" t="n"/>
      <c r="B241" s="6" t="n"/>
      <c r="C241" s="6" t="n"/>
      <c r="D241" s="11">
        <f>IF(C241="","",IFERROR(INDEX(Levels!$A$2:$A$30,MATCH(C241,Levels!$B$2:$B$30,0)),""))</f>
        <v/>
      </c>
      <c r="E241" s="10">
        <f>IF(B241="","",IFERROR(INDEX(Roster!$A$2:$A$600,MATCH(B241,Roster!$E$2:$E$600,0)),""))</f>
        <v/>
      </c>
      <c r="F241" s="10">
        <f>IF(C241="","",IFERROR(INDEX(Levels!$C$2:$C$30,MATCH(C241,Levels!$B$2:$B$30,0)),""))</f>
        <v/>
      </c>
      <c r="G241" s="6" t="n"/>
      <c r="H241" s="10">
        <f>IF(AND(B241="",C241=""),"",IF(G241&lt;&gt;"","Void",IF(OR(B241="",E241=""),"Needs child",IF(D241="","Needs level","OK"))))</f>
        <v/>
      </c>
    </row>
    <row r="242">
      <c r="A242" s="6" t="n"/>
      <c r="B242" s="6" t="n"/>
      <c r="C242" s="6" t="n"/>
      <c r="D242" s="11">
        <f>IF(C242="","",IFERROR(INDEX(Levels!$A$2:$A$30,MATCH(C242,Levels!$B$2:$B$30,0)),""))</f>
        <v/>
      </c>
      <c r="E242" s="10">
        <f>IF(B242="","",IFERROR(INDEX(Roster!$A$2:$A$600,MATCH(B242,Roster!$E$2:$E$600,0)),""))</f>
        <v/>
      </c>
      <c r="F242" s="10">
        <f>IF(C242="","",IFERROR(INDEX(Levels!$C$2:$C$30,MATCH(C242,Levels!$B$2:$B$30,0)),""))</f>
        <v/>
      </c>
      <c r="G242" s="6" t="n"/>
      <c r="H242" s="10">
        <f>IF(AND(B242="",C242=""),"",IF(G242&lt;&gt;"","Void",IF(OR(B242="",E242=""),"Needs child",IF(D242="","Needs level","OK"))))</f>
        <v/>
      </c>
    </row>
    <row r="243">
      <c r="A243" s="6" t="n"/>
      <c r="B243" s="6" t="n"/>
      <c r="C243" s="6" t="n"/>
      <c r="D243" s="11">
        <f>IF(C243="","",IFERROR(INDEX(Levels!$A$2:$A$30,MATCH(C243,Levels!$B$2:$B$30,0)),""))</f>
        <v/>
      </c>
      <c r="E243" s="10">
        <f>IF(B243="","",IFERROR(INDEX(Roster!$A$2:$A$600,MATCH(B243,Roster!$E$2:$E$600,0)),""))</f>
        <v/>
      </c>
      <c r="F243" s="10">
        <f>IF(C243="","",IFERROR(INDEX(Levels!$C$2:$C$30,MATCH(C243,Levels!$B$2:$B$30,0)),""))</f>
        <v/>
      </c>
      <c r="G243" s="6" t="n"/>
      <c r="H243" s="10">
        <f>IF(AND(B243="",C243=""),"",IF(G243&lt;&gt;"","Void",IF(OR(B243="",E243=""),"Needs child",IF(D243="","Needs level","OK"))))</f>
        <v/>
      </c>
    </row>
    <row r="244">
      <c r="A244" s="6" t="n"/>
      <c r="B244" s="6" t="n"/>
      <c r="C244" s="6" t="n"/>
      <c r="D244" s="11">
        <f>IF(C244="","",IFERROR(INDEX(Levels!$A$2:$A$30,MATCH(C244,Levels!$B$2:$B$30,0)),""))</f>
        <v/>
      </c>
      <c r="E244" s="10">
        <f>IF(B244="","",IFERROR(INDEX(Roster!$A$2:$A$600,MATCH(B244,Roster!$E$2:$E$600,0)),""))</f>
        <v/>
      </c>
      <c r="F244" s="10">
        <f>IF(C244="","",IFERROR(INDEX(Levels!$C$2:$C$30,MATCH(C244,Levels!$B$2:$B$30,0)),""))</f>
        <v/>
      </c>
      <c r="G244" s="6" t="n"/>
      <c r="H244" s="10">
        <f>IF(AND(B244="",C244=""),"",IF(G244&lt;&gt;"","Void",IF(OR(B244="",E244=""),"Needs child",IF(D244="","Needs level","OK"))))</f>
        <v/>
      </c>
    </row>
    <row r="245">
      <c r="A245" s="6" t="n"/>
      <c r="B245" s="6" t="n"/>
      <c r="C245" s="6" t="n"/>
      <c r="D245" s="11">
        <f>IF(C245="","",IFERROR(INDEX(Levels!$A$2:$A$30,MATCH(C245,Levels!$B$2:$B$30,0)),""))</f>
        <v/>
      </c>
      <c r="E245" s="10">
        <f>IF(B245="","",IFERROR(INDEX(Roster!$A$2:$A$600,MATCH(B245,Roster!$E$2:$E$600,0)),""))</f>
        <v/>
      </c>
      <c r="F245" s="10">
        <f>IF(C245="","",IFERROR(INDEX(Levels!$C$2:$C$30,MATCH(C245,Levels!$B$2:$B$30,0)),""))</f>
        <v/>
      </c>
      <c r="G245" s="6" t="n"/>
      <c r="H245" s="10">
        <f>IF(AND(B245="",C245=""),"",IF(G245&lt;&gt;"","Void",IF(OR(B245="",E245=""),"Needs child",IF(D245="","Needs level","OK"))))</f>
        <v/>
      </c>
    </row>
    <row r="246">
      <c r="A246" s="6" t="n"/>
      <c r="B246" s="6" t="n"/>
      <c r="C246" s="6" t="n"/>
      <c r="D246" s="11">
        <f>IF(C246="","",IFERROR(INDEX(Levels!$A$2:$A$30,MATCH(C246,Levels!$B$2:$B$30,0)),""))</f>
        <v/>
      </c>
      <c r="E246" s="10">
        <f>IF(B246="","",IFERROR(INDEX(Roster!$A$2:$A$600,MATCH(B246,Roster!$E$2:$E$600,0)),""))</f>
        <v/>
      </c>
      <c r="F246" s="10">
        <f>IF(C246="","",IFERROR(INDEX(Levels!$C$2:$C$30,MATCH(C246,Levels!$B$2:$B$30,0)),""))</f>
        <v/>
      </c>
      <c r="G246" s="6" t="n"/>
      <c r="H246" s="10">
        <f>IF(AND(B246="",C246=""),"",IF(G246&lt;&gt;"","Void",IF(OR(B246="",E246=""),"Needs child",IF(D246="","Needs level","OK"))))</f>
        <v/>
      </c>
    </row>
    <row r="247">
      <c r="A247" s="6" t="n"/>
      <c r="B247" s="6" t="n"/>
      <c r="C247" s="6" t="n"/>
      <c r="D247" s="11">
        <f>IF(C247="","",IFERROR(INDEX(Levels!$A$2:$A$30,MATCH(C247,Levels!$B$2:$B$30,0)),""))</f>
        <v/>
      </c>
      <c r="E247" s="10">
        <f>IF(B247="","",IFERROR(INDEX(Roster!$A$2:$A$600,MATCH(B247,Roster!$E$2:$E$600,0)),""))</f>
        <v/>
      </c>
      <c r="F247" s="10">
        <f>IF(C247="","",IFERROR(INDEX(Levels!$C$2:$C$30,MATCH(C247,Levels!$B$2:$B$30,0)),""))</f>
        <v/>
      </c>
      <c r="G247" s="6" t="n"/>
      <c r="H247" s="10">
        <f>IF(AND(B247="",C247=""),"",IF(G247&lt;&gt;"","Void",IF(OR(B247="",E247=""),"Needs child",IF(D247="","Needs level","OK"))))</f>
        <v/>
      </c>
    </row>
    <row r="248">
      <c r="A248" s="6" t="n"/>
      <c r="B248" s="6" t="n"/>
      <c r="C248" s="6" t="n"/>
      <c r="D248" s="11">
        <f>IF(C248="","",IFERROR(INDEX(Levels!$A$2:$A$30,MATCH(C248,Levels!$B$2:$B$30,0)),""))</f>
        <v/>
      </c>
      <c r="E248" s="10">
        <f>IF(B248="","",IFERROR(INDEX(Roster!$A$2:$A$600,MATCH(B248,Roster!$E$2:$E$600,0)),""))</f>
        <v/>
      </c>
      <c r="F248" s="10">
        <f>IF(C248="","",IFERROR(INDEX(Levels!$C$2:$C$30,MATCH(C248,Levels!$B$2:$B$30,0)),""))</f>
        <v/>
      </c>
      <c r="G248" s="6" t="n"/>
      <c r="H248" s="10">
        <f>IF(AND(B248="",C248=""),"",IF(G248&lt;&gt;"","Void",IF(OR(B248="",E248=""),"Needs child",IF(D248="","Needs level","OK"))))</f>
        <v/>
      </c>
    </row>
    <row r="249">
      <c r="A249" s="6" t="n"/>
      <c r="B249" s="6" t="n"/>
      <c r="C249" s="6" t="n"/>
      <c r="D249" s="11">
        <f>IF(C249="","",IFERROR(INDEX(Levels!$A$2:$A$30,MATCH(C249,Levels!$B$2:$B$30,0)),""))</f>
        <v/>
      </c>
      <c r="E249" s="10">
        <f>IF(B249="","",IFERROR(INDEX(Roster!$A$2:$A$600,MATCH(B249,Roster!$E$2:$E$600,0)),""))</f>
        <v/>
      </c>
      <c r="F249" s="10">
        <f>IF(C249="","",IFERROR(INDEX(Levels!$C$2:$C$30,MATCH(C249,Levels!$B$2:$B$30,0)),""))</f>
        <v/>
      </c>
      <c r="G249" s="6" t="n"/>
      <c r="H249" s="10">
        <f>IF(AND(B249="",C249=""),"",IF(G249&lt;&gt;"","Void",IF(OR(B249="",E249=""),"Needs child",IF(D249="","Needs level","OK"))))</f>
        <v/>
      </c>
    </row>
    <row r="250">
      <c r="A250" s="6" t="n"/>
      <c r="B250" s="6" t="n"/>
      <c r="C250" s="6" t="n"/>
      <c r="D250" s="11">
        <f>IF(C250="","",IFERROR(INDEX(Levels!$A$2:$A$30,MATCH(C250,Levels!$B$2:$B$30,0)),""))</f>
        <v/>
      </c>
      <c r="E250" s="10">
        <f>IF(B250="","",IFERROR(INDEX(Roster!$A$2:$A$600,MATCH(B250,Roster!$E$2:$E$600,0)),""))</f>
        <v/>
      </c>
      <c r="F250" s="10">
        <f>IF(C250="","",IFERROR(INDEX(Levels!$C$2:$C$30,MATCH(C250,Levels!$B$2:$B$30,0)),""))</f>
        <v/>
      </c>
      <c r="G250" s="6" t="n"/>
      <c r="H250" s="10">
        <f>IF(AND(B250="",C250=""),"",IF(G250&lt;&gt;"","Void",IF(OR(B250="",E250=""),"Needs child",IF(D250="","Needs level","OK"))))</f>
        <v/>
      </c>
    </row>
    <row r="251">
      <c r="A251" s="6" t="n"/>
      <c r="B251" s="6" t="n"/>
      <c r="C251" s="6" t="n"/>
      <c r="D251" s="11">
        <f>IF(C251="","",IFERROR(INDEX(Levels!$A$2:$A$30,MATCH(C251,Levels!$B$2:$B$30,0)),""))</f>
        <v/>
      </c>
      <c r="E251" s="10">
        <f>IF(B251="","",IFERROR(INDEX(Roster!$A$2:$A$600,MATCH(B251,Roster!$E$2:$E$600,0)),""))</f>
        <v/>
      </c>
      <c r="F251" s="10">
        <f>IF(C251="","",IFERROR(INDEX(Levels!$C$2:$C$30,MATCH(C251,Levels!$B$2:$B$30,0)),""))</f>
        <v/>
      </c>
      <c r="G251" s="6" t="n"/>
      <c r="H251" s="10">
        <f>IF(AND(B251="",C251=""),"",IF(G251&lt;&gt;"","Void",IF(OR(B251="",E251=""),"Needs child",IF(D251="","Needs level","OK"))))</f>
        <v/>
      </c>
    </row>
    <row r="252">
      <c r="A252" s="6" t="n"/>
      <c r="B252" s="6" t="n"/>
      <c r="C252" s="6" t="n"/>
      <c r="D252" s="11">
        <f>IF(C252="","",IFERROR(INDEX(Levels!$A$2:$A$30,MATCH(C252,Levels!$B$2:$B$30,0)),""))</f>
        <v/>
      </c>
      <c r="E252" s="10">
        <f>IF(B252="","",IFERROR(INDEX(Roster!$A$2:$A$600,MATCH(B252,Roster!$E$2:$E$600,0)),""))</f>
        <v/>
      </c>
      <c r="F252" s="10">
        <f>IF(C252="","",IFERROR(INDEX(Levels!$C$2:$C$30,MATCH(C252,Levels!$B$2:$B$30,0)),""))</f>
        <v/>
      </c>
      <c r="G252" s="6" t="n"/>
      <c r="H252" s="10">
        <f>IF(AND(B252="",C252=""),"",IF(G252&lt;&gt;"","Void",IF(OR(B252="",E252=""),"Needs child",IF(D252="","Needs level","OK"))))</f>
        <v/>
      </c>
    </row>
    <row r="253">
      <c r="A253" s="6" t="n"/>
      <c r="B253" s="6" t="n"/>
      <c r="C253" s="6" t="n"/>
      <c r="D253" s="11">
        <f>IF(C253="","",IFERROR(INDEX(Levels!$A$2:$A$30,MATCH(C253,Levels!$B$2:$B$30,0)),""))</f>
        <v/>
      </c>
      <c r="E253" s="10">
        <f>IF(B253="","",IFERROR(INDEX(Roster!$A$2:$A$600,MATCH(B253,Roster!$E$2:$E$600,0)),""))</f>
        <v/>
      </c>
      <c r="F253" s="10">
        <f>IF(C253="","",IFERROR(INDEX(Levels!$C$2:$C$30,MATCH(C253,Levels!$B$2:$B$30,0)),""))</f>
        <v/>
      </c>
      <c r="G253" s="6" t="n"/>
      <c r="H253" s="10">
        <f>IF(AND(B253="",C253=""),"",IF(G253&lt;&gt;"","Void",IF(OR(B253="",E253=""),"Needs child",IF(D253="","Needs level","OK"))))</f>
        <v/>
      </c>
    </row>
    <row r="254">
      <c r="A254" s="6" t="n"/>
      <c r="B254" s="6" t="n"/>
      <c r="C254" s="6" t="n"/>
      <c r="D254" s="11">
        <f>IF(C254="","",IFERROR(INDEX(Levels!$A$2:$A$30,MATCH(C254,Levels!$B$2:$B$30,0)),""))</f>
        <v/>
      </c>
      <c r="E254" s="10">
        <f>IF(B254="","",IFERROR(INDEX(Roster!$A$2:$A$600,MATCH(B254,Roster!$E$2:$E$600,0)),""))</f>
        <v/>
      </c>
      <c r="F254" s="10">
        <f>IF(C254="","",IFERROR(INDEX(Levels!$C$2:$C$30,MATCH(C254,Levels!$B$2:$B$30,0)),""))</f>
        <v/>
      </c>
      <c r="G254" s="6" t="n"/>
      <c r="H254" s="10">
        <f>IF(AND(B254="",C254=""),"",IF(G254&lt;&gt;"","Void",IF(OR(B254="",E254=""),"Needs child",IF(D254="","Needs level","OK"))))</f>
        <v/>
      </c>
    </row>
    <row r="255">
      <c r="A255" s="6" t="n"/>
      <c r="B255" s="6" t="n"/>
      <c r="C255" s="6" t="n"/>
      <c r="D255" s="11">
        <f>IF(C255="","",IFERROR(INDEX(Levels!$A$2:$A$30,MATCH(C255,Levels!$B$2:$B$30,0)),""))</f>
        <v/>
      </c>
      <c r="E255" s="10">
        <f>IF(B255="","",IFERROR(INDEX(Roster!$A$2:$A$600,MATCH(B255,Roster!$E$2:$E$600,0)),""))</f>
        <v/>
      </c>
      <c r="F255" s="10">
        <f>IF(C255="","",IFERROR(INDEX(Levels!$C$2:$C$30,MATCH(C255,Levels!$B$2:$B$30,0)),""))</f>
        <v/>
      </c>
      <c r="G255" s="6" t="n"/>
      <c r="H255" s="10">
        <f>IF(AND(B255="",C255=""),"",IF(G255&lt;&gt;"","Void",IF(OR(B255="",E255=""),"Needs child",IF(D255="","Needs level","OK"))))</f>
        <v/>
      </c>
    </row>
    <row r="256">
      <c r="A256" s="6" t="n"/>
      <c r="B256" s="6" t="n"/>
      <c r="C256" s="6" t="n"/>
      <c r="D256" s="11">
        <f>IF(C256="","",IFERROR(INDEX(Levels!$A$2:$A$30,MATCH(C256,Levels!$B$2:$B$30,0)),""))</f>
        <v/>
      </c>
      <c r="E256" s="10">
        <f>IF(B256="","",IFERROR(INDEX(Roster!$A$2:$A$600,MATCH(B256,Roster!$E$2:$E$600,0)),""))</f>
        <v/>
      </c>
      <c r="F256" s="10">
        <f>IF(C256="","",IFERROR(INDEX(Levels!$C$2:$C$30,MATCH(C256,Levels!$B$2:$B$30,0)),""))</f>
        <v/>
      </c>
      <c r="G256" s="6" t="n"/>
      <c r="H256" s="10">
        <f>IF(AND(B256="",C256=""),"",IF(G256&lt;&gt;"","Void",IF(OR(B256="",E256=""),"Needs child",IF(D256="","Needs level","OK"))))</f>
        <v/>
      </c>
    </row>
    <row r="257">
      <c r="A257" s="6" t="n"/>
      <c r="B257" s="6" t="n"/>
      <c r="C257" s="6" t="n"/>
      <c r="D257" s="11">
        <f>IF(C257="","",IFERROR(INDEX(Levels!$A$2:$A$30,MATCH(C257,Levels!$B$2:$B$30,0)),""))</f>
        <v/>
      </c>
      <c r="E257" s="10">
        <f>IF(B257="","",IFERROR(INDEX(Roster!$A$2:$A$600,MATCH(B257,Roster!$E$2:$E$600,0)),""))</f>
        <v/>
      </c>
      <c r="F257" s="10">
        <f>IF(C257="","",IFERROR(INDEX(Levels!$C$2:$C$30,MATCH(C257,Levels!$B$2:$B$30,0)),""))</f>
        <v/>
      </c>
      <c r="G257" s="6" t="n"/>
      <c r="H257" s="10">
        <f>IF(AND(B257="",C257=""),"",IF(G257&lt;&gt;"","Void",IF(OR(B257="",E257=""),"Needs child",IF(D257="","Needs level","OK"))))</f>
        <v/>
      </c>
    </row>
    <row r="258">
      <c r="A258" s="6" t="n"/>
      <c r="B258" s="6" t="n"/>
      <c r="C258" s="6" t="n"/>
      <c r="D258" s="11">
        <f>IF(C258="","",IFERROR(INDEX(Levels!$A$2:$A$30,MATCH(C258,Levels!$B$2:$B$30,0)),""))</f>
        <v/>
      </c>
      <c r="E258" s="10">
        <f>IF(B258="","",IFERROR(INDEX(Roster!$A$2:$A$600,MATCH(B258,Roster!$E$2:$E$600,0)),""))</f>
        <v/>
      </c>
      <c r="F258" s="10">
        <f>IF(C258="","",IFERROR(INDEX(Levels!$C$2:$C$30,MATCH(C258,Levels!$B$2:$B$30,0)),""))</f>
        <v/>
      </c>
      <c r="G258" s="6" t="n"/>
      <c r="H258" s="10">
        <f>IF(AND(B258="",C258=""),"",IF(G258&lt;&gt;"","Void",IF(OR(B258="",E258=""),"Needs child",IF(D258="","Needs level","OK"))))</f>
        <v/>
      </c>
    </row>
    <row r="259">
      <c r="A259" s="6" t="n"/>
      <c r="B259" s="6" t="n"/>
      <c r="C259" s="6" t="n"/>
      <c r="D259" s="11">
        <f>IF(C259="","",IFERROR(INDEX(Levels!$A$2:$A$30,MATCH(C259,Levels!$B$2:$B$30,0)),""))</f>
        <v/>
      </c>
      <c r="E259" s="10">
        <f>IF(B259="","",IFERROR(INDEX(Roster!$A$2:$A$600,MATCH(B259,Roster!$E$2:$E$600,0)),""))</f>
        <v/>
      </c>
      <c r="F259" s="10">
        <f>IF(C259="","",IFERROR(INDEX(Levels!$C$2:$C$30,MATCH(C259,Levels!$B$2:$B$30,0)),""))</f>
        <v/>
      </c>
      <c r="G259" s="6" t="n"/>
      <c r="H259" s="10">
        <f>IF(AND(B259="",C259=""),"",IF(G259&lt;&gt;"","Void",IF(OR(B259="",E259=""),"Needs child",IF(D259="","Needs level","OK"))))</f>
        <v/>
      </c>
    </row>
    <row r="260">
      <c r="A260" s="6" t="n"/>
      <c r="B260" s="6" t="n"/>
      <c r="C260" s="6" t="n"/>
      <c r="D260" s="11">
        <f>IF(C260="","",IFERROR(INDEX(Levels!$A$2:$A$30,MATCH(C260,Levels!$B$2:$B$30,0)),""))</f>
        <v/>
      </c>
      <c r="E260" s="10">
        <f>IF(B260="","",IFERROR(INDEX(Roster!$A$2:$A$600,MATCH(B260,Roster!$E$2:$E$600,0)),""))</f>
        <v/>
      </c>
      <c r="F260" s="10">
        <f>IF(C260="","",IFERROR(INDEX(Levels!$C$2:$C$30,MATCH(C260,Levels!$B$2:$B$30,0)),""))</f>
        <v/>
      </c>
      <c r="G260" s="6" t="n"/>
      <c r="H260" s="10">
        <f>IF(AND(B260="",C260=""),"",IF(G260&lt;&gt;"","Void",IF(OR(B260="",E260=""),"Needs child",IF(D260="","Needs level","OK"))))</f>
        <v/>
      </c>
    </row>
    <row r="261">
      <c r="A261" s="6" t="n"/>
      <c r="B261" s="6" t="n"/>
      <c r="C261" s="6" t="n"/>
      <c r="D261" s="11">
        <f>IF(C261="","",IFERROR(INDEX(Levels!$A$2:$A$30,MATCH(C261,Levels!$B$2:$B$30,0)),""))</f>
        <v/>
      </c>
      <c r="E261" s="10">
        <f>IF(B261="","",IFERROR(INDEX(Roster!$A$2:$A$600,MATCH(B261,Roster!$E$2:$E$600,0)),""))</f>
        <v/>
      </c>
      <c r="F261" s="10">
        <f>IF(C261="","",IFERROR(INDEX(Levels!$C$2:$C$30,MATCH(C261,Levels!$B$2:$B$30,0)),""))</f>
        <v/>
      </c>
      <c r="G261" s="6" t="n"/>
      <c r="H261" s="10">
        <f>IF(AND(B261="",C261=""),"",IF(G261&lt;&gt;"","Void",IF(OR(B261="",E261=""),"Needs child",IF(D261="","Needs level","OK"))))</f>
        <v/>
      </c>
    </row>
    <row r="262">
      <c r="A262" s="6" t="n"/>
      <c r="B262" s="6" t="n"/>
      <c r="C262" s="6" t="n"/>
      <c r="D262" s="11">
        <f>IF(C262="","",IFERROR(INDEX(Levels!$A$2:$A$30,MATCH(C262,Levels!$B$2:$B$30,0)),""))</f>
        <v/>
      </c>
      <c r="E262" s="10">
        <f>IF(B262="","",IFERROR(INDEX(Roster!$A$2:$A$600,MATCH(B262,Roster!$E$2:$E$600,0)),""))</f>
        <v/>
      </c>
      <c r="F262" s="10">
        <f>IF(C262="","",IFERROR(INDEX(Levels!$C$2:$C$30,MATCH(C262,Levels!$B$2:$B$30,0)),""))</f>
        <v/>
      </c>
      <c r="G262" s="6" t="n"/>
      <c r="H262" s="10">
        <f>IF(AND(B262="",C262=""),"",IF(G262&lt;&gt;"","Void",IF(OR(B262="",E262=""),"Needs child",IF(D262="","Needs level","OK"))))</f>
        <v/>
      </c>
    </row>
    <row r="263">
      <c r="A263" s="6" t="n"/>
      <c r="B263" s="6" t="n"/>
      <c r="C263" s="6" t="n"/>
      <c r="D263" s="11">
        <f>IF(C263="","",IFERROR(INDEX(Levels!$A$2:$A$30,MATCH(C263,Levels!$B$2:$B$30,0)),""))</f>
        <v/>
      </c>
      <c r="E263" s="10">
        <f>IF(B263="","",IFERROR(INDEX(Roster!$A$2:$A$600,MATCH(B263,Roster!$E$2:$E$600,0)),""))</f>
        <v/>
      </c>
      <c r="F263" s="10">
        <f>IF(C263="","",IFERROR(INDEX(Levels!$C$2:$C$30,MATCH(C263,Levels!$B$2:$B$30,0)),""))</f>
        <v/>
      </c>
      <c r="G263" s="6" t="n"/>
      <c r="H263" s="10">
        <f>IF(AND(B263="",C263=""),"",IF(G263&lt;&gt;"","Void",IF(OR(B263="",E263=""),"Needs child",IF(D263="","Needs level","OK"))))</f>
        <v/>
      </c>
    </row>
    <row r="264">
      <c r="A264" s="6" t="n"/>
      <c r="B264" s="6" t="n"/>
      <c r="C264" s="6" t="n"/>
      <c r="D264" s="11">
        <f>IF(C264="","",IFERROR(INDEX(Levels!$A$2:$A$30,MATCH(C264,Levels!$B$2:$B$30,0)),""))</f>
        <v/>
      </c>
      <c r="E264" s="10">
        <f>IF(B264="","",IFERROR(INDEX(Roster!$A$2:$A$600,MATCH(B264,Roster!$E$2:$E$600,0)),""))</f>
        <v/>
      </c>
      <c r="F264" s="10">
        <f>IF(C264="","",IFERROR(INDEX(Levels!$C$2:$C$30,MATCH(C264,Levels!$B$2:$B$30,0)),""))</f>
        <v/>
      </c>
      <c r="G264" s="6" t="n"/>
      <c r="H264" s="10">
        <f>IF(AND(B264="",C264=""),"",IF(G264&lt;&gt;"","Void",IF(OR(B264="",E264=""),"Needs child",IF(D264="","Needs level","OK"))))</f>
        <v/>
      </c>
    </row>
    <row r="265">
      <c r="A265" s="6" t="n"/>
      <c r="B265" s="6" t="n"/>
      <c r="C265" s="6" t="n"/>
      <c r="D265" s="11">
        <f>IF(C265="","",IFERROR(INDEX(Levels!$A$2:$A$30,MATCH(C265,Levels!$B$2:$B$30,0)),""))</f>
        <v/>
      </c>
      <c r="E265" s="10">
        <f>IF(B265="","",IFERROR(INDEX(Roster!$A$2:$A$600,MATCH(B265,Roster!$E$2:$E$600,0)),""))</f>
        <v/>
      </c>
      <c r="F265" s="10">
        <f>IF(C265="","",IFERROR(INDEX(Levels!$C$2:$C$30,MATCH(C265,Levels!$B$2:$B$30,0)),""))</f>
        <v/>
      </c>
      <c r="G265" s="6" t="n"/>
      <c r="H265" s="10">
        <f>IF(AND(B265="",C265=""),"",IF(G265&lt;&gt;"","Void",IF(OR(B265="",E265=""),"Needs child",IF(D265="","Needs level","OK"))))</f>
        <v/>
      </c>
    </row>
    <row r="266">
      <c r="A266" s="6" t="n"/>
      <c r="B266" s="6" t="n"/>
      <c r="C266" s="6" t="n"/>
      <c r="D266" s="11">
        <f>IF(C266="","",IFERROR(INDEX(Levels!$A$2:$A$30,MATCH(C266,Levels!$B$2:$B$30,0)),""))</f>
        <v/>
      </c>
      <c r="E266" s="10">
        <f>IF(B266="","",IFERROR(INDEX(Roster!$A$2:$A$600,MATCH(B266,Roster!$E$2:$E$600,0)),""))</f>
        <v/>
      </c>
      <c r="F266" s="10">
        <f>IF(C266="","",IFERROR(INDEX(Levels!$C$2:$C$30,MATCH(C266,Levels!$B$2:$B$30,0)),""))</f>
        <v/>
      </c>
      <c r="G266" s="6" t="n"/>
      <c r="H266" s="10">
        <f>IF(AND(B266="",C266=""),"",IF(G266&lt;&gt;"","Void",IF(OR(B266="",E266=""),"Needs child",IF(D266="","Needs level","OK"))))</f>
        <v/>
      </c>
    </row>
    <row r="267">
      <c r="A267" s="6" t="n"/>
      <c r="B267" s="6" t="n"/>
      <c r="C267" s="6" t="n"/>
      <c r="D267" s="11">
        <f>IF(C267="","",IFERROR(INDEX(Levels!$A$2:$A$30,MATCH(C267,Levels!$B$2:$B$30,0)),""))</f>
        <v/>
      </c>
      <c r="E267" s="10">
        <f>IF(B267="","",IFERROR(INDEX(Roster!$A$2:$A$600,MATCH(B267,Roster!$E$2:$E$600,0)),""))</f>
        <v/>
      </c>
      <c r="F267" s="10">
        <f>IF(C267="","",IFERROR(INDEX(Levels!$C$2:$C$30,MATCH(C267,Levels!$B$2:$B$30,0)),""))</f>
        <v/>
      </c>
      <c r="G267" s="6" t="n"/>
      <c r="H267" s="10">
        <f>IF(AND(B267="",C267=""),"",IF(G267&lt;&gt;"","Void",IF(OR(B267="",E267=""),"Needs child",IF(D267="","Needs level","OK"))))</f>
        <v/>
      </c>
    </row>
    <row r="268">
      <c r="A268" s="6" t="n"/>
      <c r="B268" s="6" t="n"/>
      <c r="C268" s="6" t="n"/>
      <c r="D268" s="11">
        <f>IF(C268="","",IFERROR(INDEX(Levels!$A$2:$A$30,MATCH(C268,Levels!$B$2:$B$30,0)),""))</f>
        <v/>
      </c>
      <c r="E268" s="10">
        <f>IF(B268="","",IFERROR(INDEX(Roster!$A$2:$A$600,MATCH(B268,Roster!$E$2:$E$600,0)),""))</f>
        <v/>
      </c>
      <c r="F268" s="10">
        <f>IF(C268="","",IFERROR(INDEX(Levels!$C$2:$C$30,MATCH(C268,Levels!$B$2:$B$30,0)),""))</f>
        <v/>
      </c>
      <c r="G268" s="6" t="n"/>
      <c r="H268" s="10">
        <f>IF(AND(B268="",C268=""),"",IF(G268&lt;&gt;"","Void",IF(OR(B268="",E268=""),"Needs child",IF(D268="","Needs level","OK"))))</f>
        <v/>
      </c>
    </row>
    <row r="269">
      <c r="A269" s="6" t="n"/>
      <c r="B269" s="6" t="n"/>
      <c r="C269" s="6" t="n"/>
      <c r="D269" s="11">
        <f>IF(C269="","",IFERROR(INDEX(Levels!$A$2:$A$30,MATCH(C269,Levels!$B$2:$B$30,0)),""))</f>
        <v/>
      </c>
      <c r="E269" s="10">
        <f>IF(B269="","",IFERROR(INDEX(Roster!$A$2:$A$600,MATCH(B269,Roster!$E$2:$E$600,0)),""))</f>
        <v/>
      </c>
      <c r="F269" s="10">
        <f>IF(C269="","",IFERROR(INDEX(Levels!$C$2:$C$30,MATCH(C269,Levels!$B$2:$B$30,0)),""))</f>
        <v/>
      </c>
      <c r="G269" s="6" t="n"/>
      <c r="H269" s="10">
        <f>IF(AND(B269="",C269=""),"",IF(G269&lt;&gt;"","Void",IF(OR(B269="",E269=""),"Needs child",IF(D269="","Needs level","OK"))))</f>
        <v/>
      </c>
    </row>
    <row r="270">
      <c r="A270" s="6" t="n"/>
      <c r="B270" s="6" t="n"/>
      <c r="C270" s="6" t="n"/>
      <c r="D270" s="11">
        <f>IF(C270="","",IFERROR(INDEX(Levels!$A$2:$A$30,MATCH(C270,Levels!$B$2:$B$30,0)),""))</f>
        <v/>
      </c>
      <c r="E270" s="10">
        <f>IF(B270="","",IFERROR(INDEX(Roster!$A$2:$A$600,MATCH(B270,Roster!$E$2:$E$600,0)),""))</f>
        <v/>
      </c>
      <c r="F270" s="10">
        <f>IF(C270="","",IFERROR(INDEX(Levels!$C$2:$C$30,MATCH(C270,Levels!$B$2:$B$30,0)),""))</f>
        <v/>
      </c>
      <c r="G270" s="6" t="n"/>
      <c r="H270" s="10">
        <f>IF(AND(B270="",C270=""),"",IF(G270&lt;&gt;"","Void",IF(OR(B270="",E270=""),"Needs child",IF(D270="","Needs level","OK"))))</f>
        <v/>
      </c>
    </row>
    <row r="271">
      <c r="A271" s="6" t="n"/>
      <c r="B271" s="6" t="n"/>
      <c r="C271" s="6" t="n"/>
      <c r="D271" s="11">
        <f>IF(C271="","",IFERROR(INDEX(Levels!$A$2:$A$30,MATCH(C271,Levels!$B$2:$B$30,0)),""))</f>
        <v/>
      </c>
      <c r="E271" s="10">
        <f>IF(B271="","",IFERROR(INDEX(Roster!$A$2:$A$600,MATCH(B271,Roster!$E$2:$E$600,0)),""))</f>
        <v/>
      </c>
      <c r="F271" s="10">
        <f>IF(C271="","",IFERROR(INDEX(Levels!$C$2:$C$30,MATCH(C271,Levels!$B$2:$B$30,0)),""))</f>
        <v/>
      </c>
      <c r="G271" s="6" t="n"/>
      <c r="H271" s="10">
        <f>IF(AND(B271="",C271=""),"",IF(G271&lt;&gt;"","Void",IF(OR(B271="",E271=""),"Needs child",IF(D271="","Needs level","OK"))))</f>
        <v/>
      </c>
    </row>
    <row r="272">
      <c r="A272" s="6" t="n"/>
      <c r="B272" s="6" t="n"/>
      <c r="C272" s="6" t="n"/>
      <c r="D272" s="11">
        <f>IF(C272="","",IFERROR(INDEX(Levels!$A$2:$A$30,MATCH(C272,Levels!$B$2:$B$30,0)),""))</f>
        <v/>
      </c>
      <c r="E272" s="10">
        <f>IF(B272="","",IFERROR(INDEX(Roster!$A$2:$A$600,MATCH(B272,Roster!$E$2:$E$600,0)),""))</f>
        <v/>
      </c>
      <c r="F272" s="10">
        <f>IF(C272="","",IFERROR(INDEX(Levels!$C$2:$C$30,MATCH(C272,Levels!$B$2:$B$30,0)),""))</f>
        <v/>
      </c>
      <c r="G272" s="6" t="n"/>
      <c r="H272" s="10">
        <f>IF(AND(B272="",C272=""),"",IF(G272&lt;&gt;"","Void",IF(OR(B272="",E272=""),"Needs child",IF(D272="","Needs level","OK"))))</f>
        <v/>
      </c>
    </row>
    <row r="273">
      <c r="A273" s="6" t="n"/>
      <c r="B273" s="6" t="n"/>
      <c r="C273" s="6" t="n"/>
      <c r="D273" s="11">
        <f>IF(C273="","",IFERROR(INDEX(Levels!$A$2:$A$30,MATCH(C273,Levels!$B$2:$B$30,0)),""))</f>
        <v/>
      </c>
      <c r="E273" s="10">
        <f>IF(B273="","",IFERROR(INDEX(Roster!$A$2:$A$600,MATCH(B273,Roster!$E$2:$E$600,0)),""))</f>
        <v/>
      </c>
      <c r="F273" s="10">
        <f>IF(C273="","",IFERROR(INDEX(Levels!$C$2:$C$30,MATCH(C273,Levels!$B$2:$B$30,0)),""))</f>
        <v/>
      </c>
      <c r="G273" s="6" t="n"/>
      <c r="H273" s="10">
        <f>IF(AND(B273="",C273=""),"",IF(G273&lt;&gt;"","Void",IF(OR(B273="",E273=""),"Needs child",IF(D273="","Needs level","OK"))))</f>
        <v/>
      </c>
    </row>
    <row r="274">
      <c r="A274" s="6" t="n"/>
      <c r="B274" s="6" t="n"/>
      <c r="C274" s="6" t="n"/>
      <c r="D274" s="11">
        <f>IF(C274="","",IFERROR(INDEX(Levels!$A$2:$A$30,MATCH(C274,Levels!$B$2:$B$30,0)),""))</f>
        <v/>
      </c>
      <c r="E274" s="10">
        <f>IF(B274="","",IFERROR(INDEX(Roster!$A$2:$A$600,MATCH(B274,Roster!$E$2:$E$600,0)),""))</f>
        <v/>
      </c>
      <c r="F274" s="10">
        <f>IF(C274="","",IFERROR(INDEX(Levels!$C$2:$C$30,MATCH(C274,Levels!$B$2:$B$30,0)),""))</f>
        <v/>
      </c>
      <c r="G274" s="6" t="n"/>
      <c r="H274" s="10">
        <f>IF(AND(B274="",C274=""),"",IF(G274&lt;&gt;"","Void",IF(OR(B274="",E274=""),"Needs child",IF(D274="","Needs level","OK"))))</f>
        <v/>
      </c>
    </row>
    <row r="275">
      <c r="A275" s="6" t="n"/>
      <c r="B275" s="6" t="n"/>
      <c r="C275" s="6" t="n"/>
      <c r="D275" s="11">
        <f>IF(C275="","",IFERROR(INDEX(Levels!$A$2:$A$30,MATCH(C275,Levels!$B$2:$B$30,0)),""))</f>
        <v/>
      </c>
      <c r="E275" s="10">
        <f>IF(B275="","",IFERROR(INDEX(Roster!$A$2:$A$600,MATCH(B275,Roster!$E$2:$E$600,0)),""))</f>
        <v/>
      </c>
      <c r="F275" s="10">
        <f>IF(C275="","",IFERROR(INDEX(Levels!$C$2:$C$30,MATCH(C275,Levels!$B$2:$B$30,0)),""))</f>
        <v/>
      </c>
      <c r="G275" s="6" t="n"/>
      <c r="H275" s="10">
        <f>IF(AND(B275="",C275=""),"",IF(G275&lt;&gt;"","Void",IF(OR(B275="",E275=""),"Needs child",IF(D275="","Needs level","OK"))))</f>
        <v/>
      </c>
    </row>
    <row r="276">
      <c r="A276" s="6" t="n"/>
      <c r="B276" s="6" t="n"/>
      <c r="C276" s="6" t="n"/>
      <c r="D276" s="11">
        <f>IF(C276="","",IFERROR(INDEX(Levels!$A$2:$A$30,MATCH(C276,Levels!$B$2:$B$30,0)),""))</f>
        <v/>
      </c>
      <c r="E276" s="10">
        <f>IF(B276="","",IFERROR(INDEX(Roster!$A$2:$A$600,MATCH(B276,Roster!$E$2:$E$600,0)),""))</f>
        <v/>
      </c>
      <c r="F276" s="10">
        <f>IF(C276="","",IFERROR(INDEX(Levels!$C$2:$C$30,MATCH(C276,Levels!$B$2:$B$30,0)),""))</f>
        <v/>
      </c>
      <c r="G276" s="6" t="n"/>
      <c r="H276" s="10">
        <f>IF(AND(B276="",C276=""),"",IF(G276&lt;&gt;"","Void",IF(OR(B276="",E276=""),"Needs child",IF(D276="","Needs level","OK"))))</f>
        <v/>
      </c>
    </row>
    <row r="277">
      <c r="A277" s="6" t="n"/>
      <c r="B277" s="6" t="n"/>
      <c r="C277" s="6" t="n"/>
      <c r="D277" s="11">
        <f>IF(C277="","",IFERROR(INDEX(Levels!$A$2:$A$30,MATCH(C277,Levels!$B$2:$B$30,0)),""))</f>
        <v/>
      </c>
      <c r="E277" s="10">
        <f>IF(B277="","",IFERROR(INDEX(Roster!$A$2:$A$600,MATCH(B277,Roster!$E$2:$E$600,0)),""))</f>
        <v/>
      </c>
      <c r="F277" s="10">
        <f>IF(C277="","",IFERROR(INDEX(Levels!$C$2:$C$30,MATCH(C277,Levels!$B$2:$B$30,0)),""))</f>
        <v/>
      </c>
      <c r="G277" s="6" t="n"/>
      <c r="H277" s="10">
        <f>IF(AND(B277="",C277=""),"",IF(G277&lt;&gt;"","Void",IF(OR(B277="",E277=""),"Needs child",IF(D277="","Needs level","OK"))))</f>
        <v/>
      </c>
    </row>
    <row r="278">
      <c r="A278" s="6" t="n"/>
      <c r="B278" s="6" t="n"/>
      <c r="C278" s="6" t="n"/>
      <c r="D278" s="11">
        <f>IF(C278="","",IFERROR(INDEX(Levels!$A$2:$A$30,MATCH(C278,Levels!$B$2:$B$30,0)),""))</f>
        <v/>
      </c>
      <c r="E278" s="10">
        <f>IF(B278="","",IFERROR(INDEX(Roster!$A$2:$A$600,MATCH(B278,Roster!$E$2:$E$600,0)),""))</f>
        <v/>
      </c>
      <c r="F278" s="10">
        <f>IF(C278="","",IFERROR(INDEX(Levels!$C$2:$C$30,MATCH(C278,Levels!$B$2:$B$30,0)),""))</f>
        <v/>
      </c>
      <c r="G278" s="6" t="n"/>
      <c r="H278" s="10">
        <f>IF(AND(B278="",C278=""),"",IF(G278&lt;&gt;"","Void",IF(OR(B278="",E278=""),"Needs child",IF(D278="","Needs level","OK"))))</f>
        <v/>
      </c>
    </row>
    <row r="279">
      <c r="A279" s="6" t="n"/>
      <c r="B279" s="6" t="n"/>
      <c r="C279" s="6" t="n"/>
      <c r="D279" s="11">
        <f>IF(C279="","",IFERROR(INDEX(Levels!$A$2:$A$30,MATCH(C279,Levels!$B$2:$B$30,0)),""))</f>
        <v/>
      </c>
      <c r="E279" s="10">
        <f>IF(B279="","",IFERROR(INDEX(Roster!$A$2:$A$600,MATCH(B279,Roster!$E$2:$E$600,0)),""))</f>
        <v/>
      </c>
      <c r="F279" s="10">
        <f>IF(C279="","",IFERROR(INDEX(Levels!$C$2:$C$30,MATCH(C279,Levels!$B$2:$B$30,0)),""))</f>
        <v/>
      </c>
      <c r="G279" s="6" t="n"/>
      <c r="H279" s="10">
        <f>IF(AND(B279="",C279=""),"",IF(G279&lt;&gt;"","Void",IF(OR(B279="",E279=""),"Needs child",IF(D279="","Needs level","OK"))))</f>
        <v/>
      </c>
    </row>
    <row r="280">
      <c r="A280" s="6" t="n"/>
      <c r="B280" s="6" t="n"/>
      <c r="C280" s="6" t="n"/>
      <c r="D280" s="11">
        <f>IF(C280="","",IFERROR(INDEX(Levels!$A$2:$A$30,MATCH(C280,Levels!$B$2:$B$30,0)),""))</f>
        <v/>
      </c>
      <c r="E280" s="10">
        <f>IF(B280="","",IFERROR(INDEX(Roster!$A$2:$A$600,MATCH(B280,Roster!$E$2:$E$600,0)),""))</f>
        <v/>
      </c>
      <c r="F280" s="10">
        <f>IF(C280="","",IFERROR(INDEX(Levels!$C$2:$C$30,MATCH(C280,Levels!$B$2:$B$30,0)),""))</f>
        <v/>
      </c>
      <c r="G280" s="6" t="n"/>
      <c r="H280" s="10">
        <f>IF(AND(B280="",C280=""),"",IF(G280&lt;&gt;"","Void",IF(OR(B280="",E280=""),"Needs child",IF(D280="","Needs level","OK"))))</f>
        <v/>
      </c>
    </row>
    <row r="281">
      <c r="A281" s="6" t="n"/>
      <c r="B281" s="6" t="n"/>
      <c r="C281" s="6" t="n"/>
      <c r="D281" s="11">
        <f>IF(C281="","",IFERROR(INDEX(Levels!$A$2:$A$30,MATCH(C281,Levels!$B$2:$B$30,0)),""))</f>
        <v/>
      </c>
      <c r="E281" s="10">
        <f>IF(B281="","",IFERROR(INDEX(Roster!$A$2:$A$600,MATCH(B281,Roster!$E$2:$E$600,0)),""))</f>
        <v/>
      </c>
      <c r="F281" s="10">
        <f>IF(C281="","",IFERROR(INDEX(Levels!$C$2:$C$30,MATCH(C281,Levels!$B$2:$B$30,0)),""))</f>
        <v/>
      </c>
      <c r="G281" s="6" t="n"/>
      <c r="H281" s="10">
        <f>IF(AND(B281="",C281=""),"",IF(G281&lt;&gt;"","Void",IF(OR(B281="",E281=""),"Needs child",IF(D281="","Needs level","OK"))))</f>
        <v/>
      </c>
    </row>
    <row r="282">
      <c r="A282" s="6" t="n"/>
      <c r="B282" s="6" t="n"/>
      <c r="C282" s="6" t="n"/>
      <c r="D282" s="11">
        <f>IF(C282="","",IFERROR(INDEX(Levels!$A$2:$A$30,MATCH(C282,Levels!$B$2:$B$30,0)),""))</f>
        <v/>
      </c>
      <c r="E282" s="10">
        <f>IF(B282="","",IFERROR(INDEX(Roster!$A$2:$A$600,MATCH(B282,Roster!$E$2:$E$600,0)),""))</f>
        <v/>
      </c>
      <c r="F282" s="10">
        <f>IF(C282="","",IFERROR(INDEX(Levels!$C$2:$C$30,MATCH(C282,Levels!$B$2:$B$30,0)),""))</f>
        <v/>
      </c>
      <c r="G282" s="6" t="n"/>
      <c r="H282" s="10">
        <f>IF(AND(B282="",C282=""),"",IF(G282&lt;&gt;"","Void",IF(OR(B282="",E282=""),"Needs child",IF(D282="","Needs level","OK"))))</f>
        <v/>
      </c>
    </row>
    <row r="283">
      <c r="A283" s="6" t="n"/>
      <c r="B283" s="6" t="n"/>
      <c r="C283" s="6" t="n"/>
      <c r="D283" s="11">
        <f>IF(C283="","",IFERROR(INDEX(Levels!$A$2:$A$30,MATCH(C283,Levels!$B$2:$B$30,0)),""))</f>
        <v/>
      </c>
      <c r="E283" s="10">
        <f>IF(B283="","",IFERROR(INDEX(Roster!$A$2:$A$600,MATCH(B283,Roster!$E$2:$E$600,0)),""))</f>
        <v/>
      </c>
      <c r="F283" s="10">
        <f>IF(C283="","",IFERROR(INDEX(Levels!$C$2:$C$30,MATCH(C283,Levels!$B$2:$B$30,0)),""))</f>
        <v/>
      </c>
      <c r="G283" s="6" t="n"/>
      <c r="H283" s="10">
        <f>IF(AND(B283="",C283=""),"",IF(G283&lt;&gt;"","Void",IF(OR(B283="",E283=""),"Needs child",IF(D283="","Needs level","OK"))))</f>
        <v/>
      </c>
    </row>
    <row r="284">
      <c r="A284" s="6" t="n"/>
      <c r="B284" s="6" t="n"/>
      <c r="C284" s="6" t="n"/>
      <c r="D284" s="11">
        <f>IF(C284="","",IFERROR(INDEX(Levels!$A$2:$A$30,MATCH(C284,Levels!$B$2:$B$30,0)),""))</f>
        <v/>
      </c>
      <c r="E284" s="10">
        <f>IF(B284="","",IFERROR(INDEX(Roster!$A$2:$A$600,MATCH(B284,Roster!$E$2:$E$600,0)),""))</f>
        <v/>
      </c>
      <c r="F284" s="10">
        <f>IF(C284="","",IFERROR(INDEX(Levels!$C$2:$C$30,MATCH(C284,Levels!$B$2:$B$30,0)),""))</f>
        <v/>
      </c>
      <c r="G284" s="6" t="n"/>
      <c r="H284" s="10">
        <f>IF(AND(B284="",C284=""),"",IF(G284&lt;&gt;"","Void",IF(OR(B284="",E284=""),"Needs child",IF(D284="","Needs level","OK"))))</f>
        <v/>
      </c>
    </row>
    <row r="285">
      <c r="A285" s="6" t="n"/>
      <c r="B285" s="6" t="n"/>
      <c r="C285" s="6" t="n"/>
      <c r="D285" s="11">
        <f>IF(C285="","",IFERROR(INDEX(Levels!$A$2:$A$30,MATCH(C285,Levels!$B$2:$B$30,0)),""))</f>
        <v/>
      </c>
      <c r="E285" s="10">
        <f>IF(B285="","",IFERROR(INDEX(Roster!$A$2:$A$600,MATCH(B285,Roster!$E$2:$E$600,0)),""))</f>
        <v/>
      </c>
      <c r="F285" s="10">
        <f>IF(C285="","",IFERROR(INDEX(Levels!$C$2:$C$30,MATCH(C285,Levels!$B$2:$B$30,0)),""))</f>
        <v/>
      </c>
      <c r="G285" s="6" t="n"/>
      <c r="H285" s="10">
        <f>IF(AND(B285="",C285=""),"",IF(G285&lt;&gt;"","Void",IF(OR(B285="",E285=""),"Needs child",IF(D285="","Needs level","OK"))))</f>
        <v/>
      </c>
    </row>
    <row r="286">
      <c r="A286" s="6" t="n"/>
      <c r="B286" s="6" t="n"/>
      <c r="C286" s="6" t="n"/>
      <c r="D286" s="11">
        <f>IF(C286="","",IFERROR(INDEX(Levels!$A$2:$A$30,MATCH(C286,Levels!$B$2:$B$30,0)),""))</f>
        <v/>
      </c>
      <c r="E286" s="10">
        <f>IF(B286="","",IFERROR(INDEX(Roster!$A$2:$A$600,MATCH(B286,Roster!$E$2:$E$600,0)),""))</f>
        <v/>
      </c>
      <c r="F286" s="10">
        <f>IF(C286="","",IFERROR(INDEX(Levels!$C$2:$C$30,MATCH(C286,Levels!$B$2:$B$30,0)),""))</f>
        <v/>
      </c>
      <c r="G286" s="6" t="n"/>
      <c r="H286" s="10">
        <f>IF(AND(B286="",C286=""),"",IF(G286&lt;&gt;"","Void",IF(OR(B286="",E286=""),"Needs child",IF(D286="","Needs level","OK"))))</f>
        <v/>
      </c>
    </row>
    <row r="287">
      <c r="A287" s="6" t="n"/>
      <c r="B287" s="6" t="n"/>
      <c r="C287" s="6" t="n"/>
      <c r="D287" s="11">
        <f>IF(C287="","",IFERROR(INDEX(Levels!$A$2:$A$30,MATCH(C287,Levels!$B$2:$B$30,0)),""))</f>
        <v/>
      </c>
      <c r="E287" s="10">
        <f>IF(B287="","",IFERROR(INDEX(Roster!$A$2:$A$600,MATCH(B287,Roster!$E$2:$E$600,0)),""))</f>
        <v/>
      </c>
      <c r="F287" s="10">
        <f>IF(C287="","",IFERROR(INDEX(Levels!$C$2:$C$30,MATCH(C287,Levels!$B$2:$B$30,0)),""))</f>
        <v/>
      </c>
      <c r="G287" s="6" t="n"/>
      <c r="H287" s="10">
        <f>IF(AND(B287="",C287=""),"",IF(G287&lt;&gt;"","Void",IF(OR(B287="",E287=""),"Needs child",IF(D287="","Needs level","OK"))))</f>
        <v/>
      </c>
    </row>
    <row r="288">
      <c r="A288" s="6" t="n"/>
      <c r="B288" s="6" t="n"/>
      <c r="C288" s="6" t="n"/>
      <c r="D288" s="11">
        <f>IF(C288="","",IFERROR(INDEX(Levels!$A$2:$A$30,MATCH(C288,Levels!$B$2:$B$30,0)),""))</f>
        <v/>
      </c>
      <c r="E288" s="10">
        <f>IF(B288="","",IFERROR(INDEX(Roster!$A$2:$A$600,MATCH(B288,Roster!$E$2:$E$600,0)),""))</f>
        <v/>
      </c>
      <c r="F288" s="10">
        <f>IF(C288="","",IFERROR(INDEX(Levels!$C$2:$C$30,MATCH(C288,Levels!$B$2:$B$30,0)),""))</f>
        <v/>
      </c>
      <c r="G288" s="6" t="n"/>
      <c r="H288" s="10">
        <f>IF(AND(B288="",C288=""),"",IF(G288&lt;&gt;"","Void",IF(OR(B288="",E288=""),"Needs child",IF(D288="","Needs level","OK"))))</f>
        <v/>
      </c>
    </row>
    <row r="289">
      <c r="A289" s="6" t="n"/>
      <c r="B289" s="6" t="n"/>
      <c r="C289" s="6" t="n"/>
      <c r="D289" s="11">
        <f>IF(C289="","",IFERROR(INDEX(Levels!$A$2:$A$30,MATCH(C289,Levels!$B$2:$B$30,0)),""))</f>
        <v/>
      </c>
      <c r="E289" s="10">
        <f>IF(B289="","",IFERROR(INDEX(Roster!$A$2:$A$600,MATCH(B289,Roster!$E$2:$E$600,0)),""))</f>
        <v/>
      </c>
      <c r="F289" s="10">
        <f>IF(C289="","",IFERROR(INDEX(Levels!$C$2:$C$30,MATCH(C289,Levels!$B$2:$B$30,0)),""))</f>
        <v/>
      </c>
      <c r="G289" s="6" t="n"/>
      <c r="H289" s="10">
        <f>IF(AND(B289="",C289=""),"",IF(G289&lt;&gt;"","Void",IF(OR(B289="",E289=""),"Needs child",IF(D289="","Needs level","OK"))))</f>
        <v/>
      </c>
    </row>
    <row r="290">
      <c r="A290" s="6" t="n"/>
      <c r="B290" s="6" t="n"/>
      <c r="C290" s="6" t="n"/>
      <c r="D290" s="11">
        <f>IF(C290="","",IFERROR(INDEX(Levels!$A$2:$A$30,MATCH(C290,Levels!$B$2:$B$30,0)),""))</f>
        <v/>
      </c>
      <c r="E290" s="10">
        <f>IF(B290="","",IFERROR(INDEX(Roster!$A$2:$A$600,MATCH(B290,Roster!$E$2:$E$600,0)),""))</f>
        <v/>
      </c>
      <c r="F290" s="10">
        <f>IF(C290="","",IFERROR(INDEX(Levels!$C$2:$C$30,MATCH(C290,Levels!$B$2:$B$30,0)),""))</f>
        <v/>
      </c>
      <c r="G290" s="6" t="n"/>
      <c r="H290" s="10">
        <f>IF(AND(B290="",C290=""),"",IF(G290&lt;&gt;"","Void",IF(OR(B290="",E290=""),"Needs child",IF(D290="","Needs level","OK"))))</f>
        <v/>
      </c>
    </row>
    <row r="291">
      <c r="A291" s="6" t="n"/>
      <c r="B291" s="6" t="n"/>
      <c r="C291" s="6" t="n"/>
      <c r="D291" s="11">
        <f>IF(C291="","",IFERROR(INDEX(Levels!$A$2:$A$30,MATCH(C291,Levels!$B$2:$B$30,0)),""))</f>
        <v/>
      </c>
      <c r="E291" s="10">
        <f>IF(B291="","",IFERROR(INDEX(Roster!$A$2:$A$600,MATCH(B291,Roster!$E$2:$E$600,0)),""))</f>
        <v/>
      </c>
      <c r="F291" s="10">
        <f>IF(C291="","",IFERROR(INDEX(Levels!$C$2:$C$30,MATCH(C291,Levels!$B$2:$B$30,0)),""))</f>
        <v/>
      </c>
      <c r="G291" s="6" t="n"/>
      <c r="H291" s="10">
        <f>IF(AND(B291="",C291=""),"",IF(G291&lt;&gt;"","Void",IF(OR(B291="",E291=""),"Needs child",IF(D291="","Needs level","OK"))))</f>
        <v/>
      </c>
    </row>
    <row r="292">
      <c r="A292" s="6" t="n"/>
      <c r="B292" s="6" t="n"/>
      <c r="C292" s="6" t="n"/>
      <c r="D292" s="11">
        <f>IF(C292="","",IFERROR(INDEX(Levels!$A$2:$A$30,MATCH(C292,Levels!$B$2:$B$30,0)),""))</f>
        <v/>
      </c>
      <c r="E292" s="10">
        <f>IF(B292="","",IFERROR(INDEX(Roster!$A$2:$A$600,MATCH(B292,Roster!$E$2:$E$600,0)),""))</f>
        <v/>
      </c>
      <c r="F292" s="10">
        <f>IF(C292="","",IFERROR(INDEX(Levels!$C$2:$C$30,MATCH(C292,Levels!$B$2:$B$30,0)),""))</f>
        <v/>
      </c>
      <c r="G292" s="6" t="n"/>
      <c r="H292" s="10">
        <f>IF(AND(B292="",C292=""),"",IF(G292&lt;&gt;"","Void",IF(OR(B292="",E292=""),"Needs child",IF(D292="","Needs level","OK"))))</f>
        <v/>
      </c>
    </row>
    <row r="293">
      <c r="A293" s="6" t="n"/>
      <c r="B293" s="6" t="n"/>
      <c r="C293" s="6" t="n"/>
      <c r="D293" s="11">
        <f>IF(C293="","",IFERROR(INDEX(Levels!$A$2:$A$30,MATCH(C293,Levels!$B$2:$B$30,0)),""))</f>
        <v/>
      </c>
      <c r="E293" s="10">
        <f>IF(B293="","",IFERROR(INDEX(Roster!$A$2:$A$600,MATCH(B293,Roster!$E$2:$E$600,0)),""))</f>
        <v/>
      </c>
      <c r="F293" s="10">
        <f>IF(C293="","",IFERROR(INDEX(Levels!$C$2:$C$30,MATCH(C293,Levels!$B$2:$B$30,0)),""))</f>
        <v/>
      </c>
      <c r="G293" s="6" t="n"/>
      <c r="H293" s="10">
        <f>IF(AND(B293="",C293=""),"",IF(G293&lt;&gt;"","Void",IF(OR(B293="",E293=""),"Needs child",IF(D293="","Needs level","OK"))))</f>
        <v/>
      </c>
    </row>
    <row r="294">
      <c r="A294" s="6" t="n"/>
      <c r="B294" s="6" t="n"/>
      <c r="C294" s="6" t="n"/>
      <c r="D294" s="11">
        <f>IF(C294="","",IFERROR(INDEX(Levels!$A$2:$A$30,MATCH(C294,Levels!$B$2:$B$30,0)),""))</f>
        <v/>
      </c>
      <c r="E294" s="10">
        <f>IF(B294="","",IFERROR(INDEX(Roster!$A$2:$A$600,MATCH(B294,Roster!$E$2:$E$600,0)),""))</f>
        <v/>
      </c>
      <c r="F294" s="10">
        <f>IF(C294="","",IFERROR(INDEX(Levels!$C$2:$C$30,MATCH(C294,Levels!$B$2:$B$30,0)),""))</f>
        <v/>
      </c>
      <c r="G294" s="6" t="n"/>
      <c r="H294" s="10">
        <f>IF(AND(B294="",C294=""),"",IF(G294&lt;&gt;"","Void",IF(OR(B294="",E294=""),"Needs child",IF(D294="","Needs level","OK"))))</f>
        <v/>
      </c>
    </row>
    <row r="295">
      <c r="A295" s="6" t="n"/>
      <c r="B295" s="6" t="n"/>
      <c r="C295" s="6" t="n"/>
      <c r="D295" s="11">
        <f>IF(C295="","",IFERROR(INDEX(Levels!$A$2:$A$30,MATCH(C295,Levels!$B$2:$B$30,0)),""))</f>
        <v/>
      </c>
      <c r="E295" s="10">
        <f>IF(B295="","",IFERROR(INDEX(Roster!$A$2:$A$600,MATCH(B295,Roster!$E$2:$E$600,0)),""))</f>
        <v/>
      </c>
      <c r="F295" s="10">
        <f>IF(C295="","",IFERROR(INDEX(Levels!$C$2:$C$30,MATCH(C295,Levels!$B$2:$B$30,0)),""))</f>
        <v/>
      </c>
      <c r="G295" s="6" t="n"/>
      <c r="H295" s="10">
        <f>IF(AND(B295="",C295=""),"",IF(G295&lt;&gt;"","Void",IF(OR(B295="",E295=""),"Needs child",IF(D295="","Needs level","OK"))))</f>
        <v/>
      </c>
    </row>
    <row r="296">
      <c r="A296" s="6" t="n"/>
      <c r="B296" s="6" t="n"/>
      <c r="C296" s="6" t="n"/>
      <c r="D296" s="11">
        <f>IF(C296="","",IFERROR(INDEX(Levels!$A$2:$A$30,MATCH(C296,Levels!$B$2:$B$30,0)),""))</f>
        <v/>
      </c>
      <c r="E296" s="10">
        <f>IF(B296="","",IFERROR(INDEX(Roster!$A$2:$A$600,MATCH(B296,Roster!$E$2:$E$600,0)),""))</f>
        <v/>
      </c>
      <c r="F296" s="10">
        <f>IF(C296="","",IFERROR(INDEX(Levels!$C$2:$C$30,MATCH(C296,Levels!$B$2:$B$30,0)),""))</f>
        <v/>
      </c>
      <c r="G296" s="6" t="n"/>
      <c r="H296" s="10">
        <f>IF(AND(B296="",C296=""),"",IF(G296&lt;&gt;"","Void",IF(OR(B296="",E296=""),"Needs child",IF(D296="","Needs level","OK"))))</f>
        <v/>
      </c>
    </row>
    <row r="297">
      <c r="A297" s="6" t="n"/>
      <c r="B297" s="6" t="n"/>
      <c r="C297" s="6" t="n"/>
      <c r="D297" s="11">
        <f>IF(C297="","",IFERROR(INDEX(Levels!$A$2:$A$30,MATCH(C297,Levels!$B$2:$B$30,0)),""))</f>
        <v/>
      </c>
      <c r="E297" s="10">
        <f>IF(B297="","",IFERROR(INDEX(Roster!$A$2:$A$600,MATCH(B297,Roster!$E$2:$E$600,0)),""))</f>
        <v/>
      </c>
      <c r="F297" s="10">
        <f>IF(C297="","",IFERROR(INDEX(Levels!$C$2:$C$30,MATCH(C297,Levels!$B$2:$B$30,0)),""))</f>
        <v/>
      </c>
      <c r="G297" s="6" t="n"/>
      <c r="H297" s="10">
        <f>IF(AND(B297="",C297=""),"",IF(G297&lt;&gt;"","Void",IF(OR(B297="",E297=""),"Needs child",IF(D297="","Needs level","OK"))))</f>
        <v/>
      </c>
    </row>
    <row r="298">
      <c r="A298" s="6" t="n"/>
      <c r="B298" s="6" t="n"/>
      <c r="C298" s="6" t="n"/>
      <c r="D298" s="11">
        <f>IF(C298="","",IFERROR(INDEX(Levels!$A$2:$A$30,MATCH(C298,Levels!$B$2:$B$30,0)),""))</f>
        <v/>
      </c>
      <c r="E298" s="10">
        <f>IF(B298="","",IFERROR(INDEX(Roster!$A$2:$A$600,MATCH(B298,Roster!$E$2:$E$600,0)),""))</f>
        <v/>
      </c>
      <c r="F298" s="10">
        <f>IF(C298="","",IFERROR(INDEX(Levels!$C$2:$C$30,MATCH(C298,Levels!$B$2:$B$30,0)),""))</f>
        <v/>
      </c>
      <c r="G298" s="6" t="n"/>
      <c r="H298" s="10">
        <f>IF(AND(B298="",C298=""),"",IF(G298&lt;&gt;"","Void",IF(OR(B298="",E298=""),"Needs child",IF(D298="","Needs level","OK"))))</f>
        <v/>
      </c>
    </row>
    <row r="299">
      <c r="A299" s="6" t="n"/>
      <c r="B299" s="6" t="n"/>
      <c r="C299" s="6" t="n"/>
      <c r="D299" s="11">
        <f>IF(C299="","",IFERROR(INDEX(Levels!$A$2:$A$30,MATCH(C299,Levels!$B$2:$B$30,0)),""))</f>
        <v/>
      </c>
      <c r="E299" s="10">
        <f>IF(B299="","",IFERROR(INDEX(Roster!$A$2:$A$600,MATCH(B299,Roster!$E$2:$E$600,0)),""))</f>
        <v/>
      </c>
      <c r="F299" s="10">
        <f>IF(C299="","",IFERROR(INDEX(Levels!$C$2:$C$30,MATCH(C299,Levels!$B$2:$B$30,0)),""))</f>
        <v/>
      </c>
      <c r="G299" s="6" t="n"/>
      <c r="H299" s="10">
        <f>IF(AND(B299="",C299=""),"",IF(G299&lt;&gt;"","Void",IF(OR(B299="",E299=""),"Needs child",IF(D299="","Needs level","OK"))))</f>
        <v/>
      </c>
    </row>
    <row r="300">
      <c r="A300" s="6" t="n"/>
      <c r="B300" s="6" t="n"/>
      <c r="C300" s="6" t="n"/>
      <c r="D300" s="11">
        <f>IF(C300="","",IFERROR(INDEX(Levels!$A$2:$A$30,MATCH(C300,Levels!$B$2:$B$30,0)),""))</f>
        <v/>
      </c>
      <c r="E300" s="10">
        <f>IF(B300="","",IFERROR(INDEX(Roster!$A$2:$A$600,MATCH(B300,Roster!$E$2:$E$600,0)),""))</f>
        <v/>
      </c>
      <c r="F300" s="10">
        <f>IF(C300="","",IFERROR(INDEX(Levels!$C$2:$C$30,MATCH(C300,Levels!$B$2:$B$30,0)),""))</f>
        <v/>
      </c>
      <c r="G300" s="6" t="n"/>
      <c r="H300" s="10">
        <f>IF(AND(B300="",C300=""),"",IF(G300&lt;&gt;"","Void",IF(OR(B300="",E300=""),"Needs child",IF(D300="","Needs level","OK"))))</f>
        <v/>
      </c>
    </row>
    <row r="301">
      <c r="A301" s="6" t="n"/>
      <c r="B301" s="6" t="n"/>
      <c r="C301" s="6" t="n"/>
      <c r="D301" s="11">
        <f>IF(C301="","",IFERROR(INDEX(Levels!$A$2:$A$30,MATCH(C301,Levels!$B$2:$B$30,0)),""))</f>
        <v/>
      </c>
      <c r="E301" s="10">
        <f>IF(B301="","",IFERROR(INDEX(Roster!$A$2:$A$600,MATCH(B301,Roster!$E$2:$E$600,0)),""))</f>
        <v/>
      </c>
      <c r="F301" s="10">
        <f>IF(C301="","",IFERROR(INDEX(Levels!$C$2:$C$30,MATCH(C301,Levels!$B$2:$B$30,0)),""))</f>
        <v/>
      </c>
      <c r="G301" s="6" t="n"/>
      <c r="H301" s="10">
        <f>IF(AND(B301="",C301=""),"",IF(G301&lt;&gt;"","Void",IF(OR(B301="",E301=""),"Needs child",IF(D301="","Needs level","OK"))))</f>
        <v/>
      </c>
    </row>
    <row r="302">
      <c r="A302" s="6" t="n"/>
      <c r="B302" s="6" t="n"/>
      <c r="C302" s="6" t="n"/>
      <c r="D302" s="11">
        <f>IF(C302="","",IFERROR(INDEX(Levels!$A$2:$A$30,MATCH(C302,Levels!$B$2:$B$30,0)),""))</f>
        <v/>
      </c>
      <c r="E302" s="10">
        <f>IF(B302="","",IFERROR(INDEX(Roster!$A$2:$A$600,MATCH(B302,Roster!$E$2:$E$600,0)),""))</f>
        <v/>
      </c>
      <c r="F302" s="10">
        <f>IF(C302="","",IFERROR(INDEX(Levels!$C$2:$C$30,MATCH(C302,Levels!$B$2:$B$30,0)),""))</f>
        <v/>
      </c>
      <c r="G302" s="6" t="n"/>
      <c r="H302" s="10">
        <f>IF(AND(B302="",C302=""),"",IF(G302&lt;&gt;"","Void",IF(OR(B302="",E302=""),"Needs child",IF(D302="","Needs level","OK"))))</f>
        <v/>
      </c>
    </row>
    <row r="303">
      <c r="A303" s="6" t="n"/>
      <c r="B303" s="6" t="n"/>
      <c r="C303" s="6" t="n"/>
      <c r="D303" s="11">
        <f>IF(C303="","",IFERROR(INDEX(Levels!$A$2:$A$30,MATCH(C303,Levels!$B$2:$B$30,0)),""))</f>
        <v/>
      </c>
      <c r="E303" s="10">
        <f>IF(B303="","",IFERROR(INDEX(Roster!$A$2:$A$600,MATCH(B303,Roster!$E$2:$E$600,0)),""))</f>
        <v/>
      </c>
      <c r="F303" s="10">
        <f>IF(C303="","",IFERROR(INDEX(Levels!$C$2:$C$30,MATCH(C303,Levels!$B$2:$B$30,0)),""))</f>
        <v/>
      </c>
      <c r="G303" s="6" t="n"/>
      <c r="H303" s="10">
        <f>IF(AND(B303="",C303=""),"",IF(G303&lt;&gt;"","Void",IF(OR(B303="",E303=""),"Needs child",IF(D303="","Needs level","OK"))))</f>
        <v/>
      </c>
    </row>
    <row r="304">
      <c r="A304" s="6" t="n"/>
      <c r="B304" s="6" t="n"/>
      <c r="C304" s="6" t="n"/>
      <c r="D304" s="11">
        <f>IF(C304="","",IFERROR(INDEX(Levels!$A$2:$A$30,MATCH(C304,Levels!$B$2:$B$30,0)),""))</f>
        <v/>
      </c>
      <c r="E304" s="10">
        <f>IF(B304="","",IFERROR(INDEX(Roster!$A$2:$A$600,MATCH(B304,Roster!$E$2:$E$600,0)),""))</f>
        <v/>
      </c>
      <c r="F304" s="10">
        <f>IF(C304="","",IFERROR(INDEX(Levels!$C$2:$C$30,MATCH(C304,Levels!$B$2:$B$30,0)),""))</f>
        <v/>
      </c>
      <c r="G304" s="6" t="n"/>
      <c r="H304" s="10">
        <f>IF(AND(B304="",C304=""),"",IF(G304&lt;&gt;"","Void",IF(OR(B304="",E304=""),"Needs child",IF(D304="","Needs level","OK"))))</f>
        <v/>
      </c>
    </row>
    <row r="305">
      <c r="A305" s="6" t="n"/>
      <c r="B305" s="6" t="n"/>
      <c r="C305" s="6" t="n"/>
      <c r="D305" s="11">
        <f>IF(C305="","",IFERROR(INDEX(Levels!$A$2:$A$30,MATCH(C305,Levels!$B$2:$B$30,0)),""))</f>
        <v/>
      </c>
      <c r="E305" s="10">
        <f>IF(B305="","",IFERROR(INDEX(Roster!$A$2:$A$600,MATCH(B305,Roster!$E$2:$E$600,0)),""))</f>
        <v/>
      </c>
      <c r="F305" s="10">
        <f>IF(C305="","",IFERROR(INDEX(Levels!$C$2:$C$30,MATCH(C305,Levels!$B$2:$B$30,0)),""))</f>
        <v/>
      </c>
      <c r="G305" s="6" t="n"/>
      <c r="H305" s="10">
        <f>IF(AND(B305="",C305=""),"",IF(G305&lt;&gt;"","Void",IF(OR(B305="",E305=""),"Needs child",IF(D305="","Needs level","OK"))))</f>
        <v/>
      </c>
    </row>
    <row r="306">
      <c r="A306" s="6" t="n"/>
      <c r="B306" s="6" t="n"/>
      <c r="C306" s="6" t="n"/>
      <c r="D306" s="11">
        <f>IF(C306="","",IFERROR(INDEX(Levels!$A$2:$A$30,MATCH(C306,Levels!$B$2:$B$30,0)),""))</f>
        <v/>
      </c>
      <c r="E306" s="10">
        <f>IF(B306="","",IFERROR(INDEX(Roster!$A$2:$A$600,MATCH(B306,Roster!$E$2:$E$600,0)),""))</f>
        <v/>
      </c>
      <c r="F306" s="10">
        <f>IF(C306="","",IFERROR(INDEX(Levels!$C$2:$C$30,MATCH(C306,Levels!$B$2:$B$30,0)),""))</f>
        <v/>
      </c>
      <c r="G306" s="6" t="n"/>
      <c r="H306" s="10">
        <f>IF(AND(B306="",C306=""),"",IF(G306&lt;&gt;"","Void",IF(OR(B306="",E306=""),"Needs child",IF(D306="","Needs level","OK"))))</f>
        <v/>
      </c>
    </row>
    <row r="307">
      <c r="A307" s="6" t="n"/>
      <c r="B307" s="6" t="n"/>
      <c r="C307" s="6" t="n"/>
      <c r="D307" s="11">
        <f>IF(C307="","",IFERROR(INDEX(Levels!$A$2:$A$30,MATCH(C307,Levels!$B$2:$B$30,0)),""))</f>
        <v/>
      </c>
      <c r="E307" s="10">
        <f>IF(B307="","",IFERROR(INDEX(Roster!$A$2:$A$600,MATCH(B307,Roster!$E$2:$E$600,0)),""))</f>
        <v/>
      </c>
      <c r="F307" s="10">
        <f>IF(C307="","",IFERROR(INDEX(Levels!$C$2:$C$30,MATCH(C307,Levels!$B$2:$B$30,0)),""))</f>
        <v/>
      </c>
      <c r="G307" s="6" t="n"/>
      <c r="H307" s="10">
        <f>IF(AND(B307="",C307=""),"",IF(G307&lt;&gt;"","Void",IF(OR(B307="",E307=""),"Needs child",IF(D307="","Needs level","OK"))))</f>
        <v/>
      </c>
    </row>
    <row r="308">
      <c r="A308" s="6" t="n"/>
      <c r="B308" s="6" t="n"/>
      <c r="C308" s="6" t="n"/>
      <c r="D308" s="11">
        <f>IF(C308="","",IFERROR(INDEX(Levels!$A$2:$A$30,MATCH(C308,Levels!$B$2:$B$30,0)),""))</f>
        <v/>
      </c>
      <c r="E308" s="10">
        <f>IF(B308="","",IFERROR(INDEX(Roster!$A$2:$A$600,MATCH(B308,Roster!$E$2:$E$600,0)),""))</f>
        <v/>
      </c>
      <c r="F308" s="10">
        <f>IF(C308="","",IFERROR(INDEX(Levels!$C$2:$C$30,MATCH(C308,Levels!$B$2:$B$30,0)),""))</f>
        <v/>
      </c>
      <c r="G308" s="6" t="n"/>
      <c r="H308" s="10">
        <f>IF(AND(B308="",C308=""),"",IF(G308&lt;&gt;"","Void",IF(OR(B308="",E308=""),"Needs child",IF(D308="","Needs level","OK"))))</f>
        <v/>
      </c>
    </row>
    <row r="309">
      <c r="A309" s="6" t="n"/>
      <c r="B309" s="6" t="n"/>
      <c r="C309" s="6" t="n"/>
      <c r="D309" s="11">
        <f>IF(C309="","",IFERROR(INDEX(Levels!$A$2:$A$30,MATCH(C309,Levels!$B$2:$B$30,0)),""))</f>
        <v/>
      </c>
      <c r="E309" s="10">
        <f>IF(B309="","",IFERROR(INDEX(Roster!$A$2:$A$600,MATCH(B309,Roster!$E$2:$E$600,0)),""))</f>
        <v/>
      </c>
      <c r="F309" s="10">
        <f>IF(C309="","",IFERROR(INDEX(Levels!$C$2:$C$30,MATCH(C309,Levels!$B$2:$B$30,0)),""))</f>
        <v/>
      </c>
      <c r="G309" s="6" t="n"/>
      <c r="H309" s="10">
        <f>IF(AND(B309="",C309=""),"",IF(G309&lt;&gt;"","Void",IF(OR(B309="",E309=""),"Needs child",IF(D309="","Needs level","OK"))))</f>
        <v/>
      </c>
    </row>
    <row r="310">
      <c r="A310" s="6" t="n"/>
      <c r="B310" s="6" t="n"/>
      <c r="C310" s="6" t="n"/>
      <c r="D310" s="11">
        <f>IF(C310="","",IFERROR(INDEX(Levels!$A$2:$A$30,MATCH(C310,Levels!$B$2:$B$30,0)),""))</f>
        <v/>
      </c>
      <c r="E310" s="10">
        <f>IF(B310="","",IFERROR(INDEX(Roster!$A$2:$A$600,MATCH(B310,Roster!$E$2:$E$600,0)),""))</f>
        <v/>
      </c>
      <c r="F310" s="10">
        <f>IF(C310="","",IFERROR(INDEX(Levels!$C$2:$C$30,MATCH(C310,Levels!$B$2:$B$30,0)),""))</f>
        <v/>
      </c>
      <c r="G310" s="6" t="n"/>
      <c r="H310" s="10">
        <f>IF(AND(B310="",C310=""),"",IF(G310&lt;&gt;"","Void",IF(OR(B310="",E310=""),"Needs child",IF(D310="","Needs level","OK"))))</f>
        <v/>
      </c>
    </row>
    <row r="311">
      <c r="A311" s="6" t="n"/>
      <c r="B311" s="6" t="n"/>
      <c r="C311" s="6" t="n"/>
      <c r="D311" s="11">
        <f>IF(C311="","",IFERROR(INDEX(Levels!$A$2:$A$30,MATCH(C311,Levels!$B$2:$B$30,0)),""))</f>
        <v/>
      </c>
      <c r="E311" s="10">
        <f>IF(B311="","",IFERROR(INDEX(Roster!$A$2:$A$600,MATCH(B311,Roster!$E$2:$E$600,0)),""))</f>
        <v/>
      </c>
      <c r="F311" s="10">
        <f>IF(C311="","",IFERROR(INDEX(Levels!$C$2:$C$30,MATCH(C311,Levels!$B$2:$B$30,0)),""))</f>
        <v/>
      </c>
      <c r="G311" s="6" t="n"/>
      <c r="H311" s="10">
        <f>IF(AND(B311="",C311=""),"",IF(G311&lt;&gt;"","Void",IF(OR(B311="",E311=""),"Needs child",IF(D311="","Needs level","OK"))))</f>
        <v/>
      </c>
    </row>
    <row r="312">
      <c r="A312" s="6" t="n"/>
      <c r="B312" s="6" t="n"/>
      <c r="C312" s="6" t="n"/>
      <c r="D312" s="11">
        <f>IF(C312="","",IFERROR(INDEX(Levels!$A$2:$A$30,MATCH(C312,Levels!$B$2:$B$30,0)),""))</f>
        <v/>
      </c>
      <c r="E312" s="10">
        <f>IF(B312="","",IFERROR(INDEX(Roster!$A$2:$A$600,MATCH(B312,Roster!$E$2:$E$600,0)),""))</f>
        <v/>
      </c>
      <c r="F312" s="10">
        <f>IF(C312="","",IFERROR(INDEX(Levels!$C$2:$C$30,MATCH(C312,Levels!$B$2:$B$30,0)),""))</f>
        <v/>
      </c>
      <c r="G312" s="6" t="n"/>
      <c r="H312" s="10">
        <f>IF(AND(B312="",C312=""),"",IF(G312&lt;&gt;"","Void",IF(OR(B312="",E312=""),"Needs child",IF(D312="","Needs level","OK"))))</f>
        <v/>
      </c>
    </row>
    <row r="313">
      <c r="A313" s="6" t="n"/>
      <c r="B313" s="6" t="n"/>
      <c r="C313" s="6" t="n"/>
      <c r="D313" s="11">
        <f>IF(C313="","",IFERROR(INDEX(Levels!$A$2:$A$30,MATCH(C313,Levels!$B$2:$B$30,0)),""))</f>
        <v/>
      </c>
      <c r="E313" s="10">
        <f>IF(B313="","",IFERROR(INDEX(Roster!$A$2:$A$600,MATCH(B313,Roster!$E$2:$E$600,0)),""))</f>
        <v/>
      </c>
      <c r="F313" s="10">
        <f>IF(C313="","",IFERROR(INDEX(Levels!$C$2:$C$30,MATCH(C313,Levels!$B$2:$B$30,0)),""))</f>
        <v/>
      </c>
      <c r="G313" s="6" t="n"/>
      <c r="H313" s="10">
        <f>IF(AND(B313="",C313=""),"",IF(G313&lt;&gt;"","Void",IF(OR(B313="",E313=""),"Needs child",IF(D313="","Needs level","OK"))))</f>
        <v/>
      </c>
    </row>
    <row r="314">
      <c r="A314" s="6" t="n"/>
      <c r="B314" s="6" t="n"/>
      <c r="C314" s="6" t="n"/>
      <c r="D314" s="11">
        <f>IF(C314="","",IFERROR(INDEX(Levels!$A$2:$A$30,MATCH(C314,Levels!$B$2:$B$30,0)),""))</f>
        <v/>
      </c>
      <c r="E314" s="10">
        <f>IF(B314="","",IFERROR(INDEX(Roster!$A$2:$A$600,MATCH(B314,Roster!$E$2:$E$600,0)),""))</f>
        <v/>
      </c>
      <c r="F314" s="10">
        <f>IF(C314="","",IFERROR(INDEX(Levels!$C$2:$C$30,MATCH(C314,Levels!$B$2:$B$30,0)),""))</f>
        <v/>
      </c>
      <c r="G314" s="6" t="n"/>
      <c r="H314" s="10">
        <f>IF(AND(B314="",C314=""),"",IF(G314&lt;&gt;"","Void",IF(OR(B314="",E314=""),"Needs child",IF(D314="","Needs level","OK"))))</f>
        <v/>
      </c>
    </row>
    <row r="315">
      <c r="A315" s="6" t="n"/>
      <c r="B315" s="6" t="n"/>
      <c r="C315" s="6" t="n"/>
      <c r="D315" s="11">
        <f>IF(C315="","",IFERROR(INDEX(Levels!$A$2:$A$30,MATCH(C315,Levels!$B$2:$B$30,0)),""))</f>
        <v/>
      </c>
      <c r="E315" s="10">
        <f>IF(B315="","",IFERROR(INDEX(Roster!$A$2:$A$600,MATCH(B315,Roster!$E$2:$E$600,0)),""))</f>
        <v/>
      </c>
      <c r="F315" s="10">
        <f>IF(C315="","",IFERROR(INDEX(Levels!$C$2:$C$30,MATCH(C315,Levels!$B$2:$B$30,0)),""))</f>
        <v/>
      </c>
      <c r="G315" s="6" t="n"/>
      <c r="H315" s="10">
        <f>IF(AND(B315="",C315=""),"",IF(G315&lt;&gt;"","Void",IF(OR(B315="",E315=""),"Needs child",IF(D315="","Needs level","OK"))))</f>
        <v/>
      </c>
    </row>
    <row r="316">
      <c r="A316" s="6" t="n"/>
      <c r="B316" s="6" t="n"/>
      <c r="C316" s="6" t="n"/>
      <c r="D316" s="11">
        <f>IF(C316="","",IFERROR(INDEX(Levels!$A$2:$A$30,MATCH(C316,Levels!$B$2:$B$30,0)),""))</f>
        <v/>
      </c>
      <c r="E316" s="10">
        <f>IF(B316="","",IFERROR(INDEX(Roster!$A$2:$A$600,MATCH(B316,Roster!$E$2:$E$600,0)),""))</f>
        <v/>
      </c>
      <c r="F316" s="10">
        <f>IF(C316="","",IFERROR(INDEX(Levels!$C$2:$C$30,MATCH(C316,Levels!$B$2:$B$30,0)),""))</f>
        <v/>
      </c>
      <c r="G316" s="6" t="n"/>
      <c r="H316" s="10">
        <f>IF(AND(B316="",C316=""),"",IF(G316&lt;&gt;"","Void",IF(OR(B316="",E316=""),"Needs child",IF(D316="","Needs level","OK"))))</f>
        <v/>
      </c>
    </row>
    <row r="317">
      <c r="A317" s="6" t="n"/>
      <c r="B317" s="6" t="n"/>
      <c r="C317" s="6" t="n"/>
      <c r="D317" s="11">
        <f>IF(C317="","",IFERROR(INDEX(Levels!$A$2:$A$30,MATCH(C317,Levels!$B$2:$B$30,0)),""))</f>
        <v/>
      </c>
      <c r="E317" s="10">
        <f>IF(B317="","",IFERROR(INDEX(Roster!$A$2:$A$600,MATCH(B317,Roster!$E$2:$E$600,0)),""))</f>
        <v/>
      </c>
      <c r="F317" s="10">
        <f>IF(C317="","",IFERROR(INDEX(Levels!$C$2:$C$30,MATCH(C317,Levels!$B$2:$B$30,0)),""))</f>
        <v/>
      </c>
      <c r="G317" s="6" t="n"/>
      <c r="H317" s="10">
        <f>IF(AND(B317="",C317=""),"",IF(G317&lt;&gt;"","Void",IF(OR(B317="",E317=""),"Needs child",IF(D317="","Needs level","OK"))))</f>
        <v/>
      </c>
    </row>
    <row r="318">
      <c r="A318" s="6" t="n"/>
      <c r="B318" s="6" t="n"/>
      <c r="C318" s="6" t="n"/>
      <c r="D318" s="11">
        <f>IF(C318="","",IFERROR(INDEX(Levels!$A$2:$A$30,MATCH(C318,Levels!$B$2:$B$30,0)),""))</f>
        <v/>
      </c>
      <c r="E318" s="10">
        <f>IF(B318="","",IFERROR(INDEX(Roster!$A$2:$A$600,MATCH(B318,Roster!$E$2:$E$600,0)),""))</f>
        <v/>
      </c>
      <c r="F318" s="10">
        <f>IF(C318="","",IFERROR(INDEX(Levels!$C$2:$C$30,MATCH(C318,Levels!$B$2:$B$30,0)),""))</f>
        <v/>
      </c>
      <c r="G318" s="6" t="n"/>
      <c r="H318" s="10">
        <f>IF(AND(B318="",C318=""),"",IF(G318&lt;&gt;"","Void",IF(OR(B318="",E318=""),"Needs child",IF(D318="","Needs level","OK"))))</f>
        <v/>
      </c>
    </row>
    <row r="319">
      <c r="A319" s="6" t="n"/>
      <c r="B319" s="6" t="n"/>
      <c r="C319" s="6" t="n"/>
      <c r="D319" s="11">
        <f>IF(C319="","",IFERROR(INDEX(Levels!$A$2:$A$30,MATCH(C319,Levels!$B$2:$B$30,0)),""))</f>
        <v/>
      </c>
      <c r="E319" s="10">
        <f>IF(B319="","",IFERROR(INDEX(Roster!$A$2:$A$600,MATCH(B319,Roster!$E$2:$E$600,0)),""))</f>
        <v/>
      </c>
      <c r="F319" s="10">
        <f>IF(C319="","",IFERROR(INDEX(Levels!$C$2:$C$30,MATCH(C319,Levels!$B$2:$B$30,0)),""))</f>
        <v/>
      </c>
      <c r="G319" s="6" t="n"/>
      <c r="H319" s="10">
        <f>IF(AND(B319="",C319=""),"",IF(G319&lt;&gt;"","Void",IF(OR(B319="",E319=""),"Needs child",IF(D319="","Needs level","OK"))))</f>
        <v/>
      </c>
    </row>
    <row r="320">
      <c r="A320" s="6" t="n"/>
      <c r="B320" s="6" t="n"/>
      <c r="C320" s="6" t="n"/>
      <c r="D320" s="11">
        <f>IF(C320="","",IFERROR(INDEX(Levels!$A$2:$A$30,MATCH(C320,Levels!$B$2:$B$30,0)),""))</f>
        <v/>
      </c>
      <c r="E320" s="10">
        <f>IF(B320="","",IFERROR(INDEX(Roster!$A$2:$A$600,MATCH(B320,Roster!$E$2:$E$600,0)),""))</f>
        <v/>
      </c>
      <c r="F320" s="10">
        <f>IF(C320="","",IFERROR(INDEX(Levels!$C$2:$C$30,MATCH(C320,Levels!$B$2:$B$30,0)),""))</f>
        <v/>
      </c>
      <c r="G320" s="6" t="n"/>
      <c r="H320" s="10">
        <f>IF(AND(B320="",C320=""),"",IF(G320&lt;&gt;"","Void",IF(OR(B320="",E320=""),"Needs child",IF(D320="","Needs level","OK"))))</f>
        <v/>
      </c>
    </row>
    <row r="321">
      <c r="A321" s="6" t="n"/>
      <c r="B321" s="6" t="n"/>
      <c r="C321" s="6" t="n"/>
      <c r="D321" s="11">
        <f>IF(C321="","",IFERROR(INDEX(Levels!$A$2:$A$30,MATCH(C321,Levels!$B$2:$B$30,0)),""))</f>
        <v/>
      </c>
      <c r="E321" s="10">
        <f>IF(B321="","",IFERROR(INDEX(Roster!$A$2:$A$600,MATCH(B321,Roster!$E$2:$E$600,0)),""))</f>
        <v/>
      </c>
      <c r="F321" s="10">
        <f>IF(C321="","",IFERROR(INDEX(Levels!$C$2:$C$30,MATCH(C321,Levels!$B$2:$B$30,0)),""))</f>
        <v/>
      </c>
      <c r="G321" s="6" t="n"/>
      <c r="H321" s="10">
        <f>IF(AND(B321="",C321=""),"",IF(G321&lt;&gt;"","Void",IF(OR(B321="",E321=""),"Needs child",IF(D321="","Needs level","OK"))))</f>
        <v/>
      </c>
    </row>
    <row r="322">
      <c r="A322" s="6" t="n"/>
      <c r="B322" s="6" t="n"/>
      <c r="C322" s="6" t="n"/>
      <c r="D322" s="11">
        <f>IF(C322="","",IFERROR(INDEX(Levels!$A$2:$A$30,MATCH(C322,Levels!$B$2:$B$30,0)),""))</f>
        <v/>
      </c>
      <c r="E322" s="10">
        <f>IF(B322="","",IFERROR(INDEX(Roster!$A$2:$A$600,MATCH(B322,Roster!$E$2:$E$600,0)),""))</f>
        <v/>
      </c>
      <c r="F322" s="10">
        <f>IF(C322="","",IFERROR(INDEX(Levels!$C$2:$C$30,MATCH(C322,Levels!$B$2:$B$30,0)),""))</f>
        <v/>
      </c>
      <c r="G322" s="6" t="n"/>
      <c r="H322" s="10">
        <f>IF(AND(B322="",C322=""),"",IF(G322&lt;&gt;"","Void",IF(OR(B322="",E322=""),"Needs child",IF(D322="","Needs level","OK"))))</f>
        <v/>
      </c>
    </row>
    <row r="323">
      <c r="A323" s="6" t="n"/>
      <c r="B323" s="6" t="n"/>
      <c r="C323" s="6" t="n"/>
      <c r="D323" s="11">
        <f>IF(C323="","",IFERROR(INDEX(Levels!$A$2:$A$30,MATCH(C323,Levels!$B$2:$B$30,0)),""))</f>
        <v/>
      </c>
      <c r="E323" s="10">
        <f>IF(B323="","",IFERROR(INDEX(Roster!$A$2:$A$600,MATCH(B323,Roster!$E$2:$E$600,0)),""))</f>
        <v/>
      </c>
      <c r="F323" s="10">
        <f>IF(C323="","",IFERROR(INDEX(Levels!$C$2:$C$30,MATCH(C323,Levels!$B$2:$B$30,0)),""))</f>
        <v/>
      </c>
      <c r="G323" s="6" t="n"/>
      <c r="H323" s="10">
        <f>IF(AND(B323="",C323=""),"",IF(G323&lt;&gt;"","Void",IF(OR(B323="",E323=""),"Needs child",IF(D323="","Needs level","OK"))))</f>
        <v/>
      </c>
    </row>
    <row r="324">
      <c r="A324" s="6" t="n"/>
      <c r="B324" s="6" t="n"/>
      <c r="C324" s="6" t="n"/>
      <c r="D324" s="11">
        <f>IF(C324="","",IFERROR(INDEX(Levels!$A$2:$A$30,MATCH(C324,Levels!$B$2:$B$30,0)),""))</f>
        <v/>
      </c>
      <c r="E324" s="10">
        <f>IF(B324="","",IFERROR(INDEX(Roster!$A$2:$A$600,MATCH(B324,Roster!$E$2:$E$600,0)),""))</f>
        <v/>
      </c>
      <c r="F324" s="10">
        <f>IF(C324="","",IFERROR(INDEX(Levels!$C$2:$C$30,MATCH(C324,Levels!$B$2:$B$30,0)),""))</f>
        <v/>
      </c>
      <c r="G324" s="6" t="n"/>
      <c r="H324" s="10">
        <f>IF(AND(B324="",C324=""),"",IF(G324&lt;&gt;"","Void",IF(OR(B324="",E324=""),"Needs child",IF(D324="","Needs level","OK"))))</f>
        <v/>
      </c>
    </row>
    <row r="325">
      <c r="A325" s="6" t="n"/>
      <c r="B325" s="6" t="n"/>
      <c r="C325" s="6" t="n"/>
      <c r="D325" s="11">
        <f>IF(C325="","",IFERROR(INDEX(Levels!$A$2:$A$30,MATCH(C325,Levels!$B$2:$B$30,0)),""))</f>
        <v/>
      </c>
      <c r="E325" s="10">
        <f>IF(B325="","",IFERROR(INDEX(Roster!$A$2:$A$600,MATCH(B325,Roster!$E$2:$E$600,0)),""))</f>
        <v/>
      </c>
      <c r="F325" s="10">
        <f>IF(C325="","",IFERROR(INDEX(Levels!$C$2:$C$30,MATCH(C325,Levels!$B$2:$B$30,0)),""))</f>
        <v/>
      </c>
      <c r="G325" s="6" t="n"/>
      <c r="H325" s="10">
        <f>IF(AND(B325="",C325=""),"",IF(G325&lt;&gt;"","Void",IF(OR(B325="",E325=""),"Needs child",IF(D325="","Needs level","OK"))))</f>
        <v/>
      </c>
    </row>
    <row r="326">
      <c r="A326" s="6" t="n"/>
      <c r="B326" s="6" t="n"/>
      <c r="C326" s="6" t="n"/>
      <c r="D326" s="11">
        <f>IF(C326="","",IFERROR(INDEX(Levels!$A$2:$A$30,MATCH(C326,Levels!$B$2:$B$30,0)),""))</f>
        <v/>
      </c>
      <c r="E326" s="10">
        <f>IF(B326="","",IFERROR(INDEX(Roster!$A$2:$A$600,MATCH(B326,Roster!$E$2:$E$600,0)),""))</f>
        <v/>
      </c>
      <c r="F326" s="10">
        <f>IF(C326="","",IFERROR(INDEX(Levels!$C$2:$C$30,MATCH(C326,Levels!$B$2:$B$30,0)),""))</f>
        <v/>
      </c>
      <c r="G326" s="6" t="n"/>
      <c r="H326" s="10">
        <f>IF(AND(B326="",C326=""),"",IF(G326&lt;&gt;"","Void",IF(OR(B326="",E326=""),"Needs child",IF(D326="","Needs level","OK"))))</f>
        <v/>
      </c>
    </row>
    <row r="327">
      <c r="A327" s="6" t="n"/>
      <c r="B327" s="6" t="n"/>
      <c r="C327" s="6" t="n"/>
      <c r="D327" s="11">
        <f>IF(C327="","",IFERROR(INDEX(Levels!$A$2:$A$30,MATCH(C327,Levels!$B$2:$B$30,0)),""))</f>
        <v/>
      </c>
      <c r="E327" s="10">
        <f>IF(B327="","",IFERROR(INDEX(Roster!$A$2:$A$600,MATCH(B327,Roster!$E$2:$E$600,0)),""))</f>
        <v/>
      </c>
      <c r="F327" s="10">
        <f>IF(C327="","",IFERROR(INDEX(Levels!$C$2:$C$30,MATCH(C327,Levels!$B$2:$B$30,0)),""))</f>
        <v/>
      </c>
      <c r="G327" s="6" t="n"/>
      <c r="H327" s="10">
        <f>IF(AND(B327="",C327=""),"",IF(G327&lt;&gt;"","Void",IF(OR(B327="",E327=""),"Needs child",IF(D327="","Needs level","OK"))))</f>
        <v/>
      </c>
    </row>
    <row r="328">
      <c r="A328" s="6" t="n"/>
      <c r="B328" s="6" t="n"/>
      <c r="C328" s="6" t="n"/>
      <c r="D328" s="11">
        <f>IF(C328="","",IFERROR(INDEX(Levels!$A$2:$A$30,MATCH(C328,Levels!$B$2:$B$30,0)),""))</f>
        <v/>
      </c>
      <c r="E328" s="10">
        <f>IF(B328="","",IFERROR(INDEX(Roster!$A$2:$A$600,MATCH(B328,Roster!$E$2:$E$600,0)),""))</f>
        <v/>
      </c>
      <c r="F328" s="10">
        <f>IF(C328="","",IFERROR(INDEX(Levels!$C$2:$C$30,MATCH(C328,Levels!$B$2:$B$30,0)),""))</f>
        <v/>
      </c>
      <c r="G328" s="6" t="n"/>
      <c r="H328" s="10">
        <f>IF(AND(B328="",C328=""),"",IF(G328&lt;&gt;"","Void",IF(OR(B328="",E328=""),"Needs child",IF(D328="","Needs level","OK"))))</f>
        <v/>
      </c>
    </row>
    <row r="329">
      <c r="A329" s="6" t="n"/>
      <c r="B329" s="6" t="n"/>
      <c r="C329" s="6" t="n"/>
      <c r="D329" s="11">
        <f>IF(C329="","",IFERROR(INDEX(Levels!$A$2:$A$30,MATCH(C329,Levels!$B$2:$B$30,0)),""))</f>
        <v/>
      </c>
      <c r="E329" s="10">
        <f>IF(B329="","",IFERROR(INDEX(Roster!$A$2:$A$600,MATCH(B329,Roster!$E$2:$E$600,0)),""))</f>
        <v/>
      </c>
      <c r="F329" s="10">
        <f>IF(C329="","",IFERROR(INDEX(Levels!$C$2:$C$30,MATCH(C329,Levels!$B$2:$B$30,0)),""))</f>
        <v/>
      </c>
      <c r="G329" s="6" t="n"/>
      <c r="H329" s="10">
        <f>IF(AND(B329="",C329=""),"",IF(G329&lt;&gt;"","Void",IF(OR(B329="",E329=""),"Needs child",IF(D329="","Needs level","OK"))))</f>
        <v/>
      </c>
    </row>
    <row r="330">
      <c r="A330" s="6" t="n"/>
      <c r="B330" s="6" t="n"/>
      <c r="C330" s="6" t="n"/>
      <c r="D330" s="11">
        <f>IF(C330="","",IFERROR(INDEX(Levels!$A$2:$A$30,MATCH(C330,Levels!$B$2:$B$30,0)),""))</f>
        <v/>
      </c>
      <c r="E330" s="10">
        <f>IF(B330="","",IFERROR(INDEX(Roster!$A$2:$A$600,MATCH(B330,Roster!$E$2:$E$600,0)),""))</f>
        <v/>
      </c>
      <c r="F330" s="10">
        <f>IF(C330="","",IFERROR(INDEX(Levels!$C$2:$C$30,MATCH(C330,Levels!$B$2:$B$30,0)),""))</f>
        <v/>
      </c>
      <c r="G330" s="6" t="n"/>
      <c r="H330" s="10">
        <f>IF(AND(B330="",C330=""),"",IF(G330&lt;&gt;"","Void",IF(OR(B330="",E330=""),"Needs child",IF(D330="","Needs level","OK"))))</f>
        <v/>
      </c>
    </row>
    <row r="331">
      <c r="A331" s="6" t="n"/>
      <c r="B331" s="6" t="n"/>
      <c r="C331" s="6" t="n"/>
      <c r="D331" s="11">
        <f>IF(C331="","",IFERROR(INDEX(Levels!$A$2:$A$30,MATCH(C331,Levels!$B$2:$B$30,0)),""))</f>
        <v/>
      </c>
      <c r="E331" s="10">
        <f>IF(B331="","",IFERROR(INDEX(Roster!$A$2:$A$600,MATCH(B331,Roster!$E$2:$E$600,0)),""))</f>
        <v/>
      </c>
      <c r="F331" s="10">
        <f>IF(C331="","",IFERROR(INDEX(Levels!$C$2:$C$30,MATCH(C331,Levels!$B$2:$B$30,0)),""))</f>
        <v/>
      </c>
      <c r="G331" s="6" t="n"/>
      <c r="H331" s="10">
        <f>IF(AND(B331="",C331=""),"",IF(G331&lt;&gt;"","Void",IF(OR(B331="",E331=""),"Needs child",IF(D331="","Needs level","OK"))))</f>
        <v/>
      </c>
    </row>
    <row r="332">
      <c r="A332" s="6" t="n"/>
      <c r="B332" s="6" t="n"/>
      <c r="C332" s="6" t="n"/>
      <c r="D332" s="11">
        <f>IF(C332="","",IFERROR(INDEX(Levels!$A$2:$A$30,MATCH(C332,Levels!$B$2:$B$30,0)),""))</f>
        <v/>
      </c>
      <c r="E332" s="10">
        <f>IF(B332="","",IFERROR(INDEX(Roster!$A$2:$A$600,MATCH(B332,Roster!$E$2:$E$600,0)),""))</f>
        <v/>
      </c>
      <c r="F332" s="10">
        <f>IF(C332="","",IFERROR(INDEX(Levels!$C$2:$C$30,MATCH(C332,Levels!$B$2:$B$30,0)),""))</f>
        <v/>
      </c>
      <c r="G332" s="6" t="n"/>
      <c r="H332" s="10">
        <f>IF(AND(B332="",C332=""),"",IF(G332&lt;&gt;"","Void",IF(OR(B332="",E332=""),"Needs child",IF(D332="","Needs level","OK"))))</f>
        <v/>
      </c>
    </row>
    <row r="333">
      <c r="A333" s="6" t="n"/>
      <c r="B333" s="6" t="n"/>
      <c r="C333" s="6" t="n"/>
      <c r="D333" s="11">
        <f>IF(C333="","",IFERROR(INDEX(Levels!$A$2:$A$30,MATCH(C333,Levels!$B$2:$B$30,0)),""))</f>
        <v/>
      </c>
      <c r="E333" s="10">
        <f>IF(B333="","",IFERROR(INDEX(Roster!$A$2:$A$600,MATCH(B333,Roster!$E$2:$E$600,0)),""))</f>
        <v/>
      </c>
      <c r="F333" s="10">
        <f>IF(C333="","",IFERROR(INDEX(Levels!$C$2:$C$30,MATCH(C333,Levels!$B$2:$B$30,0)),""))</f>
        <v/>
      </c>
      <c r="G333" s="6" t="n"/>
      <c r="H333" s="10">
        <f>IF(AND(B333="",C333=""),"",IF(G333&lt;&gt;"","Void",IF(OR(B333="",E333=""),"Needs child",IF(D333="","Needs level","OK"))))</f>
        <v/>
      </c>
    </row>
    <row r="334">
      <c r="A334" s="6" t="n"/>
      <c r="B334" s="6" t="n"/>
      <c r="C334" s="6" t="n"/>
      <c r="D334" s="11">
        <f>IF(C334="","",IFERROR(INDEX(Levels!$A$2:$A$30,MATCH(C334,Levels!$B$2:$B$30,0)),""))</f>
        <v/>
      </c>
      <c r="E334" s="10">
        <f>IF(B334="","",IFERROR(INDEX(Roster!$A$2:$A$600,MATCH(B334,Roster!$E$2:$E$600,0)),""))</f>
        <v/>
      </c>
      <c r="F334" s="10">
        <f>IF(C334="","",IFERROR(INDEX(Levels!$C$2:$C$30,MATCH(C334,Levels!$B$2:$B$30,0)),""))</f>
        <v/>
      </c>
      <c r="G334" s="6" t="n"/>
      <c r="H334" s="10">
        <f>IF(AND(B334="",C334=""),"",IF(G334&lt;&gt;"","Void",IF(OR(B334="",E334=""),"Needs child",IF(D334="","Needs level","OK"))))</f>
        <v/>
      </c>
    </row>
    <row r="335">
      <c r="A335" s="6" t="n"/>
      <c r="B335" s="6" t="n"/>
      <c r="C335" s="6" t="n"/>
      <c r="D335" s="11">
        <f>IF(C335="","",IFERROR(INDEX(Levels!$A$2:$A$30,MATCH(C335,Levels!$B$2:$B$30,0)),""))</f>
        <v/>
      </c>
      <c r="E335" s="10">
        <f>IF(B335="","",IFERROR(INDEX(Roster!$A$2:$A$600,MATCH(B335,Roster!$E$2:$E$600,0)),""))</f>
        <v/>
      </c>
      <c r="F335" s="10">
        <f>IF(C335="","",IFERROR(INDEX(Levels!$C$2:$C$30,MATCH(C335,Levels!$B$2:$B$30,0)),""))</f>
        <v/>
      </c>
      <c r="G335" s="6" t="n"/>
      <c r="H335" s="10">
        <f>IF(AND(B335="",C335=""),"",IF(G335&lt;&gt;"","Void",IF(OR(B335="",E335=""),"Needs child",IF(D335="","Needs level","OK"))))</f>
        <v/>
      </c>
    </row>
    <row r="336">
      <c r="A336" s="6" t="n"/>
      <c r="B336" s="6" t="n"/>
      <c r="C336" s="6" t="n"/>
      <c r="D336" s="11">
        <f>IF(C336="","",IFERROR(INDEX(Levels!$A$2:$A$30,MATCH(C336,Levels!$B$2:$B$30,0)),""))</f>
        <v/>
      </c>
      <c r="E336" s="10">
        <f>IF(B336="","",IFERROR(INDEX(Roster!$A$2:$A$600,MATCH(B336,Roster!$E$2:$E$600,0)),""))</f>
        <v/>
      </c>
      <c r="F336" s="10">
        <f>IF(C336="","",IFERROR(INDEX(Levels!$C$2:$C$30,MATCH(C336,Levels!$B$2:$B$30,0)),""))</f>
        <v/>
      </c>
      <c r="G336" s="6" t="n"/>
      <c r="H336" s="10">
        <f>IF(AND(B336="",C336=""),"",IF(G336&lt;&gt;"","Void",IF(OR(B336="",E336=""),"Needs child",IF(D336="","Needs level","OK"))))</f>
        <v/>
      </c>
    </row>
    <row r="337">
      <c r="A337" s="6" t="n"/>
      <c r="B337" s="6" t="n"/>
      <c r="C337" s="6" t="n"/>
      <c r="D337" s="11">
        <f>IF(C337="","",IFERROR(INDEX(Levels!$A$2:$A$30,MATCH(C337,Levels!$B$2:$B$30,0)),""))</f>
        <v/>
      </c>
      <c r="E337" s="10">
        <f>IF(B337="","",IFERROR(INDEX(Roster!$A$2:$A$600,MATCH(B337,Roster!$E$2:$E$600,0)),""))</f>
        <v/>
      </c>
      <c r="F337" s="10">
        <f>IF(C337="","",IFERROR(INDEX(Levels!$C$2:$C$30,MATCH(C337,Levels!$B$2:$B$30,0)),""))</f>
        <v/>
      </c>
      <c r="G337" s="6" t="n"/>
      <c r="H337" s="10">
        <f>IF(AND(B337="",C337=""),"",IF(G337&lt;&gt;"","Void",IF(OR(B337="",E337=""),"Needs child",IF(D337="","Needs level","OK"))))</f>
        <v/>
      </c>
    </row>
    <row r="338">
      <c r="A338" s="6" t="n"/>
      <c r="B338" s="6" t="n"/>
      <c r="C338" s="6" t="n"/>
      <c r="D338" s="11">
        <f>IF(C338="","",IFERROR(INDEX(Levels!$A$2:$A$30,MATCH(C338,Levels!$B$2:$B$30,0)),""))</f>
        <v/>
      </c>
      <c r="E338" s="10">
        <f>IF(B338="","",IFERROR(INDEX(Roster!$A$2:$A$600,MATCH(B338,Roster!$E$2:$E$600,0)),""))</f>
        <v/>
      </c>
      <c r="F338" s="10">
        <f>IF(C338="","",IFERROR(INDEX(Levels!$C$2:$C$30,MATCH(C338,Levels!$B$2:$B$30,0)),""))</f>
        <v/>
      </c>
      <c r="G338" s="6" t="n"/>
      <c r="H338" s="10">
        <f>IF(AND(B338="",C338=""),"",IF(G338&lt;&gt;"","Void",IF(OR(B338="",E338=""),"Needs child",IF(D338="","Needs level","OK"))))</f>
        <v/>
      </c>
    </row>
    <row r="339">
      <c r="A339" s="6" t="n"/>
      <c r="B339" s="6" t="n"/>
      <c r="C339" s="6" t="n"/>
      <c r="D339" s="11">
        <f>IF(C339="","",IFERROR(INDEX(Levels!$A$2:$A$30,MATCH(C339,Levels!$B$2:$B$30,0)),""))</f>
        <v/>
      </c>
      <c r="E339" s="10">
        <f>IF(B339="","",IFERROR(INDEX(Roster!$A$2:$A$600,MATCH(B339,Roster!$E$2:$E$600,0)),""))</f>
        <v/>
      </c>
      <c r="F339" s="10">
        <f>IF(C339="","",IFERROR(INDEX(Levels!$C$2:$C$30,MATCH(C339,Levels!$B$2:$B$30,0)),""))</f>
        <v/>
      </c>
      <c r="G339" s="6" t="n"/>
      <c r="H339" s="10">
        <f>IF(AND(B339="",C339=""),"",IF(G339&lt;&gt;"","Void",IF(OR(B339="",E339=""),"Needs child",IF(D339="","Needs level","OK"))))</f>
        <v/>
      </c>
    </row>
    <row r="340">
      <c r="A340" s="6" t="n"/>
      <c r="B340" s="6" t="n"/>
      <c r="C340" s="6" t="n"/>
      <c r="D340" s="11">
        <f>IF(C340="","",IFERROR(INDEX(Levels!$A$2:$A$30,MATCH(C340,Levels!$B$2:$B$30,0)),""))</f>
        <v/>
      </c>
      <c r="E340" s="10">
        <f>IF(B340="","",IFERROR(INDEX(Roster!$A$2:$A$600,MATCH(B340,Roster!$E$2:$E$600,0)),""))</f>
        <v/>
      </c>
      <c r="F340" s="10">
        <f>IF(C340="","",IFERROR(INDEX(Levels!$C$2:$C$30,MATCH(C340,Levels!$B$2:$B$30,0)),""))</f>
        <v/>
      </c>
      <c r="G340" s="6" t="n"/>
      <c r="H340" s="10">
        <f>IF(AND(B340="",C340=""),"",IF(G340&lt;&gt;"","Void",IF(OR(B340="",E340=""),"Needs child",IF(D340="","Needs level","OK"))))</f>
        <v/>
      </c>
    </row>
    <row r="341">
      <c r="A341" s="6" t="n"/>
      <c r="B341" s="6" t="n"/>
      <c r="C341" s="6" t="n"/>
      <c r="D341" s="11">
        <f>IF(C341="","",IFERROR(INDEX(Levels!$A$2:$A$30,MATCH(C341,Levels!$B$2:$B$30,0)),""))</f>
        <v/>
      </c>
      <c r="E341" s="10">
        <f>IF(B341="","",IFERROR(INDEX(Roster!$A$2:$A$600,MATCH(B341,Roster!$E$2:$E$600,0)),""))</f>
        <v/>
      </c>
      <c r="F341" s="10">
        <f>IF(C341="","",IFERROR(INDEX(Levels!$C$2:$C$30,MATCH(C341,Levels!$B$2:$B$30,0)),""))</f>
        <v/>
      </c>
      <c r="G341" s="6" t="n"/>
      <c r="H341" s="10">
        <f>IF(AND(B341="",C341=""),"",IF(G341&lt;&gt;"","Void",IF(OR(B341="",E341=""),"Needs child",IF(D341="","Needs level","OK"))))</f>
        <v/>
      </c>
    </row>
    <row r="342">
      <c r="A342" s="6" t="n"/>
      <c r="B342" s="6" t="n"/>
      <c r="C342" s="6" t="n"/>
      <c r="D342" s="11">
        <f>IF(C342="","",IFERROR(INDEX(Levels!$A$2:$A$30,MATCH(C342,Levels!$B$2:$B$30,0)),""))</f>
        <v/>
      </c>
      <c r="E342" s="10">
        <f>IF(B342="","",IFERROR(INDEX(Roster!$A$2:$A$600,MATCH(B342,Roster!$E$2:$E$600,0)),""))</f>
        <v/>
      </c>
      <c r="F342" s="10">
        <f>IF(C342="","",IFERROR(INDEX(Levels!$C$2:$C$30,MATCH(C342,Levels!$B$2:$B$30,0)),""))</f>
        <v/>
      </c>
      <c r="G342" s="6" t="n"/>
      <c r="H342" s="10">
        <f>IF(AND(B342="",C342=""),"",IF(G342&lt;&gt;"","Void",IF(OR(B342="",E342=""),"Needs child",IF(D342="","Needs level","OK"))))</f>
        <v/>
      </c>
    </row>
    <row r="343">
      <c r="A343" s="6" t="n"/>
      <c r="B343" s="6" t="n"/>
      <c r="C343" s="6" t="n"/>
      <c r="D343" s="11">
        <f>IF(C343="","",IFERROR(INDEX(Levels!$A$2:$A$30,MATCH(C343,Levels!$B$2:$B$30,0)),""))</f>
        <v/>
      </c>
      <c r="E343" s="10">
        <f>IF(B343="","",IFERROR(INDEX(Roster!$A$2:$A$600,MATCH(B343,Roster!$E$2:$E$600,0)),""))</f>
        <v/>
      </c>
      <c r="F343" s="10">
        <f>IF(C343="","",IFERROR(INDEX(Levels!$C$2:$C$30,MATCH(C343,Levels!$B$2:$B$30,0)),""))</f>
        <v/>
      </c>
      <c r="G343" s="6" t="n"/>
      <c r="H343" s="10">
        <f>IF(AND(B343="",C343=""),"",IF(G343&lt;&gt;"","Void",IF(OR(B343="",E343=""),"Needs child",IF(D343="","Needs level","OK"))))</f>
        <v/>
      </c>
    </row>
    <row r="344">
      <c r="A344" s="6" t="n"/>
      <c r="B344" s="6" t="n"/>
      <c r="C344" s="6" t="n"/>
      <c r="D344" s="11">
        <f>IF(C344="","",IFERROR(INDEX(Levels!$A$2:$A$30,MATCH(C344,Levels!$B$2:$B$30,0)),""))</f>
        <v/>
      </c>
      <c r="E344" s="10">
        <f>IF(B344="","",IFERROR(INDEX(Roster!$A$2:$A$600,MATCH(B344,Roster!$E$2:$E$600,0)),""))</f>
        <v/>
      </c>
      <c r="F344" s="10">
        <f>IF(C344="","",IFERROR(INDEX(Levels!$C$2:$C$30,MATCH(C344,Levels!$B$2:$B$30,0)),""))</f>
        <v/>
      </c>
      <c r="G344" s="6" t="n"/>
      <c r="H344" s="10">
        <f>IF(AND(B344="",C344=""),"",IF(G344&lt;&gt;"","Void",IF(OR(B344="",E344=""),"Needs child",IF(D344="","Needs level","OK"))))</f>
        <v/>
      </c>
    </row>
    <row r="345">
      <c r="A345" s="6" t="n"/>
      <c r="B345" s="6" t="n"/>
      <c r="C345" s="6" t="n"/>
      <c r="D345" s="11">
        <f>IF(C345="","",IFERROR(INDEX(Levels!$A$2:$A$30,MATCH(C345,Levels!$B$2:$B$30,0)),""))</f>
        <v/>
      </c>
      <c r="E345" s="10">
        <f>IF(B345="","",IFERROR(INDEX(Roster!$A$2:$A$600,MATCH(B345,Roster!$E$2:$E$600,0)),""))</f>
        <v/>
      </c>
      <c r="F345" s="10">
        <f>IF(C345="","",IFERROR(INDEX(Levels!$C$2:$C$30,MATCH(C345,Levels!$B$2:$B$30,0)),""))</f>
        <v/>
      </c>
      <c r="G345" s="6" t="n"/>
      <c r="H345" s="10">
        <f>IF(AND(B345="",C345=""),"",IF(G345&lt;&gt;"","Void",IF(OR(B345="",E345=""),"Needs child",IF(D345="","Needs level","OK"))))</f>
        <v/>
      </c>
    </row>
    <row r="346">
      <c r="A346" s="6" t="n"/>
      <c r="B346" s="6" t="n"/>
      <c r="C346" s="6" t="n"/>
      <c r="D346" s="11">
        <f>IF(C346="","",IFERROR(INDEX(Levels!$A$2:$A$30,MATCH(C346,Levels!$B$2:$B$30,0)),""))</f>
        <v/>
      </c>
      <c r="E346" s="10">
        <f>IF(B346="","",IFERROR(INDEX(Roster!$A$2:$A$600,MATCH(B346,Roster!$E$2:$E$600,0)),""))</f>
        <v/>
      </c>
      <c r="F346" s="10">
        <f>IF(C346="","",IFERROR(INDEX(Levels!$C$2:$C$30,MATCH(C346,Levels!$B$2:$B$30,0)),""))</f>
        <v/>
      </c>
      <c r="G346" s="6" t="n"/>
      <c r="H346" s="10">
        <f>IF(AND(B346="",C346=""),"",IF(G346&lt;&gt;"","Void",IF(OR(B346="",E346=""),"Needs child",IF(D346="","Needs level","OK"))))</f>
        <v/>
      </c>
    </row>
    <row r="347">
      <c r="A347" s="6" t="n"/>
      <c r="B347" s="6" t="n"/>
      <c r="C347" s="6" t="n"/>
      <c r="D347" s="11">
        <f>IF(C347="","",IFERROR(INDEX(Levels!$A$2:$A$30,MATCH(C347,Levels!$B$2:$B$30,0)),""))</f>
        <v/>
      </c>
      <c r="E347" s="10">
        <f>IF(B347="","",IFERROR(INDEX(Roster!$A$2:$A$600,MATCH(B347,Roster!$E$2:$E$600,0)),""))</f>
        <v/>
      </c>
      <c r="F347" s="10">
        <f>IF(C347="","",IFERROR(INDEX(Levels!$C$2:$C$30,MATCH(C347,Levels!$B$2:$B$30,0)),""))</f>
        <v/>
      </c>
      <c r="G347" s="6" t="n"/>
      <c r="H347" s="10">
        <f>IF(AND(B347="",C347=""),"",IF(G347&lt;&gt;"","Void",IF(OR(B347="",E347=""),"Needs child",IF(D347="","Needs level","OK"))))</f>
        <v/>
      </c>
    </row>
    <row r="348">
      <c r="A348" s="6" t="n"/>
      <c r="B348" s="6" t="n"/>
      <c r="C348" s="6" t="n"/>
      <c r="D348" s="11">
        <f>IF(C348="","",IFERROR(INDEX(Levels!$A$2:$A$30,MATCH(C348,Levels!$B$2:$B$30,0)),""))</f>
        <v/>
      </c>
      <c r="E348" s="10">
        <f>IF(B348="","",IFERROR(INDEX(Roster!$A$2:$A$600,MATCH(B348,Roster!$E$2:$E$600,0)),""))</f>
        <v/>
      </c>
      <c r="F348" s="10">
        <f>IF(C348="","",IFERROR(INDEX(Levels!$C$2:$C$30,MATCH(C348,Levels!$B$2:$B$30,0)),""))</f>
        <v/>
      </c>
      <c r="G348" s="6" t="n"/>
      <c r="H348" s="10">
        <f>IF(AND(B348="",C348=""),"",IF(G348&lt;&gt;"","Void",IF(OR(B348="",E348=""),"Needs child",IF(D348="","Needs level","OK"))))</f>
        <v/>
      </c>
    </row>
    <row r="349">
      <c r="A349" s="6" t="n"/>
      <c r="B349" s="6" t="n"/>
      <c r="C349" s="6" t="n"/>
      <c r="D349" s="11">
        <f>IF(C349="","",IFERROR(INDEX(Levels!$A$2:$A$30,MATCH(C349,Levels!$B$2:$B$30,0)),""))</f>
        <v/>
      </c>
      <c r="E349" s="10">
        <f>IF(B349="","",IFERROR(INDEX(Roster!$A$2:$A$600,MATCH(B349,Roster!$E$2:$E$600,0)),""))</f>
        <v/>
      </c>
      <c r="F349" s="10">
        <f>IF(C349="","",IFERROR(INDEX(Levels!$C$2:$C$30,MATCH(C349,Levels!$B$2:$B$30,0)),""))</f>
        <v/>
      </c>
      <c r="G349" s="6" t="n"/>
      <c r="H349" s="10">
        <f>IF(AND(B349="",C349=""),"",IF(G349&lt;&gt;"","Void",IF(OR(B349="",E349=""),"Needs child",IF(D349="","Needs level","OK"))))</f>
        <v/>
      </c>
    </row>
    <row r="350">
      <c r="A350" s="6" t="n"/>
      <c r="B350" s="6" t="n"/>
      <c r="C350" s="6" t="n"/>
      <c r="D350" s="11">
        <f>IF(C350="","",IFERROR(INDEX(Levels!$A$2:$A$30,MATCH(C350,Levels!$B$2:$B$30,0)),""))</f>
        <v/>
      </c>
      <c r="E350" s="10">
        <f>IF(B350="","",IFERROR(INDEX(Roster!$A$2:$A$600,MATCH(B350,Roster!$E$2:$E$600,0)),""))</f>
        <v/>
      </c>
      <c r="F350" s="10">
        <f>IF(C350="","",IFERROR(INDEX(Levels!$C$2:$C$30,MATCH(C350,Levels!$B$2:$B$30,0)),""))</f>
        <v/>
      </c>
      <c r="G350" s="6" t="n"/>
      <c r="H350" s="10">
        <f>IF(AND(B350="",C350=""),"",IF(G350&lt;&gt;"","Void",IF(OR(B350="",E350=""),"Needs child",IF(D350="","Needs level","OK"))))</f>
        <v/>
      </c>
    </row>
    <row r="351">
      <c r="A351" s="6" t="n"/>
      <c r="B351" s="6" t="n"/>
      <c r="C351" s="6" t="n"/>
      <c r="D351" s="11">
        <f>IF(C351="","",IFERROR(INDEX(Levels!$A$2:$A$30,MATCH(C351,Levels!$B$2:$B$30,0)),""))</f>
        <v/>
      </c>
      <c r="E351" s="10">
        <f>IF(B351="","",IFERROR(INDEX(Roster!$A$2:$A$600,MATCH(B351,Roster!$E$2:$E$600,0)),""))</f>
        <v/>
      </c>
      <c r="F351" s="10">
        <f>IF(C351="","",IFERROR(INDEX(Levels!$C$2:$C$30,MATCH(C351,Levels!$B$2:$B$30,0)),""))</f>
        <v/>
      </c>
      <c r="G351" s="6" t="n"/>
      <c r="H351" s="10">
        <f>IF(AND(B351="",C351=""),"",IF(G351&lt;&gt;"","Void",IF(OR(B351="",E351=""),"Needs child",IF(D351="","Needs level","OK"))))</f>
        <v/>
      </c>
    </row>
    <row r="352">
      <c r="A352" s="6" t="n"/>
      <c r="B352" s="6" t="n"/>
      <c r="C352" s="6" t="n"/>
      <c r="D352" s="11">
        <f>IF(C352="","",IFERROR(INDEX(Levels!$A$2:$A$30,MATCH(C352,Levels!$B$2:$B$30,0)),""))</f>
        <v/>
      </c>
      <c r="E352" s="10">
        <f>IF(B352="","",IFERROR(INDEX(Roster!$A$2:$A$600,MATCH(B352,Roster!$E$2:$E$600,0)),""))</f>
        <v/>
      </c>
      <c r="F352" s="10">
        <f>IF(C352="","",IFERROR(INDEX(Levels!$C$2:$C$30,MATCH(C352,Levels!$B$2:$B$30,0)),""))</f>
        <v/>
      </c>
      <c r="G352" s="6" t="n"/>
      <c r="H352" s="10">
        <f>IF(AND(B352="",C352=""),"",IF(G352&lt;&gt;"","Void",IF(OR(B352="",E352=""),"Needs child",IF(D352="","Needs level","OK"))))</f>
        <v/>
      </c>
    </row>
    <row r="353">
      <c r="A353" s="6" t="n"/>
      <c r="B353" s="6" t="n"/>
      <c r="C353" s="6" t="n"/>
      <c r="D353" s="11">
        <f>IF(C353="","",IFERROR(INDEX(Levels!$A$2:$A$30,MATCH(C353,Levels!$B$2:$B$30,0)),""))</f>
        <v/>
      </c>
      <c r="E353" s="10">
        <f>IF(B353="","",IFERROR(INDEX(Roster!$A$2:$A$600,MATCH(B353,Roster!$E$2:$E$600,0)),""))</f>
        <v/>
      </c>
      <c r="F353" s="10">
        <f>IF(C353="","",IFERROR(INDEX(Levels!$C$2:$C$30,MATCH(C353,Levels!$B$2:$B$30,0)),""))</f>
        <v/>
      </c>
      <c r="G353" s="6" t="n"/>
      <c r="H353" s="10">
        <f>IF(AND(B353="",C353=""),"",IF(G353&lt;&gt;"","Void",IF(OR(B353="",E353=""),"Needs child",IF(D353="","Needs level","OK"))))</f>
        <v/>
      </c>
    </row>
    <row r="354">
      <c r="A354" s="6" t="n"/>
      <c r="B354" s="6" t="n"/>
      <c r="C354" s="6" t="n"/>
      <c r="D354" s="11">
        <f>IF(C354="","",IFERROR(INDEX(Levels!$A$2:$A$30,MATCH(C354,Levels!$B$2:$B$30,0)),""))</f>
        <v/>
      </c>
      <c r="E354" s="10">
        <f>IF(B354="","",IFERROR(INDEX(Roster!$A$2:$A$600,MATCH(B354,Roster!$E$2:$E$600,0)),""))</f>
        <v/>
      </c>
      <c r="F354" s="10">
        <f>IF(C354="","",IFERROR(INDEX(Levels!$C$2:$C$30,MATCH(C354,Levels!$B$2:$B$30,0)),""))</f>
        <v/>
      </c>
      <c r="G354" s="6" t="n"/>
      <c r="H354" s="10">
        <f>IF(AND(B354="",C354=""),"",IF(G354&lt;&gt;"","Void",IF(OR(B354="",E354=""),"Needs child",IF(D354="","Needs level","OK"))))</f>
        <v/>
      </c>
    </row>
    <row r="355">
      <c r="A355" s="6" t="n"/>
      <c r="B355" s="6" t="n"/>
      <c r="C355" s="6" t="n"/>
      <c r="D355" s="11">
        <f>IF(C355="","",IFERROR(INDEX(Levels!$A$2:$A$30,MATCH(C355,Levels!$B$2:$B$30,0)),""))</f>
        <v/>
      </c>
      <c r="E355" s="10">
        <f>IF(B355="","",IFERROR(INDEX(Roster!$A$2:$A$600,MATCH(B355,Roster!$E$2:$E$600,0)),""))</f>
        <v/>
      </c>
      <c r="F355" s="10">
        <f>IF(C355="","",IFERROR(INDEX(Levels!$C$2:$C$30,MATCH(C355,Levels!$B$2:$B$30,0)),""))</f>
        <v/>
      </c>
      <c r="G355" s="6" t="n"/>
      <c r="H355" s="10">
        <f>IF(AND(B355="",C355=""),"",IF(G355&lt;&gt;"","Void",IF(OR(B355="",E355=""),"Needs child",IF(D355="","Needs level","OK"))))</f>
        <v/>
      </c>
    </row>
    <row r="356">
      <c r="A356" s="6" t="n"/>
      <c r="B356" s="6" t="n"/>
      <c r="C356" s="6" t="n"/>
      <c r="D356" s="11">
        <f>IF(C356="","",IFERROR(INDEX(Levels!$A$2:$A$30,MATCH(C356,Levels!$B$2:$B$30,0)),""))</f>
        <v/>
      </c>
      <c r="E356" s="10">
        <f>IF(B356="","",IFERROR(INDEX(Roster!$A$2:$A$600,MATCH(B356,Roster!$E$2:$E$600,0)),""))</f>
        <v/>
      </c>
      <c r="F356" s="10">
        <f>IF(C356="","",IFERROR(INDEX(Levels!$C$2:$C$30,MATCH(C356,Levels!$B$2:$B$30,0)),""))</f>
        <v/>
      </c>
      <c r="G356" s="6" t="n"/>
      <c r="H356" s="10">
        <f>IF(AND(B356="",C356=""),"",IF(G356&lt;&gt;"","Void",IF(OR(B356="",E356=""),"Needs child",IF(D356="","Needs level","OK"))))</f>
        <v/>
      </c>
    </row>
    <row r="357">
      <c r="A357" s="6" t="n"/>
      <c r="B357" s="6" t="n"/>
      <c r="C357" s="6" t="n"/>
      <c r="D357" s="11">
        <f>IF(C357="","",IFERROR(INDEX(Levels!$A$2:$A$30,MATCH(C357,Levels!$B$2:$B$30,0)),""))</f>
        <v/>
      </c>
      <c r="E357" s="10">
        <f>IF(B357="","",IFERROR(INDEX(Roster!$A$2:$A$600,MATCH(B357,Roster!$E$2:$E$600,0)),""))</f>
        <v/>
      </c>
      <c r="F357" s="10">
        <f>IF(C357="","",IFERROR(INDEX(Levels!$C$2:$C$30,MATCH(C357,Levels!$B$2:$B$30,0)),""))</f>
        <v/>
      </c>
      <c r="G357" s="6" t="n"/>
      <c r="H357" s="10">
        <f>IF(AND(B357="",C357=""),"",IF(G357&lt;&gt;"","Void",IF(OR(B357="",E357=""),"Needs child",IF(D357="","Needs level","OK"))))</f>
        <v/>
      </c>
    </row>
    <row r="358">
      <c r="A358" s="6" t="n"/>
      <c r="B358" s="6" t="n"/>
      <c r="C358" s="6" t="n"/>
      <c r="D358" s="11">
        <f>IF(C358="","",IFERROR(INDEX(Levels!$A$2:$A$30,MATCH(C358,Levels!$B$2:$B$30,0)),""))</f>
        <v/>
      </c>
      <c r="E358" s="10">
        <f>IF(B358="","",IFERROR(INDEX(Roster!$A$2:$A$600,MATCH(B358,Roster!$E$2:$E$600,0)),""))</f>
        <v/>
      </c>
      <c r="F358" s="10">
        <f>IF(C358="","",IFERROR(INDEX(Levels!$C$2:$C$30,MATCH(C358,Levels!$B$2:$B$30,0)),""))</f>
        <v/>
      </c>
      <c r="G358" s="6" t="n"/>
      <c r="H358" s="10">
        <f>IF(AND(B358="",C358=""),"",IF(G358&lt;&gt;"","Void",IF(OR(B358="",E358=""),"Needs child",IF(D358="","Needs level","OK"))))</f>
        <v/>
      </c>
    </row>
    <row r="359">
      <c r="A359" s="6" t="n"/>
      <c r="B359" s="6" t="n"/>
      <c r="C359" s="6" t="n"/>
      <c r="D359" s="11">
        <f>IF(C359="","",IFERROR(INDEX(Levels!$A$2:$A$30,MATCH(C359,Levels!$B$2:$B$30,0)),""))</f>
        <v/>
      </c>
      <c r="E359" s="10">
        <f>IF(B359="","",IFERROR(INDEX(Roster!$A$2:$A$600,MATCH(B359,Roster!$E$2:$E$600,0)),""))</f>
        <v/>
      </c>
      <c r="F359" s="10">
        <f>IF(C359="","",IFERROR(INDEX(Levels!$C$2:$C$30,MATCH(C359,Levels!$B$2:$B$30,0)),""))</f>
        <v/>
      </c>
      <c r="G359" s="6" t="n"/>
      <c r="H359" s="10">
        <f>IF(AND(B359="",C359=""),"",IF(G359&lt;&gt;"","Void",IF(OR(B359="",E359=""),"Needs child",IF(D359="","Needs level","OK"))))</f>
        <v/>
      </c>
    </row>
    <row r="360">
      <c r="A360" s="6" t="n"/>
      <c r="B360" s="6" t="n"/>
      <c r="C360" s="6" t="n"/>
      <c r="D360" s="11">
        <f>IF(C360="","",IFERROR(INDEX(Levels!$A$2:$A$30,MATCH(C360,Levels!$B$2:$B$30,0)),""))</f>
        <v/>
      </c>
      <c r="E360" s="10">
        <f>IF(B360="","",IFERROR(INDEX(Roster!$A$2:$A$600,MATCH(B360,Roster!$E$2:$E$600,0)),""))</f>
        <v/>
      </c>
      <c r="F360" s="10">
        <f>IF(C360="","",IFERROR(INDEX(Levels!$C$2:$C$30,MATCH(C360,Levels!$B$2:$B$30,0)),""))</f>
        <v/>
      </c>
      <c r="G360" s="6" t="n"/>
      <c r="H360" s="10">
        <f>IF(AND(B360="",C360=""),"",IF(G360&lt;&gt;"","Void",IF(OR(B360="",E360=""),"Needs child",IF(D360="","Needs level","OK"))))</f>
        <v/>
      </c>
    </row>
    <row r="361">
      <c r="A361" s="6" t="n"/>
      <c r="B361" s="6" t="n"/>
      <c r="C361" s="6" t="n"/>
      <c r="D361" s="11">
        <f>IF(C361="","",IFERROR(INDEX(Levels!$A$2:$A$30,MATCH(C361,Levels!$B$2:$B$30,0)),""))</f>
        <v/>
      </c>
      <c r="E361" s="10">
        <f>IF(B361="","",IFERROR(INDEX(Roster!$A$2:$A$600,MATCH(B361,Roster!$E$2:$E$600,0)),""))</f>
        <v/>
      </c>
      <c r="F361" s="10">
        <f>IF(C361="","",IFERROR(INDEX(Levels!$C$2:$C$30,MATCH(C361,Levels!$B$2:$B$30,0)),""))</f>
        <v/>
      </c>
      <c r="G361" s="6" t="n"/>
      <c r="H361" s="10">
        <f>IF(AND(B361="",C361=""),"",IF(G361&lt;&gt;"","Void",IF(OR(B361="",E361=""),"Needs child",IF(D361="","Needs level","OK"))))</f>
        <v/>
      </c>
    </row>
    <row r="362">
      <c r="A362" s="6" t="n"/>
      <c r="B362" s="6" t="n"/>
      <c r="C362" s="6" t="n"/>
      <c r="D362" s="11">
        <f>IF(C362="","",IFERROR(INDEX(Levels!$A$2:$A$30,MATCH(C362,Levels!$B$2:$B$30,0)),""))</f>
        <v/>
      </c>
      <c r="E362" s="10">
        <f>IF(B362="","",IFERROR(INDEX(Roster!$A$2:$A$600,MATCH(B362,Roster!$E$2:$E$600,0)),""))</f>
        <v/>
      </c>
      <c r="F362" s="10">
        <f>IF(C362="","",IFERROR(INDEX(Levels!$C$2:$C$30,MATCH(C362,Levels!$B$2:$B$30,0)),""))</f>
        <v/>
      </c>
      <c r="G362" s="6" t="n"/>
      <c r="H362" s="10">
        <f>IF(AND(B362="",C362=""),"",IF(G362&lt;&gt;"","Void",IF(OR(B362="",E362=""),"Needs child",IF(D362="","Needs level","OK"))))</f>
        <v/>
      </c>
    </row>
    <row r="363">
      <c r="A363" s="6" t="n"/>
      <c r="B363" s="6" t="n"/>
      <c r="C363" s="6" t="n"/>
      <c r="D363" s="11">
        <f>IF(C363="","",IFERROR(INDEX(Levels!$A$2:$A$30,MATCH(C363,Levels!$B$2:$B$30,0)),""))</f>
        <v/>
      </c>
      <c r="E363" s="10">
        <f>IF(B363="","",IFERROR(INDEX(Roster!$A$2:$A$600,MATCH(B363,Roster!$E$2:$E$600,0)),""))</f>
        <v/>
      </c>
      <c r="F363" s="10">
        <f>IF(C363="","",IFERROR(INDEX(Levels!$C$2:$C$30,MATCH(C363,Levels!$B$2:$B$30,0)),""))</f>
        <v/>
      </c>
      <c r="G363" s="6" t="n"/>
      <c r="H363" s="10">
        <f>IF(AND(B363="",C363=""),"",IF(G363&lt;&gt;"","Void",IF(OR(B363="",E363=""),"Needs child",IF(D363="","Needs level","OK"))))</f>
        <v/>
      </c>
    </row>
    <row r="364">
      <c r="A364" s="6" t="n"/>
      <c r="B364" s="6" t="n"/>
      <c r="C364" s="6" t="n"/>
      <c r="D364" s="11">
        <f>IF(C364="","",IFERROR(INDEX(Levels!$A$2:$A$30,MATCH(C364,Levels!$B$2:$B$30,0)),""))</f>
        <v/>
      </c>
      <c r="E364" s="10">
        <f>IF(B364="","",IFERROR(INDEX(Roster!$A$2:$A$600,MATCH(B364,Roster!$E$2:$E$600,0)),""))</f>
        <v/>
      </c>
      <c r="F364" s="10">
        <f>IF(C364="","",IFERROR(INDEX(Levels!$C$2:$C$30,MATCH(C364,Levels!$B$2:$B$30,0)),""))</f>
        <v/>
      </c>
      <c r="G364" s="6" t="n"/>
      <c r="H364" s="10">
        <f>IF(AND(B364="",C364=""),"",IF(G364&lt;&gt;"","Void",IF(OR(B364="",E364=""),"Needs child",IF(D364="","Needs level","OK"))))</f>
        <v/>
      </c>
    </row>
    <row r="365">
      <c r="A365" s="6" t="n"/>
      <c r="B365" s="6" t="n"/>
      <c r="C365" s="6" t="n"/>
      <c r="D365" s="11">
        <f>IF(C365="","",IFERROR(INDEX(Levels!$A$2:$A$30,MATCH(C365,Levels!$B$2:$B$30,0)),""))</f>
        <v/>
      </c>
      <c r="E365" s="10">
        <f>IF(B365="","",IFERROR(INDEX(Roster!$A$2:$A$600,MATCH(B365,Roster!$E$2:$E$600,0)),""))</f>
        <v/>
      </c>
      <c r="F365" s="10">
        <f>IF(C365="","",IFERROR(INDEX(Levels!$C$2:$C$30,MATCH(C365,Levels!$B$2:$B$30,0)),""))</f>
        <v/>
      </c>
      <c r="G365" s="6" t="n"/>
      <c r="H365" s="10">
        <f>IF(AND(B365="",C365=""),"",IF(G365&lt;&gt;"","Void",IF(OR(B365="",E365=""),"Needs child",IF(D365="","Needs level","OK"))))</f>
        <v/>
      </c>
    </row>
    <row r="366">
      <c r="A366" s="6" t="n"/>
      <c r="B366" s="6" t="n"/>
      <c r="C366" s="6" t="n"/>
      <c r="D366" s="11">
        <f>IF(C366="","",IFERROR(INDEX(Levels!$A$2:$A$30,MATCH(C366,Levels!$B$2:$B$30,0)),""))</f>
        <v/>
      </c>
      <c r="E366" s="10">
        <f>IF(B366="","",IFERROR(INDEX(Roster!$A$2:$A$600,MATCH(B366,Roster!$E$2:$E$600,0)),""))</f>
        <v/>
      </c>
      <c r="F366" s="10">
        <f>IF(C366="","",IFERROR(INDEX(Levels!$C$2:$C$30,MATCH(C366,Levels!$B$2:$B$30,0)),""))</f>
        <v/>
      </c>
      <c r="G366" s="6" t="n"/>
      <c r="H366" s="10">
        <f>IF(AND(B366="",C366=""),"",IF(G366&lt;&gt;"","Void",IF(OR(B366="",E366=""),"Needs child",IF(D366="","Needs level","OK"))))</f>
        <v/>
      </c>
    </row>
    <row r="367">
      <c r="A367" s="6" t="n"/>
      <c r="B367" s="6" t="n"/>
      <c r="C367" s="6" t="n"/>
      <c r="D367" s="11">
        <f>IF(C367="","",IFERROR(INDEX(Levels!$A$2:$A$30,MATCH(C367,Levels!$B$2:$B$30,0)),""))</f>
        <v/>
      </c>
      <c r="E367" s="10">
        <f>IF(B367="","",IFERROR(INDEX(Roster!$A$2:$A$600,MATCH(B367,Roster!$E$2:$E$600,0)),""))</f>
        <v/>
      </c>
      <c r="F367" s="10">
        <f>IF(C367="","",IFERROR(INDEX(Levels!$C$2:$C$30,MATCH(C367,Levels!$B$2:$B$30,0)),""))</f>
        <v/>
      </c>
      <c r="G367" s="6" t="n"/>
      <c r="H367" s="10">
        <f>IF(AND(B367="",C367=""),"",IF(G367&lt;&gt;"","Void",IF(OR(B367="",E367=""),"Needs child",IF(D367="","Needs level","OK"))))</f>
        <v/>
      </c>
    </row>
    <row r="368">
      <c r="A368" s="6" t="n"/>
      <c r="B368" s="6" t="n"/>
      <c r="C368" s="6" t="n"/>
      <c r="D368" s="11">
        <f>IF(C368="","",IFERROR(INDEX(Levels!$A$2:$A$30,MATCH(C368,Levels!$B$2:$B$30,0)),""))</f>
        <v/>
      </c>
      <c r="E368" s="10">
        <f>IF(B368="","",IFERROR(INDEX(Roster!$A$2:$A$600,MATCH(B368,Roster!$E$2:$E$600,0)),""))</f>
        <v/>
      </c>
      <c r="F368" s="10">
        <f>IF(C368="","",IFERROR(INDEX(Levels!$C$2:$C$30,MATCH(C368,Levels!$B$2:$B$30,0)),""))</f>
        <v/>
      </c>
      <c r="G368" s="6" t="n"/>
      <c r="H368" s="10">
        <f>IF(AND(B368="",C368=""),"",IF(G368&lt;&gt;"","Void",IF(OR(B368="",E368=""),"Needs child",IF(D368="","Needs level","OK"))))</f>
        <v/>
      </c>
    </row>
    <row r="369">
      <c r="A369" s="6" t="n"/>
      <c r="B369" s="6" t="n"/>
      <c r="C369" s="6" t="n"/>
      <c r="D369" s="11">
        <f>IF(C369="","",IFERROR(INDEX(Levels!$A$2:$A$30,MATCH(C369,Levels!$B$2:$B$30,0)),""))</f>
        <v/>
      </c>
      <c r="E369" s="10">
        <f>IF(B369="","",IFERROR(INDEX(Roster!$A$2:$A$600,MATCH(B369,Roster!$E$2:$E$600,0)),""))</f>
        <v/>
      </c>
      <c r="F369" s="10">
        <f>IF(C369="","",IFERROR(INDEX(Levels!$C$2:$C$30,MATCH(C369,Levels!$B$2:$B$30,0)),""))</f>
        <v/>
      </c>
      <c r="G369" s="6" t="n"/>
      <c r="H369" s="10">
        <f>IF(AND(B369="",C369=""),"",IF(G369&lt;&gt;"","Void",IF(OR(B369="",E369=""),"Needs child",IF(D369="","Needs level","OK"))))</f>
        <v/>
      </c>
    </row>
    <row r="370">
      <c r="A370" s="6" t="n"/>
      <c r="B370" s="6" t="n"/>
      <c r="C370" s="6" t="n"/>
      <c r="D370" s="11">
        <f>IF(C370="","",IFERROR(INDEX(Levels!$A$2:$A$30,MATCH(C370,Levels!$B$2:$B$30,0)),""))</f>
        <v/>
      </c>
      <c r="E370" s="10">
        <f>IF(B370="","",IFERROR(INDEX(Roster!$A$2:$A$600,MATCH(B370,Roster!$E$2:$E$600,0)),""))</f>
        <v/>
      </c>
      <c r="F370" s="10">
        <f>IF(C370="","",IFERROR(INDEX(Levels!$C$2:$C$30,MATCH(C370,Levels!$B$2:$B$30,0)),""))</f>
        <v/>
      </c>
      <c r="G370" s="6" t="n"/>
      <c r="H370" s="10">
        <f>IF(AND(B370="",C370=""),"",IF(G370&lt;&gt;"","Void",IF(OR(B370="",E370=""),"Needs child",IF(D370="","Needs level","OK"))))</f>
        <v/>
      </c>
    </row>
    <row r="371">
      <c r="A371" s="6" t="n"/>
      <c r="B371" s="6" t="n"/>
      <c r="C371" s="6" t="n"/>
      <c r="D371" s="11">
        <f>IF(C371="","",IFERROR(INDEX(Levels!$A$2:$A$30,MATCH(C371,Levels!$B$2:$B$30,0)),""))</f>
        <v/>
      </c>
      <c r="E371" s="10">
        <f>IF(B371="","",IFERROR(INDEX(Roster!$A$2:$A$600,MATCH(B371,Roster!$E$2:$E$600,0)),""))</f>
        <v/>
      </c>
      <c r="F371" s="10">
        <f>IF(C371="","",IFERROR(INDEX(Levels!$C$2:$C$30,MATCH(C371,Levels!$B$2:$B$30,0)),""))</f>
        <v/>
      </c>
      <c r="G371" s="6" t="n"/>
      <c r="H371" s="10">
        <f>IF(AND(B371="",C371=""),"",IF(G371&lt;&gt;"","Void",IF(OR(B371="",E371=""),"Needs child",IF(D371="","Needs level","OK"))))</f>
        <v/>
      </c>
    </row>
    <row r="372">
      <c r="A372" s="6" t="n"/>
      <c r="B372" s="6" t="n"/>
      <c r="C372" s="6" t="n"/>
      <c r="D372" s="11">
        <f>IF(C372="","",IFERROR(INDEX(Levels!$A$2:$A$30,MATCH(C372,Levels!$B$2:$B$30,0)),""))</f>
        <v/>
      </c>
      <c r="E372" s="10">
        <f>IF(B372="","",IFERROR(INDEX(Roster!$A$2:$A$600,MATCH(B372,Roster!$E$2:$E$600,0)),""))</f>
        <v/>
      </c>
      <c r="F372" s="10">
        <f>IF(C372="","",IFERROR(INDEX(Levels!$C$2:$C$30,MATCH(C372,Levels!$B$2:$B$30,0)),""))</f>
        <v/>
      </c>
      <c r="G372" s="6" t="n"/>
      <c r="H372" s="10">
        <f>IF(AND(B372="",C372=""),"",IF(G372&lt;&gt;"","Void",IF(OR(B372="",E372=""),"Needs child",IF(D372="","Needs level","OK"))))</f>
        <v/>
      </c>
    </row>
    <row r="373">
      <c r="A373" s="6" t="n"/>
      <c r="B373" s="6" t="n"/>
      <c r="C373" s="6" t="n"/>
      <c r="D373" s="11">
        <f>IF(C373="","",IFERROR(INDEX(Levels!$A$2:$A$30,MATCH(C373,Levels!$B$2:$B$30,0)),""))</f>
        <v/>
      </c>
      <c r="E373" s="10">
        <f>IF(B373="","",IFERROR(INDEX(Roster!$A$2:$A$600,MATCH(B373,Roster!$E$2:$E$600,0)),""))</f>
        <v/>
      </c>
      <c r="F373" s="10">
        <f>IF(C373="","",IFERROR(INDEX(Levels!$C$2:$C$30,MATCH(C373,Levels!$B$2:$B$30,0)),""))</f>
        <v/>
      </c>
      <c r="G373" s="6" t="n"/>
      <c r="H373" s="10">
        <f>IF(AND(B373="",C373=""),"",IF(G373&lt;&gt;"","Void",IF(OR(B373="",E373=""),"Needs child",IF(D373="","Needs level","OK"))))</f>
        <v/>
      </c>
    </row>
    <row r="374">
      <c r="A374" s="6" t="n"/>
      <c r="B374" s="6" t="n"/>
      <c r="C374" s="6" t="n"/>
      <c r="D374" s="11">
        <f>IF(C374="","",IFERROR(INDEX(Levels!$A$2:$A$30,MATCH(C374,Levels!$B$2:$B$30,0)),""))</f>
        <v/>
      </c>
      <c r="E374" s="10">
        <f>IF(B374="","",IFERROR(INDEX(Roster!$A$2:$A$600,MATCH(B374,Roster!$E$2:$E$600,0)),""))</f>
        <v/>
      </c>
      <c r="F374" s="10">
        <f>IF(C374="","",IFERROR(INDEX(Levels!$C$2:$C$30,MATCH(C374,Levels!$B$2:$B$30,0)),""))</f>
        <v/>
      </c>
      <c r="G374" s="6" t="n"/>
      <c r="H374" s="10">
        <f>IF(AND(B374="",C374=""),"",IF(G374&lt;&gt;"","Void",IF(OR(B374="",E374=""),"Needs child",IF(D374="","Needs level","OK"))))</f>
        <v/>
      </c>
    </row>
    <row r="375">
      <c r="A375" s="6" t="n"/>
      <c r="B375" s="6" t="n"/>
      <c r="C375" s="6" t="n"/>
      <c r="D375" s="11">
        <f>IF(C375="","",IFERROR(INDEX(Levels!$A$2:$A$30,MATCH(C375,Levels!$B$2:$B$30,0)),""))</f>
        <v/>
      </c>
      <c r="E375" s="10">
        <f>IF(B375="","",IFERROR(INDEX(Roster!$A$2:$A$600,MATCH(B375,Roster!$E$2:$E$600,0)),""))</f>
        <v/>
      </c>
      <c r="F375" s="10">
        <f>IF(C375="","",IFERROR(INDEX(Levels!$C$2:$C$30,MATCH(C375,Levels!$B$2:$B$30,0)),""))</f>
        <v/>
      </c>
      <c r="G375" s="6" t="n"/>
      <c r="H375" s="10">
        <f>IF(AND(B375="",C375=""),"",IF(G375&lt;&gt;"","Void",IF(OR(B375="",E375=""),"Needs child",IF(D375="","Needs level","OK"))))</f>
        <v/>
      </c>
    </row>
    <row r="376">
      <c r="A376" s="6" t="n"/>
      <c r="B376" s="6" t="n"/>
      <c r="C376" s="6" t="n"/>
      <c r="D376" s="11">
        <f>IF(C376="","",IFERROR(INDEX(Levels!$A$2:$A$30,MATCH(C376,Levels!$B$2:$B$30,0)),""))</f>
        <v/>
      </c>
      <c r="E376" s="10">
        <f>IF(B376="","",IFERROR(INDEX(Roster!$A$2:$A$600,MATCH(B376,Roster!$E$2:$E$600,0)),""))</f>
        <v/>
      </c>
      <c r="F376" s="10">
        <f>IF(C376="","",IFERROR(INDEX(Levels!$C$2:$C$30,MATCH(C376,Levels!$B$2:$B$30,0)),""))</f>
        <v/>
      </c>
      <c r="G376" s="6" t="n"/>
      <c r="H376" s="10">
        <f>IF(AND(B376="",C376=""),"",IF(G376&lt;&gt;"","Void",IF(OR(B376="",E376=""),"Needs child",IF(D376="","Needs level","OK"))))</f>
        <v/>
      </c>
    </row>
    <row r="377">
      <c r="A377" s="6" t="n"/>
      <c r="B377" s="6" t="n"/>
      <c r="C377" s="6" t="n"/>
      <c r="D377" s="11">
        <f>IF(C377="","",IFERROR(INDEX(Levels!$A$2:$A$30,MATCH(C377,Levels!$B$2:$B$30,0)),""))</f>
        <v/>
      </c>
      <c r="E377" s="10">
        <f>IF(B377="","",IFERROR(INDEX(Roster!$A$2:$A$600,MATCH(B377,Roster!$E$2:$E$600,0)),""))</f>
        <v/>
      </c>
      <c r="F377" s="10">
        <f>IF(C377="","",IFERROR(INDEX(Levels!$C$2:$C$30,MATCH(C377,Levels!$B$2:$B$30,0)),""))</f>
        <v/>
      </c>
      <c r="G377" s="6" t="n"/>
      <c r="H377" s="10">
        <f>IF(AND(B377="",C377=""),"",IF(G377&lt;&gt;"","Void",IF(OR(B377="",E377=""),"Needs child",IF(D377="","Needs level","OK"))))</f>
        <v/>
      </c>
    </row>
    <row r="378">
      <c r="A378" s="6" t="n"/>
      <c r="B378" s="6" t="n"/>
      <c r="C378" s="6" t="n"/>
      <c r="D378" s="11">
        <f>IF(C378="","",IFERROR(INDEX(Levels!$A$2:$A$30,MATCH(C378,Levels!$B$2:$B$30,0)),""))</f>
        <v/>
      </c>
      <c r="E378" s="10">
        <f>IF(B378="","",IFERROR(INDEX(Roster!$A$2:$A$600,MATCH(B378,Roster!$E$2:$E$600,0)),""))</f>
        <v/>
      </c>
      <c r="F378" s="10">
        <f>IF(C378="","",IFERROR(INDEX(Levels!$C$2:$C$30,MATCH(C378,Levels!$B$2:$B$30,0)),""))</f>
        <v/>
      </c>
      <c r="G378" s="6" t="n"/>
      <c r="H378" s="10">
        <f>IF(AND(B378="",C378=""),"",IF(G378&lt;&gt;"","Void",IF(OR(B378="",E378=""),"Needs child",IF(D378="","Needs level","OK"))))</f>
        <v/>
      </c>
    </row>
    <row r="379">
      <c r="A379" s="6" t="n"/>
      <c r="B379" s="6" t="n"/>
      <c r="C379" s="6" t="n"/>
      <c r="D379" s="11">
        <f>IF(C379="","",IFERROR(INDEX(Levels!$A$2:$A$30,MATCH(C379,Levels!$B$2:$B$30,0)),""))</f>
        <v/>
      </c>
      <c r="E379" s="10">
        <f>IF(B379="","",IFERROR(INDEX(Roster!$A$2:$A$600,MATCH(B379,Roster!$E$2:$E$600,0)),""))</f>
        <v/>
      </c>
      <c r="F379" s="10">
        <f>IF(C379="","",IFERROR(INDEX(Levels!$C$2:$C$30,MATCH(C379,Levels!$B$2:$B$30,0)),""))</f>
        <v/>
      </c>
      <c r="G379" s="6" t="n"/>
      <c r="H379" s="10">
        <f>IF(AND(B379="",C379=""),"",IF(G379&lt;&gt;"","Void",IF(OR(B379="",E379=""),"Needs child",IF(D379="","Needs level","OK"))))</f>
        <v/>
      </c>
    </row>
    <row r="380">
      <c r="A380" s="6" t="n"/>
      <c r="B380" s="6" t="n"/>
      <c r="C380" s="6" t="n"/>
      <c r="D380" s="11">
        <f>IF(C380="","",IFERROR(INDEX(Levels!$A$2:$A$30,MATCH(C380,Levels!$B$2:$B$30,0)),""))</f>
        <v/>
      </c>
      <c r="E380" s="10">
        <f>IF(B380="","",IFERROR(INDEX(Roster!$A$2:$A$600,MATCH(B380,Roster!$E$2:$E$600,0)),""))</f>
        <v/>
      </c>
      <c r="F380" s="10">
        <f>IF(C380="","",IFERROR(INDEX(Levels!$C$2:$C$30,MATCH(C380,Levels!$B$2:$B$30,0)),""))</f>
        <v/>
      </c>
      <c r="G380" s="6" t="n"/>
      <c r="H380" s="10">
        <f>IF(AND(B380="",C380=""),"",IF(G380&lt;&gt;"","Void",IF(OR(B380="",E380=""),"Needs child",IF(D380="","Needs level","OK"))))</f>
        <v/>
      </c>
    </row>
    <row r="381">
      <c r="A381" s="6" t="n"/>
      <c r="B381" s="6" t="n"/>
      <c r="C381" s="6" t="n"/>
      <c r="D381" s="11">
        <f>IF(C381="","",IFERROR(INDEX(Levels!$A$2:$A$30,MATCH(C381,Levels!$B$2:$B$30,0)),""))</f>
        <v/>
      </c>
      <c r="E381" s="10">
        <f>IF(B381="","",IFERROR(INDEX(Roster!$A$2:$A$600,MATCH(B381,Roster!$E$2:$E$600,0)),""))</f>
        <v/>
      </c>
      <c r="F381" s="10">
        <f>IF(C381="","",IFERROR(INDEX(Levels!$C$2:$C$30,MATCH(C381,Levels!$B$2:$B$30,0)),""))</f>
        <v/>
      </c>
      <c r="G381" s="6" t="n"/>
      <c r="H381" s="10">
        <f>IF(AND(B381="",C381=""),"",IF(G381&lt;&gt;"","Void",IF(OR(B381="",E381=""),"Needs child",IF(D381="","Needs level","OK"))))</f>
        <v/>
      </c>
    </row>
    <row r="382">
      <c r="A382" s="6" t="n"/>
      <c r="B382" s="6" t="n"/>
      <c r="C382" s="6" t="n"/>
      <c r="D382" s="11">
        <f>IF(C382="","",IFERROR(INDEX(Levels!$A$2:$A$30,MATCH(C382,Levels!$B$2:$B$30,0)),""))</f>
        <v/>
      </c>
      <c r="E382" s="10">
        <f>IF(B382="","",IFERROR(INDEX(Roster!$A$2:$A$600,MATCH(B382,Roster!$E$2:$E$600,0)),""))</f>
        <v/>
      </c>
      <c r="F382" s="10">
        <f>IF(C382="","",IFERROR(INDEX(Levels!$C$2:$C$30,MATCH(C382,Levels!$B$2:$B$30,0)),""))</f>
        <v/>
      </c>
      <c r="G382" s="6" t="n"/>
      <c r="H382" s="10">
        <f>IF(AND(B382="",C382=""),"",IF(G382&lt;&gt;"","Void",IF(OR(B382="",E382=""),"Needs child",IF(D382="","Needs level","OK"))))</f>
        <v/>
      </c>
    </row>
    <row r="383">
      <c r="A383" s="6" t="n"/>
      <c r="B383" s="6" t="n"/>
      <c r="C383" s="6" t="n"/>
      <c r="D383" s="11">
        <f>IF(C383="","",IFERROR(INDEX(Levels!$A$2:$A$30,MATCH(C383,Levels!$B$2:$B$30,0)),""))</f>
        <v/>
      </c>
      <c r="E383" s="10">
        <f>IF(B383="","",IFERROR(INDEX(Roster!$A$2:$A$600,MATCH(B383,Roster!$E$2:$E$600,0)),""))</f>
        <v/>
      </c>
      <c r="F383" s="10">
        <f>IF(C383="","",IFERROR(INDEX(Levels!$C$2:$C$30,MATCH(C383,Levels!$B$2:$B$30,0)),""))</f>
        <v/>
      </c>
      <c r="G383" s="6" t="n"/>
      <c r="H383" s="10">
        <f>IF(AND(B383="",C383=""),"",IF(G383&lt;&gt;"","Void",IF(OR(B383="",E383=""),"Needs child",IF(D383="","Needs level","OK"))))</f>
        <v/>
      </c>
    </row>
    <row r="384">
      <c r="A384" s="6" t="n"/>
      <c r="B384" s="6" t="n"/>
      <c r="C384" s="6" t="n"/>
      <c r="D384" s="11">
        <f>IF(C384="","",IFERROR(INDEX(Levels!$A$2:$A$30,MATCH(C384,Levels!$B$2:$B$30,0)),""))</f>
        <v/>
      </c>
      <c r="E384" s="10">
        <f>IF(B384="","",IFERROR(INDEX(Roster!$A$2:$A$600,MATCH(B384,Roster!$E$2:$E$600,0)),""))</f>
        <v/>
      </c>
      <c r="F384" s="10">
        <f>IF(C384="","",IFERROR(INDEX(Levels!$C$2:$C$30,MATCH(C384,Levels!$B$2:$B$30,0)),""))</f>
        <v/>
      </c>
      <c r="G384" s="6" t="n"/>
      <c r="H384" s="10">
        <f>IF(AND(B384="",C384=""),"",IF(G384&lt;&gt;"","Void",IF(OR(B384="",E384=""),"Needs child",IF(D384="","Needs level","OK"))))</f>
        <v/>
      </c>
    </row>
    <row r="385">
      <c r="A385" s="6" t="n"/>
      <c r="B385" s="6" t="n"/>
      <c r="C385" s="6" t="n"/>
      <c r="D385" s="11">
        <f>IF(C385="","",IFERROR(INDEX(Levels!$A$2:$A$30,MATCH(C385,Levels!$B$2:$B$30,0)),""))</f>
        <v/>
      </c>
      <c r="E385" s="10">
        <f>IF(B385="","",IFERROR(INDEX(Roster!$A$2:$A$600,MATCH(B385,Roster!$E$2:$E$600,0)),""))</f>
        <v/>
      </c>
      <c r="F385" s="10">
        <f>IF(C385="","",IFERROR(INDEX(Levels!$C$2:$C$30,MATCH(C385,Levels!$B$2:$B$30,0)),""))</f>
        <v/>
      </c>
      <c r="G385" s="6" t="n"/>
      <c r="H385" s="10">
        <f>IF(AND(B385="",C385=""),"",IF(G385&lt;&gt;"","Void",IF(OR(B385="",E385=""),"Needs child",IF(D385="","Needs level","OK"))))</f>
        <v/>
      </c>
    </row>
    <row r="386">
      <c r="A386" s="6" t="n"/>
      <c r="B386" s="6" t="n"/>
      <c r="C386" s="6" t="n"/>
      <c r="D386" s="11">
        <f>IF(C386="","",IFERROR(INDEX(Levels!$A$2:$A$30,MATCH(C386,Levels!$B$2:$B$30,0)),""))</f>
        <v/>
      </c>
      <c r="E386" s="10">
        <f>IF(B386="","",IFERROR(INDEX(Roster!$A$2:$A$600,MATCH(B386,Roster!$E$2:$E$600,0)),""))</f>
        <v/>
      </c>
      <c r="F386" s="10">
        <f>IF(C386="","",IFERROR(INDEX(Levels!$C$2:$C$30,MATCH(C386,Levels!$B$2:$B$30,0)),""))</f>
        <v/>
      </c>
      <c r="G386" s="6" t="n"/>
      <c r="H386" s="10">
        <f>IF(AND(B386="",C386=""),"",IF(G386&lt;&gt;"","Void",IF(OR(B386="",E386=""),"Needs child",IF(D386="","Needs level","OK"))))</f>
        <v/>
      </c>
    </row>
    <row r="387">
      <c r="A387" s="6" t="n"/>
      <c r="B387" s="6" t="n"/>
      <c r="C387" s="6" t="n"/>
      <c r="D387" s="11">
        <f>IF(C387="","",IFERROR(INDEX(Levels!$A$2:$A$30,MATCH(C387,Levels!$B$2:$B$30,0)),""))</f>
        <v/>
      </c>
      <c r="E387" s="10">
        <f>IF(B387="","",IFERROR(INDEX(Roster!$A$2:$A$600,MATCH(B387,Roster!$E$2:$E$600,0)),""))</f>
        <v/>
      </c>
      <c r="F387" s="10">
        <f>IF(C387="","",IFERROR(INDEX(Levels!$C$2:$C$30,MATCH(C387,Levels!$B$2:$B$30,0)),""))</f>
        <v/>
      </c>
      <c r="G387" s="6" t="n"/>
      <c r="H387" s="10">
        <f>IF(AND(B387="",C387=""),"",IF(G387&lt;&gt;"","Void",IF(OR(B387="",E387=""),"Needs child",IF(D387="","Needs level","OK"))))</f>
        <v/>
      </c>
    </row>
    <row r="388">
      <c r="A388" s="6" t="n"/>
      <c r="B388" s="6" t="n"/>
      <c r="C388" s="6" t="n"/>
      <c r="D388" s="11">
        <f>IF(C388="","",IFERROR(INDEX(Levels!$A$2:$A$30,MATCH(C388,Levels!$B$2:$B$30,0)),""))</f>
        <v/>
      </c>
      <c r="E388" s="10">
        <f>IF(B388="","",IFERROR(INDEX(Roster!$A$2:$A$600,MATCH(B388,Roster!$E$2:$E$600,0)),""))</f>
        <v/>
      </c>
      <c r="F388" s="10">
        <f>IF(C388="","",IFERROR(INDEX(Levels!$C$2:$C$30,MATCH(C388,Levels!$B$2:$B$30,0)),""))</f>
        <v/>
      </c>
      <c r="G388" s="6" t="n"/>
      <c r="H388" s="10">
        <f>IF(AND(B388="",C388=""),"",IF(G388&lt;&gt;"","Void",IF(OR(B388="",E388=""),"Needs child",IF(D388="","Needs level","OK"))))</f>
        <v/>
      </c>
    </row>
    <row r="389">
      <c r="A389" s="6" t="n"/>
      <c r="B389" s="6" t="n"/>
      <c r="C389" s="6" t="n"/>
      <c r="D389" s="11">
        <f>IF(C389="","",IFERROR(INDEX(Levels!$A$2:$A$30,MATCH(C389,Levels!$B$2:$B$30,0)),""))</f>
        <v/>
      </c>
      <c r="E389" s="10">
        <f>IF(B389="","",IFERROR(INDEX(Roster!$A$2:$A$600,MATCH(B389,Roster!$E$2:$E$600,0)),""))</f>
        <v/>
      </c>
      <c r="F389" s="10">
        <f>IF(C389="","",IFERROR(INDEX(Levels!$C$2:$C$30,MATCH(C389,Levels!$B$2:$B$30,0)),""))</f>
        <v/>
      </c>
      <c r="G389" s="6" t="n"/>
      <c r="H389" s="10">
        <f>IF(AND(B389="",C389=""),"",IF(G389&lt;&gt;"","Void",IF(OR(B389="",E389=""),"Needs child",IF(D389="","Needs level","OK"))))</f>
        <v/>
      </c>
    </row>
    <row r="390">
      <c r="A390" s="6" t="n"/>
      <c r="B390" s="6" t="n"/>
      <c r="C390" s="6" t="n"/>
      <c r="D390" s="11">
        <f>IF(C390="","",IFERROR(INDEX(Levels!$A$2:$A$30,MATCH(C390,Levels!$B$2:$B$30,0)),""))</f>
        <v/>
      </c>
      <c r="E390" s="10">
        <f>IF(B390="","",IFERROR(INDEX(Roster!$A$2:$A$600,MATCH(B390,Roster!$E$2:$E$600,0)),""))</f>
        <v/>
      </c>
      <c r="F390" s="10">
        <f>IF(C390="","",IFERROR(INDEX(Levels!$C$2:$C$30,MATCH(C390,Levels!$B$2:$B$30,0)),""))</f>
        <v/>
      </c>
      <c r="G390" s="6" t="n"/>
      <c r="H390" s="10">
        <f>IF(AND(B390="",C390=""),"",IF(G390&lt;&gt;"","Void",IF(OR(B390="",E390=""),"Needs child",IF(D390="","Needs level","OK"))))</f>
        <v/>
      </c>
    </row>
    <row r="391">
      <c r="A391" s="6" t="n"/>
      <c r="B391" s="6" t="n"/>
      <c r="C391" s="6" t="n"/>
      <c r="D391" s="11">
        <f>IF(C391="","",IFERROR(INDEX(Levels!$A$2:$A$30,MATCH(C391,Levels!$B$2:$B$30,0)),""))</f>
        <v/>
      </c>
      <c r="E391" s="10">
        <f>IF(B391="","",IFERROR(INDEX(Roster!$A$2:$A$600,MATCH(B391,Roster!$E$2:$E$600,0)),""))</f>
        <v/>
      </c>
      <c r="F391" s="10">
        <f>IF(C391="","",IFERROR(INDEX(Levels!$C$2:$C$30,MATCH(C391,Levels!$B$2:$B$30,0)),""))</f>
        <v/>
      </c>
      <c r="G391" s="6" t="n"/>
      <c r="H391" s="10">
        <f>IF(AND(B391="",C391=""),"",IF(G391&lt;&gt;"","Void",IF(OR(B391="",E391=""),"Needs child",IF(D391="","Needs level","OK"))))</f>
        <v/>
      </c>
    </row>
    <row r="392">
      <c r="A392" s="6" t="n"/>
      <c r="B392" s="6" t="n"/>
      <c r="C392" s="6" t="n"/>
      <c r="D392" s="11">
        <f>IF(C392="","",IFERROR(INDEX(Levels!$A$2:$A$30,MATCH(C392,Levels!$B$2:$B$30,0)),""))</f>
        <v/>
      </c>
      <c r="E392" s="10">
        <f>IF(B392="","",IFERROR(INDEX(Roster!$A$2:$A$600,MATCH(B392,Roster!$E$2:$E$600,0)),""))</f>
        <v/>
      </c>
      <c r="F392" s="10">
        <f>IF(C392="","",IFERROR(INDEX(Levels!$C$2:$C$30,MATCH(C392,Levels!$B$2:$B$30,0)),""))</f>
        <v/>
      </c>
      <c r="G392" s="6" t="n"/>
      <c r="H392" s="10">
        <f>IF(AND(B392="",C392=""),"",IF(G392&lt;&gt;"","Void",IF(OR(B392="",E392=""),"Needs child",IF(D392="","Needs level","OK"))))</f>
        <v/>
      </c>
    </row>
    <row r="393">
      <c r="A393" s="6" t="n"/>
      <c r="B393" s="6" t="n"/>
      <c r="C393" s="6" t="n"/>
      <c r="D393" s="11">
        <f>IF(C393="","",IFERROR(INDEX(Levels!$A$2:$A$30,MATCH(C393,Levels!$B$2:$B$30,0)),""))</f>
        <v/>
      </c>
      <c r="E393" s="10">
        <f>IF(B393="","",IFERROR(INDEX(Roster!$A$2:$A$600,MATCH(B393,Roster!$E$2:$E$600,0)),""))</f>
        <v/>
      </c>
      <c r="F393" s="10">
        <f>IF(C393="","",IFERROR(INDEX(Levels!$C$2:$C$30,MATCH(C393,Levels!$B$2:$B$30,0)),""))</f>
        <v/>
      </c>
      <c r="G393" s="6" t="n"/>
      <c r="H393" s="10">
        <f>IF(AND(B393="",C393=""),"",IF(G393&lt;&gt;"","Void",IF(OR(B393="",E393=""),"Needs child",IF(D393="","Needs level","OK"))))</f>
        <v/>
      </c>
    </row>
    <row r="394">
      <c r="A394" s="6" t="n"/>
      <c r="B394" s="6" t="n"/>
      <c r="C394" s="6" t="n"/>
      <c r="D394" s="11">
        <f>IF(C394="","",IFERROR(INDEX(Levels!$A$2:$A$30,MATCH(C394,Levels!$B$2:$B$30,0)),""))</f>
        <v/>
      </c>
      <c r="E394" s="10">
        <f>IF(B394="","",IFERROR(INDEX(Roster!$A$2:$A$600,MATCH(B394,Roster!$E$2:$E$600,0)),""))</f>
        <v/>
      </c>
      <c r="F394" s="10">
        <f>IF(C394="","",IFERROR(INDEX(Levels!$C$2:$C$30,MATCH(C394,Levels!$B$2:$B$30,0)),""))</f>
        <v/>
      </c>
      <c r="G394" s="6" t="n"/>
      <c r="H394" s="10">
        <f>IF(AND(B394="",C394=""),"",IF(G394&lt;&gt;"","Void",IF(OR(B394="",E394=""),"Needs child",IF(D394="","Needs level","OK"))))</f>
        <v/>
      </c>
    </row>
    <row r="395">
      <c r="A395" s="6" t="n"/>
      <c r="B395" s="6" t="n"/>
      <c r="C395" s="6" t="n"/>
      <c r="D395" s="11">
        <f>IF(C395="","",IFERROR(INDEX(Levels!$A$2:$A$30,MATCH(C395,Levels!$B$2:$B$30,0)),""))</f>
        <v/>
      </c>
      <c r="E395" s="10">
        <f>IF(B395="","",IFERROR(INDEX(Roster!$A$2:$A$600,MATCH(B395,Roster!$E$2:$E$600,0)),""))</f>
        <v/>
      </c>
      <c r="F395" s="10">
        <f>IF(C395="","",IFERROR(INDEX(Levels!$C$2:$C$30,MATCH(C395,Levels!$B$2:$B$30,0)),""))</f>
        <v/>
      </c>
      <c r="G395" s="6" t="n"/>
      <c r="H395" s="10">
        <f>IF(AND(B395="",C395=""),"",IF(G395&lt;&gt;"","Void",IF(OR(B395="",E395=""),"Needs child",IF(D395="","Needs level","OK"))))</f>
        <v/>
      </c>
    </row>
    <row r="396">
      <c r="A396" s="6" t="n"/>
      <c r="B396" s="6" t="n"/>
      <c r="C396" s="6" t="n"/>
      <c r="D396" s="11">
        <f>IF(C396="","",IFERROR(INDEX(Levels!$A$2:$A$30,MATCH(C396,Levels!$B$2:$B$30,0)),""))</f>
        <v/>
      </c>
      <c r="E396" s="10">
        <f>IF(B396="","",IFERROR(INDEX(Roster!$A$2:$A$600,MATCH(B396,Roster!$E$2:$E$600,0)),""))</f>
        <v/>
      </c>
      <c r="F396" s="10">
        <f>IF(C396="","",IFERROR(INDEX(Levels!$C$2:$C$30,MATCH(C396,Levels!$B$2:$B$30,0)),""))</f>
        <v/>
      </c>
      <c r="G396" s="6" t="n"/>
      <c r="H396" s="10">
        <f>IF(AND(B396="",C396=""),"",IF(G396&lt;&gt;"","Void",IF(OR(B396="",E396=""),"Needs child",IF(D396="","Needs level","OK"))))</f>
        <v/>
      </c>
    </row>
    <row r="397">
      <c r="A397" s="6" t="n"/>
      <c r="B397" s="6" t="n"/>
      <c r="C397" s="6" t="n"/>
      <c r="D397" s="11">
        <f>IF(C397="","",IFERROR(INDEX(Levels!$A$2:$A$30,MATCH(C397,Levels!$B$2:$B$30,0)),""))</f>
        <v/>
      </c>
      <c r="E397" s="10">
        <f>IF(B397="","",IFERROR(INDEX(Roster!$A$2:$A$600,MATCH(B397,Roster!$E$2:$E$600,0)),""))</f>
        <v/>
      </c>
      <c r="F397" s="10">
        <f>IF(C397="","",IFERROR(INDEX(Levels!$C$2:$C$30,MATCH(C397,Levels!$B$2:$B$30,0)),""))</f>
        <v/>
      </c>
      <c r="G397" s="6" t="n"/>
      <c r="H397" s="10">
        <f>IF(AND(B397="",C397=""),"",IF(G397&lt;&gt;"","Void",IF(OR(B397="",E397=""),"Needs child",IF(D397="","Needs level","OK"))))</f>
        <v/>
      </c>
    </row>
    <row r="398">
      <c r="A398" s="6" t="n"/>
      <c r="B398" s="6" t="n"/>
      <c r="C398" s="6" t="n"/>
      <c r="D398" s="11">
        <f>IF(C398="","",IFERROR(INDEX(Levels!$A$2:$A$30,MATCH(C398,Levels!$B$2:$B$30,0)),""))</f>
        <v/>
      </c>
      <c r="E398" s="10">
        <f>IF(B398="","",IFERROR(INDEX(Roster!$A$2:$A$600,MATCH(B398,Roster!$E$2:$E$600,0)),""))</f>
        <v/>
      </c>
      <c r="F398" s="10">
        <f>IF(C398="","",IFERROR(INDEX(Levels!$C$2:$C$30,MATCH(C398,Levels!$B$2:$B$30,0)),""))</f>
        <v/>
      </c>
      <c r="G398" s="6" t="n"/>
      <c r="H398" s="10">
        <f>IF(AND(B398="",C398=""),"",IF(G398&lt;&gt;"","Void",IF(OR(B398="",E398=""),"Needs child",IF(D398="","Needs level","OK"))))</f>
        <v/>
      </c>
    </row>
    <row r="399">
      <c r="A399" s="6" t="n"/>
      <c r="B399" s="6" t="n"/>
      <c r="C399" s="6" t="n"/>
      <c r="D399" s="11">
        <f>IF(C399="","",IFERROR(INDEX(Levels!$A$2:$A$30,MATCH(C399,Levels!$B$2:$B$30,0)),""))</f>
        <v/>
      </c>
      <c r="E399" s="10">
        <f>IF(B399="","",IFERROR(INDEX(Roster!$A$2:$A$600,MATCH(B399,Roster!$E$2:$E$600,0)),""))</f>
        <v/>
      </c>
      <c r="F399" s="10">
        <f>IF(C399="","",IFERROR(INDEX(Levels!$C$2:$C$30,MATCH(C399,Levels!$B$2:$B$30,0)),""))</f>
        <v/>
      </c>
      <c r="G399" s="6" t="n"/>
      <c r="H399" s="10">
        <f>IF(AND(B399="",C399=""),"",IF(G399&lt;&gt;"","Void",IF(OR(B399="",E399=""),"Needs child",IF(D399="","Needs level","OK"))))</f>
        <v/>
      </c>
    </row>
    <row r="400">
      <c r="A400" s="6" t="n"/>
      <c r="B400" s="6" t="n"/>
      <c r="C400" s="6" t="n"/>
      <c r="D400" s="11">
        <f>IF(C400="","",IFERROR(INDEX(Levels!$A$2:$A$30,MATCH(C400,Levels!$B$2:$B$30,0)),""))</f>
        <v/>
      </c>
      <c r="E400" s="10">
        <f>IF(B400="","",IFERROR(INDEX(Roster!$A$2:$A$600,MATCH(B400,Roster!$E$2:$E$600,0)),""))</f>
        <v/>
      </c>
      <c r="F400" s="10">
        <f>IF(C400="","",IFERROR(INDEX(Levels!$C$2:$C$30,MATCH(C400,Levels!$B$2:$B$30,0)),""))</f>
        <v/>
      </c>
      <c r="G400" s="6" t="n"/>
      <c r="H400" s="10">
        <f>IF(AND(B400="",C400=""),"",IF(G400&lt;&gt;"","Void",IF(OR(B400="",E400=""),"Needs child",IF(D400="","Needs level","OK"))))</f>
        <v/>
      </c>
    </row>
    <row r="401">
      <c r="A401" s="6" t="n"/>
      <c r="B401" s="6" t="n"/>
      <c r="C401" s="6" t="n"/>
      <c r="D401" s="11">
        <f>IF(C401="","",IFERROR(INDEX(Levels!$A$2:$A$30,MATCH(C401,Levels!$B$2:$B$30,0)),""))</f>
        <v/>
      </c>
      <c r="E401" s="10">
        <f>IF(B401="","",IFERROR(INDEX(Roster!$A$2:$A$600,MATCH(B401,Roster!$E$2:$E$600,0)),""))</f>
        <v/>
      </c>
      <c r="F401" s="10">
        <f>IF(C401="","",IFERROR(INDEX(Levels!$C$2:$C$30,MATCH(C401,Levels!$B$2:$B$30,0)),""))</f>
        <v/>
      </c>
      <c r="G401" s="6" t="n"/>
      <c r="H401" s="10">
        <f>IF(AND(B401="",C401=""),"",IF(G401&lt;&gt;"","Void",IF(OR(B401="",E401=""),"Needs child",IF(D401="","Needs level","OK"))))</f>
        <v/>
      </c>
    </row>
    <row r="402">
      <c r="A402" s="6" t="n"/>
      <c r="B402" s="6" t="n"/>
      <c r="C402" s="6" t="n"/>
      <c r="D402" s="11">
        <f>IF(C402="","",IFERROR(INDEX(Levels!$A$2:$A$30,MATCH(C402,Levels!$B$2:$B$30,0)),""))</f>
        <v/>
      </c>
      <c r="E402" s="10">
        <f>IF(B402="","",IFERROR(INDEX(Roster!$A$2:$A$600,MATCH(B402,Roster!$E$2:$E$600,0)),""))</f>
        <v/>
      </c>
      <c r="F402" s="10">
        <f>IF(C402="","",IFERROR(INDEX(Levels!$C$2:$C$30,MATCH(C402,Levels!$B$2:$B$30,0)),""))</f>
        <v/>
      </c>
      <c r="G402" s="6" t="n"/>
      <c r="H402" s="10">
        <f>IF(AND(B402="",C402=""),"",IF(G402&lt;&gt;"","Void",IF(OR(B402="",E402=""),"Needs child",IF(D402="","Needs level","OK"))))</f>
        <v/>
      </c>
    </row>
    <row r="403">
      <c r="A403" s="6" t="n"/>
      <c r="B403" s="6" t="n"/>
      <c r="C403" s="6" t="n"/>
      <c r="D403" s="11">
        <f>IF(C403="","",IFERROR(INDEX(Levels!$A$2:$A$30,MATCH(C403,Levels!$B$2:$B$30,0)),""))</f>
        <v/>
      </c>
      <c r="E403" s="10">
        <f>IF(B403="","",IFERROR(INDEX(Roster!$A$2:$A$600,MATCH(B403,Roster!$E$2:$E$600,0)),""))</f>
        <v/>
      </c>
      <c r="F403" s="10">
        <f>IF(C403="","",IFERROR(INDEX(Levels!$C$2:$C$30,MATCH(C403,Levels!$B$2:$B$30,0)),""))</f>
        <v/>
      </c>
      <c r="G403" s="6" t="n"/>
      <c r="H403" s="10">
        <f>IF(AND(B403="",C403=""),"",IF(G403&lt;&gt;"","Void",IF(OR(B403="",E403=""),"Needs child",IF(D403="","Needs level","OK"))))</f>
        <v/>
      </c>
    </row>
    <row r="404">
      <c r="A404" s="6" t="n"/>
      <c r="B404" s="6" t="n"/>
      <c r="C404" s="6" t="n"/>
      <c r="D404" s="11">
        <f>IF(C404="","",IFERROR(INDEX(Levels!$A$2:$A$30,MATCH(C404,Levels!$B$2:$B$30,0)),""))</f>
        <v/>
      </c>
      <c r="E404" s="10">
        <f>IF(B404="","",IFERROR(INDEX(Roster!$A$2:$A$600,MATCH(B404,Roster!$E$2:$E$600,0)),""))</f>
        <v/>
      </c>
      <c r="F404" s="10">
        <f>IF(C404="","",IFERROR(INDEX(Levels!$C$2:$C$30,MATCH(C404,Levels!$B$2:$B$30,0)),""))</f>
        <v/>
      </c>
      <c r="G404" s="6" t="n"/>
      <c r="H404" s="10">
        <f>IF(AND(B404="",C404=""),"",IF(G404&lt;&gt;"","Void",IF(OR(B404="",E404=""),"Needs child",IF(D404="","Needs level","OK"))))</f>
        <v/>
      </c>
    </row>
    <row r="405">
      <c r="A405" s="6" t="n"/>
      <c r="B405" s="6" t="n"/>
      <c r="C405" s="6" t="n"/>
      <c r="D405" s="11">
        <f>IF(C405="","",IFERROR(INDEX(Levels!$A$2:$A$30,MATCH(C405,Levels!$B$2:$B$30,0)),""))</f>
        <v/>
      </c>
      <c r="E405" s="10">
        <f>IF(B405="","",IFERROR(INDEX(Roster!$A$2:$A$600,MATCH(B405,Roster!$E$2:$E$600,0)),""))</f>
        <v/>
      </c>
      <c r="F405" s="10">
        <f>IF(C405="","",IFERROR(INDEX(Levels!$C$2:$C$30,MATCH(C405,Levels!$B$2:$B$30,0)),""))</f>
        <v/>
      </c>
      <c r="G405" s="6" t="n"/>
      <c r="H405" s="10">
        <f>IF(AND(B405="",C405=""),"",IF(G405&lt;&gt;"","Void",IF(OR(B405="",E405=""),"Needs child",IF(D405="","Needs level","OK"))))</f>
        <v/>
      </c>
    </row>
    <row r="406">
      <c r="A406" s="6" t="n"/>
      <c r="B406" s="6" t="n"/>
      <c r="C406" s="6" t="n"/>
      <c r="D406" s="11">
        <f>IF(C406="","",IFERROR(INDEX(Levels!$A$2:$A$30,MATCH(C406,Levels!$B$2:$B$30,0)),""))</f>
        <v/>
      </c>
      <c r="E406" s="10">
        <f>IF(B406="","",IFERROR(INDEX(Roster!$A$2:$A$600,MATCH(B406,Roster!$E$2:$E$600,0)),""))</f>
        <v/>
      </c>
      <c r="F406" s="10">
        <f>IF(C406="","",IFERROR(INDEX(Levels!$C$2:$C$30,MATCH(C406,Levels!$B$2:$B$30,0)),""))</f>
        <v/>
      </c>
      <c r="G406" s="6" t="n"/>
      <c r="H406" s="10">
        <f>IF(AND(B406="",C406=""),"",IF(G406&lt;&gt;"","Void",IF(OR(B406="",E406=""),"Needs child",IF(D406="","Needs level","OK"))))</f>
        <v/>
      </c>
    </row>
    <row r="407">
      <c r="A407" s="6" t="n"/>
      <c r="B407" s="6" t="n"/>
      <c r="C407" s="6" t="n"/>
      <c r="D407" s="11">
        <f>IF(C407="","",IFERROR(INDEX(Levels!$A$2:$A$30,MATCH(C407,Levels!$B$2:$B$30,0)),""))</f>
        <v/>
      </c>
      <c r="E407" s="10">
        <f>IF(B407="","",IFERROR(INDEX(Roster!$A$2:$A$600,MATCH(B407,Roster!$E$2:$E$600,0)),""))</f>
        <v/>
      </c>
      <c r="F407" s="10">
        <f>IF(C407="","",IFERROR(INDEX(Levels!$C$2:$C$30,MATCH(C407,Levels!$B$2:$B$30,0)),""))</f>
        <v/>
      </c>
      <c r="G407" s="6" t="n"/>
      <c r="H407" s="10">
        <f>IF(AND(B407="",C407=""),"",IF(G407&lt;&gt;"","Void",IF(OR(B407="",E407=""),"Needs child",IF(D407="","Needs level","OK"))))</f>
        <v/>
      </c>
    </row>
    <row r="408">
      <c r="A408" s="6" t="n"/>
      <c r="B408" s="6" t="n"/>
      <c r="C408" s="6" t="n"/>
      <c r="D408" s="11">
        <f>IF(C408="","",IFERROR(INDEX(Levels!$A$2:$A$30,MATCH(C408,Levels!$B$2:$B$30,0)),""))</f>
        <v/>
      </c>
      <c r="E408" s="10">
        <f>IF(B408="","",IFERROR(INDEX(Roster!$A$2:$A$600,MATCH(B408,Roster!$E$2:$E$600,0)),""))</f>
        <v/>
      </c>
      <c r="F408" s="10">
        <f>IF(C408="","",IFERROR(INDEX(Levels!$C$2:$C$30,MATCH(C408,Levels!$B$2:$B$30,0)),""))</f>
        <v/>
      </c>
      <c r="G408" s="6" t="n"/>
      <c r="H408" s="10">
        <f>IF(AND(B408="",C408=""),"",IF(G408&lt;&gt;"","Void",IF(OR(B408="",E408=""),"Needs child",IF(D408="","Needs level","OK"))))</f>
        <v/>
      </c>
    </row>
    <row r="409">
      <c r="A409" s="6" t="n"/>
      <c r="B409" s="6" t="n"/>
      <c r="C409" s="6" t="n"/>
      <c r="D409" s="11">
        <f>IF(C409="","",IFERROR(INDEX(Levels!$A$2:$A$30,MATCH(C409,Levels!$B$2:$B$30,0)),""))</f>
        <v/>
      </c>
      <c r="E409" s="10">
        <f>IF(B409="","",IFERROR(INDEX(Roster!$A$2:$A$600,MATCH(B409,Roster!$E$2:$E$600,0)),""))</f>
        <v/>
      </c>
      <c r="F409" s="10">
        <f>IF(C409="","",IFERROR(INDEX(Levels!$C$2:$C$30,MATCH(C409,Levels!$B$2:$B$30,0)),""))</f>
        <v/>
      </c>
      <c r="G409" s="6" t="n"/>
      <c r="H409" s="10">
        <f>IF(AND(B409="",C409=""),"",IF(G409&lt;&gt;"","Void",IF(OR(B409="",E409=""),"Needs child",IF(D409="","Needs level","OK"))))</f>
        <v/>
      </c>
    </row>
    <row r="410">
      <c r="A410" s="6" t="n"/>
      <c r="B410" s="6" t="n"/>
      <c r="C410" s="6" t="n"/>
      <c r="D410" s="11">
        <f>IF(C410="","",IFERROR(INDEX(Levels!$A$2:$A$30,MATCH(C410,Levels!$B$2:$B$30,0)),""))</f>
        <v/>
      </c>
      <c r="E410" s="10">
        <f>IF(B410="","",IFERROR(INDEX(Roster!$A$2:$A$600,MATCH(B410,Roster!$E$2:$E$600,0)),""))</f>
        <v/>
      </c>
      <c r="F410" s="10">
        <f>IF(C410="","",IFERROR(INDEX(Levels!$C$2:$C$30,MATCH(C410,Levels!$B$2:$B$30,0)),""))</f>
        <v/>
      </c>
      <c r="G410" s="6" t="n"/>
      <c r="H410" s="10">
        <f>IF(AND(B410="",C410=""),"",IF(G410&lt;&gt;"","Void",IF(OR(B410="",E410=""),"Needs child",IF(D410="","Needs level","OK"))))</f>
        <v/>
      </c>
    </row>
    <row r="411">
      <c r="A411" s="6" t="n"/>
      <c r="B411" s="6" t="n"/>
      <c r="C411" s="6" t="n"/>
      <c r="D411" s="11">
        <f>IF(C411="","",IFERROR(INDEX(Levels!$A$2:$A$30,MATCH(C411,Levels!$B$2:$B$30,0)),""))</f>
        <v/>
      </c>
      <c r="E411" s="10">
        <f>IF(B411="","",IFERROR(INDEX(Roster!$A$2:$A$600,MATCH(B411,Roster!$E$2:$E$600,0)),""))</f>
        <v/>
      </c>
      <c r="F411" s="10">
        <f>IF(C411="","",IFERROR(INDEX(Levels!$C$2:$C$30,MATCH(C411,Levels!$B$2:$B$30,0)),""))</f>
        <v/>
      </c>
      <c r="G411" s="6" t="n"/>
      <c r="H411" s="10">
        <f>IF(AND(B411="",C411=""),"",IF(G411&lt;&gt;"","Void",IF(OR(B411="",E411=""),"Needs child",IF(D411="","Needs level","OK"))))</f>
        <v/>
      </c>
    </row>
    <row r="412">
      <c r="A412" s="6" t="n"/>
      <c r="B412" s="6" t="n"/>
      <c r="C412" s="6" t="n"/>
      <c r="D412" s="11">
        <f>IF(C412="","",IFERROR(INDEX(Levels!$A$2:$A$30,MATCH(C412,Levels!$B$2:$B$30,0)),""))</f>
        <v/>
      </c>
      <c r="E412" s="10">
        <f>IF(B412="","",IFERROR(INDEX(Roster!$A$2:$A$600,MATCH(B412,Roster!$E$2:$E$600,0)),""))</f>
        <v/>
      </c>
      <c r="F412" s="10">
        <f>IF(C412="","",IFERROR(INDEX(Levels!$C$2:$C$30,MATCH(C412,Levels!$B$2:$B$30,0)),""))</f>
        <v/>
      </c>
      <c r="G412" s="6" t="n"/>
      <c r="H412" s="10">
        <f>IF(AND(B412="",C412=""),"",IF(G412&lt;&gt;"","Void",IF(OR(B412="",E412=""),"Needs child",IF(D412="","Needs level","OK"))))</f>
        <v/>
      </c>
    </row>
    <row r="413">
      <c r="A413" s="6" t="n"/>
      <c r="B413" s="6" t="n"/>
      <c r="C413" s="6" t="n"/>
      <c r="D413" s="11">
        <f>IF(C413="","",IFERROR(INDEX(Levels!$A$2:$A$30,MATCH(C413,Levels!$B$2:$B$30,0)),""))</f>
        <v/>
      </c>
      <c r="E413" s="10">
        <f>IF(B413="","",IFERROR(INDEX(Roster!$A$2:$A$600,MATCH(B413,Roster!$E$2:$E$600,0)),""))</f>
        <v/>
      </c>
      <c r="F413" s="10">
        <f>IF(C413="","",IFERROR(INDEX(Levels!$C$2:$C$30,MATCH(C413,Levels!$B$2:$B$30,0)),""))</f>
        <v/>
      </c>
      <c r="G413" s="6" t="n"/>
      <c r="H413" s="10">
        <f>IF(AND(B413="",C413=""),"",IF(G413&lt;&gt;"","Void",IF(OR(B413="",E413=""),"Needs child",IF(D413="","Needs level","OK"))))</f>
        <v/>
      </c>
    </row>
    <row r="414">
      <c r="A414" s="6" t="n"/>
      <c r="B414" s="6" t="n"/>
      <c r="C414" s="6" t="n"/>
      <c r="D414" s="11">
        <f>IF(C414="","",IFERROR(INDEX(Levels!$A$2:$A$30,MATCH(C414,Levels!$B$2:$B$30,0)),""))</f>
        <v/>
      </c>
      <c r="E414" s="10">
        <f>IF(B414="","",IFERROR(INDEX(Roster!$A$2:$A$600,MATCH(B414,Roster!$E$2:$E$600,0)),""))</f>
        <v/>
      </c>
      <c r="F414" s="10">
        <f>IF(C414="","",IFERROR(INDEX(Levels!$C$2:$C$30,MATCH(C414,Levels!$B$2:$B$30,0)),""))</f>
        <v/>
      </c>
      <c r="G414" s="6" t="n"/>
      <c r="H414" s="10">
        <f>IF(AND(B414="",C414=""),"",IF(G414&lt;&gt;"","Void",IF(OR(B414="",E414=""),"Needs child",IF(D414="","Needs level","OK"))))</f>
        <v/>
      </c>
    </row>
    <row r="415">
      <c r="A415" s="6" t="n"/>
      <c r="B415" s="6" t="n"/>
      <c r="C415" s="6" t="n"/>
      <c r="D415" s="11">
        <f>IF(C415="","",IFERROR(INDEX(Levels!$A$2:$A$30,MATCH(C415,Levels!$B$2:$B$30,0)),""))</f>
        <v/>
      </c>
      <c r="E415" s="10">
        <f>IF(B415="","",IFERROR(INDEX(Roster!$A$2:$A$600,MATCH(B415,Roster!$E$2:$E$600,0)),""))</f>
        <v/>
      </c>
      <c r="F415" s="10">
        <f>IF(C415="","",IFERROR(INDEX(Levels!$C$2:$C$30,MATCH(C415,Levels!$B$2:$B$30,0)),""))</f>
        <v/>
      </c>
      <c r="G415" s="6" t="n"/>
      <c r="H415" s="10">
        <f>IF(AND(B415="",C415=""),"",IF(G415&lt;&gt;"","Void",IF(OR(B415="",E415=""),"Needs child",IF(D415="","Needs level","OK"))))</f>
        <v/>
      </c>
    </row>
    <row r="416">
      <c r="A416" s="6" t="n"/>
      <c r="B416" s="6" t="n"/>
      <c r="C416" s="6" t="n"/>
      <c r="D416" s="11">
        <f>IF(C416="","",IFERROR(INDEX(Levels!$A$2:$A$30,MATCH(C416,Levels!$B$2:$B$30,0)),""))</f>
        <v/>
      </c>
      <c r="E416" s="10">
        <f>IF(B416="","",IFERROR(INDEX(Roster!$A$2:$A$600,MATCH(B416,Roster!$E$2:$E$600,0)),""))</f>
        <v/>
      </c>
      <c r="F416" s="10">
        <f>IF(C416="","",IFERROR(INDEX(Levels!$C$2:$C$30,MATCH(C416,Levels!$B$2:$B$30,0)),""))</f>
        <v/>
      </c>
      <c r="G416" s="6" t="n"/>
      <c r="H416" s="10">
        <f>IF(AND(B416="",C416=""),"",IF(G416&lt;&gt;"","Void",IF(OR(B416="",E416=""),"Needs child",IF(D416="","Needs level","OK"))))</f>
        <v/>
      </c>
    </row>
    <row r="417">
      <c r="A417" s="6" t="n"/>
      <c r="B417" s="6" t="n"/>
      <c r="C417" s="6" t="n"/>
      <c r="D417" s="11">
        <f>IF(C417="","",IFERROR(INDEX(Levels!$A$2:$A$30,MATCH(C417,Levels!$B$2:$B$30,0)),""))</f>
        <v/>
      </c>
      <c r="E417" s="10">
        <f>IF(B417="","",IFERROR(INDEX(Roster!$A$2:$A$600,MATCH(B417,Roster!$E$2:$E$600,0)),""))</f>
        <v/>
      </c>
      <c r="F417" s="10">
        <f>IF(C417="","",IFERROR(INDEX(Levels!$C$2:$C$30,MATCH(C417,Levels!$B$2:$B$30,0)),""))</f>
        <v/>
      </c>
      <c r="G417" s="6" t="n"/>
      <c r="H417" s="10">
        <f>IF(AND(B417="",C417=""),"",IF(G417&lt;&gt;"","Void",IF(OR(B417="",E417=""),"Needs child",IF(D417="","Needs level","OK"))))</f>
        <v/>
      </c>
    </row>
    <row r="418">
      <c r="A418" s="6" t="n"/>
      <c r="B418" s="6" t="n"/>
      <c r="C418" s="6" t="n"/>
      <c r="D418" s="11">
        <f>IF(C418="","",IFERROR(INDEX(Levels!$A$2:$A$30,MATCH(C418,Levels!$B$2:$B$30,0)),""))</f>
        <v/>
      </c>
      <c r="E418" s="10">
        <f>IF(B418="","",IFERROR(INDEX(Roster!$A$2:$A$600,MATCH(B418,Roster!$E$2:$E$600,0)),""))</f>
        <v/>
      </c>
      <c r="F418" s="10">
        <f>IF(C418="","",IFERROR(INDEX(Levels!$C$2:$C$30,MATCH(C418,Levels!$B$2:$B$30,0)),""))</f>
        <v/>
      </c>
      <c r="G418" s="6" t="n"/>
      <c r="H418" s="10">
        <f>IF(AND(B418="",C418=""),"",IF(G418&lt;&gt;"","Void",IF(OR(B418="",E418=""),"Needs child",IF(D418="","Needs level","OK"))))</f>
        <v/>
      </c>
    </row>
    <row r="419">
      <c r="A419" s="6" t="n"/>
      <c r="B419" s="6" t="n"/>
      <c r="C419" s="6" t="n"/>
      <c r="D419" s="11">
        <f>IF(C419="","",IFERROR(INDEX(Levels!$A$2:$A$30,MATCH(C419,Levels!$B$2:$B$30,0)),""))</f>
        <v/>
      </c>
      <c r="E419" s="10">
        <f>IF(B419="","",IFERROR(INDEX(Roster!$A$2:$A$600,MATCH(B419,Roster!$E$2:$E$600,0)),""))</f>
        <v/>
      </c>
      <c r="F419" s="10">
        <f>IF(C419="","",IFERROR(INDEX(Levels!$C$2:$C$30,MATCH(C419,Levels!$B$2:$B$30,0)),""))</f>
        <v/>
      </c>
      <c r="G419" s="6" t="n"/>
      <c r="H419" s="10">
        <f>IF(AND(B419="",C419=""),"",IF(G419&lt;&gt;"","Void",IF(OR(B419="",E419=""),"Needs child",IF(D419="","Needs level","OK"))))</f>
        <v/>
      </c>
    </row>
    <row r="420">
      <c r="A420" s="6" t="n"/>
      <c r="B420" s="6" t="n"/>
      <c r="C420" s="6" t="n"/>
      <c r="D420" s="11">
        <f>IF(C420="","",IFERROR(INDEX(Levels!$A$2:$A$30,MATCH(C420,Levels!$B$2:$B$30,0)),""))</f>
        <v/>
      </c>
      <c r="E420" s="10">
        <f>IF(B420="","",IFERROR(INDEX(Roster!$A$2:$A$600,MATCH(B420,Roster!$E$2:$E$600,0)),""))</f>
        <v/>
      </c>
      <c r="F420" s="10">
        <f>IF(C420="","",IFERROR(INDEX(Levels!$C$2:$C$30,MATCH(C420,Levels!$B$2:$B$30,0)),""))</f>
        <v/>
      </c>
      <c r="G420" s="6" t="n"/>
      <c r="H420" s="10">
        <f>IF(AND(B420="",C420=""),"",IF(G420&lt;&gt;"","Void",IF(OR(B420="",E420=""),"Needs child",IF(D420="","Needs level","OK"))))</f>
        <v/>
      </c>
    </row>
    <row r="421">
      <c r="A421" s="6" t="n"/>
      <c r="B421" s="6" t="n"/>
      <c r="C421" s="6" t="n"/>
      <c r="D421" s="11">
        <f>IF(C421="","",IFERROR(INDEX(Levels!$A$2:$A$30,MATCH(C421,Levels!$B$2:$B$30,0)),""))</f>
        <v/>
      </c>
      <c r="E421" s="10">
        <f>IF(B421="","",IFERROR(INDEX(Roster!$A$2:$A$600,MATCH(B421,Roster!$E$2:$E$600,0)),""))</f>
        <v/>
      </c>
      <c r="F421" s="10">
        <f>IF(C421="","",IFERROR(INDEX(Levels!$C$2:$C$30,MATCH(C421,Levels!$B$2:$B$30,0)),""))</f>
        <v/>
      </c>
      <c r="G421" s="6" t="n"/>
      <c r="H421" s="10">
        <f>IF(AND(B421="",C421=""),"",IF(G421&lt;&gt;"","Void",IF(OR(B421="",E421=""),"Needs child",IF(D421="","Needs level","OK"))))</f>
        <v/>
      </c>
    </row>
    <row r="422">
      <c r="A422" s="6" t="n"/>
      <c r="B422" s="6" t="n"/>
      <c r="C422" s="6" t="n"/>
      <c r="D422" s="11">
        <f>IF(C422="","",IFERROR(INDEX(Levels!$A$2:$A$30,MATCH(C422,Levels!$B$2:$B$30,0)),""))</f>
        <v/>
      </c>
      <c r="E422" s="10">
        <f>IF(B422="","",IFERROR(INDEX(Roster!$A$2:$A$600,MATCH(B422,Roster!$E$2:$E$600,0)),""))</f>
        <v/>
      </c>
      <c r="F422" s="10">
        <f>IF(C422="","",IFERROR(INDEX(Levels!$C$2:$C$30,MATCH(C422,Levels!$B$2:$B$30,0)),""))</f>
        <v/>
      </c>
      <c r="G422" s="6" t="n"/>
      <c r="H422" s="10">
        <f>IF(AND(B422="",C422=""),"",IF(G422&lt;&gt;"","Void",IF(OR(B422="",E422=""),"Needs child",IF(D422="","Needs level","OK"))))</f>
        <v/>
      </c>
    </row>
    <row r="423">
      <c r="A423" s="6" t="n"/>
      <c r="B423" s="6" t="n"/>
      <c r="C423" s="6" t="n"/>
      <c r="D423" s="11">
        <f>IF(C423="","",IFERROR(INDEX(Levels!$A$2:$A$30,MATCH(C423,Levels!$B$2:$B$30,0)),""))</f>
        <v/>
      </c>
      <c r="E423" s="10">
        <f>IF(B423="","",IFERROR(INDEX(Roster!$A$2:$A$600,MATCH(B423,Roster!$E$2:$E$600,0)),""))</f>
        <v/>
      </c>
      <c r="F423" s="10">
        <f>IF(C423="","",IFERROR(INDEX(Levels!$C$2:$C$30,MATCH(C423,Levels!$B$2:$B$30,0)),""))</f>
        <v/>
      </c>
      <c r="G423" s="6" t="n"/>
      <c r="H423" s="10">
        <f>IF(AND(B423="",C423=""),"",IF(G423&lt;&gt;"","Void",IF(OR(B423="",E423=""),"Needs child",IF(D423="","Needs level","OK"))))</f>
        <v/>
      </c>
    </row>
    <row r="424">
      <c r="A424" s="6" t="n"/>
      <c r="B424" s="6" t="n"/>
      <c r="C424" s="6" t="n"/>
      <c r="D424" s="11">
        <f>IF(C424="","",IFERROR(INDEX(Levels!$A$2:$A$30,MATCH(C424,Levels!$B$2:$B$30,0)),""))</f>
        <v/>
      </c>
      <c r="E424" s="10">
        <f>IF(B424="","",IFERROR(INDEX(Roster!$A$2:$A$600,MATCH(B424,Roster!$E$2:$E$600,0)),""))</f>
        <v/>
      </c>
      <c r="F424" s="10">
        <f>IF(C424="","",IFERROR(INDEX(Levels!$C$2:$C$30,MATCH(C424,Levels!$B$2:$B$30,0)),""))</f>
        <v/>
      </c>
      <c r="G424" s="6" t="n"/>
      <c r="H424" s="10">
        <f>IF(AND(B424="",C424=""),"",IF(G424&lt;&gt;"","Void",IF(OR(B424="",E424=""),"Needs child",IF(D424="","Needs level","OK"))))</f>
        <v/>
      </c>
    </row>
    <row r="425">
      <c r="A425" s="6" t="n"/>
      <c r="B425" s="6" t="n"/>
      <c r="C425" s="6" t="n"/>
      <c r="D425" s="11">
        <f>IF(C425="","",IFERROR(INDEX(Levels!$A$2:$A$30,MATCH(C425,Levels!$B$2:$B$30,0)),""))</f>
        <v/>
      </c>
      <c r="E425" s="10">
        <f>IF(B425="","",IFERROR(INDEX(Roster!$A$2:$A$600,MATCH(B425,Roster!$E$2:$E$600,0)),""))</f>
        <v/>
      </c>
      <c r="F425" s="10">
        <f>IF(C425="","",IFERROR(INDEX(Levels!$C$2:$C$30,MATCH(C425,Levels!$B$2:$B$30,0)),""))</f>
        <v/>
      </c>
      <c r="G425" s="6" t="n"/>
      <c r="H425" s="10">
        <f>IF(AND(B425="",C425=""),"",IF(G425&lt;&gt;"","Void",IF(OR(B425="",E425=""),"Needs child",IF(D425="","Needs level","OK"))))</f>
        <v/>
      </c>
    </row>
    <row r="426">
      <c r="A426" s="6" t="n"/>
      <c r="B426" s="6" t="n"/>
      <c r="C426" s="6" t="n"/>
      <c r="D426" s="11">
        <f>IF(C426="","",IFERROR(INDEX(Levels!$A$2:$A$30,MATCH(C426,Levels!$B$2:$B$30,0)),""))</f>
        <v/>
      </c>
      <c r="E426" s="10">
        <f>IF(B426="","",IFERROR(INDEX(Roster!$A$2:$A$600,MATCH(B426,Roster!$E$2:$E$600,0)),""))</f>
        <v/>
      </c>
      <c r="F426" s="10">
        <f>IF(C426="","",IFERROR(INDEX(Levels!$C$2:$C$30,MATCH(C426,Levels!$B$2:$B$30,0)),""))</f>
        <v/>
      </c>
      <c r="G426" s="6" t="n"/>
      <c r="H426" s="10">
        <f>IF(AND(B426="",C426=""),"",IF(G426&lt;&gt;"","Void",IF(OR(B426="",E426=""),"Needs child",IF(D426="","Needs level","OK"))))</f>
        <v/>
      </c>
    </row>
    <row r="427">
      <c r="A427" s="6" t="n"/>
      <c r="B427" s="6" t="n"/>
      <c r="C427" s="6" t="n"/>
      <c r="D427" s="11">
        <f>IF(C427="","",IFERROR(INDEX(Levels!$A$2:$A$30,MATCH(C427,Levels!$B$2:$B$30,0)),""))</f>
        <v/>
      </c>
      <c r="E427" s="10">
        <f>IF(B427="","",IFERROR(INDEX(Roster!$A$2:$A$600,MATCH(B427,Roster!$E$2:$E$600,0)),""))</f>
        <v/>
      </c>
      <c r="F427" s="10">
        <f>IF(C427="","",IFERROR(INDEX(Levels!$C$2:$C$30,MATCH(C427,Levels!$B$2:$B$30,0)),""))</f>
        <v/>
      </c>
      <c r="G427" s="6" t="n"/>
      <c r="H427" s="10">
        <f>IF(AND(B427="",C427=""),"",IF(G427&lt;&gt;"","Void",IF(OR(B427="",E427=""),"Needs child",IF(D427="","Needs level","OK"))))</f>
        <v/>
      </c>
    </row>
    <row r="428">
      <c r="A428" s="6" t="n"/>
      <c r="B428" s="6" t="n"/>
      <c r="C428" s="6" t="n"/>
      <c r="D428" s="11">
        <f>IF(C428="","",IFERROR(INDEX(Levels!$A$2:$A$30,MATCH(C428,Levels!$B$2:$B$30,0)),""))</f>
        <v/>
      </c>
      <c r="E428" s="10">
        <f>IF(B428="","",IFERROR(INDEX(Roster!$A$2:$A$600,MATCH(B428,Roster!$E$2:$E$600,0)),""))</f>
        <v/>
      </c>
      <c r="F428" s="10">
        <f>IF(C428="","",IFERROR(INDEX(Levels!$C$2:$C$30,MATCH(C428,Levels!$B$2:$B$30,0)),""))</f>
        <v/>
      </c>
      <c r="G428" s="6" t="n"/>
      <c r="H428" s="10">
        <f>IF(AND(B428="",C428=""),"",IF(G428&lt;&gt;"","Void",IF(OR(B428="",E428=""),"Needs child",IF(D428="","Needs level","OK"))))</f>
        <v/>
      </c>
    </row>
    <row r="429">
      <c r="A429" s="6" t="n"/>
      <c r="B429" s="6" t="n"/>
      <c r="C429" s="6" t="n"/>
      <c r="D429" s="11">
        <f>IF(C429="","",IFERROR(INDEX(Levels!$A$2:$A$30,MATCH(C429,Levels!$B$2:$B$30,0)),""))</f>
        <v/>
      </c>
      <c r="E429" s="10">
        <f>IF(B429="","",IFERROR(INDEX(Roster!$A$2:$A$600,MATCH(B429,Roster!$E$2:$E$600,0)),""))</f>
        <v/>
      </c>
      <c r="F429" s="10">
        <f>IF(C429="","",IFERROR(INDEX(Levels!$C$2:$C$30,MATCH(C429,Levels!$B$2:$B$30,0)),""))</f>
        <v/>
      </c>
      <c r="G429" s="6" t="n"/>
      <c r="H429" s="10">
        <f>IF(AND(B429="",C429=""),"",IF(G429&lt;&gt;"","Void",IF(OR(B429="",E429=""),"Needs child",IF(D429="","Needs level","OK"))))</f>
        <v/>
      </c>
    </row>
    <row r="430">
      <c r="A430" s="6" t="n"/>
      <c r="B430" s="6" t="n"/>
      <c r="C430" s="6" t="n"/>
      <c r="D430" s="11">
        <f>IF(C430="","",IFERROR(INDEX(Levels!$A$2:$A$30,MATCH(C430,Levels!$B$2:$B$30,0)),""))</f>
        <v/>
      </c>
      <c r="E430" s="10">
        <f>IF(B430="","",IFERROR(INDEX(Roster!$A$2:$A$600,MATCH(B430,Roster!$E$2:$E$600,0)),""))</f>
        <v/>
      </c>
      <c r="F430" s="10">
        <f>IF(C430="","",IFERROR(INDEX(Levels!$C$2:$C$30,MATCH(C430,Levels!$B$2:$B$30,0)),""))</f>
        <v/>
      </c>
      <c r="G430" s="6" t="n"/>
      <c r="H430" s="10">
        <f>IF(AND(B430="",C430=""),"",IF(G430&lt;&gt;"","Void",IF(OR(B430="",E430=""),"Needs child",IF(D430="","Needs level","OK"))))</f>
        <v/>
      </c>
    </row>
    <row r="431">
      <c r="A431" s="6" t="n"/>
      <c r="B431" s="6" t="n"/>
      <c r="C431" s="6" t="n"/>
      <c r="D431" s="11">
        <f>IF(C431="","",IFERROR(INDEX(Levels!$A$2:$A$30,MATCH(C431,Levels!$B$2:$B$30,0)),""))</f>
        <v/>
      </c>
      <c r="E431" s="10">
        <f>IF(B431="","",IFERROR(INDEX(Roster!$A$2:$A$600,MATCH(B431,Roster!$E$2:$E$600,0)),""))</f>
        <v/>
      </c>
      <c r="F431" s="10">
        <f>IF(C431="","",IFERROR(INDEX(Levels!$C$2:$C$30,MATCH(C431,Levels!$B$2:$B$30,0)),""))</f>
        <v/>
      </c>
      <c r="G431" s="6" t="n"/>
      <c r="H431" s="10">
        <f>IF(AND(B431="",C431=""),"",IF(G431&lt;&gt;"","Void",IF(OR(B431="",E431=""),"Needs child",IF(D431="","Needs level","OK"))))</f>
        <v/>
      </c>
    </row>
    <row r="432">
      <c r="A432" s="6" t="n"/>
      <c r="B432" s="6" t="n"/>
      <c r="C432" s="6" t="n"/>
      <c r="D432" s="11">
        <f>IF(C432="","",IFERROR(INDEX(Levels!$A$2:$A$30,MATCH(C432,Levels!$B$2:$B$30,0)),""))</f>
        <v/>
      </c>
      <c r="E432" s="10">
        <f>IF(B432="","",IFERROR(INDEX(Roster!$A$2:$A$600,MATCH(B432,Roster!$E$2:$E$600,0)),""))</f>
        <v/>
      </c>
      <c r="F432" s="10">
        <f>IF(C432="","",IFERROR(INDEX(Levels!$C$2:$C$30,MATCH(C432,Levels!$B$2:$B$30,0)),""))</f>
        <v/>
      </c>
      <c r="G432" s="6" t="n"/>
      <c r="H432" s="10">
        <f>IF(AND(B432="",C432=""),"",IF(G432&lt;&gt;"","Void",IF(OR(B432="",E432=""),"Needs child",IF(D432="","Needs level","OK"))))</f>
        <v/>
      </c>
    </row>
    <row r="433">
      <c r="A433" s="6" t="n"/>
      <c r="B433" s="6" t="n"/>
      <c r="C433" s="6" t="n"/>
      <c r="D433" s="11">
        <f>IF(C433="","",IFERROR(INDEX(Levels!$A$2:$A$30,MATCH(C433,Levels!$B$2:$B$30,0)),""))</f>
        <v/>
      </c>
      <c r="E433" s="10">
        <f>IF(B433="","",IFERROR(INDEX(Roster!$A$2:$A$600,MATCH(B433,Roster!$E$2:$E$600,0)),""))</f>
        <v/>
      </c>
      <c r="F433" s="10">
        <f>IF(C433="","",IFERROR(INDEX(Levels!$C$2:$C$30,MATCH(C433,Levels!$B$2:$B$30,0)),""))</f>
        <v/>
      </c>
      <c r="G433" s="6" t="n"/>
      <c r="H433" s="10">
        <f>IF(AND(B433="",C433=""),"",IF(G433&lt;&gt;"","Void",IF(OR(B433="",E433=""),"Needs child",IF(D433="","Needs level","OK"))))</f>
        <v/>
      </c>
    </row>
    <row r="434">
      <c r="A434" s="6" t="n"/>
      <c r="B434" s="6" t="n"/>
      <c r="C434" s="6" t="n"/>
      <c r="D434" s="11">
        <f>IF(C434="","",IFERROR(INDEX(Levels!$A$2:$A$30,MATCH(C434,Levels!$B$2:$B$30,0)),""))</f>
        <v/>
      </c>
      <c r="E434" s="10">
        <f>IF(B434="","",IFERROR(INDEX(Roster!$A$2:$A$600,MATCH(B434,Roster!$E$2:$E$600,0)),""))</f>
        <v/>
      </c>
      <c r="F434" s="10">
        <f>IF(C434="","",IFERROR(INDEX(Levels!$C$2:$C$30,MATCH(C434,Levels!$B$2:$B$30,0)),""))</f>
        <v/>
      </c>
      <c r="G434" s="6" t="n"/>
      <c r="H434" s="10">
        <f>IF(AND(B434="",C434=""),"",IF(G434&lt;&gt;"","Void",IF(OR(B434="",E434=""),"Needs child",IF(D434="","Needs level","OK"))))</f>
        <v/>
      </c>
    </row>
    <row r="435">
      <c r="A435" s="6" t="n"/>
      <c r="B435" s="6" t="n"/>
      <c r="C435" s="6" t="n"/>
      <c r="D435" s="11">
        <f>IF(C435="","",IFERROR(INDEX(Levels!$A$2:$A$30,MATCH(C435,Levels!$B$2:$B$30,0)),""))</f>
        <v/>
      </c>
      <c r="E435" s="10">
        <f>IF(B435="","",IFERROR(INDEX(Roster!$A$2:$A$600,MATCH(B435,Roster!$E$2:$E$600,0)),""))</f>
        <v/>
      </c>
      <c r="F435" s="10">
        <f>IF(C435="","",IFERROR(INDEX(Levels!$C$2:$C$30,MATCH(C435,Levels!$B$2:$B$30,0)),""))</f>
        <v/>
      </c>
      <c r="G435" s="6" t="n"/>
      <c r="H435" s="10">
        <f>IF(AND(B435="",C435=""),"",IF(G435&lt;&gt;"","Void",IF(OR(B435="",E435=""),"Needs child",IF(D435="","Needs level","OK"))))</f>
        <v/>
      </c>
    </row>
    <row r="436">
      <c r="A436" s="6" t="n"/>
      <c r="B436" s="6" t="n"/>
      <c r="C436" s="6" t="n"/>
      <c r="D436" s="11">
        <f>IF(C436="","",IFERROR(INDEX(Levels!$A$2:$A$30,MATCH(C436,Levels!$B$2:$B$30,0)),""))</f>
        <v/>
      </c>
      <c r="E436" s="10">
        <f>IF(B436="","",IFERROR(INDEX(Roster!$A$2:$A$600,MATCH(B436,Roster!$E$2:$E$600,0)),""))</f>
        <v/>
      </c>
      <c r="F436" s="10">
        <f>IF(C436="","",IFERROR(INDEX(Levels!$C$2:$C$30,MATCH(C436,Levels!$B$2:$B$30,0)),""))</f>
        <v/>
      </c>
      <c r="G436" s="6" t="n"/>
      <c r="H436" s="10">
        <f>IF(AND(B436="",C436=""),"",IF(G436&lt;&gt;"","Void",IF(OR(B436="",E436=""),"Needs child",IF(D436="","Needs level","OK"))))</f>
        <v/>
      </c>
    </row>
    <row r="437">
      <c r="A437" s="6" t="n"/>
      <c r="B437" s="6" t="n"/>
      <c r="C437" s="6" t="n"/>
      <c r="D437" s="11">
        <f>IF(C437="","",IFERROR(INDEX(Levels!$A$2:$A$30,MATCH(C437,Levels!$B$2:$B$30,0)),""))</f>
        <v/>
      </c>
      <c r="E437" s="10">
        <f>IF(B437="","",IFERROR(INDEX(Roster!$A$2:$A$600,MATCH(B437,Roster!$E$2:$E$600,0)),""))</f>
        <v/>
      </c>
      <c r="F437" s="10">
        <f>IF(C437="","",IFERROR(INDEX(Levels!$C$2:$C$30,MATCH(C437,Levels!$B$2:$B$30,0)),""))</f>
        <v/>
      </c>
      <c r="G437" s="6" t="n"/>
      <c r="H437" s="10">
        <f>IF(AND(B437="",C437=""),"",IF(G437&lt;&gt;"","Void",IF(OR(B437="",E437=""),"Needs child",IF(D437="","Needs level","OK"))))</f>
        <v/>
      </c>
    </row>
    <row r="438">
      <c r="A438" s="6" t="n"/>
      <c r="B438" s="6" t="n"/>
      <c r="C438" s="6" t="n"/>
      <c r="D438" s="11">
        <f>IF(C438="","",IFERROR(INDEX(Levels!$A$2:$A$30,MATCH(C438,Levels!$B$2:$B$30,0)),""))</f>
        <v/>
      </c>
      <c r="E438" s="10">
        <f>IF(B438="","",IFERROR(INDEX(Roster!$A$2:$A$600,MATCH(B438,Roster!$E$2:$E$600,0)),""))</f>
        <v/>
      </c>
      <c r="F438" s="10">
        <f>IF(C438="","",IFERROR(INDEX(Levels!$C$2:$C$30,MATCH(C438,Levels!$B$2:$B$30,0)),""))</f>
        <v/>
      </c>
      <c r="G438" s="6" t="n"/>
      <c r="H438" s="10">
        <f>IF(AND(B438="",C438=""),"",IF(G438&lt;&gt;"","Void",IF(OR(B438="",E438=""),"Needs child",IF(D438="","Needs level","OK"))))</f>
        <v/>
      </c>
    </row>
    <row r="439">
      <c r="A439" s="6" t="n"/>
      <c r="B439" s="6" t="n"/>
      <c r="C439" s="6" t="n"/>
      <c r="D439" s="11">
        <f>IF(C439="","",IFERROR(INDEX(Levels!$A$2:$A$30,MATCH(C439,Levels!$B$2:$B$30,0)),""))</f>
        <v/>
      </c>
      <c r="E439" s="10">
        <f>IF(B439="","",IFERROR(INDEX(Roster!$A$2:$A$600,MATCH(B439,Roster!$E$2:$E$600,0)),""))</f>
        <v/>
      </c>
      <c r="F439" s="10">
        <f>IF(C439="","",IFERROR(INDEX(Levels!$C$2:$C$30,MATCH(C439,Levels!$B$2:$B$30,0)),""))</f>
        <v/>
      </c>
      <c r="G439" s="6" t="n"/>
      <c r="H439" s="10">
        <f>IF(AND(B439="",C439=""),"",IF(G439&lt;&gt;"","Void",IF(OR(B439="",E439=""),"Needs child",IF(D439="","Needs level","OK"))))</f>
        <v/>
      </c>
    </row>
    <row r="440">
      <c r="A440" s="6" t="n"/>
      <c r="B440" s="6" t="n"/>
      <c r="C440" s="6" t="n"/>
      <c r="D440" s="11">
        <f>IF(C440="","",IFERROR(INDEX(Levels!$A$2:$A$30,MATCH(C440,Levels!$B$2:$B$30,0)),""))</f>
        <v/>
      </c>
      <c r="E440" s="10">
        <f>IF(B440="","",IFERROR(INDEX(Roster!$A$2:$A$600,MATCH(B440,Roster!$E$2:$E$600,0)),""))</f>
        <v/>
      </c>
      <c r="F440" s="10">
        <f>IF(C440="","",IFERROR(INDEX(Levels!$C$2:$C$30,MATCH(C440,Levels!$B$2:$B$30,0)),""))</f>
        <v/>
      </c>
      <c r="G440" s="6" t="n"/>
      <c r="H440" s="10">
        <f>IF(AND(B440="",C440=""),"",IF(G440&lt;&gt;"","Void",IF(OR(B440="",E440=""),"Needs child",IF(D440="","Needs level","OK"))))</f>
        <v/>
      </c>
    </row>
    <row r="441">
      <c r="A441" s="6" t="n"/>
      <c r="B441" s="6" t="n"/>
      <c r="C441" s="6" t="n"/>
      <c r="D441" s="11">
        <f>IF(C441="","",IFERROR(INDEX(Levels!$A$2:$A$30,MATCH(C441,Levels!$B$2:$B$30,0)),""))</f>
        <v/>
      </c>
      <c r="E441" s="10">
        <f>IF(B441="","",IFERROR(INDEX(Roster!$A$2:$A$600,MATCH(B441,Roster!$E$2:$E$600,0)),""))</f>
        <v/>
      </c>
      <c r="F441" s="10">
        <f>IF(C441="","",IFERROR(INDEX(Levels!$C$2:$C$30,MATCH(C441,Levels!$B$2:$B$30,0)),""))</f>
        <v/>
      </c>
      <c r="G441" s="6" t="n"/>
      <c r="H441" s="10">
        <f>IF(AND(B441="",C441=""),"",IF(G441&lt;&gt;"","Void",IF(OR(B441="",E441=""),"Needs child",IF(D441="","Needs level","OK"))))</f>
        <v/>
      </c>
    </row>
    <row r="442">
      <c r="A442" s="6" t="n"/>
      <c r="B442" s="6" t="n"/>
      <c r="C442" s="6" t="n"/>
      <c r="D442" s="11">
        <f>IF(C442="","",IFERROR(INDEX(Levels!$A$2:$A$30,MATCH(C442,Levels!$B$2:$B$30,0)),""))</f>
        <v/>
      </c>
      <c r="E442" s="10">
        <f>IF(B442="","",IFERROR(INDEX(Roster!$A$2:$A$600,MATCH(B442,Roster!$E$2:$E$600,0)),""))</f>
        <v/>
      </c>
      <c r="F442" s="10">
        <f>IF(C442="","",IFERROR(INDEX(Levels!$C$2:$C$30,MATCH(C442,Levels!$B$2:$B$30,0)),""))</f>
        <v/>
      </c>
      <c r="G442" s="6" t="n"/>
      <c r="H442" s="10">
        <f>IF(AND(B442="",C442=""),"",IF(G442&lt;&gt;"","Void",IF(OR(B442="",E442=""),"Needs child",IF(D442="","Needs level","OK"))))</f>
        <v/>
      </c>
    </row>
    <row r="443">
      <c r="A443" s="6" t="n"/>
      <c r="B443" s="6" t="n"/>
      <c r="C443" s="6" t="n"/>
      <c r="D443" s="11">
        <f>IF(C443="","",IFERROR(INDEX(Levels!$A$2:$A$30,MATCH(C443,Levels!$B$2:$B$30,0)),""))</f>
        <v/>
      </c>
      <c r="E443" s="10">
        <f>IF(B443="","",IFERROR(INDEX(Roster!$A$2:$A$600,MATCH(B443,Roster!$E$2:$E$600,0)),""))</f>
        <v/>
      </c>
      <c r="F443" s="10">
        <f>IF(C443="","",IFERROR(INDEX(Levels!$C$2:$C$30,MATCH(C443,Levels!$B$2:$B$30,0)),""))</f>
        <v/>
      </c>
      <c r="G443" s="6" t="n"/>
      <c r="H443" s="10">
        <f>IF(AND(B443="",C443=""),"",IF(G443&lt;&gt;"","Void",IF(OR(B443="",E443=""),"Needs child",IF(D443="","Needs level","OK"))))</f>
        <v/>
      </c>
    </row>
    <row r="444">
      <c r="A444" s="6" t="n"/>
      <c r="B444" s="6" t="n"/>
      <c r="C444" s="6" t="n"/>
      <c r="D444" s="11">
        <f>IF(C444="","",IFERROR(INDEX(Levels!$A$2:$A$30,MATCH(C444,Levels!$B$2:$B$30,0)),""))</f>
        <v/>
      </c>
      <c r="E444" s="10">
        <f>IF(B444="","",IFERROR(INDEX(Roster!$A$2:$A$600,MATCH(B444,Roster!$E$2:$E$600,0)),""))</f>
        <v/>
      </c>
      <c r="F444" s="10">
        <f>IF(C444="","",IFERROR(INDEX(Levels!$C$2:$C$30,MATCH(C444,Levels!$B$2:$B$30,0)),""))</f>
        <v/>
      </c>
      <c r="G444" s="6" t="n"/>
      <c r="H444" s="10">
        <f>IF(AND(B444="",C444=""),"",IF(G444&lt;&gt;"","Void",IF(OR(B444="",E444=""),"Needs child",IF(D444="","Needs level","OK"))))</f>
        <v/>
      </c>
    </row>
    <row r="445">
      <c r="A445" s="6" t="n"/>
      <c r="B445" s="6" t="n"/>
      <c r="C445" s="6" t="n"/>
      <c r="D445" s="11">
        <f>IF(C445="","",IFERROR(INDEX(Levels!$A$2:$A$30,MATCH(C445,Levels!$B$2:$B$30,0)),""))</f>
        <v/>
      </c>
      <c r="E445" s="10">
        <f>IF(B445="","",IFERROR(INDEX(Roster!$A$2:$A$600,MATCH(B445,Roster!$E$2:$E$600,0)),""))</f>
        <v/>
      </c>
      <c r="F445" s="10">
        <f>IF(C445="","",IFERROR(INDEX(Levels!$C$2:$C$30,MATCH(C445,Levels!$B$2:$B$30,0)),""))</f>
        <v/>
      </c>
      <c r="G445" s="6" t="n"/>
      <c r="H445" s="10">
        <f>IF(AND(B445="",C445=""),"",IF(G445&lt;&gt;"","Void",IF(OR(B445="",E445=""),"Needs child",IF(D445="","Needs level","OK"))))</f>
        <v/>
      </c>
    </row>
    <row r="446">
      <c r="A446" s="6" t="n"/>
      <c r="B446" s="6" t="n"/>
      <c r="C446" s="6" t="n"/>
      <c r="D446" s="11">
        <f>IF(C446="","",IFERROR(INDEX(Levels!$A$2:$A$30,MATCH(C446,Levels!$B$2:$B$30,0)),""))</f>
        <v/>
      </c>
      <c r="E446" s="10">
        <f>IF(B446="","",IFERROR(INDEX(Roster!$A$2:$A$600,MATCH(B446,Roster!$E$2:$E$600,0)),""))</f>
        <v/>
      </c>
      <c r="F446" s="10">
        <f>IF(C446="","",IFERROR(INDEX(Levels!$C$2:$C$30,MATCH(C446,Levels!$B$2:$B$30,0)),""))</f>
        <v/>
      </c>
      <c r="G446" s="6" t="n"/>
      <c r="H446" s="10">
        <f>IF(AND(B446="",C446=""),"",IF(G446&lt;&gt;"","Void",IF(OR(B446="",E446=""),"Needs child",IF(D446="","Needs level","OK"))))</f>
        <v/>
      </c>
    </row>
    <row r="447">
      <c r="A447" s="6" t="n"/>
      <c r="B447" s="6" t="n"/>
      <c r="C447" s="6" t="n"/>
      <c r="D447" s="11">
        <f>IF(C447="","",IFERROR(INDEX(Levels!$A$2:$A$30,MATCH(C447,Levels!$B$2:$B$30,0)),""))</f>
        <v/>
      </c>
      <c r="E447" s="10">
        <f>IF(B447="","",IFERROR(INDEX(Roster!$A$2:$A$600,MATCH(B447,Roster!$E$2:$E$600,0)),""))</f>
        <v/>
      </c>
      <c r="F447" s="10">
        <f>IF(C447="","",IFERROR(INDEX(Levels!$C$2:$C$30,MATCH(C447,Levels!$B$2:$B$30,0)),""))</f>
        <v/>
      </c>
      <c r="G447" s="6" t="n"/>
      <c r="H447" s="10">
        <f>IF(AND(B447="",C447=""),"",IF(G447&lt;&gt;"","Void",IF(OR(B447="",E447=""),"Needs child",IF(D447="","Needs level","OK"))))</f>
        <v/>
      </c>
    </row>
    <row r="448">
      <c r="A448" s="6" t="n"/>
      <c r="B448" s="6" t="n"/>
      <c r="C448" s="6" t="n"/>
      <c r="D448" s="11">
        <f>IF(C448="","",IFERROR(INDEX(Levels!$A$2:$A$30,MATCH(C448,Levels!$B$2:$B$30,0)),""))</f>
        <v/>
      </c>
      <c r="E448" s="10">
        <f>IF(B448="","",IFERROR(INDEX(Roster!$A$2:$A$600,MATCH(B448,Roster!$E$2:$E$600,0)),""))</f>
        <v/>
      </c>
      <c r="F448" s="10">
        <f>IF(C448="","",IFERROR(INDEX(Levels!$C$2:$C$30,MATCH(C448,Levels!$B$2:$B$30,0)),""))</f>
        <v/>
      </c>
      <c r="G448" s="6" t="n"/>
      <c r="H448" s="10">
        <f>IF(AND(B448="",C448=""),"",IF(G448&lt;&gt;"","Void",IF(OR(B448="",E448=""),"Needs child",IF(D448="","Needs level","OK"))))</f>
        <v/>
      </c>
    </row>
    <row r="449">
      <c r="A449" s="6" t="n"/>
      <c r="B449" s="6" t="n"/>
      <c r="C449" s="6" t="n"/>
      <c r="D449" s="11">
        <f>IF(C449="","",IFERROR(INDEX(Levels!$A$2:$A$30,MATCH(C449,Levels!$B$2:$B$30,0)),""))</f>
        <v/>
      </c>
      <c r="E449" s="10">
        <f>IF(B449="","",IFERROR(INDEX(Roster!$A$2:$A$600,MATCH(B449,Roster!$E$2:$E$600,0)),""))</f>
        <v/>
      </c>
      <c r="F449" s="10">
        <f>IF(C449="","",IFERROR(INDEX(Levels!$C$2:$C$30,MATCH(C449,Levels!$B$2:$B$30,0)),""))</f>
        <v/>
      </c>
      <c r="G449" s="6" t="n"/>
      <c r="H449" s="10">
        <f>IF(AND(B449="",C449=""),"",IF(G449&lt;&gt;"","Void",IF(OR(B449="",E449=""),"Needs child",IF(D449="","Needs level","OK"))))</f>
        <v/>
      </c>
    </row>
    <row r="450">
      <c r="A450" s="6" t="n"/>
      <c r="B450" s="6" t="n"/>
      <c r="C450" s="6" t="n"/>
      <c r="D450" s="11">
        <f>IF(C450="","",IFERROR(INDEX(Levels!$A$2:$A$30,MATCH(C450,Levels!$B$2:$B$30,0)),""))</f>
        <v/>
      </c>
      <c r="E450" s="10">
        <f>IF(B450="","",IFERROR(INDEX(Roster!$A$2:$A$600,MATCH(B450,Roster!$E$2:$E$600,0)),""))</f>
        <v/>
      </c>
      <c r="F450" s="10">
        <f>IF(C450="","",IFERROR(INDEX(Levels!$C$2:$C$30,MATCH(C450,Levels!$B$2:$B$30,0)),""))</f>
        <v/>
      </c>
      <c r="G450" s="6" t="n"/>
      <c r="H450" s="10">
        <f>IF(AND(B450="",C450=""),"",IF(G450&lt;&gt;"","Void",IF(OR(B450="",E450=""),"Needs child",IF(D450="","Needs level","OK"))))</f>
        <v/>
      </c>
    </row>
    <row r="451">
      <c r="A451" s="6" t="n"/>
      <c r="B451" s="6" t="n"/>
      <c r="C451" s="6" t="n"/>
      <c r="D451" s="11">
        <f>IF(C451="","",IFERROR(INDEX(Levels!$A$2:$A$30,MATCH(C451,Levels!$B$2:$B$30,0)),""))</f>
        <v/>
      </c>
      <c r="E451" s="10">
        <f>IF(B451="","",IFERROR(INDEX(Roster!$A$2:$A$600,MATCH(B451,Roster!$E$2:$E$600,0)),""))</f>
        <v/>
      </c>
      <c r="F451" s="10">
        <f>IF(C451="","",IFERROR(INDEX(Levels!$C$2:$C$30,MATCH(C451,Levels!$B$2:$B$30,0)),""))</f>
        <v/>
      </c>
      <c r="G451" s="6" t="n"/>
      <c r="H451" s="10">
        <f>IF(AND(B451="",C451=""),"",IF(G451&lt;&gt;"","Void",IF(OR(B451="",E451=""),"Needs child",IF(D451="","Needs level","OK"))))</f>
        <v/>
      </c>
    </row>
    <row r="452">
      <c r="A452" s="6" t="n"/>
      <c r="B452" s="6" t="n"/>
      <c r="C452" s="6" t="n"/>
      <c r="D452" s="11">
        <f>IF(C452="","",IFERROR(INDEX(Levels!$A$2:$A$30,MATCH(C452,Levels!$B$2:$B$30,0)),""))</f>
        <v/>
      </c>
      <c r="E452" s="10">
        <f>IF(B452="","",IFERROR(INDEX(Roster!$A$2:$A$600,MATCH(B452,Roster!$E$2:$E$600,0)),""))</f>
        <v/>
      </c>
      <c r="F452" s="10">
        <f>IF(C452="","",IFERROR(INDEX(Levels!$C$2:$C$30,MATCH(C452,Levels!$B$2:$B$30,0)),""))</f>
        <v/>
      </c>
      <c r="G452" s="6" t="n"/>
      <c r="H452" s="10">
        <f>IF(AND(B452="",C452=""),"",IF(G452&lt;&gt;"","Void",IF(OR(B452="",E452=""),"Needs child",IF(D452="","Needs level","OK"))))</f>
        <v/>
      </c>
    </row>
    <row r="453">
      <c r="A453" s="6" t="n"/>
      <c r="B453" s="6" t="n"/>
      <c r="C453" s="6" t="n"/>
      <c r="D453" s="11">
        <f>IF(C453="","",IFERROR(INDEX(Levels!$A$2:$A$30,MATCH(C453,Levels!$B$2:$B$30,0)),""))</f>
        <v/>
      </c>
      <c r="E453" s="10">
        <f>IF(B453="","",IFERROR(INDEX(Roster!$A$2:$A$600,MATCH(B453,Roster!$E$2:$E$600,0)),""))</f>
        <v/>
      </c>
      <c r="F453" s="10">
        <f>IF(C453="","",IFERROR(INDEX(Levels!$C$2:$C$30,MATCH(C453,Levels!$B$2:$B$30,0)),""))</f>
        <v/>
      </c>
      <c r="G453" s="6" t="n"/>
      <c r="H453" s="10">
        <f>IF(AND(B453="",C453=""),"",IF(G453&lt;&gt;"","Void",IF(OR(B453="",E453=""),"Needs child",IF(D453="","Needs level","OK"))))</f>
        <v/>
      </c>
    </row>
    <row r="454">
      <c r="A454" s="6" t="n"/>
      <c r="B454" s="6" t="n"/>
      <c r="C454" s="6" t="n"/>
      <c r="D454" s="11">
        <f>IF(C454="","",IFERROR(INDEX(Levels!$A$2:$A$30,MATCH(C454,Levels!$B$2:$B$30,0)),""))</f>
        <v/>
      </c>
      <c r="E454" s="10">
        <f>IF(B454="","",IFERROR(INDEX(Roster!$A$2:$A$600,MATCH(B454,Roster!$E$2:$E$600,0)),""))</f>
        <v/>
      </c>
      <c r="F454" s="10">
        <f>IF(C454="","",IFERROR(INDEX(Levels!$C$2:$C$30,MATCH(C454,Levels!$B$2:$B$30,0)),""))</f>
        <v/>
      </c>
      <c r="G454" s="6" t="n"/>
      <c r="H454" s="10">
        <f>IF(AND(B454="",C454=""),"",IF(G454&lt;&gt;"","Void",IF(OR(B454="",E454=""),"Needs child",IF(D454="","Needs level","OK"))))</f>
        <v/>
      </c>
    </row>
    <row r="455">
      <c r="A455" s="6" t="n"/>
      <c r="B455" s="6" t="n"/>
      <c r="C455" s="6" t="n"/>
      <c r="D455" s="11">
        <f>IF(C455="","",IFERROR(INDEX(Levels!$A$2:$A$30,MATCH(C455,Levels!$B$2:$B$30,0)),""))</f>
        <v/>
      </c>
      <c r="E455" s="10">
        <f>IF(B455="","",IFERROR(INDEX(Roster!$A$2:$A$600,MATCH(B455,Roster!$E$2:$E$600,0)),""))</f>
        <v/>
      </c>
      <c r="F455" s="10">
        <f>IF(C455="","",IFERROR(INDEX(Levels!$C$2:$C$30,MATCH(C455,Levels!$B$2:$B$30,0)),""))</f>
        <v/>
      </c>
      <c r="G455" s="6" t="n"/>
      <c r="H455" s="10">
        <f>IF(AND(B455="",C455=""),"",IF(G455&lt;&gt;"","Void",IF(OR(B455="",E455=""),"Needs child",IF(D455="","Needs level","OK"))))</f>
        <v/>
      </c>
    </row>
    <row r="456">
      <c r="A456" s="6" t="n"/>
      <c r="B456" s="6" t="n"/>
      <c r="C456" s="6" t="n"/>
      <c r="D456" s="11">
        <f>IF(C456="","",IFERROR(INDEX(Levels!$A$2:$A$30,MATCH(C456,Levels!$B$2:$B$30,0)),""))</f>
        <v/>
      </c>
      <c r="E456" s="10">
        <f>IF(B456="","",IFERROR(INDEX(Roster!$A$2:$A$600,MATCH(B456,Roster!$E$2:$E$600,0)),""))</f>
        <v/>
      </c>
      <c r="F456" s="10">
        <f>IF(C456="","",IFERROR(INDEX(Levels!$C$2:$C$30,MATCH(C456,Levels!$B$2:$B$30,0)),""))</f>
        <v/>
      </c>
      <c r="G456" s="6" t="n"/>
      <c r="H456" s="10">
        <f>IF(AND(B456="",C456=""),"",IF(G456&lt;&gt;"","Void",IF(OR(B456="",E456=""),"Needs child",IF(D456="","Needs level","OK"))))</f>
        <v/>
      </c>
    </row>
    <row r="457">
      <c r="A457" s="6" t="n"/>
      <c r="B457" s="6" t="n"/>
      <c r="C457" s="6" t="n"/>
      <c r="D457" s="11">
        <f>IF(C457="","",IFERROR(INDEX(Levels!$A$2:$A$30,MATCH(C457,Levels!$B$2:$B$30,0)),""))</f>
        <v/>
      </c>
      <c r="E457" s="10">
        <f>IF(B457="","",IFERROR(INDEX(Roster!$A$2:$A$600,MATCH(B457,Roster!$E$2:$E$600,0)),""))</f>
        <v/>
      </c>
      <c r="F457" s="10">
        <f>IF(C457="","",IFERROR(INDEX(Levels!$C$2:$C$30,MATCH(C457,Levels!$B$2:$B$30,0)),""))</f>
        <v/>
      </c>
      <c r="G457" s="6" t="n"/>
      <c r="H457" s="10">
        <f>IF(AND(B457="",C457=""),"",IF(G457&lt;&gt;"","Void",IF(OR(B457="",E457=""),"Needs child",IF(D457="","Needs level","OK"))))</f>
        <v/>
      </c>
    </row>
    <row r="458">
      <c r="A458" s="6" t="n"/>
      <c r="B458" s="6" t="n"/>
      <c r="C458" s="6" t="n"/>
      <c r="D458" s="11">
        <f>IF(C458="","",IFERROR(INDEX(Levels!$A$2:$A$30,MATCH(C458,Levels!$B$2:$B$30,0)),""))</f>
        <v/>
      </c>
      <c r="E458" s="10">
        <f>IF(B458="","",IFERROR(INDEX(Roster!$A$2:$A$600,MATCH(B458,Roster!$E$2:$E$600,0)),""))</f>
        <v/>
      </c>
      <c r="F458" s="10">
        <f>IF(C458="","",IFERROR(INDEX(Levels!$C$2:$C$30,MATCH(C458,Levels!$B$2:$B$30,0)),""))</f>
        <v/>
      </c>
      <c r="G458" s="6" t="n"/>
      <c r="H458" s="10">
        <f>IF(AND(B458="",C458=""),"",IF(G458&lt;&gt;"","Void",IF(OR(B458="",E458=""),"Needs child",IF(D458="","Needs level","OK"))))</f>
        <v/>
      </c>
    </row>
    <row r="459">
      <c r="A459" s="6" t="n"/>
      <c r="B459" s="6" t="n"/>
      <c r="C459" s="6" t="n"/>
      <c r="D459" s="11">
        <f>IF(C459="","",IFERROR(INDEX(Levels!$A$2:$A$30,MATCH(C459,Levels!$B$2:$B$30,0)),""))</f>
        <v/>
      </c>
      <c r="E459" s="10">
        <f>IF(B459="","",IFERROR(INDEX(Roster!$A$2:$A$600,MATCH(B459,Roster!$E$2:$E$600,0)),""))</f>
        <v/>
      </c>
      <c r="F459" s="10">
        <f>IF(C459="","",IFERROR(INDEX(Levels!$C$2:$C$30,MATCH(C459,Levels!$B$2:$B$30,0)),""))</f>
        <v/>
      </c>
      <c r="G459" s="6" t="n"/>
      <c r="H459" s="10">
        <f>IF(AND(B459="",C459=""),"",IF(G459&lt;&gt;"","Void",IF(OR(B459="",E459=""),"Needs child",IF(D459="","Needs level","OK"))))</f>
        <v/>
      </c>
    </row>
    <row r="460">
      <c r="A460" s="6" t="n"/>
      <c r="B460" s="6" t="n"/>
      <c r="C460" s="6" t="n"/>
      <c r="D460" s="11">
        <f>IF(C460="","",IFERROR(INDEX(Levels!$A$2:$A$30,MATCH(C460,Levels!$B$2:$B$30,0)),""))</f>
        <v/>
      </c>
      <c r="E460" s="10">
        <f>IF(B460="","",IFERROR(INDEX(Roster!$A$2:$A$600,MATCH(B460,Roster!$E$2:$E$600,0)),""))</f>
        <v/>
      </c>
      <c r="F460" s="10">
        <f>IF(C460="","",IFERROR(INDEX(Levels!$C$2:$C$30,MATCH(C460,Levels!$B$2:$B$30,0)),""))</f>
        <v/>
      </c>
      <c r="G460" s="6" t="n"/>
      <c r="H460" s="10">
        <f>IF(AND(B460="",C460=""),"",IF(G460&lt;&gt;"","Void",IF(OR(B460="",E460=""),"Needs child",IF(D460="","Needs level","OK"))))</f>
        <v/>
      </c>
    </row>
    <row r="461">
      <c r="A461" s="6" t="n"/>
      <c r="B461" s="6" t="n"/>
      <c r="C461" s="6" t="n"/>
      <c r="D461" s="11">
        <f>IF(C461="","",IFERROR(INDEX(Levels!$A$2:$A$30,MATCH(C461,Levels!$B$2:$B$30,0)),""))</f>
        <v/>
      </c>
      <c r="E461" s="10">
        <f>IF(B461="","",IFERROR(INDEX(Roster!$A$2:$A$600,MATCH(B461,Roster!$E$2:$E$600,0)),""))</f>
        <v/>
      </c>
      <c r="F461" s="10">
        <f>IF(C461="","",IFERROR(INDEX(Levels!$C$2:$C$30,MATCH(C461,Levels!$B$2:$B$30,0)),""))</f>
        <v/>
      </c>
      <c r="G461" s="6" t="n"/>
      <c r="H461" s="10">
        <f>IF(AND(B461="",C461=""),"",IF(G461&lt;&gt;"","Void",IF(OR(B461="",E461=""),"Needs child",IF(D461="","Needs level","OK"))))</f>
        <v/>
      </c>
    </row>
    <row r="462">
      <c r="A462" s="6" t="n"/>
      <c r="B462" s="6" t="n"/>
      <c r="C462" s="6" t="n"/>
      <c r="D462" s="11">
        <f>IF(C462="","",IFERROR(INDEX(Levels!$A$2:$A$30,MATCH(C462,Levels!$B$2:$B$30,0)),""))</f>
        <v/>
      </c>
      <c r="E462" s="10">
        <f>IF(B462="","",IFERROR(INDEX(Roster!$A$2:$A$600,MATCH(B462,Roster!$E$2:$E$600,0)),""))</f>
        <v/>
      </c>
      <c r="F462" s="10">
        <f>IF(C462="","",IFERROR(INDEX(Levels!$C$2:$C$30,MATCH(C462,Levels!$B$2:$B$30,0)),""))</f>
        <v/>
      </c>
      <c r="G462" s="6" t="n"/>
      <c r="H462" s="10">
        <f>IF(AND(B462="",C462=""),"",IF(G462&lt;&gt;"","Void",IF(OR(B462="",E462=""),"Needs child",IF(D462="","Needs level","OK"))))</f>
        <v/>
      </c>
    </row>
    <row r="463">
      <c r="A463" s="6" t="n"/>
      <c r="B463" s="6" t="n"/>
      <c r="C463" s="6" t="n"/>
      <c r="D463" s="11">
        <f>IF(C463="","",IFERROR(INDEX(Levels!$A$2:$A$30,MATCH(C463,Levels!$B$2:$B$30,0)),""))</f>
        <v/>
      </c>
      <c r="E463" s="10">
        <f>IF(B463="","",IFERROR(INDEX(Roster!$A$2:$A$600,MATCH(B463,Roster!$E$2:$E$600,0)),""))</f>
        <v/>
      </c>
      <c r="F463" s="10">
        <f>IF(C463="","",IFERROR(INDEX(Levels!$C$2:$C$30,MATCH(C463,Levels!$B$2:$B$30,0)),""))</f>
        <v/>
      </c>
      <c r="G463" s="6" t="n"/>
      <c r="H463" s="10">
        <f>IF(AND(B463="",C463=""),"",IF(G463&lt;&gt;"","Void",IF(OR(B463="",E463=""),"Needs child",IF(D463="","Needs level","OK"))))</f>
        <v/>
      </c>
    </row>
    <row r="464">
      <c r="A464" s="6" t="n"/>
      <c r="B464" s="6" t="n"/>
      <c r="C464" s="6" t="n"/>
      <c r="D464" s="11">
        <f>IF(C464="","",IFERROR(INDEX(Levels!$A$2:$A$30,MATCH(C464,Levels!$B$2:$B$30,0)),""))</f>
        <v/>
      </c>
      <c r="E464" s="10">
        <f>IF(B464="","",IFERROR(INDEX(Roster!$A$2:$A$600,MATCH(B464,Roster!$E$2:$E$600,0)),""))</f>
        <v/>
      </c>
      <c r="F464" s="10">
        <f>IF(C464="","",IFERROR(INDEX(Levels!$C$2:$C$30,MATCH(C464,Levels!$B$2:$B$30,0)),""))</f>
        <v/>
      </c>
      <c r="G464" s="6" t="n"/>
      <c r="H464" s="10">
        <f>IF(AND(B464="",C464=""),"",IF(G464&lt;&gt;"","Void",IF(OR(B464="",E464=""),"Needs child",IF(D464="","Needs level","OK"))))</f>
        <v/>
      </c>
    </row>
    <row r="465">
      <c r="A465" s="6" t="n"/>
      <c r="B465" s="6" t="n"/>
      <c r="C465" s="6" t="n"/>
      <c r="D465" s="11">
        <f>IF(C465="","",IFERROR(INDEX(Levels!$A$2:$A$30,MATCH(C465,Levels!$B$2:$B$30,0)),""))</f>
        <v/>
      </c>
      <c r="E465" s="10">
        <f>IF(B465="","",IFERROR(INDEX(Roster!$A$2:$A$600,MATCH(B465,Roster!$E$2:$E$600,0)),""))</f>
        <v/>
      </c>
      <c r="F465" s="10">
        <f>IF(C465="","",IFERROR(INDEX(Levels!$C$2:$C$30,MATCH(C465,Levels!$B$2:$B$30,0)),""))</f>
        <v/>
      </c>
      <c r="G465" s="6" t="n"/>
      <c r="H465" s="10">
        <f>IF(AND(B465="",C465=""),"",IF(G465&lt;&gt;"","Void",IF(OR(B465="",E465=""),"Needs child",IF(D465="","Needs level","OK"))))</f>
        <v/>
      </c>
    </row>
    <row r="466">
      <c r="A466" s="6" t="n"/>
      <c r="B466" s="6" t="n"/>
      <c r="C466" s="6" t="n"/>
      <c r="D466" s="11">
        <f>IF(C466="","",IFERROR(INDEX(Levels!$A$2:$A$30,MATCH(C466,Levels!$B$2:$B$30,0)),""))</f>
        <v/>
      </c>
      <c r="E466" s="10">
        <f>IF(B466="","",IFERROR(INDEX(Roster!$A$2:$A$600,MATCH(B466,Roster!$E$2:$E$600,0)),""))</f>
        <v/>
      </c>
      <c r="F466" s="10">
        <f>IF(C466="","",IFERROR(INDEX(Levels!$C$2:$C$30,MATCH(C466,Levels!$B$2:$B$30,0)),""))</f>
        <v/>
      </c>
      <c r="G466" s="6" t="n"/>
      <c r="H466" s="10">
        <f>IF(AND(B466="",C466=""),"",IF(G466&lt;&gt;"","Void",IF(OR(B466="",E466=""),"Needs child",IF(D466="","Needs level","OK"))))</f>
        <v/>
      </c>
    </row>
    <row r="467">
      <c r="A467" s="6" t="n"/>
      <c r="B467" s="6" t="n"/>
      <c r="C467" s="6" t="n"/>
      <c r="D467" s="11">
        <f>IF(C467="","",IFERROR(INDEX(Levels!$A$2:$A$30,MATCH(C467,Levels!$B$2:$B$30,0)),""))</f>
        <v/>
      </c>
      <c r="E467" s="10">
        <f>IF(B467="","",IFERROR(INDEX(Roster!$A$2:$A$600,MATCH(B467,Roster!$E$2:$E$600,0)),""))</f>
        <v/>
      </c>
      <c r="F467" s="10">
        <f>IF(C467="","",IFERROR(INDEX(Levels!$C$2:$C$30,MATCH(C467,Levels!$B$2:$B$30,0)),""))</f>
        <v/>
      </c>
      <c r="G467" s="6" t="n"/>
      <c r="H467" s="10">
        <f>IF(AND(B467="",C467=""),"",IF(G467&lt;&gt;"","Void",IF(OR(B467="",E467=""),"Needs child",IF(D467="","Needs level","OK"))))</f>
        <v/>
      </c>
    </row>
    <row r="468">
      <c r="A468" s="6" t="n"/>
      <c r="B468" s="6" t="n"/>
      <c r="C468" s="6" t="n"/>
      <c r="D468" s="11">
        <f>IF(C468="","",IFERROR(INDEX(Levels!$A$2:$A$30,MATCH(C468,Levels!$B$2:$B$30,0)),""))</f>
        <v/>
      </c>
      <c r="E468" s="10">
        <f>IF(B468="","",IFERROR(INDEX(Roster!$A$2:$A$600,MATCH(B468,Roster!$E$2:$E$600,0)),""))</f>
        <v/>
      </c>
      <c r="F468" s="10">
        <f>IF(C468="","",IFERROR(INDEX(Levels!$C$2:$C$30,MATCH(C468,Levels!$B$2:$B$30,0)),""))</f>
        <v/>
      </c>
      <c r="G468" s="6" t="n"/>
      <c r="H468" s="10">
        <f>IF(AND(B468="",C468=""),"",IF(G468&lt;&gt;"","Void",IF(OR(B468="",E468=""),"Needs child",IF(D468="","Needs level","OK"))))</f>
        <v/>
      </c>
    </row>
    <row r="469">
      <c r="A469" s="6" t="n"/>
      <c r="B469" s="6" t="n"/>
      <c r="C469" s="6" t="n"/>
      <c r="D469" s="11">
        <f>IF(C469="","",IFERROR(INDEX(Levels!$A$2:$A$30,MATCH(C469,Levels!$B$2:$B$30,0)),""))</f>
        <v/>
      </c>
      <c r="E469" s="10">
        <f>IF(B469="","",IFERROR(INDEX(Roster!$A$2:$A$600,MATCH(B469,Roster!$E$2:$E$600,0)),""))</f>
        <v/>
      </c>
      <c r="F469" s="10">
        <f>IF(C469="","",IFERROR(INDEX(Levels!$C$2:$C$30,MATCH(C469,Levels!$B$2:$B$30,0)),""))</f>
        <v/>
      </c>
      <c r="G469" s="6" t="n"/>
      <c r="H469" s="10">
        <f>IF(AND(B469="",C469=""),"",IF(G469&lt;&gt;"","Void",IF(OR(B469="",E469=""),"Needs child",IF(D469="","Needs level","OK"))))</f>
        <v/>
      </c>
    </row>
    <row r="470">
      <c r="A470" s="6" t="n"/>
      <c r="B470" s="6" t="n"/>
      <c r="C470" s="6" t="n"/>
      <c r="D470" s="11">
        <f>IF(C470="","",IFERROR(INDEX(Levels!$A$2:$A$30,MATCH(C470,Levels!$B$2:$B$30,0)),""))</f>
        <v/>
      </c>
      <c r="E470" s="10">
        <f>IF(B470="","",IFERROR(INDEX(Roster!$A$2:$A$600,MATCH(B470,Roster!$E$2:$E$600,0)),""))</f>
        <v/>
      </c>
      <c r="F470" s="10">
        <f>IF(C470="","",IFERROR(INDEX(Levels!$C$2:$C$30,MATCH(C470,Levels!$B$2:$B$30,0)),""))</f>
        <v/>
      </c>
      <c r="G470" s="6" t="n"/>
      <c r="H470" s="10">
        <f>IF(AND(B470="",C470=""),"",IF(G470&lt;&gt;"","Void",IF(OR(B470="",E470=""),"Needs child",IF(D470="","Needs level","OK"))))</f>
        <v/>
      </c>
    </row>
    <row r="471">
      <c r="A471" s="6" t="n"/>
      <c r="B471" s="6" t="n"/>
      <c r="C471" s="6" t="n"/>
      <c r="D471" s="11">
        <f>IF(C471="","",IFERROR(INDEX(Levels!$A$2:$A$30,MATCH(C471,Levels!$B$2:$B$30,0)),""))</f>
        <v/>
      </c>
      <c r="E471" s="10">
        <f>IF(B471="","",IFERROR(INDEX(Roster!$A$2:$A$600,MATCH(B471,Roster!$E$2:$E$600,0)),""))</f>
        <v/>
      </c>
      <c r="F471" s="10">
        <f>IF(C471="","",IFERROR(INDEX(Levels!$C$2:$C$30,MATCH(C471,Levels!$B$2:$B$30,0)),""))</f>
        <v/>
      </c>
      <c r="G471" s="6" t="n"/>
      <c r="H471" s="10">
        <f>IF(AND(B471="",C471=""),"",IF(G471&lt;&gt;"","Void",IF(OR(B471="",E471=""),"Needs child",IF(D471="","Needs level","OK"))))</f>
        <v/>
      </c>
    </row>
    <row r="472">
      <c r="A472" s="6" t="n"/>
      <c r="B472" s="6" t="n"/>
      <c r="C472" s="6" t="n"/>
      <c r="D472" s="11">
        <f>IF(C472="","",IFERROR(INDEX(Levels!$A$2:$A$30,MATCH(C472,Levels!$B$2:$B$30,0)),""))</f>
        <v/>
      </c>
      <c r="E472" s="10">
        <f>IF(B472="","",IFERROR(INDEX(Roster!$A$2:$A$600,MATCH(B472,Roster!$E$2:$E$600,0)),""))</f>
        <v/>
      </c>
      <c r="F472" s="10">
        <f>IF(C472="","",IFERROR(INDEX(Levels!$C$2:$C$30,MATCH(C472,Levels!$B$2:$B$30,0)),""))</f>
        <v/>
      </c>
      <c r="G472" s="6" t="n"/>
      <c r="H472" s="10">
        <f>IF(AND(B472="",C472=""),"",IF(G472&lt;&gt;"","Void",IF(OR(B472="",E472=""),"Needs child",IF(D472="","Needs level","OK"))))</f>
        <v/>
      </c>
    </row>
    <row r="473">
      <c r="A473" s="6" t="n"/>
      <c r="B473" s="6" t="n"/>
      <c r="C473" s="6" t="n"/>
      <c r="D473" s="11">
        <f>IF(C473="","",IFERROR(INDEX(Levels!$A$2:$A$30,MATCH(C473,Levels!$B$2:$B$30,0)),""))</f>
        <v/>
      </c>
      <c r="E473" s="10">
        <f>IF(B473="","",IFERROR(INDEX(Roster!$A$2:$A$600,MATCH(B473,Roster!$E$2:$E$600,0)),""))</f>
        <v/>
      </c>
      <c r="F473" s="10">
        <f>IF(C473="","",IFERROR(INDEX(Levels!$C$2:$C$30,MATCH(C473,Levels!$B$2:$B$30,0)),""))</f>
        <v/>
      </c>
      <c r="G473" s="6" t="n"/>
      <c r="H473" s="10">
        <f>IF(AND(B473="",C473=""),"",IF(G473&lt;&gt;"","Void",IF(OR(B473="",E473=""),"Needs child",IF(D473="","Needs level","OK"))))</f>
        <v/>
      </c>
    </row>
    <row r="474">
      <c r="A474" s="6" t="n"/>
      <c r="B474" s="6" t="n"/>
      <c r="C474" s="6" t="n"/>
      <c r="D474" s="11">
        <f>IF(C474="","",IFERROR(INDEX(Levels!$A$2:$A$30,MATCH(C474,Levels!$B$2:$B$30,0)),""))</f>
        <v/>
      </c>
      <c r="E474" s="10">
        <f>IF(B474="","",IFERROR(INDEX(Roster!$A$2:$A$600,MATCH(B474,Roster!$E$2:$E$600,0)),""))</f>
        <v/>
      </c>
      <c r="F474" s="10">
        <f>IF(C474="","",IFERROR(INDEX(Levels!$C$2:$C$30,MATCH(C474,Levels!$B$2:$B$30,0)),""))</f>
        <v/>
      </c>
      <c r="G474" s="6" t="n"/>
      <c r="H474" s="10">
        <f>IF(AND(B474="",C474=""),"",IF(G474&lt;&gt;"","Void",IF(OR(B474="",E474=""),"Needs child",IF(D474="","Needs level","OK"))))</f>
        <v/>
      </c>
    </row>
    <row r="475">
      <c r="A475" s="6" t="n"/>
      <c r="B475" s="6" t="n"/>
      <c r="C475" s="6" t="n"/>
      <c r="D475" s="11">
        <f>IF(C475="","",IFERROR(INDEX(Levels!$A$2:$A$30,MATCH(C475,Levels!$B$2:$B$30,0)),""))</f>
        <v/>
      </c>
      <c r="E475" s="10">
        <f>IF(B475="","",IFERROR(INDEX(Roster!$A$2:$A$600,MATCH(B475,Roster!$E$2:$E$600,0)),""))</f>
        <v/>
      </c>
      <c r="F475" s="10">
        <f>IF(C475="","",IFERROR(INDEX(Levels!$C$2:$C$30,MATCH(C475,Levels!$B$2:$B$30,0)),""))</f>
        <v/>
      </c>
      <c r="G475" s="6" t="n"/>
      <c r="H475" s="10">
        <f>IF(AND(B475="",C475=""),"",IF(G475&lt;&gt;"","Void",IF(OR(B475="",E475=""),"Needs child",IF(D475="","Needs level","OK"))))</f>
        <v/>
      </c>
    </row>
    <row r="476">
      <c r="A476" s="6" t="n"/>
      <c r="B476" s="6" t="n"/>
      <c r="C476" s="6" t="n"/>
      <c r="D476" s="11">
        <f>IF(C476="","",IFERROR(INDEX(Levels!$A$2:$A$30,MATCH(C476,Levels!$B$2:$B$30,0)),""))</f>
        <v/>
      </c>
      <c r="E476" s="10">
        <f>IF(B476="","",IFERROR(INDEX(Roster!$A$2:$A$600,MATCH(B476,Roster!$E$2:$E$600,0)),""))</f>
        <v/>
      </c>
      <c r="F476" s="10">
        <f>IF(C476="","",IFERROR(INDEX(Levels!$C$2:$C$30,MATCH(C476,Levels!$B$2:$B$30,0)),""))</f>
        <v/>
      </c>
      <c r="G476" s="6" t="n"/>
      <c r="H476" s="10">
        <f>IF(AND(B476="",C476=""),"",IF(G476&lt;&gt;"","Void",IF(OR(B476="",E476=""),"Needs child",IF(D476="","Needs level","OK"))))</f>
        <v/>
      </c>
    </row>
    <row r="477">
      <c r="A477" s="6" t="n"/>
      <c r="B477" s="6" t="n"/>
      <c r="C477" s="6" t="n"/>
      <c r="D477" s="11">
        <f>IF(C477="","",IFERROR(INDEX(Levels!$A$2:$A$30,MATCH(C477,Levels!$B$2:$B$30,0)),""))</f>
        <v/>
      </c>
      <c r="E477" s="10">
        <f>IF(B477="","",IFERROR(INDEX(Roster!$A$2:$A$600,MATCH(B477,Roster!$E$2:$E$600,0)),""))</f>
        <v/>
      </c>
      <c r="F477" s="10">
        <f>IF(C477="","",IFERROR(INDEX(Levels!$C$2:$C$30,MATCH(C477,Levels!$B$2:$B$30,0)),""))</f>
        <v/>
      </c>
      <c r="G477" s="6" t="n"/>
      <c r="H477" s="10">
        <f>IF(AND(B477="",C477=""),"",IF(G477&lt;&gt;"","Void",IF(OR(B477="",E477=""),"Needs child",IF(D477="","Needs level","OK"))))</f>
        <v/>
      </c>
    </row>
    <row r="478">
      <c r="A478" s="6" t="n"/>
      <c r="B478" s="6" t="n"/>
      <c r="C478" s="6" t="n"/>
      <c r="D478" s="11">
        <f>IF(C478="","",IFERROR(INDEX(Levels!$A$2:$A$30,MATCH(C478,Levels!$B$2:$B$30,0)),""))</f>
        <v/>
      </c>
      <c r="E478" s="10">
        <f>IF(B478="","",IFERROR(INDEX(Roster!$A$2:$A$600,MATCH(B478,Roster!$E$2:$E$600,0)),""))</f>
        <v/>
      </c>
      <c r="F478" s="10">
        <f>IF(C478="","",IFERROR(INDEX(Levels!$C$2:$C$30,MATCH(C478,Levels!$B$2:$B$30,0)),""))</f>
        <v/>
      </c>
      <c r="G478" s="6" t="n"/>
      <c r="H478" s="10">
        <f>IF(AND(B478="",C478=""),"",IF(G478&lt;&gt;"","Void",IF(OR(B478="",E478=""),"Needs child",IF(D478="","Needs level","OK"))))</f>
        <v/>
      </c>
    </row>
    <row r="479">
      <c r="A479" s="6" t="n"/>
      <c r="B479" s="6" t="n"/>
      <c r="C479" s="6" t="n"/>
      <c r="D479" s="11">
        <f>IF(C479="","",IFERROR(INDEX(Levels!$A$2:$A$30,MATCH(C479,Levels!$B$2:$B$30,0)),""))</f>
        <v/>
      </c>
      <c r="E479" s="10">
        <f>IF(B479="","",IFERROR(INDEX(Roster!$A$2:$A$600,MATCH(B479,Roster!$E$2:$E$600,0)),""))</f>
        <v/>
      </c>
      <c r="F479" s="10">
        <f>IF(C479="","",IFERROR(INDEX(Levels!$C$2:$C$30,MATCH(C479,Levels!$B$2:$B$30,0)),""))</f>
        <v/>
      </c>
      <c r="G479" s="6" t="n"/>
      <c r="H479" s="10">
        <f>IF(AND(B479="",C479=""),"",IF(G479&lt;&gt;"","Void",IF(OR(B479="",E479=""),"Needs child",IF(D479="","Needs level","OK"))))</f>
        <v/>
      </c>
    </row>
    <row r="480">
      <c r="A480" s="6" t="n"/>
      <c r="B480" s="6" t="n"/>
      <c r="C480" s="6" t="n"/>
      <c r="D480" s="11">
        <f>IF(C480="","",IFERROR(INDEX(Levels!$A$2:$A$30,MATCH(C480,Levels!$B$2:$B$30,0)),""))</f>
        <v/>
      </c>
      <c r="E480" s="10">
        <f>IF(B480="","",IFERROR(INDEX(Roster!$A$2:$A$600,MATCH(B480,Roster!$E$2:$E$600,0)),""))</f>
        <v/>
      </c>
      <c r="F480" s="10">
        <f>IF(C480="","",IFERROR(INDEX(Levels!$C$2:$C$30,MATCH(C480,Levels!$B$2:$B$30,0)),""))</f>
        <v/>
      </c>
      <c r="G480" s="6" t="n"/>
      <c r="H480" s="10">
        <f>IF(AND(B480="",C480=""),"",IF(G480&lt;&gt;"","Void",IF(OR(B480="",E480=""),"Needs child",IF(D480="","Needs level","OK"))))</f>
        <v/>
      </c>
    </row>
    <row r="481">
      <c r="A481" s="6" t="n"/>
      <c r="B481" s="6" t="n"/>
      <c r="C481" s="6" t="n"/>
      <c r="D481" s="11">
        <f>IF(C481="","",IFERROR(INDEX(Levels!$A$2:$A$30,MATCH(C481,Levels!$B$2:$B$30,0)),""))</f>
        <v/>
      </c>
      <c r="E481" s="10">
        <f>IF(B481="","",IFERROR(INDEX(Roster!$A$2:$A$600,MATCH(B481,Roster!$E$2:$E$600,0)),""))</f>
        <v/>
      </c>
      <c r="F481" s="10">
        <f>IF(C481="","",IFERROR(INDEX(Levels!$C$2:$C$30,MATCH(C481,Levels!$B$2:$B$30,0)),""))</f>
        <v/>
      </c>
      <c r="G481" s="6" t="n"/>
      <c r="H481" s="10">
        <f>IF(AND(B481="",C481=""),"",IF(G481&lt;&gt;"","Void",IF(OR(B481="",E481=""),"Needs child",IF(D481="","Needs level","OK"))))</f>
        <v/>
      </c>
    </row>
    <row r="482">
      <c r="A482" s="6" t="n"/>
      <c r="B482" s="6" t="n"/>
      <c r="C482" s="6" t="n"/>
      <c r="D482" s="11">
        <f>IF(C482="","",IFERROR(INDEX(Levels!$A$2:$A$30,MATCH(C482,Levels!$B$2:$B$30,0)),""))</f>
        <v/>
      </c>
      <c r="E482" s="10">
        <f>IF(B482="","",IFERROR(INDEX(Roster!$A$2:$A$600,MATCH(B482,Roster!$E$2:$E$600,0)),""))</f>
        <v/>
      </c>
      <c r="F482" s="10">
        <f>IF(C482="","",IFERROR(INDEX(Levels!$C$2:$C$30,MATCH(C482,Levels!$B$2:$B$30,0)),""))</f>
        <v/>
      </c>
      <c r="G482" s="6" t="n"/>
      <c r="H482" s="10">
        <f>IF(AND(B482="",C482=""),"",IF(G482&lt;&gt;"","Void",IF(OR(B482="",E482=""),"Needs child",IF(D482="","Needs level","OK"))))</f>
        <v/>
      </c>
    </row>
    <row r="483">
      <c r="A483" s="6" t="n"/>
      <c r="B483" s="6" t="n"/>
      <c r="C483" s="6" t="n"/>
      <c r="D483" s="11">
        <f>IF(C483="","",IFERROR(INDEX(Levels!$A$2:$A$30,MATCH(C483,Levels!$B$2:$B$30,0)),""))</f>
        <v/>
      </c>
      <c r="E483" s="10">
        <f>IF(B483="","",IFERROR(INDEX(Roster!$A$2:$A$600,MATCH(B483,Roster!$E$2:$E$600,0)),""))</f>
        <v/>
      </c>
      <c r="F483" s="10">
        <f>IF(C483="","",IFERROR(INDEX(Levels!$C$2:$C$30,MATCH(C483,Levels!$B$2:$B$30,0)),""))</f>
        <v/>
      </c>
      <c r="G483" s="6" t="n"/>
      <c r="H483" s="10">
        <f>IF(AND(B483="",C483=""),"",IF(G483&lt;&gt;"","Void",IF(OR(B483="",E483=""),"Needs child",IF(D483="","Needs level","OK"))))</f>
        <v/>
      </c>
    </row>
    <row r="484">
      <c r="A484" s="6" t="n"/>
      <c r="B484" s="6" t="n"/>
      <c r="C484" s="6" t="n"/>
      <c r="D484" s="11">
        <f>IF(C484="","",IFERROR(INDEX(Levels!$A$2:$A$30,MATCH(C484,Levels!$B$2:$B$30,0)),""))</f>
        <v/>
      </c>
      <c r="E484" s="10">
        <f>IF(B484="","",IFERROR(INDEX(Roster!$A$2:$A$600,MATCH(B484,Roster!$E$2:$E$600,0)),""))</f>
        <v/>
      </c>
      <c r="F484" s="10">
        <f>IF(C484="","",IFERROR(INDEX(Levels!$C$2:$C$30,MATCH(C484,Levels!$B$2:$B$30,0)),""))</f>
        <v/>
      </c>
      <c r="G484" s="6" t="n"/>
      <c r="H484" s="10">
        <f>IF(AND(B484="",C484=""),"",IF(G484&lt;&gt;"","Void",IF(OR(B484="",E484=""),"Needs child",IF(D484="","Needs level","OK"))))</f>
        <v/>
      </c>
    </row>
    <row r="485">
      <c r="A485" s="6" t="n"/>
      <c r="B485" s="6" t="n"/>
      <c r="C485" s="6" t="n"/>
      <c r="D485" s="11">
        <f>IF(C485="","",IFERROR(INDEX(Levels!$A$2:$A$30,MATCH(C485,Levels!$B$2:$B$30,0)),""))</f>
        <v/>
      </c>
      <c r="E485" s="10">
        <f>IF(B485="","",IFERROR(INDEX(Roster!$A$2:$A$600,MATCH(B485,Roster!$E$2:$E$600,0)),""))</f>
        <v/>
      </c>
      <c r="F485" s="10">
        <f>IF(C485="","",IFERROR(INDEX(Levels!$C$2:$C$30,MATCH(C485,Levels!$B$2:$B$30,0)),""))</f>
        <v/>
      </c>
      <c r="G485" s="6" t="n"/>
      <c r="H485" s="10">
        <f>IF(AND(B485="",C485=""),"",IF(G485&lt;&gt;"","Void",IF(OR(B485="",E485=""),"Needs child",IF(D485="","Needs level","OK"))))</f>
        <v/>
      </c>
    </row>
    <row r="486">
      <c r="A486" s="6" t="n"/>
      <c r="B486" s="6" t="n"/>
      <c r="C486" s="6" t="n"/>
      <c r="D486" s="11">
        <f>IF(C486="","",IFERROR(INDEX(Levels!$A$2:$A$30,MATCH(C486,Levels!$B$2:$B$30,0)),""))</f>
        <v/>
      </c>
      <c r="E486" s="10">
        <f>IF(B486="","",IFERROR(INDEX(Roster!$A$2:$A$600,MATCH(B486,Roster!$E$2:$E$600,0)),""))</f>
        <v/>
      </c>
      <c r="F486" s="10">
        <f>IF(C486="","",IFERROR(INDEX(Levels!$C$2:$C$30,MATCH(C486,Levels!$B$2:$B$30,0)),""))</f>
        <v/>
      </c>
      <c r="G486" s="6" t="n"/>
      <c r="H486" s="10">
        <f>IF(AND(B486="",C486=""),"",IF(G486&lt;&gt;"","Void",IF(OR(B486="",E486=""),"Needs child",IF(D486="","Needs level","OK"))))</f>
        <v/>
      </c>
    </row>
    <row r="487">
      <c r="A487" s="6" t="n"/>
      <c r="B487" s="6" t="n"/>
      <c r="C487" s="6" t="n"/>
      <c r="D487" s="11">
        <f>IF(C487="","",IFERROR(INDEX(Levels!$A$2:$A$30,MATCH(C487,Levels!$B$2:$B$30,0)),""))</f>
        <v/>
      </c>
      <c r="E487" s="10">
        <f>IF(B487="","",IFERROR(INDEX(Roster!$A$2:$A$600,MATCH(B487,Roster!$E$2:$E$600,0)),""))</f>
        <v/>
      </c>
      <c r="F487" s="10">
        <f>IF(C487="","",IFERROR(INDEX(Levels!$C$2:$C$30,MATCH(C487,Levels!$B$2:$B$30,0)),""))</f>
        <v/>
      </c>
      <c r="G487" s="6" t="n"/>
      <c r="H487" s="10">
        <f>IF(AND(B487="",C487=""),"",IF(G487&lt;&gt;"","Void",IF(OR(B487="",E487=""),"Needs child",IF(D487="","Needs level","OK"))))</f>
        <v/>
      </c>
    </row>
    <row r="488">
      <c r="A488" s="6" t="n"/>
      <c r="B488" s="6" t="n"/>
      <c r="C488" s="6" t="n"/>
      <c r="D488" s="11">
        <f>IF(C488="","",IFERROR(INDEX(Levels!$A$2:$A$30,MATCH(C488,Levels!$B$2:$B$30,0)),""))</f>
        <v/>
      </c>
      <c r="E488" s="10">
        <f>IF(B488="","",IFERROR(INDEX(Roster!$A$2:$A$600,MATCH(B488,Roster!$E$2:$E$600,0)),""))</f>
        <v/>
      </c>
      <c r="F488" s="10">
        <f>IF(C488="","",IFERROR(INDEX(Levels!$C$2:$C$30,MATCH(C488,Levels!$B$2:$B$30,0)),""))</f>
        <v/>
      </c>
      <c r="G488" s="6" t="n"/>
      <c r="H488" s="10">
        <f>IF(AND(B488="",C488=""),"",IF(G488&lt;&gt;"","Void",IF(OR(B488="",E488=""),"Needs child",IF(D488="","Needs level","OK"))))</f>
        <v/>
      </c>
    </row>
    <row r="489">
      <c r="A489" s="6" t="n"/>
      <c r="B489" s="6" t="n"/>
      <c r="C489" s="6" t="n"/>
      <c r="D489" s="11">
        <f>IF(C489="","",IFERROR(INDEX(Levels!$A$2:$A$30,MATCH(C489,Levels!$B$2:$B$30,0)),""))</f>
        <v/>
      </c>
      <c r="E489" s="10">
        <f>IF(B489="","",IFERROR(INDEX(Roster!$A$2:$A$600,MATCH(B489,Roster!$E$2:$E$600,0)),""))</f>
        <v/>
      </c>
      <c r="F489" s="10">
        <f>IF(C489="","",IFERROR(INDEX(Levels!$C$2:$C$30,MATCH(C489,Levels!$B$2:$B$30,0)),""))</f>
        <v/>
      </c>
      <c r="G489" s="6" t="n"/>
      <c r="H489" s="10">
        <f>IF(AND(B489="",C489=""),"",IF(G489&lt;&gt;"","Void",IF(OR(B489="",E489=""),"Needs child",IF(D489="","Needs level","OK"))))</f>
        <v/>
      </c>
    </row>
    <row r="490">
      <c r="A490" s="6" t="n"/>
      <c r="B490" s="6" t="n"/>
      <c r="C490" s="6" t="n"/>
      <c r="D490" s="11">
        <f>IF(C490="","",IFERROR(INDEX(Levels!$A$2:$A$30,MATCH(C490,Levels!$B$2:$B$30,0)),""))</f>
        <v/>
      </c>
      <c r="E490" s="10">
        <f>IF(B490="","",IFERROR(INDEX(Roster!$A$2:$A$600,MATCH(B490,Roster!$E$2:$E$600,0)),""))</f>
        <v/>
      </c>
      <c r="F490" s="10">
        <f>IF(C490="","",IFERROR(INDEX(Levels!$C$2:$C$30,MATCH(C490,Levels!$B$2:$B$30,0)),""))</f>
        <v/>
      </c>
      <c r="G490" s="6" t="n"/>
      <c r="H490" s="10">
        <f>IF(AND(B490="",C490=""),"",IF(G490&lt;&gt;"","Void",IF(OR(B490="",E490=""),"Needs child",IF(D490="","Needs level","OK"))))</f>
        <v/>
      </c>
    </row>
    <row r="491">
      <c r="A491" s="6" t="n"/>
      <c r="B491" s="6" t="n"/>
      <c r="C491" s="6" t="n"/>
      <c r="D491" s="11">
        <f>IF(C491="","",IFERROR(INDEX(Levels!$A$2:$A$30,MATCH(C491,Levels!$B$2:$B$30,0)),""))</f>
        <v/>
      </c>
      <c r="E491" s="10">
        <f>IF(B491="","",IFERROR(INDEX(Roster!$A$2:$A$600,MATCH(B491,Roster!$E$2:$E$600,0)),""))</f>
        <v/>
      </c>
      <c r="F491" s="10">
        <f>IF(C491="","",IFERROR(INDEX(Levels!$C$2:$C$30,MATCH(C491,Levels!$B$2:$B$30,0)),""))</f>
        <v/>
      </c>
      <c r="G491" s="6" t="n"/>
      <c r="H491" s="10">
        <f>IF(AND(B491="",C491=""),"",IF(G491&lt;&gt;"","Void",IF(OR(B491="",E491=""),"Needs child",IF(D491="","Needs level","OK"))))</f>
        <v/>
      </c>
    </row>
    <row r="492">
      <c r="A492" s="6" t="n"/>
      <c r="B492" s="6" t="n"/>
      <c r="C492" s="6" t="n"/>
      <c r="D492" s="11">
        <f>IF(C492="","",IFERROR(INDEX(Levels!$A$2:$A$30,MATCH(C492,Levels!$B$2:$B$30,0)),""))</f>
        <v/>
      </c>
      <c r="E492" s="10">
        <f>IF(B492="","",IFERROR(INDEX(Roster!$A$2:$A$600,MATCH(B492,Roster!$E$2:$E$600,0)),""))</f>
        <v/>
      </c>
      <c r="F492" s="10">
        <f>IF(C492="","",IFERROR(INDEX(Levels!$C$2:$C$30,MATCH(C492,Levels!$B$2:$B$30,0)),""))</f>
        <v/>
      </c>
      <c r="G492" s="6" t="n"/>
      <c r="H492" s="10">
        <f>IF(AND(B492="",C492=""),"",IF(G492&lt;&gt;"","Void",IF(OR(B492="",E492=""),"Needs child",IF(D492="","Needs level","OK"))))</f>
        <v/>
      </c>
    </row>
    <row r="493">
      <c r="A493" s="6" t="n"/>
      <c r="B493" s="6" t="n"/>
      <c r="C493" s="6" t="n"/>
      <c r="D493" s="11">
        <f>IF(C493="","",IFERROR(INDEX(Levels!$A$2:$A$30,MATCH(C493,Levels!$B$2:$B$30,0)),""))</f>
        <v/>
      </c>
      <c r="E493" s="10">
        <f>IF(B493="","",IFERROR(INDEX(Roster!$A$2:$A$600,MATCH(B493,Roster!$E$2:$E$600,0)),""))</f>
        <v/>
      </c>
      <c r="F493" s="10">
        <f>IF(C493="","",IFERROR(INDEX(Levels!$C$2:$C$30,MATCH(C493,Levels!$B$2:$B$30,0)),""))</f>
        <v/>
      </c>
      <c r="G493" s="6" t="n"/>
      <c r="H493" s="10">
        <f>IF(AND(B493="",C493=""),"",IF(G493&lt;&gt;"","Void",IF(OR(B493="",E493=""),"Needs child",IF(D493="","Needs level","OK"))))</f>
        <v/>
      </c>
    </row>
    <row r="494">
      <c r="A494" s="6" t="n"/>
      <c r="B494" s="6" t="n"/>
      <c r="C494" s="6" t="n"/>
      <c r="D494" s="11">
        <f>IF(C494="","",IFERROR(INDEX(Levels!$A$2:$A$30,MATCH(C494,Levels!$B$2:$B$30,0)),""))</f>
        <v/>
      </c>
      <c r="E494" s="10">
        <f>IF(B494="","",IFERROR(INDEX(Roster!$A$2:$A$600,MATCH(B494,Roster!$E$2:$E$600,0)),""))</f>
        <v/>
      </c>
      <c r="F494" s="10">
        <f>IF(C494="","",IFERROR(INDEX(Levels!$C$2:$C$30,MATCH(C494,Levels!$B$2:$B$30,0)),""))</f>
        <v/>
      </c>
      <c r="G494" s="6" t="n"/>
      <c r="H494" s="10">
        <f>IF(AND(B494="",C494=""),"",IF(G494&lt;&gt;"","Void",IF(OR(B494="",E494=""),"Needs child",IF(D494="","Needs level","OK"))))</f>
        <v/>
      </c>
    </row>
    <row r="495">
      <c r="A495" s="6" t="n"/>
      <c r="B495" s="6" t="n"/>
      <c r="C495" s="6" t="n"/>
      <c r="D495" s="11">
        <f>IF(C495="","",IFERROR(INDEX(Levels!$A$2:$A$30,MATCH(C495,Levels!$B$2:$B$30,0)),""))</f>
        <v/>
      </c>
      <c r="E495" s="10">
        <f>IF(B495="","",IFERROR(INDEX(Roster!$A$2:$A$600,MATCH(B495,Roster!$E$2:$E$600,0)),""))</f>
        <v/>
      </c>
      <c r="F495" s="10">
        <f>IF(C495="","",IFERROR(INDEX(Levels!$C$2:$C$30,MATCH(C495,Levels!$B$2:$B$30,0)),""))</f>
        <v/>
      </c>
      <c r="G495" s="6" t="n"/>
      <c r="H495" s="10">
        <f>IF(AND(B495="",C495=""),"",IF(G495&lt;&gt;"","Void",IF(OR(B495="",E495=""),"Needs child",IF(D495="","Needs level","OK"))))</f>
        <v/>
      </c>
    </row>
    <row r="496">
      <c r="A496" s="6" t="n"/>
      <c r="B496" s="6" t="n"/>
      <c r="C496" s="6" t="n"/>
      <c r="D496" s="11">
        <f>IF(C496="","",IFERROR(INDEX(Levels!$A$2:$A$30,MATCH(C496,Levels!$B$2:$B$30,0)),""))</f>
        <v/>
      </c>
      <c r="E496" s="10">
        <f>IF(B496="","",IFERROR(INDEX(Roster!$A$2:$A$600,MATCH(B496,Roster!$E$2:$E$600,0)),""))</f>
        <v/>
      </c>
      <c r="F496" s="10">
        <f>IF(C496="","",IFERROR(INDEX(Levels!$C$2:$C$30,MATCH(C496,Levels!$B$2:$B$30,0)),""))</f>
        <v/>
      </c>
      <c r="G496" s="6" t="n"/>
      <c r="H496" s="10">
        <f>IF(AND(B496="",C496=""),"",IF(G496&lt;&gt;"","Void",IF(OR(B496="",E496=""),"Needs child",IF(D496="","Needs level","OK"))))</f>
        <v/>
      </c>
    </row>
    <row r="497">
      <c r="A497" s="6" t="n"/>
      <c r="B497" s="6" t="n"/>
      <c r="C497" s="6" t="n"/>
      <c r="D497" s="11">
        <f>IF(C497="","",IFERROR(INDEX(Levels!$A$2:$A$30,MATCH(C497,Levels!$B$2:$B$30,0)),""))</f>
        <v/>
      </c>
      <c r="E497" s="10">
        <f>IF(B497="","",IFERROR(INDEX(Roster!$A$2:$A$600,MATCH(B497,Roster!$E$2:$E$600,0)),""))</f>
        <v/>
      </c>
      <c r="F497" s="10">
        <f>IF(C497="","",IFERROR(INDEX(Levels!$C$2:$C$30,MATCH(C497,Levels!$B$2:$B$30,0)),""))</f>
        <v/>
      </c>
      <c r="G497" s="6" t="n"/>
      <c r="H497" s="10">
        <f>IF(AND(B497="",C497=""),"",IF(G497&lt;&gt;"","Void",IF(OR(B497="",E497=""),"Needs child",IF(D497="","Needs level","OK"))))</f>
        <v/>
      </c>
    </row>
    <row r="498">
      <c r="A498" s="6" t="n"/>
      <c r="B498" s="6" t="n"/>
      <c r="C498" s="6" t="n"/>
      <c r="D498" s="11">
        <f>IF(C498="","",IFERROR(INDEX(Levels!$A$2:$A$30,MATCH(C498,Levels!$B$2:$B$30,0)),""))</f>
        <v/>
      </c>
      <c r="E498" s="10">
        <f>IF(B498="","",IFERROR(INDEX(Roster!$A$2:$A$600,MATCH(B498,Roster!$E$2:$E$600,0)),""))</f>
        <v/>
      </c>
      <c r="F498" s="10">
        <f>IF(C498="","",IFERROR(INDEX(Levels!$C$2:$C$30,MATCH(C498,Levels!$B$2:$B$30,0)),""))</f>
        <v/>
      </c>
      <c r="G498" s="6" t="n"/>
      <c r="H498" s="10">
        <f>IF(AND(B498="",C498=""),"",IF(G498&lt;&gt;"","Void",IF(OR(B498="",E498=""),"Needs child",IF(D498="","Needs level","OK"))))</f>
        <v/>
      </c>
    </row>
    <row r="499">
      <c r="A499" s="6" t="n"/>
      <c r="B499" s="6" t="n"/>
      <c r="C499" s="6" t="n"/>
      <c r="D499" s="11">
        <f>IF(C499="","",IFERROR(INDEX(Levels!$A$2:$A$30,MATCH(C499,Levels!$B$2:$B$30,0)),""))</f>
        <v/>
      </c>
      <c r="E499" s="10">
        <f>IF(B499="","",IFERROR(INDEX(Roster!$A$2:$A$600,MATCH(B499,Roster!$E$2:$E$600,0)),""))</f>
        <v/>
      </c>
      <c r="F499" s="10">
        <f>IF(C499="","",IFERROR(INDEX(Levels!$C$2:$C$30,MATCH(C499,Levels!$B$2:$B$30,0)),""))</f>
        <v/>
      </c>
      <c r="G499" s="6" t="n"/>
      <c r="H499" s="10">
        <f>IF(AND(B499="",C499=""),"",IF(G499&lt;&gt;"","Void",IF(OR(B499="",E499=""),"Needs child",IF(D499="","Needs level","OK"))))</f>
        <v/>
      </c>
    </row>
    <row r="500">
      <c r="A500" s="6" t="n"/>
      <c r="B500" s="6" t="n"/>
      <c r="C500" s="6" t="n"/>
      <c r="D500" s="11">
        <f>IF(C500="","",IFERROR(INDEX(Levels!$A$2:$A$30,MATCH(C500,Levels!$B$2:$B$30,0)),""))</f>
        <v/>
      </c>
      <c r="E500" s="10">
        <f>IF(B500="","",IFERROR(INDEX(Roster!$A$2:$A$600,MATCH(B500,Roster!$E$2:$E$600,0)),""))</f>
        <v/>
      </c>
      <c r="F500" s="10">
        <f>IF(C500="","",IFERROR(INDEX(Levels!$C$2:$C$30,MATCH(C500,Levels!$B$2:$B$30,0)),""))</f>
        <v/>
      </c>
      <c r="G500" s="6" t="n"/>
      <c r="H500" s="10">
        <f>IF(AND(B500="",C500=""),"",IF(G500&lt;&gt;"","Void",IF(OR(B500="",E500=""),"Needs child",IF(D500="","Needs level","OK"))))</f>
        <v/>
      </c>
    </row>
    <row r="501">
      <c r="A501" s="6" t="n"/>
      <c r="B501" s="6" t="n"/>
      <c r="C501" s="6" t="n"/>
      <c r="D501" s="11">
        <f>IF(C501="","",IFERROR(INDEX(Levels!$A$2:$A$30,MATCH(C501,Levels!$B$2:$B$30,0)),""))</f>
        <v/>
      </c>
      <c r="E501" s="10">
        <f>IF(B501="","",IFERROR(INDEX(Roster!$A$2:$A$600,MATCH(B501,Roster!$E$2:$E$600,0)),""))</f>
        <v/>
      </c>
      <c r="F501" s="10">
        <f>IF(C501="","",IFERROR(INDEX(Levels!$C$2:$C$30,MATCH(C501,Levels!$B$2:$B$30,0)),""))</f>
        <v/>
      </c>
      <c r="G501" s="6" t="n"/>
      <c r="H501" s="10">
        <f>IF(AND(B501="",C501=""),"",IF(G501&lt;&gt;"","Void",IF(OR(B501="",E501=""),"Needs child",IF(D501="","Needs level","OK"))))</f>
        <v/>
      </c>
    </row>
    <row r="502">
      <c r="A502" s="6" t="n"/>
      <c r="B502" s="6" t="n"/>
      <c r="C502" s="6" t="n"/>
      <c r="D502" s="11">
        <f>IF(C502="","",IFERROR(INDEX(Levels!$A$2:$A$30,MATCH(C502,Levels!$B$2:$B$30,0)),""))</f>
        <v/>
      </c>
      <c r="E502" s="10">
        <f>IF(B502="","",IFERROR(INDEX(Roster!$A$2:$A$600,MATCH(B502,Roster!$E$2:$E$600,0)),""))</f>
        <v/>
      </c>
      <c r="F502" s="10">
        <f>IF(C502="","",IFERROR(INDEX(Levels!$C$2:$C$30,MATCH(C502,Levels!$B$2:$B$30,0)),""))</f>
        <v/>
      </c>
      <c r="G502" s="6" t="n"/>
      <c r="H502" s="10">
        <f>IF(AND(B502="",C502=""),"",IF(G502&lt;&gt;"","Void",IF(OR(B502="",E502=""),"Needs child",IF(D502="","Needs level","OK"))))</f>
        <v/>
      </c>
    </row>
    <row r="503">
      <c r="A503" s="6" t="n"/>
      <c r="B503" s="6" t="n"/>
      <c r="C503" s="6" t="n"/>
      <c r="D503" s="11">
        <f>IF(C503="","",IFERROR(INDEX(Levels!$A$2:$A$30,MATCH(C503,Levels!$B$2:$B$30,0)),""))</f>
        <v/>
      </c>
      <c r="E503" s="10">
        <f>IF(B503="","",IFERROR(INDEX(Roster!$A$2:$A$600,MATCH(B503,Roster!$E$2:$E$600,0)),""))</f>
        <v/>
      </c>
      <c r="F503" s="10">
        <f>IF(C503="","",IFERROR(INDEX(Levels!$C$2:$C$30,MATCH(C503,Levels!$B$2:$B$30,0)),""))</f>
        <v/>
      </c>
      <c r="G503" s="6" t="n"/>
      <c r="H503" s="10">
        <f>IF(AND(B503="",C503=""),"",IF(G503&lt;&gt;"","Void",IF(OR(B503="",E503=""),"Needs child",IF(D503="","Needs level","OK"))))</f>
        <v/>
      </c>
    </row>
    <row r="504">
      <c r="A504" s="6" t="n"/>
      <c r="B504" s="6" t="n"/>
      <c r="C504" s="6" t="n"/>
      <c r="D504" s="11">
        <f>IF(C504="","",IFERROR(INDEX(Levels!$A$2:$A$30,MATCH(C504,Levels!$B$2:$B$30,0)),""))</f>
        <v/>
      </c>
      <c r="E504" s="10">
        <f>IF(B504="","",IFERROR(INDEX(Roster!$A$2:$A$600,MATCH(B504,Roster!$E$2:$E$600,0)),""))</f>
        <v/>
      </c>
      <c r="F504" s="10">
        <f>IF(C504="","",IFERROR(INDEX(Levels!$C$2:$C$30,MATCH(C504,Levels!$B$2:$B$30,0)),""))</f>
        <v/>
      </c>
      <c r="G504" s="6" t="n"/>
      <c r="H504" s="10">
        <f>IF(AND(B504="",C504=""),"",IF(G504&lt;&gt;"","Void",IF(OR(B504="",E504=""),"Needs child",IF(D504="","Needs level","OK"))))</f>
        <v/>
      </c>
    </row>
    <row r="505">
      <c r="A505" s="6" t="n"/>
      <c r="B505" s="6" t="n"/>
      <c r="C505" s="6" t="n"/>
      <c r="D505" s="11">
        <f>IF(C505="","",IFERROR(INDEX(Levels!$A$2:$A$30,MATCH(C505,Levels!$B$2:$B$30,0)),""))</f>
        <v/>
      </c>
      <c r="E505" s="10">
        <f>IF(B505="","",IFERROR(INDEX(Roster!$A$2:$A$600,MATCH(B505,Roster!$E$2:$E$600,0)),""))</f>
        <v/>
      </c>
      <c r="F505" s="10">
        <f>IF(C505="","",IFERROR(INDEX(Levels!$C$2:$C$30,MATCH(C505,Levels!$B$2:$B$30,0)),""))</f>
        <v/>
      </c>
      <c r="G505" s="6" t="n"/>
      <c r="H505" s="10">
        <f>IF(AND(B505="",C505=""),"",IF(G505&lt;&gt;"","Void",IF(OR(B505="",E505=""),"Needs child",IF(D505="","Needs level","OK"))))</f>
        <v/>
      </c>
    </row>
    <row r="506">
      <c r="A506" s="6" t="n"/>
      <c r="B506" s="6" t="n"/>
      <c r="C506" s="6" t="n"/>
      <c r="D506" s="11">
        <f>IF(C506="","",IFERROR(INDEX(Levels!$A$2:$A$30,MATCH(C506,Levels!$B$2:$B$30,0)),""))</f>
        <v/>
      </c>
      <c r="E506" s="10">
        <f>IF(B506="","",IFERROR(INDEX(Roster!$A$2:$A$600,MATCH(B506,Roster!$E$2:$E$600,0)),""))</f>
        <v/>
      </c>
      <c r="F506" s="10">
        <f>IF(C506="","",IFERROR(INDEX(Levels!$C$2:$C$30,MATCH(C506,Levels!$B$2:$B$30,0)),""))</f>
        <v/>
      </c>
      <c r="G506" s="6" t="n"/>
      <c r="H506" s="10">
        <f>IF(AND(B506="",C506=""),"",IF(G506&lt;&gt;"","Void",IF(OR(B506="",E506=""),"Needs child",IF(D506="","Needs level","OK"))))</f>
        <v/>
      </c>
    </row>
    <row r="507">
      <c r="A507" s="6" t="n"/>
      <c r="B507" s="6" t="n"/>
      <c r="C507" s="6" t="n"/>
      <c r="D507" s="11">
        <f>IF(C507="","",IFERROR(INDEX(Levels!$A$2:$A$30,MATCH(C507,Levels!$B$2:$B$30,0)),""))</f>
        <v/>
      </c>
      <c r="E507" s="10">
        <f>IF(B507="","",IFERROR(INDEX(Roster!$A$2:$A$600,MATCH(B507,Roster!$E$2:$E$600,0)),""))</f>
        <v/>
      </c>
      <c r="F507" s="10">
        <f>IF(C507="","",IFERROR(INDEX(Levels!$C$2:$C$30,MATCH(C507,Levels!$B$2:$B$30,0)),""))</f>
        <v/>
      </c>
      <c r="G507" s="6" t="n"/>
      <c r="H507" s="10">
        <f>IF(AND(B507="",C507=""),"",IF(G507&lt;&gt;"","Void",IF(OR(B507="",E507=""),"Needs child",IF(D507="","Needs level","OK"))))</f>
        <v/>
      </c>
    </row>
    <row r="508">
      <c r="A508" s="6" t="n"/>
      <c r="B508" s="6" t="n"/>
      <c r="C508" s="6" t="n"/>
      <c r="D508" s="11">
        <f>IF(C508="","",IFERROR(INDEX(Levels!$A$2:$A$30,MATCH(C508,Levels!$B$2:$B$30,0)),""))</f>
        <v/>
      </c>
      <c r="E508" s="10">
        <f>IF(B508="","",IFERROR(INDEX(Roster!$A$2:$A$600,MATCH(B508,Roster!$E$2:$E$600,0)),""))</f>
        <v/>
      </c>
      <c r="F508" s="10">
        <f>IF(C508="","",IFERROR(INDEX(Levels!$C$2:$C$30,MATCH(C508,Levels!$B$2:$B$30,0)),""))</f>
        <v/>
      </c>
      <c r="G508" s="6" t="n"/>
      <c r="H508" s="10">
        <f>IF(AND(B508="",C508=""),"",IF(G508&lt;&gt;"","Void",IF(OR(B508="",E508=""),"Needs child",IF(D508="","Needs level","OK"))))</f>
        <v/>
      </c>
    </row>
    <row r="509">
      <c r="A509" s="6" t="n"/>
      <c r="B509" s="6" t="n"/>
      <c r="C509" s="6" t="n"/>
      <c r="D509" s="11">
        <f>IF(C509="","",IFERROR(INDEX(Levels!$A$2:$A$30,MATCH(C509,Levels!$B$2:$B$30,0)),""))</f>
        <v/>
      </c>
      <c r="E509" s="10">
        <f>IF(B509="","",IFERROR(INDEX(Roster!$A$2:$A$600,MATCH(B509,Roster!$E$2:$E$600,0)),""))</f>
        <v/>
      </c>
      <c r="F509" s="10">
        <f>IF(C509="","",IFERROR(INDEX(Levels!$C$2:$C$30,MATCH(C509,Levels!$B$2:$B$30,0)),""))</f>
        <v/>
      </c>
      <c r="G509" s="6" t="n"/>
      <c r="H509" s="10">
        <f>IF(AND(B509="",C509=""),"",IF(G509&lt;&gt;"","Void",IF(OR(B509="",E509=""),"Needs child",IF(D509="","Needs level","OK"))))</f>
        <v/>
      </c>
    </row>
    <row r="510">
      <c r="A510" s="6" t="n"/>
      <c r="B510" s="6" t="n"/>
      <c r="C510" s="6" t="n"/>
      <c r="D510" s="11">
        <f>IF(C510="","",IFERROR(INDEX(Levels!$A$2:$A$30,MATCH(C510,Levels!$B$2:$B$30,0)),""))</f>
        <v/>
      </c>
      <c r="E510" s="10">
        <f>IF(B510="","",IFERROR(INDEX(Roster!$A$2:$A$600,MATCH(B510,Roster!$E$2:$E$600,0)),""))</f>
        <v/>
      </c>
      <c r="F510" s="10">
        <f>IF(C510="","",IFERROR(INDEX(Levels!$C$2:$C$30,MATCH(C510,Levels!$B$2:$B$30,0)),""))</f>
        <v/>
      </c>
      <c r="G510" s="6" t="n"/>
      <c r="H510" s="10">
        <f>IF(AND(B510="",C510=""),"",IF(G510&lt;&gt;"","Void",IF(OR(B510="",E510=""),"Needs child",IF(D510="","Needs level","OK"))))</f>
        <v/>
      </c>
    </row>
    <row r="511">
      <c r="A511" s="6" t="n"/>
      <c r="B511" s="6" t="n"/>
      <c r="C511" s="6" t="n"/>
      <c r="D511" s="11">
        <f>IF(C511="","",IFERROR(INDEX(Levels!$A$2:$A$30,MATCH(C511,Levels!$B$2:$B$30,0)),""))</f>
        <v/>
      </c>
      <c r="E511" s="10">
        <f>IF(B511="","",IFERROR(INDEX(Roster!$A$2:$A$600,MATCH(B511,Roster!$E$2:$E$600,0)),""))</f>
        <v/>
      </c>
      <c r="F511" s="10">
        <f>IF(C511="","",IFERROR(INDEX(Levels!$C$2:$C$30,MATCH(C511,Levels!$B$2:$B$30,0)),""))</f>
        <v/>
      </c>
      <c r="G511" s="6" t="n"/>
      <c r="H511" s="10">
        <f>IF(AND(B511="",C511=""),"",IF(G511&lt;&gt;"","Void",IF(OR(B511="",E511=""),"Needs child",IF(D511="","Needs level","OK"))))</f>
        <v/>
      </c>
    </row>
    <row r="512">
      <c r="A512" s="6" t="n"/>
      <c r="B512" s="6" t="n"/>
      <c r="C512" s="6" t="n"/>
      <c r="D512" s="11">
        <f>IF(C512="","",IFERROR(INDEX(Levels!$A$2:$A$30,MATCH(C512,Levels!$B$2:$B$30,0)),""))</f>
        <v/>
      </c>
      <c r="E512" s="10">
        <f>IF(B512="","",IFERROR(INDEX(Roster!$A$2:$A$600,MATCH(B512,Roster!$E$2:$E$600,0)),""))</f>
        <v/>
      </c>
      <c r="F512" s="10">
        <f>IF(C512="","",IFERROR(INDEX(Levels!$C$2:$C$30,MATCH(C512,Levels!$B$2:$B$30,0)),""))</f>
        <v/>
      </c>
      <c r="G512" s="6" t="n"/>
      <c r="H512" s="10">
        <f>IF(AND(B512="",C512=""),"",IF(G512&lt;&gt;"","Void",IF(OR(B512="",E512=""),"Needs child",IF(D512="","Needs level","OK"))))</f>
        <v/>
      </c>
    </row>
    <row r="513">
      <c r="A513" s="6" t="n"/>
      <c r="B513" s="6" t="n"/>
      <c r="C513" s="6" t="n"/>
      <c r="D513" s="11">
        <f>IF(C513="","",IFERROR(INDEX(Levels!$A$2:$A$30,MATCH(C513,Levels!$B$2:$B$30,0)),""))</f>
        <v/>
      </c>
      <c r="E513" s="10">
        <f>IF(B513="","",IFERROR(INDEX(Roster!$A$2:$A$600,MATCH(B513,Roster!$E$2:$E$600,0)),""))</f>
        <v/>
      </c>
      <c r="F513" s="10">
        <f>IF(C513="","",IFERROR(INDEX(Levels!$C$2:$C$30,MATCH(C513,Levels!$B$2:$B$30,0)),""))</f>
        <v/>
      </c>
      <c r="G513" s="6" t="n"/>
      <c r="H513" s="10">
        <f>IF(AND(B513="",C513=""),"",IF(G513&lt;&gt;"","Void",IF(OR(B513="",E513=""),"Needs child",IF(D513="","Needs level","OK"))))</f>
        <v/>
      </c>
    </row>
    <row r="514">
      <c r="A514" s="6" t="n"/>
      <c r="B514" s="6" t="n"/>
      <c r="C514" s="6" t="n"/>
      <c r="D514" s="11">
        <f>IF(C514="","",IFERROR(INDEX(Levels!$A$2:$A$30,MATCH(C514,Levels!$B$2:$B$30,0)),""))</f>
        <v/>
      </c>
      <c r="E514" s="10">
        <f>IF(B514="","",IFERROR(INDEX(Roster!$A$2:$A$600,MATCH(B514,Roster!$E$2:$E$600,0)),""))</f>
        <v/>
      </c>
      <c r="F514" s="10">
        <f>IF(C514="","",IFERROR(INDEX(Levels!$C$2:$C$30,MATCH(C514,Levels!$B$2:$B$30,0)),""))</f>
        <v/>
      </c>
      <c r="G514" s="6" t="n"/>
      <c r="H514" s="10">
        <f>IF(AND(B514="",C514=""),"",IF(G514&lt;&gt;"","Void",IF(OR(B514="",E514=""),"Needs child",IF(D514="","Needs level","OK"))))</f>
        <v/>
      </c>
    </row>
    <row r="515">
      <c r="A515" s="6" t="n"/>
      <c r="B515" s="6" t="n"/>
      <c r="C515" s="6" t="n"/>
      <c r="D515" s="11">
        <f>IF(C515="","",IFERROR(INDEX(Levels!$A$2:$A$30,MATCH(C515,Levels!$B$2:$B$30,0)),""))</f>
        <v/>
      </c>
      <c r="E515" s="10">
        <f>IF(B515="","",IFERROR(INDEX(Roster!$A$2:$A$600,MATCH(B515,Roster!$E$2:$E$600,0)),""))</f>
        <v/>
      </c>
      <c r="F515" s="10">
        <f>IF(C515="","",IFERROR(INDEX(Levels!$C$2:$C$30,MATCH(C515,Levels!$B$2:$B$30,0)),""))</f>
        <v/>
      </c>
      <c r="G515" s="6" t="n"/>
      <c r="H515" s="10">
        <f>IF(AND(B515="",C515=""),"",IF(G515&lt;&gt;"","Void",IF(OR(B515="",E515=""),"Needs child",IF(D515="","Needs level","OK"))))</f>
        <v/>
      </c>
    </row>
    <row r="516">
      <c r="A516" s="6" t="n"/>
      <c r="B516" s="6" t="n"/>
      <c r="C516" s="6" t="n"/>
      <c r="D516" s="11">
        <f>IF(C516="","",IFERROR(INDEX(Levels!$A$2:$A$30,MATCH(C516,Levels!$B$2:$B$30,0)),""))</f>
        <v/>
      </c>
      <c r="E516" s="10">
        <f>IF(B516="","",IFERROR(INDEX(Roster!$A$2:$A$600,MATCH(B516,Roster!$E$2:$E$600,0)),""))</f>
        <v/>
      </c>
      <c r="F516" s="10">
        <f>IF(C516="","",IFERROR(INDEX(Levels!$C$2:$C$30,MATCH(C516,Levels!$B$2:$B$30,0)),""))</f>
        <v/>
      </c>
      <c r="G516" s="6" t="n"/>
      <c r="H516" s="10">
        <f>IF(AND(B516="",C516=""),"",IF(G516&lt;&gt;"","Void",IF(OR(B516="",E516=""),"Needs child",IF(D516="","Needs level","OK"))))</f>
        <v/>
      </c>
    </row>
    <row r="517">
      <c r="A517" s="6" t="n"/>
      <c r="B517" s="6" t="n"/>
      <c r="C517" s="6" t="n"/>
      <c r="D517" s="11">
        <f>IF(C517="","",IFERROR(INDEX(Levels!$A$2:$A$30,MATCH(C517,Levels!$B$2:$B$30,0)),""))</f>
        <v/>
      </c>
      <c r="E517" s="10">
        <f>IF(B517="","",IFERROR(INDEX(Roster!$A$2:$A$600,MATCH(B517,Roster!$E$2:$E$600,0)),""))</f>
        <v/>
      </c>
      <c r="F517" s="10">
        <f>IF(C517="","",IFERROR(INDEX(Levels!$C$2:$C$30,MATCH(C517,Levels!$B$2:$B$30,0)),""))</f>
        <v/>
      </c>
      <c r="G517" s="6" t="n"/>
      <c r="H517" s="10">
        <f>IF(AND(B517="",C517=""),"",IF(G517&lt;&gt;"","Void",IF(OR(B517="",E517=""),"Needs child",IF(D517="","Needs level","OK"))))</f>
        <v/>
      </c>
    </row>
    <row r="518">
      <c r="A518" s="6" t="n"/>
      <c r="B518" s="6" t="n"/>
      <c r="C518" s="6" t="n"/>
      <c r="D518" s="11">
        <f>IF(C518="","",IFERROR(INDEX(Levels!$A$2:$A$30,MATCH(C518,Levels!$B$2:$B$30,0)),""))</f>
        <v/>
      </c>
      <c r="E518" s="10">
        <f>IF(B518="","",IFERROR(INDEX(Roster!$A$2:$A$600,MATCH(B518,Roster!$E$2:$E$600,0)),""))</f>
        <v/>
      </c>
      <c r="F518" s="10">
        <f>IF(C518="","",IFERROR(INDEX(Levels!$C$2:$C$30,MATCH(C518,Levels!$B$2:$B$30,0)),""))</f>
        <v/>
      </c>
      <c r="G518" s="6" t="n"/>
      <c r="H518" s="10">
        <f>IF(AND(B518="",C518=""),"",IF(G518&lt;&gt;"","Void",IF(OR(B518="",E518=""),"Needs child",IF(D518="","Needs level","OK"))))</f>
        <v/>
      </c>
    </row>
    <row r="519">
      <c r="A519" s="6" t="n"/>
      <c r="B519" s="6" t="n"/>
      <c r="C519" s="6" t="n"/>
      <c r="D519" s="11">
        <f>IF(C519="","",IFERROR(INDEX(Levels!$A$2:$A$30,MATCH(C519,Levels!$B$2:$B$30,0)),""))</f>
        <v/>
      </c>
      <c r="E519" s="10">
        <f>IF(B519="","",IFERROR(INDEX(Roster!$A$2:$A$600,MATCH(B519,Roster!$E$2:$E$600,0)),""))</f>
        <v/>
      </c>
      <c r="F519" s="10">
        <f>IF(C519="","",IFERROR(INDEX(Levels!$C$2:$C$30,MATCH(C519,Levels!$B$2:$B$30,0)),""))</f>
        <v/>
      </c>
      <c r="G519" s="6" t="n"/>
      <c r="H519" s="10">
        <f>IF(AND(B519="",C519=""),"",IF(G519&lt;&gt;"","Void",IF(OR(B519="",E519=""),"Needs child",IF(D519="","Needs level","OK"))))</f>
        <v/>
      </c>
    </row>
    <row r="520">
      <c r="A520" s="6" t="n"/>
      <c r="B520" s="6" t="n"/>
      <c r="C520" s="6" t="n"/>
      <c r="D520" s="11">
        <f>IF(C520="","",IFERROR(INDEX(Levels!$A$2:$A$30,MATCH(C520,Levels!$B$2:$B$30,0)),""))</f>
        <v/>
      </c>
      <c r="E520" s="10">
        <f>IF(B520="","",IFERROR(INDEX(Roster!$A$2:$A$600,MATCH(B520,Roster!$E$2:$E$600,0)),""))</f>
        <v/>
      </c>
      <c r="F520" s="10">
        <f>IF(C520="","",IFERROR(INDEX(Levels!$C$2:$C$30,MATCH(C520,Levels!$B$2:$B$30,0)),""))</f>
        <v/>
      </c>
      <c r="G520" s="6" t="n"/>
      <c r="H520" s="10">
        <f>IF(AND(B520="",C520=""),"",IF(G520&lt;&gt;"","Void",IF(OR(B520="",E520=""),"Needs child",IF(D520="","Needs level","OK"))))</f>
        <v/>
      </c>
    </row>
    <row r="521">
      <c r="A521" s="6" t="n"/>
      <c r="B521" s="6" t="n"/>
      <c r="C521" s="6" t="n"/>
      <c r="D521" s="11">
        <f>IF(C521="","",IFERROR(INDEX(Levels!$A$2:$A$30,MATCH(C521,Levels!$B$2:$B$30,0)),""))</f>
        <v/>
      </c>
      <c r="E521" s="10">
        <f>IF(B521="","",IFERROR(INDEX(Roster!$A$2:$A$600,MATCH(B521,Roster!$E$2:$E$600,0)),""))</f>
        <v/>
      </c>
      <c r="F521" s="10">
        <f>IF(C521="","",IFERROR(INDEX(Levels!$C$2:$C$30,MATCH(C521,Levels!$B$2:$B$30,0)),""))</f>
        <v/>
      </c>
      <c r="G521" s="6" t="n"/>
      <c r="H521" s="10">
        <f>IF(AND(B521="",C521=""),"",IF(G521&lt;&gt;"","Void",IF(OR(B521="",E521=""),"Needs child",IF(D521="","Needs level","OK"))))</f>
        <v/>
      </c>
    </row>
    <row r="522">
      <c r="A522" s="6" t="n"/>
      <c r="B522" s="6" t="n"/>
      <c r="C522" s="6" t="n"/>
      <c r="D522" s="11">
        <f>IF(C522="","",IFERROR(INDEX(Levels!$A$2:$A$30,MATCH(C522,Levels!$B$2:$B$30,0)),""))</f>
        <v/>
      </c>
      <c r="E522" s="10">
        <f>IF(B522="","",IFERROR(INDEX(Roster!$A$2:$A$600,MATCH(B522,Roster!$E$2:$E$600,0)),""))</f>
        <v/>
      </c>
      <c r="F522" s="10">
        <f>IF(C522="","",IFERROR(INDEX(Levels!$C$2:$C$30,MATCH(C522,Levels!$B$2:$B$30,0)),""))</f>
        <v/>
      </c>
      <c r="G522" s="6" t="n"/>
      <c r="H522" s="10">
        <f>IF(AND(B522="",C522=""),"",IF(G522&lt;&gt;"","Void",IF(OR(B522="",E522=""),"Needs child",IF(D522="","Needs level","OK"))))</f>
        <v/>
      </c>
    </row>
    <row r="523">
      <c r="A523" s="6" t="n"/>
      <c r="B523" s="6" t="n"/>
      <c r="C523" s="6" t="n"/>
      <c r="D523" s="11">
        <f>IF(C523="","",IFERROR(INDEX(Levels!$A$2:$A$30,MATCH(C523,Levels!$B$2:$B$30,0)),""))</f>
        <v/>
      </c>
      <c r="E523" s="10">
        <f>IF(B523="","",IFERROR(INDEX(Roster!$A$2:$A$600,MATCH(B523,Roster!$E$2:$E$600,0)),""))</f>
        <v/>
      </c>
      <c r="F523" s="10">
        <f>IF(C523="","",IFERROR(INDEX(Levels!$C$2:$C$30,MATCH(C523,Levels!$B$2:$B$30,0)),""))</f>
        <v/>
      </c>
      <c r="G523" s="6" t="n"/>
      <c r="H523" s="10">
        <f>IF(AND(B523="",C523=""),"",IF(G523&lt;&gt;"","Void",IF(OR(B523="",E523=""),"Needs child",IF(D523="","Needs level","OK"))))</f>
        <v/>
      </c>
    </row>
    <row r="524">
      <c r="A524" s="6" t="n"/>
      <c r="B524" s="6" t="n"/>
      <c r="C524" s="6" t="n"/>
      <c r="D524" s="11">
        <f>IF(C524="","",IFERROR(INDEX(Levels!$A$2:$A$30,MATCH(C524,Levels!$B$2:$B$30,0)),""))</f>
        <v/>
      </c>
      <c r="E524" s="10">
        <f>IF(B524="","",IFERROR(INDEX(Roster!$A$2:$A$600,MATCH(B524,Roster!$E$2:$E$600,0)),""))</f>
        <v/>
      </c>
      <c r="F524" s="10">
        <f>IF(C524="","",IFERROR(INDEX(Levels!$C$2:$C$30,MATCH(C524,Levels!$B$2:$B$30,0)),""))</f>
        <v/>
      </c>
      <c r="G524" s="6" t="n"/>
      <c r="H524" s="10">
        <f>IF(AND(B524="",C524=""),"",IF(G524&lt;&gt;"","Void",IF(OR(B524="",E524=""),"Needs child",IF(D524="","Needs level","OK"))))</f>
        <v/>
      </c>
    </row>
    <row r="525">
      <c r="A525" s="6" t="n"/>
      <c r="B525" s="6" t="n"/>
      <c r="C525" s="6" t="n"/>
      <c r="D525" s="11">
        <f>IF(C525="","",IFERROR(INDEX(Levels!$A$2:$A$30,MATCH(C525,Levels!$B$2:$B$30,0)),""))</f>
        <v/>
      </c>
      <c r="E525" s="10">
        <f>IF(B525="","",IFERROR(INDEX(Roster!$A$2:$A$600,MATCH(B525,Roster!$E$2:$E$600,0)),""))</f>
        <v/>
      </c>
      <c r="F525" s="10">
        <f>IF(C525="","",IFERROR(INDEX(Levels!$C$2:$C$30,MATCH(C525,Levels!$B$2:$B$30,0)),""))</f>
        <v/>
      </c>
      <c r="G525" s="6" t="n"/>
      <c r="H525" s="10">
        <f>IF(AND(B525="",C525=""),"",IF(G525&lt;&gt;"","Void",IF(OR(B525="",E525=""),"Needs child",IF(D525="","Needs level","OK"))))</f>
        <v/>
      </c>
    </row>
    <row r="526">
      <c r="A526" s="6" t="n"/>
      <c r="B526" s="6" t="n"/>
      <c r="C526" s="6" t="n"/>
      <c r="D526" s="11">
        <f>IF(C526="","",IFERROR(INDEX(Levels!$A$2:$A$30,MATCH(C526,Levels!$B$2:$B$30,0)),""))</f>
        <v/>
      </c>
      <c r="E526" s="10">
        <f>IF(B526="","",IFERROR(INDEX(Roster!$A$2:$A$600,MATCH(B526,Roster!$E$2:$E$600,0)),""))</f>
        <v/>
      </c>
      <c r="F526" s="10">
        <f>IF(C526="","",IFERROR(INDEX(Levels!$C$2:$C$30,MATCH(C526,Levels!$B$2:$B$30,0)),""))</f>
        <v/>
      </c>
      <c r="G526" s="6" t="n"/>
      <c r="H526" s="10">
        <f>IF(AND(B526="",C526=""),"",IF(G526&lt;&gt;"","Void",IF(OR(B526="",E526=""),"Needs child",IF(D526="","Needs level","OK"))))</f>
        <v/>
      </c>
    </row>
    <row r="527">
      <c r="A527" s="6" t="n"/>
      <c r="B527" s="6" t="n"/>
      <c r="C527" s="6" t="n"/>
      <c r="D527" s="11">
        <f>IF(C527="","",IFERROR(INDEX(Levels!$A$2:$A$30,MATCH(C527,Levels!$B$2:$B$30,0)),""))</f>
        <v/>
      </c>
      <c r="E527" s="10">
        <f>IF(B527="","",IFERROR(INDEX(Roster!$A$2:$A$600,MATCH(B527,Roster!$E$2:$E$600,0)),""))</f>
        <v/>
      </c>
      <c r="F527" s="10">
        <f>IF(C527="","",IFERROR(INDEX(Levels!$C$2:$C$30,MATCH(C527,Levels!$B$2:$B$30,0)),""))</f>
        <v/>
      </c>
      <c r="G527" s="6" t="n"/>
      <c r="H527" s="10">
        <f>IF(AND(B527="",C527=""),"",IF(G527&lt;&gt;"","Void",IF(OR(B527="",E527=""),"Needs child",IF(D527="","Needs level","OK"))))</f>
        <v/>
      </c>
    </row>
    <row r="528">
      <c r="A528" s="6" t="n"/>
      <c r="B528" s="6" t="n"/>
      <c r="C528" s="6" t="n"/>
      <c r="D528" s="11">
        <f>IF(C528="","",IFERROR(INDEX(Levels!$A$2:$A$30,MATCH(C528,Levels!$B$2:$B$30,0)),""))</f>
        <v/>
      </c>
      <c r="E528" s="10">
        <f>IF(B528="","",IFERROR(INDEX(Roster!$A$2:$A$600,MATCH(B528,Roster!$E$2:$E$600,0)),""))</f>
        <v/>
      </c>
      <c r="F528" s="10">
        <f>IF(C528="","",IFERROR(INDEX(Levels!$C$2:$C$30,MATCH(C528,Levels!$B$2:$B$30,0)),""))</f>
        <v/>
      </c>
      <c r="G528" s="6" t="n"/>
      <c r="H528" s="10">
        <f>IF(AND(B528="",C528=""),"",IF(G528&lt;&gt;"","Void",IF(OR(B528="",E528=""),"Needs child",IF(D528="","Needs level","OK"))))</f>
        <v/>
      </c>
    </row>
    <row r="529">
      <c r="A529" s="6" t="n"/>
      <c r="B529" s="6" t="n"/>
      <c r="C529" s="6" t="n"/>
      <c r="D529" s="11">
        <f>IF(C529="","",IFERROR(INDEX(Levels!$A$2:$A$30,MATCH(C529,Levels!$B$2:$B$30,0)),""))</f>
        <v/>
      </c>
      <c r="E529" s="10">
        <f>IF(B529="","",IFERROR(INDEX(Roster!$A$2:$A$600,MATCH(B529,Roster!$E$2:$E$600,0)),""))</f>
        <v/>
      </c>
      <c r="F529" s="10">
        <f>IF(C529="","",IFERROR(INDEX(Levels!$C$2:$C$30,MATCH(C529,Levels!$B$2:$B$30,0)),""))</f>
        <v/>
      </c>
      <c r="G529" s="6" t="n"/>
      <c r="H529" s="10">
        <f>IF(AND(B529="",C529=""),"",IF(G529&lt;&gt;"","Void",IF(OR(B529="",E529=""),"Needs child",IF(D529="","Needs level","OK"))))</f>
        <v/>
      </c>
    </row>
    <row r="530">
      <c r="A530" s="6" t="n"/>
      <c r="B530" s="6" t="n"/>
      <c r="C530" s="6" t="n"/>
      <c r="D530" s="11">
        <f>IF(C530="","",IFERROR(INDEX(Levels!$A$2:$A$30,MATCH(C530,Levels!$B$2:$B$30,0)),""))</f>
        <v/>
      </c>
      <c r="E530" s="10">
        <f>IF(B530="","",IFERROR(INDEX(Roster!$A$2:$A$600,MATCH(B530,Roster!$E$2:$E$600,0)),""))</f>
        <v/>
      </c>
      <c r="F530" s="10">
        <f>IF(C530="","",IFERROR(INDEX(Levels!$C$2:$C$30,MATCH(C530,Levels!$B$2:$B$30,0)),""))</f>
        <v/>
      </c>
      <c r="G530" s="6" t="n"/>
      <c r="H530" s="10">
        <f>IF(AND(B530="",C530=""),"",IF(G530&lt;&gt;"","Void",IF(OR(B530="",E530=""),"Needs child",IF(D530="","Needs level","OK"))))</f>
        <v/>
      </c>
    </row>
    <row r="531">
      <c r="A531" s="6" t="n"/>
      <c r="B531" s="6" t="n"/>
      <c r="C531" s="6" t="n"/>
      <c r="D531" s="11">
        <f>IF(C531="","",IFERROR(INDEX(Levels!$A$2:$A$30,MATCH(C531,Levels!$B$2:$B$30,0)),""))</f>
        <v/>
      </c>
      <c r="E531" s="10">
        <f>IF(B531="","",IFERROR(INDEX(Roster!$A$2:$A$600,MATCH(B531,Roster!$E$2:$E$600,0)),""))</f>
        <v/>
      </c>
      <c r="F531" s="10">
        <f>IF(C531="","",IFERROR(INDEX(Levels!$C$2:$C$30,MATCH(C531,Levels!$B$2:$B$30,0)),""))</f>
        <v/>
      </c>
      <c r="G531" s="6" t="n"/>
      <c r="H531" s="10">
        <f>IF(AND(B531="",C531=""),"",IF(G531&lt;&gt;"","Void",IF(OR(B531="",E531=""),"Needs child",IF(D531="","Needs level","OK"))))</f>
        <v/>
      </c>
    </row>
    <row r="532">
      <c r="A532" s="6" t="n"/>
      <c r="B532" s="6" t="n"/>
      <c r="C532" s="6" t="n"/>
      <c r="D532" s="11">
        <f>IF(C532="","",IFERROR(INDEX(Levels!$A$2:$A$30,MATCH(C532,Levels!$B$2:$B$30,0)),""))</f>
        <v/>
      </c>
      <c r="E532" s="10">
        <f>IF(B532="","",IFERROR(INDEX(Roster!$A$2:$A$600,MATCH(B532,Roster!$E$2:$E$600,0)),""))</f>
        <v/>
      </c>
      <c r="F532" s="10">
        <f>IF(C532="","",IFERROR(INDEX(Levels!$C$2:$C$30,MATCH(C532,Levels!$B$2:$B$30,0)),""))</f>
        <v/>
      </c>
      <c r="G532" s="6" t="n"/>
      <c r="H532" s="10">
        <f>IF(AND(B532="",C532=""),"",IF(G532&lt;&gt;"","Void",IF(OR(B532="",E532=""),"Needs child",IF(D532="","Needs level","OK"))))</f>
        <v/>
      </c>
    </row>
    <row r="533">
      <c r="A533" s="6" t="n"/>
      <c r="B533" s="6" t="n"/>
      <c r="C533" s="6" t="n"/>
      <c r="D533" s="11">
        <f>IF(C533="","",IFERROR(INDEX(Levels!$A$2:$A$30,MATCH(C533,Levels!$B$2:$B$30,0)),""))</f>
        <v/>
      </c>
      <c r="E533" s="10">
        <f>IF(B533="","",IFERROR(INDEX(Roster!$A$2:$A$600,MATCH(B533,Roster!$E$2:$E$600,0)),""))</f>
        <v/>
      </c>
      <c r="F533" s="10">
        <f>IF(C533="","",IFERROR(INDEX(Levels!$C$2:$C$30,MATCH(C533,Levels!$B$2:$B$30,0)),""))</f>
        <v/>
      </c>
      <c r="G533" s="6" t="n"/>
      <c r="H533" s="10">
        <f>IF(AND(B533="",C533=""),"",IF(G533&lt;&gt;"","Void",IF(OR(B533="",E533=""),"Needs child",IF(D533="","Needs level","OK"))))</f>
        <v/>
      </c>
    </row>
    <row r="534">
      <c r="A534" s="6" t="n"/>
      <c r="B534" s="6" t="n"/>
      <c r="C534" s="6" t="n"/>
      <c r="D534" s="11">
        <f>IF(C534="","",IFERROR(INDEX(Levels!$A$2:$A$30,MATCH(C534,Levels!$B$2:$B$30,0)),""))</f>
        <v/>
      </c>
      <c r="E534" s="10">
        <f>IF(B534="","",IFERROR(INDEX(Roster!$A$2:$A$600,MATCH(B534,Roster!$E$2:$E$600,0)),""))</f>
        <v/>
      </c>
      <c r="F534" s="10">
        <f>IF(C534="","",IFERROR(INDEX(Levels!$C$2:$C$30,MATCH(C534,Levels!$B$2:$B$30,0)),""))</f>
        <v/>
      </c>
      <c r="G534" s="6" t="n"/>
      <c r="H534" s="10">
        <f>IF(AND(B534="",C534=""),"",IF(G534&lt;&gt;"","Void",IF(OR(B534="",E534=""),"Needs child",IF(D534="","Needs level","OK"))))</f>
        <v/>
      </c>
    </row>
    <row r="535">
      <c r="A535" s="6" t="n"/>
      <c r="B535" s="6" t="n"/>
      <c r="C535" s="6" t="n"/>
      <c r="D535" s="11">
        <f>IF(C535="","",IFERROR(INDEX(Levels!$A$2:$A$30,MATCH(C535,Levels!$B$2:$B$30,0)),""))</f>
        <v/>
      </c>
      <c r="E535" s="10">
        <f>IF(B535="","",IFERROR(INDEX(Roster!$A$2:$A$600,MATCH(B535,Roster!$E$2:$E$600,0)),""))</f>
        <v/>
      </c>
      <c r="F535" s="10">
        <f>IF(C535="","",IFERROR(INDEX(Levels!$C$2:$C$30,MATCH(C535,Levels!$B$2:$B$30,0)),""))</f>
        <v/>
      </c>
      <c r="G535" s="6" t="n"/>
      <c r="H535" s="10">
        <f>IF(AND(B535="",C535=""),"",IF(G535&lt;&gt;"","Void",IF(OR(B535="",E535=""),"Needs child",IF(D535="","Needs level","OK"))))</f>
        <v/>
      </c>
    </row>
    <row r="536">
      <c r="A536" s="6" t="n"/>
      <c r="B536" s="6" t="n"/>
      <c r="C536" s="6" t="n"/>
      <c r="D536" s="11">
        <f>IF(C536="","",IFERROR(INDEX(Levels!$A$2:$A$30,MATCH(C536,Levels!$B$2:$B$30,0)),""))</f>
        <v/>
      </c>
      <c r="E536" s="10">
        <f>IF(B536="","",IFERROR(INDEX(Roster!$A$2:$A$600,MATCH(B536,Roster!$E$2:$E$600,0)),""))</f>
        <v/>
      </c>
      <c r="F536" s="10">
        <f>IF(C536="","",IFERROR(INDEX(Levels!$C$2:$C$30,MATCH(C536,Levels!$B$2:$B$30,0)),""))</f>
        <v/>
      </c>
      <c r="G536" s="6" t="n"/>
      <c r="H536" s="10">
        <f>IF(AND(B536="",C536=""),"",IF(G536&lt;&gt;"","Void",IF(OR(B536="",E536=""),"Needs child",IF(D536="","Needs level","OK"))))</f>
        <v/>
      </c>
    </row>
    <row r="537">
      <c r="A537" s="6" t="n"/>
      <c r="B537" s="6" t="n"/>
      <c r="C537" s="6" t="n"/>
      <c r="D537" s="11">
        <f>IF(C537="","",IFERROR(INDEX(Levels!$A$2:$A$30,MATCH(C537,Levels!$B$2:$B$30,0)),""))</f>
        <v/>
      </c>
      <c r="E537" s="10">
        <f>IF(B537="","",IFERROR(INDEX(Roster!$A$2:$A$600,MATCH(B537,Roster!$E$2:$E$600,0)),""))</f>
        <v/>
      </c>
      <c r="F537" s="10">
        <f>IF(C537="","",IFERROR(INDEX(Levels!$C$2:$C$30,MATCH(C537,Levels!$B$2:$B$30,0)),""))</f>
        <v/>
      </c>
      <c r="G537" s="6" t="n"/>
      <c r="H537" s="10">
        <f>IF(AND(B537="",C537=""),"",IF(G537&lt;&gt;"","Void",IF(OR(B537="",E537=""),"Needs child",IF(D537="","Needs level","OK"))))</f>
        <v/>
      </c>
    </row>
    <row r="538">
      <c r="A538" s="6" t="n"/>
      <c r="B538" s="6" t="n"/>
      <c r="C538" s="6" t="n"/>
      <c r="D538" s="11">
        <f>IF(C538="","",IFERROR(INDEX(Levels!$A$2:$A$30,MATCH(C538,Levels!$B$2:$B$30,0)),""))</f>
        <v/>
      </c>
      <c r="E538" s="10">
        <f>IF(B538="","",IFERROR(INDEX(Roster!$A$2:$A$600,MATCH(B538,Roster!$E$2:$E$600,0)),""))</f>
        <v/>
      </c>
      <c r="F538" s="10">
        <f>IF(C538="","",IFERROR(INDEX(Levels!$C$2:$C$30,MATCH(C538,Levels!$B$2:$B$30,0)),""))</f>
        <v/>
      </c>
      <c r="G538" s="6" t="n"/>
      <c r="H538" s="10">
        <f>IF(AND(B538="",C538=""),"",IF(G538&lt;&gt;"","Void",IF(OR(B538="",E538=""),"Needs child",IF(D538="","Needs level","OK"))))</f>
        <v/>
      </c>
    </row>
    <row r="539">
      <c r="A539" s="6" t="n"/>
      <c r="B539" s="6" t="n"/>
      <c r="C539" s="6" t="n"/>
      <c r="D539" s="11">
        <f>IF(C539="","",IFERROR(INDEX(Levels!$A$2:$A$30,MATCH(C539,Levels!$B$2:$B$30,0)),""))</f>
        <v/>
      </c>
      <c r="E539" s="10">
        <f>IF(B539="","",IFERROR(INDEX(Roster!$A$2:$A$600,MATCH(B539,Roster!$E$2:$E$600,0)),""))</f>
        <v/>
      </c>
      <c r="F539" s="10">
        <f>IF(C539="","",IFERROR(INDEX(Levels!$C$2:$C$30,MATCH(C539,Levels!$B$2:$B$30,0)),""))</f>
        <v/>
      </c>
      <c r="G539" s="6" t="n"/>
      <c r="H539" s="10">
        <f>IF(AND(B539="",C539=""),"",IF(G539&lt;&gt;"","Void",IF(OR(B539="",E539=""),"Needs child",IF(D539="","Needs level","OK"))))</f>
        <v/>
      </c>
    </row>
    <row r="540">
      <c r="A540" s="6" t="n"/>
      <c r="B540" s="6" t="n"/>
      <c r="C540" s="6" t="n"/>
      <c r="D540" s="11">
        <f>IF(C540="","",IFERROR(INDEX(Levels!$A$2:$A$30,MATCH(C540,Levels!$B$2:$B$30,0)),""))</f>
        <v/>
      </c>
      <c r="E540" s="10">
        <f>IF(B540="","",IFERROR(INDEX(Roster!$A$2:$A$600,MATCH(B540,Roster!$E$2:$E$600,0)),""))</f>
        <v/>
      </c>
      <c r="F540" s="10">
        <f>IF(C540="","",IFERROR(INDEX(Levels!$C$2:$C$30,MATCH(C540,Levels!$B$2:$B$30,0)),""))</f>
        <v/>
      </c>
      <c r="G540" s="6" t="n"/>
      <c r="H540" s="10">
        <f>IF(AND(B540="",C540=""),"",IF(G540&lt;&gt;"","Void",IF(OR(B540="",E540=""),"Needs child",IF(D540="","Needs level","OK"))))</f>
        <v/>
      </c>
    </row>
    <row r="541">
      <c r="A541" s="6" t="n"/>
      <c r="B541" s="6" t="n"/>
      <c r="C541" s="6" t="n"/>
      <c r="D541" s="11">
        <f>IF(C541="","",IFERROR(INDEX(Levels!$A$2:$A$30,MATCH(C541,Levels!$B$2:$B$30,0)),""))</f>
        <v/>
      </c>
      <c r="E541" s="10">
        <f>IF(B541="","",IFERROR(INDEX(Roster!$A$2:$A$600,MATCH(B541,Roster!$E$2:$E$600,0)),""))</f>
        <v/>
      </c>
      <c r="F541" s="10">
        <f>IF(C541="","",IFERROR(INDEX(Levels!$C$2:$C$30,MATCH(C541,Levels!$B$2:$B$30,0)),""))</f>
        <v/>
      </c>
      <c r="G541" s="6" t="n"/>
      <c r="H541" s="10">
        <f>IF(AND(B541="",C541=""),"",IF(G541&lt;&gt;"","Void",IF(OR(B541="",E541=""),"Needs child",IF(D541="","Needs level","OK"))))</f>
        <v/>
      </c>
    </row>
    <row r="542">
      <c r="A542" s="6" t="n"/>
      <c r="B542" s="6" t="n"/>
      <c r="C542" s="6" t="n"/>
      <c r="D542" s="11">
        <f>IF(C542="","",IFERROR(INDEX(Levels!$A$2:$A$30,MATCH(C542,Levels!$B$2:$B$30,0)),""))</f>
        <v/>
      </c>
      <c r="E542" s="10">
        <f>IF(B542="","",IFERROR(INDEX(Roster!$A$2:$A$600,MATCH(B542,Roster!$E$2:$E$600,0)),""))</f>
        <v/>
      </c>
      <c r="F542" s="10">
        <f>IF(C542="","",IFERROR(INDEX(Levels!$C$2:$C$30,MATCH(C542,Levels!$B$2:$B$30,0)),""))</f>
        <v/>
      </c>
      <c r="G542" s="6" t="n"/>
      <c r="H542" s="10">
        <f>IF(AND(B542="",C542=""),"",IF(G542&lt;&gt;"","Void",IF(OR(B542="",E542=""),"Needs child",IF(D542="","Needs level","OK"))))</f>
        <v/>
      </c>
    </row>
    <row r="543">
      <c r="A543" s="6" t="n"/>
      <c r="B543" s="6" t="n"/>
      <c r="C543" s="6" t="n"/>
      <c r="D543" s="11">
        <f>IF(C543="","",IFERROR(INDEX(Levels!$A$2:$A$30,MATCH(C543,Levels!$B$2:$B$30,0)),""))</f>
        <v/>
      </c>
      <c r="E543" s="10">
        <f>IF(B543="","",IFERROR(INDEX(Roster!$A$2:$A$600,MATCH(B543,Roster!$E$2:$E$600,0)),""))</f>
        <v/>
      </c>
      <c r="F543" s="10">
        <f>IF(C543="","",IFERROR(INDEX(Levels!$C$2:$C$30,MATCH(C543,Levels!$B$2:$B$30,0)),""))</f>
        <v/>
      </c>
      <c r="G543" s="6" t="n"/>
      <c r="H543" s="10">
        <f>IF(AND(B543="",C543=""),"",IF(G543&lt;&gt;"","Void",IF(OR(B543="",E543=""),"Needs child",IF(D543="","Needs level","OK"))))</f>
        <v/>
      </c>
    </row>
    <row r="544">
      <c r="A544" s="6" t="n"/>
      <c r="B544" s="6" t="n"/>
      <c r="C544" s="6" t="n"/>
      <c r="D544" s="11">
        <f>IF(C544="","",IFERROR(INDEX(Levels!$A$2:$A$30,MATCH(C544,Levels!$B$2:$B$30,0)),""))</f>
        <v/>
      </c>
      <c r="E544" s="10">
        <f>IF(B544="","",IFERROR(INDEX(Roster!$A$2:$A$600,MATCH(B544,Roster!$E$2:$E$600,0)),""))</f>
        <v/>
      </c>
      <c r="F544" s="10">
        <f>IF(C544="","",IFERROR(INDEX(Levels!$C$2:$C$30,MATCH(C544,Levels!$B$2:$B$30,0)),""))</f>
        <v/>
      </c>
      <c r="G544" s="6" t="n"/>
      <c r="H544" s="10">
        <f>IF(AND(B544="",C544=""),"",IF(G544&lt;&gt;"","Void",IF(OR(B544="",E544=""),"Needs child",IF(D544="","Needs level","OK"))))</f>
        <v/>
      </c>
    </row>
    <row r="545">
      <c r="A545" s="6" t="n"/>
      <c r="B545" s="6" t="n"/>
      <c r="C545" s="6" t="n"/>
      <c r="D545" s="11">
        <f>IF(C545="","",IFERROR(INDEX(Levels!$A$2:$A$30,MATCH(C545,Levels!$B$2:$B$30,0)),""))</f>
        <v/>
      </c>
      <c r="E545" s="10">
        <f>IF(B545="","",IFERROR(INDEX(Roster!$A$2:$A$600,MATCH(B545,Roster!$E$2:$E$600,0)),""))</f>
        <v/>
      </c>
      <c r="F545" s="10">
        <f>IF(C545="","",IFERROR(INDEX(Levels!$C$2:$C$30,MATCH(C545,Levels!$B$2:$B$30,0)),""))</f>
        <v/>
      </c>
      <c r="G545" s="6" t="n"/>
      <c r="H545" s="10">
        <f>IF(AND(B545="",C545=""),"",IF(G545&lt;&gt;"","Void",IF(OR(B545="",E545=""),"Needs child",IF(D545="","Needs level","OK"))))</f>
        <v/>
      </c>
    </row>
    <row r="546">
      <c r="A546" s="6" t="n"/>
      <c r="B546" s="6" t="n"/>
      <c r="C546" s="6" t="n"/>
      <c r="D546" s="11">
        <f>IF(C546="","",IFERROR(INDEX(Levels!$A$2:$A$30,MATCH(C546,Levels!$B$2:$B$30,0)),""))</f>
        <v/>
      </c>
      <c r="E546" s="10">
        <f>IF(B546="","",IFERROR(INDEX(Roster!$A$2:$A$600,MATCH(B546,Roster!$E$2:$E$600,0)),""))</f>
        <v/>
      </c>
      <c r="F546" s="10">
        <f>IF(C546="","",IFERROR(INDEX(Levels!$C$2:$C$30,MATCH(C546,Levels!$B$2:$B$30,0)),""))</f>
        <v/>
      </c>
      <c r="G546" s="6" t="n"/>
      <c r="H546" s="10">
        <f>IF(AND(B546="",C546=""),"",IF(G546&lt;&gt;"","Void",IF(OR(B546="",E546=""),"Needs child",IF(D546="","Needs level","OK"))))</f>
        <v/>
      </c>
    </row>
    <row r="547">
      <c r="A547" s="6" t="n"/>
      <c r="B547" s="6" t="n"/>
      <c r="C547" s="6" t="n"/>
      <c r="D547" s="11">
        <f>IF(C547="","",IFERROR(INDEX(Levels!$A$2:$A$30,MATCH(C547,Levels!$B$2:$B$30,0)),""))</f>
        <v/>
      </c>
      <c r="E547" s="10">
        <f>IF(B547="","",IFERROR(INDEX(Roster!$A$2:$A$600,MATCH(B547,Roster!$E$2:$E$600,0)),""))</f>
        <v/>
      </c>
      <c r="F547" s="10">
        <f>IF(C547="","",IFERROR(INDEX(Levels!$C$2:$C$30,MATCH(C547,Levels!$B$2:$B$30,0)),""))</f>
        <v/>
      </c>
      <c r="G547" s="6" t="n"/>
      <c r="H547" s="10">
        <f>IF(AND(B547="",C547=""),"",IF(G547&lt;&gt;"","Void",IF(OR(B547="",E547=""),"Needs child",IF(D547="","Needs level","OK"))))</f>
        <v/>
      </c>
    </row>
    <row r="548">
      <c r="A548" s="6" t="n"/>
      <c r="B548" s="6" t="n"/>
      <c r="C548" s="6" t="n"/>
      <c r="D548" s="11">
        <f>IF(C548="","",IFERROR(INDEX(Levels!$A$2:$A$30,MATCH(C548,Levels!$B$2:$B$30,0)),""))</f>
        <v/>
      </c>
      <c r="E548" s="10">
        <f>IF(B548="","",IFERROR(INDEX(Roster!$A$2:$A$600,MATCH(B548,Roster!$E$2:$E$600,0)),""))</f>
        <v/>
      </c>
      <c r="F548" s="10">
        <f>IF(C548="","",IFERROR(INDEX(Levels!$C$2:$C$30,MATCH(C548,Levels!$B$2:$B$30,0)),""))</f>
        <v/>
      </c>
      <c r="G548" s="6" t="n"/>
      <c r="H548" s="10">
        <f>IF(AND(B548="",C548=""),"",IF(G548&lt;&gt;"","Void",IF(OR(B548="",E548=""),"Needs child",IF(D548="","Needs level","OK"))))</f>
        <v/>
      </c>
    </row>
    <row r="549">
      <c r="A549" s="6" t="n"/>
      <c r="B549" s="6" t="n"/>
      <c r="C549" s="6" t="n"/>
      <c r="D549" s="11">
        <f>IF(C549="","",IFERROR(INDEX(Levels!$A$2:$A$30,MATCH(C549,Levels!$B$2:$B$30,0)),""))</f>
        <v/>
      </c>
      <c r="E549" s="10">
        <f>IF(B549="","",IFERROR(INDEX(Roster!$A$2:$A$600,MATCH(B549,Roster!$E$2:$E$600,0)),""))</f>
        <v/>
      </c>
      <c r="F549" s="10">
        <f>IF(C549="","",IFERROR(INDEX(Levels!$C$2:$C$30,MATCH(C549,Levels!$B$2:$B$30,0)),""))</f>
        <v/>
      </c>
      <c r="G549" s="6" t="n"/>
      <c r="H549" s="10">
        <f>IF(AND(B549="",C549=""),"",IF(G549&lt;&gt;"","Void",IF(OR(B549="",E549=""),"Needs child",IF(D549="","Needs level","OK"))))</f>
        <v/>
      </c>
    </row>
    <row r="550">
      <c r="A550" s="6" t="n"/>
      <c r="B550" s="6" t="n"/>
      <c r="C550" s="6" t="n"/>
      <c r="D550" s="11">
        <f>IF(C550="","",IFERROR(INDEX(Levels!$A$2:$A$30,MATCH(C550,Levels!$B$2:$B$30,0)),""))</f>
        <v/>
      </c>
      <c r="E550" s="10">
        <f>IF(B550="","",IFERROR(INDEX(Roster!$A$2:$A$600,MATCH(B550,Roster!$E$2:$E$600,0)),""))</f>
        <v/>
      </c>
      <c r="F550" s="10">
        <f>IF(C550="","",IFERROR(INDEX(Levels!$C$2:$C$30,MATCH(C550,Levels!$B$2:$B$30,0)),""))</f>
        <v/>
      </c>
      <c r="G550" s="6" t="n"/>
      <c r="H550" s="10">
        <f>IF(AND(B550="",C550=""),"",IF(G550&lt;&gt;"","Void",IF(OR(B550="",E550=""),"Needs child",IF(D550="","Needs level","OK"))))</f>
        <v/>
      </c>
    </row>
    <row r="551">
      <c r="A551" s="6" t="n"/>
      <c r="B551" s="6" t="n"/>
      <c r="C551" s="6" t="n"/>
      <c r="D551" s="11">
        <f>IF(C551="","",IFERROR(INDEX(Levels!$A$2:$A$30,MATCH(C551,Levels!$B$2:$B$30,0)),""))</f>
        <v/>
      </c>
      <c r="E551" s="10">
        <f>IF(B551="","",IFERROR(INDEX(Roster!$A$2:$A$600,MATCH(B551,Roster!$E$2:$E$600,0)),""))</f>
        <v/>
      </c>
      <c r="F551" s="10">
        <f>IF(C551="","",IFERROR(INDEX(Levels!$C$2:$C$30,MATCH(C551,Levels!$B$2:$B$30,0)),""))</f>
        <v/>
      </c>
      <c r="G551" s="6" t="n"/>
      <c r="H551" s="10">
        <f>IF(AND(B551="",C551=""),"",IF(G551&lt;&gt;"","Void",IF(OR(B551="",E551=""),"Needs child",IF(D551="","Needs level","OK"))))</f>
        <v/>
      </c>
    </row>
    <row r="552">
      <c r="A552" s="6" t="n"/>
      <c r="B552" s="6" t="n"/>
      <c r="C552" s="6" t="n"/>
      <c r="D552" s="11">
        <f>IF(C552="","",IFERROR(INDEX(Levels!$A$2:$A$30,MATCH(C552,Levels!$B$2:$B$30,0)),""))</f>
        <v/>
      </c>
      <c r="E552" s="10">
        <f>IF(B552="","",IFERROR(INDEX(Roster!$A$2:$A$600,MATCH(B552,Roster!$E$2:$E$600,0)),""))</f>
        <v/>
      </c>
      <c r="F552" s="10">
        <f>IF(C552="","",IFERROR(INDEX(Levels!$C$2:$C$30,MATCH(C552,Levels!$B$2:$B$30,0)),""))</f>
        <v/>
      </c>
      <c r="G552" s="6" t="n"/>
      <c r="H552" s="10">
        <f>IF(AND(B552="",C552=""),"",IF(G552&lt;&gt;"","Void",IF(OR(B552="",E552=""),"Needs child",IF(D552="","Needs level","OK"))))</f>
        <v/>
      </c>
    </row>
    <row r="553">
      <c r="A553" s="6" t="n"/>
      <c r="B553" s="6" t="n"/>
      <c r="C553" s="6" t="n"/>
      <c r="D553" s="11">
        <f>IF(C553="","",IFERROR(INDEX(Levels!$A$2:$A$30,MATCH(C553,Levels!$B$2:$B$30,0)),""))</f>
        <v/>
      </c>
      <c r="E553" s="10">
        <f>IF(B553="","",IFERROR(INDEX(Roster!$A$2:$A$600,MATCH(B553,Roster!$E$2:$E$600,0)),""))</f>
        <v/>
      </c>
      <c r="F553" s="10">
        <f>IF(C553="","",IFERROR(INDEX(Levels!$C$2:$C$30,MATCH(C553,Levels!$B$2:$B$30,0)),""))</f>
        <v/>
      </c>
      <c r="G553" s="6" t="n"/>
      <c r="H553" s="10">
        <f>IF(AND(B553="",C553=""),"",IF(G553&lt;&gt;"","Void",IF(OR(B553="",E553=""),"Needs child",IF(D553="","Needs level","OK"))))</f>
        <v/>
      </c>
    </row>
    <row r="554">
      <c r="A554" s="6" t="n"/>
      <c r="B554" s="6" t="n"/>
      <c r="C554" s="6" t="n"/>
      <c r="D554" s="11">
        <f>IF(C554="","",IFERROR(INDEX(Levels!$A$2:$A$30,MATCH(C554,Levels!$B$2:$B$30,0)),""))</f>
        <v/>
      </c>
      <c r="E554" s="10">
        <f>IF(B554="","",IFERROR(INDEX(Roster!$A$2:$A$600,MATCH(B554,Roster!$E$2:$E$600,0)),""))</f>
        <v/>
      </c>
      <c r="F554" s="10">
        <f>IF(C554="","",IFERROR(INDEX(Levels!$C$2:$C$30,MATCH(C554,Levels!$B$2:$B$30,0)),""))</f>
        <v/>
      </c>
      <c r="G554" s="6" t="n"/>
      <c r="H554" s="10">
        <f>IF(AND(B554="",C554=""),"",IF(G554&lt;&gt;"","Void",IF(OR(B554="",E554=""),"Needs child",IF(D554="","Needs level","OK"))))</f>
        <v/>
      </c>
    </row>
    <row r="555">
      <c r="A555" s="6" t="n"/>
      <c r="B555" s="6" t="n"/>
      <c r="C555" s="6" t="n"/>
      <c r="D555" s="11">
        <f>IF(C555="","",IFERROR(INDEX(Levels!$A$2:$A$30,MATCH(C555,Levels!$B$2:$B$30,0)),""))</f>
        <v/>
      </c>
      <c r="E555" s="10">
        <f>IF(B555="","",IFERROR(INDEX(Roster!$A$2:$A$600,MATCH(B555,Roster!$E$2:$E$600,0)),""))</f>
        <v/>
      </c>
      <c r="F555" s="10">
        <f>IF(C555="","",IFERROR(INDEX(Levels!$C$2:$C$30,MATCH(C555,Levels!$B$2:$B$30,0)),""))</f>
        <v/>
      </c>
      <c r="G555" s="6" t="n"/>
      <c r="H555" s="10">
        <f>IF(AND(B555="",C555=""),"",IF(G555&lt;&gt;"","Void",IF(OR(B555="",E555=""),"Needs child",IF(D555="","Needs level","OK"))))</f>
        <v/>
      </c>
    </row>
    <row r="556">
      <c r="A556" s="6" t="n"/>
      <c r="B556" s="6" t="n"/>
      <c r="C556" s="6" t="n"/>
      <c r="D556" s="11">
        <f>IF(C556="","",IFERROR(INDEX(Levels!$A$2:$A$30,MATCH(C556,Levels!$B$2:$B$30,0)),""))</f>
        <v/>
      </c>
      <c r="E556" s="10">
        <f>IF(B556="","",IFERROR(INDEX(Roster!$A$2:$A$600,MATCH(B556,Roster!$E$2:$E$600,0)),""))</f>
        <v/>
      </c>
      <c r="F556" s="10">
        <f>IF(C556="","",IFERROR(INDEX(Levels!$C$2:$C$30,MATCH(C556,Levels!$B$2:$B$30,0)),""))</f>
        <v/>
      </c>
      <c r="G556" s="6" t="n"/>
      <c r="H556" s="10">
        <f>IF(AND(B556="",C556=""),"",IF(G556&lt;&gt;"","Void",IF(OR(B556="",E556=""),"Needs child",IF(D556="","Needs level","OK"))))</f>
        <v/>
      </c>
    </row>
    <row r="557">
      <c r="A557" s="6" t="n"/>
      <c r="B557" s="6" t="n"/>
      <c r="C557" s="6" t="n"/>
      <c r="D557" s="11">
        <f>IF(C557="","",IFERROR(INDEX(Levels!$A$2:$A$30,MATCH(C557,Levels!$B$2:$B$30,0)),""))</f>
        <v/>
      </c>
      <c r="E557" s="10">
        <f>IF(B557="","",IFERROR(INDEX(Roster!$A$2:$A$600,MATCH(B557,Roster!$E$2:$E$600,0)),""))</f>
        <v/>
      </c>
      <c r="F557" s="10">
        <f>IF(C557="","",IFERROR(INDEX(Levels!$C$2:$C$30,MATCH(C557,Levels!$B$2:$B$30,0)),""))</f>
        <v/>
      </c>
      <c r="G557" s="6" t="n"/>
      <c r="H557" s="10">
        <f>IF(AND(B557="",C557=""),"",IF(G557&lt;&gt;"","Void",IF(OR(B557="",E557=""),"Needs child",IF(D557="","Needs level","OK"))))</f>
        <v/>
      </c>
    </row>
    <row r="558">
      <c r="A558" s="6" t="n"/>
      <c r="B558" s="6" t="n"/>
      <c r="C558" s="6" t="n"/>
      <c r="D558" s="11">
        <f>IF(C558="","",IFERROR(INDEX(Levels!$A$2:$A$30,MATCH(C558,Levels!$B$2:$B$30,0)),""))</f>
        <v/>
      </c>
      <c r="E558" s="10">
        <f>IF(B558="","",IFERROR(INDEX(Roster!$A$2:$A$600,MATCH(B558,Roster!$E$2:$E$600,0)),""))</f>
        <v/>
      </c>
      <c r="F558" s="10">
        <f>IF(C558="","",IFERROR(INDEX(Levels!$C$2:$C$30,MATCH(C558,Levels!$B$2:$B$30,0)),""))</f>
        <v/>
      </c>
      <c r="G558" s="6" t="n"/>
      <c r="H558" s="10">
        <f>IF(AND(B558="",C558=""),"",IF(G558&lt;&gt;"","Void",IF(OR(B558="",E558=""),"Needs child",IF(D558="","Needs level","OK"))))</f>
        <v/>
      </c>
    </row>
    <row r="559">
      <c r="A559" s="6" t="n"/>
      <c r="B559" s="6" t="n"/>
      <c r="C559" s="6" t="n"/>
      <c r="D559" s="11">
        <f>IF(C559="","",IFERROR(INDEX(Levels!$A$2:$A$30,MATCH(C559,Levels!$B$2:$B$30,0)),""))</f>
        <v/>
      </c>
      <c r="E559" s="10">
        <f>IF(B559="","",IFERROR(INDEX(Roster!$A$2:$A$600,MATCH(B559,Roster!$E$2:$E$600,0)),""))</f>
        <v/>
      </c>
      <c r="F559" s="10">
        <f>IF(C559="","",IFERROR(INDEX(Levels!$C$2:$C$30,MATCH(C559,Levels!$B$2:$B$30,0)),""))</f>
        <v/>
      </c>
      <c r="G559" s="6" t="n"/>
      <c r="H559" s="10">
        <f>IF(AND(B559="",C559=""),"",IF(G559&lt;&gt;"","Void",IF(OR(B559="",E559=""),"Needs child",IF(D559="","Needs level","OK"))))</f>
        <v/>
      </c>
    </row>
    <row r="560">
      <c r="A560" s="6" t="n"/>
      <c r="B560" s="6" t="n"/>
      <c r="C560" s="6" t="n"/>
      <c r="D560" s="11">
        <f>IF(C560="","",IFERROR(INDEX(Levels!$A$2:$A$30,MATCH(C560,Levels!$B$2:$B$30,0)),""))</f>
        <v/>
      </c>
      <c r="E560" s="10">
        <f>IF(B560="","",IFERROR(INDEX(Roster!$A$2:$A$600,MATCH(B560,Roster!$E$2:$E$600,0)),""))</f>
        <v/>
      </c>
      <c r="F560" s="10">
        <f>IF(C560="","",IFERROR(INDEX(Levels!$C$2:$C$30,MATCH(C560,Levels!$B$2:$B$30,0)),""))</f>
        <v/>
      </c>
      <c r="G560" s="6" t="n"/>
      <c r="H560" s="10">
        <f>IF(AND(B560="",C560=""),"",IF(G560&lt;&gt;"","Void",IF(OR(B560="",E560=""),"Needs child",IF(D560="","Needs level","OK"))))</f>
        <v/>
      </c>
    </row>
    <row r="561">
      <c r="A561" s="6" t="n"/>
      <c r="B561" s="6" t="n"/>
      <c r="C561" s="6" t="n"/>
      <c r="D561" s="11">
        <f>IF(C561="","",IFERROR(INDEX(Levels!$A$2:$A$30,MATCH(C561,Levels!$B$2:$B$30,0)),""))</f>
        <v/>
      </c>
      <c r="E561" s="10">
        <f>IF(B561="","",IFERROR(INDEX(Roster!$A$2:$A$600,MATCH(B561,Roster!$E$2:$E$600,0)),""))</f>
        <v/>
      </c>
      <c r="F561" s="10">
        <f>IF(C561="","",IFERROR(INDEX(Levels!$C$2:$C$30,MATCH(C561,Levels!$B$2:$B$30,0)),""))</f>
        <v/>
      </c>
      <c r="G561" s="6" t="n"/>
      <c r="H561" s="10">
        <f>IF(AND(B561="",C561=""),"",IF(G561&lt;&gt;"","Void",IF(OR(B561="",E561=""),"Needs child",IF(D561="","Needs level","OK"))))</f>
        <v/>
      </c>
    </row>
    <row r="562">
      <c r="A562" s="6" t="n"/>
      <c r="B562" s="6" t="n"/>
      <c r="C562" s="6" t="n"/>
      <c r="D562" s="11">
        <f>IF(C562="","",IFERROR(INDEX(Levels!$A$2:$A$30,MATCH(C562,Levels!$B$2:$B$30,0)),""))</f>
        <v/>
      </c>
      <c r="E562" s="10">
        <f>IF(B562="","",IFERROR(INDEX(Roster!$A$2:$A$600,MATCH(B562,Roster!$E$2:$E$600,0)),""))</f>
        <v/>
      </c>
      <c r="F562" s="10">
        <f>IF(C562="","",IFERROR(INDEX(Levels!$C$2:$C$30,MATCH(C562,Levels!$B$2:$B$30,0)),""))</f>
        <v/>
      </c>
      <c r="G562" s="6" t="n"/>
      <c r="H562" s="10">
        <f>IF(AND(B562="",C562=""),"",IF(G562&lt;&gt;"","Void",IF(OR(B562="",E562=""),"Needs child",IF(D562="","Needs level","OK"))))</f>
        <v/>
      </c>
    </row>
    <row r="563">
      <c r="A563" s="6" t="n"/>
      <c r="B563" s="6" t="n"/>
      <c r="C563" s="6" t="n"/>
      <c r="D563" s="11">
        <f>IF(C563="","",IFERROR(INDEX(Levels!$A$2:$A$30,MATCH(C563,Levels!$B$2:$B$30,0)),""))</f>
        <v/>
      </c>
      <c r="E563" s="10">
        <f>IF(B563="","",IFERROR(INDEX(Roster!$A$2:$A$600,MATCH(B563,Roster!$E$2:$E$600,0)),""))</f>
        <v/>
      </c>
      <c r="F563" s="10">
        <f>IF(C563="","",IFERROR(INDEX(Levels!$C$2:$C$30,MATCH(C563,Levels!$B$2:$B$30,0)),""))</f>
        <v/>
      </c>
      <c r="G563" s="6" t="n"/>
      <c r="H563" s="10">
        <f>IF(AND(B563="",C563=""),"",IF(G563&lt;&gt;"","Void",IF(OR(B563="",E563=""),"Needs child",IF(D563="","Needs level","OK"))))</f>
        <v/>
      </c>
    </row>
    <row r="564">
      <c r="A564" s="6" t="n"/>
      <c r="B564" s="6" t="n"/>
      <c r="C564" s="6" t="n"/>
      <c r="D564" s="11">
        <f>IF(C564="","",IFERROR(INDEX(Levels!$A$2:$A$30,MATCH(C564,Levels!$B$2:$B$30,0)),""))</f>
        <v/>
      </c>
      <c r="E564" s="10">
        <f>IF(B564="","",IFERROR(INDEX(Roster!$A$2:$A$600,MATCH(B564,Roster!$E$2:$E$600,0)),""))</f>
        <v/>
      </c>
      <c r="F564" s="10">
        <f>IF(C564="","",IFERROR(INDEX(Levels!$C$2:$C$30,MATCH(C564,Levels!$B$2:$B$30,0)),""))</f>
        <v/>
      </c>
      <c r="G564" s="6" t="n"/>
      <c r="H564" s="10">
        <f>IF(AND(B564="",C564=""),"",IF(G564&lt;&gt;"","Void",IF(OR(B564="",E564=""),"Needs child",IF(D564="","Needs level","OK"))))</f>
        <v/>
      </c>
    </row>
    <row r="565">
      <c r="A565" s="6" t="n"/>
      <c r="B565" s="6" t="n"/>
      <c r="C565" s="6" t="n"/>
      <c r="D565" s="11">
        <f>IF(C565="","",IFERROR(INDEX(Levels!$A$2:$A$30,MATCH(C565,Levels!$B$2:$B$30,0)),""))</f>
        <v/>
      </c>
      <c r="E565" s="10">
        <f>IF(B565="","",IFERROR(INDEX(Roster!$A$2:$A$600,MATCH(B565,Roster!$E$2:$E$600,0)),""))</f>
        <v/>
      </c>
      <c r="F565" s="10">
        <f>IF(C565="","",IFERROR(INDEX(Levels!$C$2:$C$30,MATCH(C565,Levels!$B$2:$B$30,0)),""))</f>
        <v/>
      </c>
      <c r="G565" s="6" t="n"/>
      <c r="H565" s="10">
        <f>IF(AND(B565="",C565=""),"",IF(G565&lt;&gt;"","Void",IF(OR(B565="",E565=""),"Needs child",IF(D565="","Needs level","OK"))))</f>
        <v/>
      </c>
    </row>
    <row r="566">
      <c r="A566" s="6" t="n"/>
      <c r="B566" s="6" t="n"/>
      <c r="C566" s="6" t="n"/>
      <c r="D566" s="11">
        <f>IF(C566="","",IFERROR(INDEX(Levels!$A$2:$A$30,MATCH(C566,Levels!$B$2:$B$30,0)),""))</f>
        <v/>
      </c>
      <c r="E566" s="10">
        <f>IF(B566="","",IFERROR(INDEX(Roster!$A$2:$A$600,MATCH(B566,Roster!$E$2:$E$600,0)),""))</f>
        <v/>
      </c>
      <c r="F566" s="10">
        <f>IF(C566="","",IFERROR(INDEX(Levels!$C$2:$C$30,MATCH(C566,Levels!$B$2:$B$30,0)),""))</f>
        <v/>
      </c>
      <c r="G566" s="6" t="n"/>
      <c r="H566" s="10">
        <f>IF(AND(B566="",C566=""),"",IF(G566&lt;&gt;"","Void",IF(OR(B566="",E566=""),"Needs child",IF(D566="","Needs level","OK"))))</f>
        <v/>
      </c>
    </row>
    <row r="567">
      <c r="A567" s="6" t="n"/>
      <c r="B567" s="6" t="n"/>
      <c r="C567" s="6" t="n"/>
      <c r="D567" s="11">
        <f>IF(C567="","",IFERROR(INDEX(Levels!$A$2:$A$30,MATCH(C567,Levels!$B$2:$B$30,0)),""))</f>
        <v/>
      </c>
      <c r="E567" s="10">
        <f>IF(B567="","",IFERROR(INDEX(Roster!$A$2:$A$600,MATCH(B567,Roster!$E$2:$E$600,0)),""))</f>
        <v/>
      </c>
      <c r="F567" s="10">
        <f>IF(C567="","",IFERROR(INDEX(Levels!$C$2:$C$30,MATCH(C567,Levels!$B$2:$B$30,0)),""))</f>
        <v/>
      </c>
      <c r="G567" s="6" t="n"/>
      <c r="H567" s="10">
        <f>IF(AND(B567="",C567=""),"",IF(G567&lt;&gt;"","Void",IF(OR(B567="",E567=""),"Needs child",IF(D567="","Needs level","OK"))))</f>
        <v/>
      </c>
    </row>
    <row r="568">
      <c r="A568" s="6" t="n"/>
      <c r="B568" s="6" t="n"/>
      <c r="C568" s="6" t="n"/>
      <c r="D568" s="11">
        <f>IF(C568="","",IFERROR(INDEX(Levels!$A$2:$A$30,MATCH(C568,Levels!$B$2:$B$30,0)),""))</f>
        <v/>
      </c>
      <c r="E568" s="10">
        <f>IF(B568="","",IFERROR(INDEX(Roster!$A$2:$A$600,MATCH(B568,Roster!$E$2:$E$600,0)),""))</f>
        <v/>
      </c>
      <c r="F568" s="10">
        <f>IF(C568="","",IFERROR(INDEX(Levels!$C$2:$C$30,MATCH(C568,Levels!$B$2:$B$30,0)),""))</f>
        <v/>
      </c>
      <c r="G568" s="6" t="n"/>
      <c r="H568" s="10">
        <f>IF(AND(B568="",C568=""),"",IF(G568&lt;&gt;"","Void",IF(OR(B568="",E568=""),"Needs child",IF(D568="","Needs level","OK"))))</f>
        <v/>
      </c>
    </row>
    <row r="569">
      <c r="A569" s="6" t="n"/>
      <c r="B569" s="6" t="n"/>
      <c r="C569" s="6" t="n"/>
      <c r="D569" s="11">
        <f>IF(C569="","",IFERROR(INDEX(Levels!$A$2:$A$30,MATCH(C569,Levels!$B$2:$B$30,0)),""))</f>
        <v/>
      </c>
      <c r="E569" s="10">
        <f>IF(B569="","",IFERROR(INDEX(Roster!$A$2:$A$600,MATCH(B569,Roster!$E$2:$E$600,0)),""))</f>
        <v/>
      </c>
      <c r="F569" s="10">
        <f>IF(C569="","",IFERROR(INDEX(Levels!$C$2:$C$30,MATCH(C569,Levels!$B$2:$B$30,0)),""))</f>
        <v/>
      </c>
      <c r="G569" s="6" t="n"/>
      <c r="H569" s="10">
        <f>IF(AND(B569="",C569=""),"",IF(G569&lt;&gt;"","Void",IF(OR(B569="",E569=""),"Needs child",IF(D569="","Needs level","OK"))))</f>
        <v/>
      </c>
    </row>
    <row r="570">
      <c r="A570" s="6" t="n"/>
      <c r="B570" s="6" t="n"/>
      <c r="C570" s="6" t="n"/>
      <c r="D570" s="11">
        <f>IF(C570="","",IFERROR(INDEX(Levels!$A$2:$A$30,MATCH(C570,Levels!$B$2:$B$30,0)),""))</f>
        <v/>
      </c>
      <c r="E570" s="10">
        <f>IF(B570="","",IFERROR(INDEX(Roster!$A$2:$A$600,MATCH(B570,Roster!$E$2:$E$600,0)),""))</f>
        <v/>
      </c>
      <c r="F570" s="10">
        <f>IF(C570="","",IFERROR(INDEX(Levels!$C$2:$C$30,MATCH(C570,Levels!$B$2:$B$30,0)),""))</f>
        <v/>
      </c>
      <c r="G570" s="6" t="n"/>
      <c r="H570" s="10">
        <f>IF(AND(B570="",C570=""),"",IF(G570&lt;&gt;"","Void",IF(OR(B570="",E570=""),"Needs child",IF(D570="","Needs level","OK"))))</f>
        <v/>
      </c>
    </row>
    <row r="571">
      <c r="A571" s="6" t="n"/>
      <c r="B571" s="6" t="n"/>
      <c r="C571" s="6" t="n"/>
      <c r="D571" s="11">
        <f>IF(C571="","",IFERROR(INDEX(Levels!$A$2:$A$30,MATCH(C571,Levels!$B$2:$B$30,0)),""))</f>
        <v/>
      </c>
      <c r="E571" s="10">
        <f>IF(B571="","",IFERROR(INDEX(Roster!$A$2:$A$600,MATCH(B571,Roster!$E$2:$E$600,0)),""))</f>
        <v/>
      </c>
      <c r="F571" s="10">
        <f>IF(C571="","",IFERROR(INDEX(Levels!$C$2:$C$30,MATCH(C571,Levels!$B$2:$B$30,0)),""))</f>
        <v/>
      </c>
      <c r="G571" s="6" t="n"/>
      <c r="H571" s="10">
        <f>IF(AND(B571="",C571=""),"",IF(G571&lt;&gt;"","Void",IF(OR(B571="",E571=""),"Needs child",IF(D571="","Needs level","OK"))))</f>
        <v/>
      </c>
    </row>
    <row r="572">
      <c r="A572" s="6" t="n"/>
      <c r="B572" s="6" t="n"/>
      <c r="C572" s="6" t="n"/>
      <c r="D572" s="11">
        <f>IF(C572="","",IFERROR(INDEX(Levels!$A$2:$A$30,MATCH(C572,Levels!$B$2:$B$30,0)),""))</f>
        <v/>
      </c>
      <c r="E572" s="10">
        <f>IF(B572="","",IFERROR(INDEX(Roster!$A$2:$A$600,MATCH(B572,Roster!$E$2:$E$600,0)),""))</f>
        <v/>
      </c>
      <c r="F572" s="10">
        <f>IF(C572="","",IFERROR(INDEX(Levels!$C$2:$C$30,MATCH(C572,Levels!$B$2:$B$30,0)),""))</f>
        <v/>
      </c>
      <c r="G572" s="6" t="n"/>
      <c r="H572" s="10">
        <f>IF(AND(B572="",C572=""),"",IF(G572&lt;&gt;"","Void",IF(OR(B572="",E572=""),"Needs child",IF(D572="","Needs level","OK"))))</f>
        <v/>
      </c>
    </row>
    <row r="573">
      <c r="A573" s="6" t="n"/>
      <c r="B573" s="6" t="n"/>
      <c r="C573" s="6" t="n"/>
      <c r="D573" s="11">
        <f>IF(C573="","",IFERROR(INDEX(Levels!$A$2:$A$30,MATCH(C573,Levels!$B$2:$B$30,0)),""))</f>
        <v/>
      </c>
      <c r="E573" s="10">
        <f>IF(B573="","",IFERROR(INDEX(Roster!$A$2:$A$600,MATCH(B573,Roster!$E$2:$E$600,0)),""))</f>
        <v/>
      </c>
      <c r="F573" s="10">
        <f>IF(C573="","",IFERROR(INDEX(Levels!$C$2:$C$30,MATCH(C573,Levels!$B$2:$B$30,0)),""))</f>
        <v/>
      </c>
      <c r="G573" s="6" t="n"/>
      <c r="H573" s="10">
        <f>IF(AND(B573="",C573=""),"",IF(G573&lt;&gt;"","Void",IF(OR(B573="",E573=""),"Needs child",IF(D573="","Needs level","OK"))))</f>
        <v/>
      </c>
    </row>
    <row r="574">
      <c r="A574" s="6" t="n"/>
      <c r="B574" s="6" t="n"/>
      <c r="C574" s="6" t="n"/>
      <c r="D574" s="11">
        <f>IF(C574="","",IFERROR(INDEX(Levels!$A$2:$A$30,MATCH(C574,Levels!$B$2:$B$30,0)),""))</f>
        <v/>
      </c>
      <c r="E574" s="10">
        <f>IF(B574="","",IFERROR(INDEX(Roster!$A$2:$A$600,MATCH(B574,Roster!$E$2:$E$600,0)),""))</f>
        <v/>
      </c>
      <c r="F574" s="10">
        <f>IF(C574="","",IFERROR(INDEX(Levels!$C$2:$C$30,MATCH(C574,Levels!$B$2:$B$30,0)),""))</f>
        <v/>
      </c>
      <c r="G574" s="6" t="n"/>
      <c r="H574" s="10">
        <f>IF(AND(B574="",C574=""),"",IF(G574&lt;&gt;"","Void",IF(OR(B574="",E574=""),"Needs child",IF(D574="","Needs level","OK"))))</f>
        <v/>
      </c>
    </row>
    <row r="575">
      <c r="A575" s="6" t="n"/>
      <c r="B575" s="6" t="n"/>
      <c r="C575" s="6" t="n"/>
      <c r="D575" s="11">
        <f>IF(C575="","",IFERROR(INDEX(Levels!$A$2:$A$30,MATCH(C575,Levels!$B$2:$B$30,0)),""))</f>
        <v/>
      </c>
      <c r="E575" s="10">
        <f>IF(B575="","",IFERROR(INDEX(Roster!$A$2:$A$600,MATCH(B575,Roster!$E$2:$E$600,0)),""))</f>
        <v/>
      </c>
      <c r="F575" s="10">
        <f>IF(C575="","",IFERROR(INDEX(Levels!$C$2:$C$30,MATCH(C575,Levels!$B$2:$B$30,0)),""))</f>
        <v/>
      </c>
      <c r="G575" s="6" t="n"/>
      <c r="H575" s="10">
        <f>IF(AND(B575="",C575=""),"",IF(G575&lt;&gt;"","Void",IF(OR(B575="",E575=""),"Needs child",IF(D575="","Needs level","OK"))))</f>
        <v/>
      </c>
    </row>
    <row r="576">
      <c r="A576" s="6" t="n"/>
      <c r="B576" s="6" t="n"/>
      <c r="C576" s="6" t="n"/>
      <c r="D576" s="11">
        <f>IF(C576="","",IFERROR(INDEX(Levels!$A$2:$A$30,MATCH(C576,Levels!$B$2:$B$30,0)),""))</f>
        <v/>
      </c>
      <c r="E576" s="10">
        <f>IF(B576="","",IFERROR(INDEX(Roster!$A$2:$A$600,MATCH(B576,Roster!$E$2:$E$600,0)),""))</f>
        <v/>
      </c>
      <c r="F576" s="10">
        <f>IF(C576="","",IFERROR(INDEX(Levels!$C$2:$C$30,MATCH(C576,Levels!$B$2:$B$30,0)),""))</f>
        <v/>
      </c>
      <c r="G576" s="6" t="n"/>
      <c r="H576" s="10">
        <f>IF(AND(B576="",C576=""),"",IF(G576&lt;&gt;"","Void",IF(OR(B576="",E576=""),"Needs child",IF(D576="","Needs level","OK"))))</f>
        <v/>
      </c>
    </row>
    <row r="577">
      <c r="A577" s="6" t="n"/>
      <c r="B577" s="6" t="n"/>
      <c r="C577" s="6" t="n"/>
      <c r="D577" s="11">
        <f>IF(C577="","",IFERROR(INDEX(Levels!$A$2:$A$30,MATCH(C577,Levels!$B$2:$B$30,0)),""))</f>
        <v/>
      </c>
      <c r="E577" s="10">
        <f>IF(B577="","",IFERROR(INDEX(Roster!$A$2:$A$600,MATCH(B577,Roster!$E$2:$E$600,0)),""))</f>
        <v/>
      </c>
      <c r="F577" s="10">
        <f>IF(C577="","",IFERROR(INDEX(Levels!$C$2:$C$30,MATCH(C577,Levels!$B$2:$B$30,0)),""))</f>
        <v/>
      </c>
      <c r="G577" s="6" t="n"/>
      <c r="H577" s="10">
        <f>IF(AND(B577="",C577=""),"",IF(G577&lt;&gt;"","Void",IF(OR(B577="",E577=""),"Needs child",IF(D577="","Needs level","OK"))))</f>
        <v/>
      </c>
    </row>
    <row r="578">
      <c r="A578" s="6" t="n"/>
      <c r="B578" s="6" t="n"/>
      <c r="C578" s="6" t="n"/>
      <c r="D578" s="11">
        <f>IF(C578="","",IFERROR(INDEX(Levels!$A$2:$A$30,MATCH(C578,Levels!$B$2:$B$30,0)),""))</f>
        <v/>
      </c>
      <c r="E578" s="10">
        <f>IF(B578="","",IFERROR(INDEX(Roster!$A$2:$A$600,MATCH(B578,Roster!$E$2:$E$600,0)),""))</f>
        <v/>
      </c>
      <c r="F578" s="10">
        <f>IF(C578="","",IFERROR(INDEX(Levels!$C$2:$C$30,MATCH(C578,Levels!$B$2:$B$30,0)),""))</f>
        <v/>
      </c>
      <c r="G578" s="6" t="n"/>
      <c r="H578" s="10">
        <f>IF(AND(B578="",C578=""),"",IF(G578&lt;&gt;"","Void",IF(OR(B578="",E578=""),"Needs child",IF(D578="","Needs level","OK"))))</f>
        <v/>
      </c>
    </row>
    <row r="579">
      <c r="A579" s="6" t="n"/>
      <c r="B579" s="6" t="n"/>
      <c r="C579" s="6" t="n"/>
      <c r="D579" s="11">
        <f>IF(C579="","",IFERROR(INDEX(Levels!$A$2:$A$30,MATCH(C579,Levels!$B$2:$B$30,0)),""))</f>
        <v/>
      </c>
      <c r="E579" s="10">
        <f>IF(B579="","",IFERROR(INDEX(Roster!$A$2:$A$600,MATCH(B579,Roster!$E$2:$E$600,0)),""))</f>
        <v/>
      </c>
      <c r="F579" s="10">
        <f>IF(C579="","",IFERROR(INDEX(Levels!$C$2:$C$30,MATCH(C579,Levels!$B$2:$B$30,0)),""))</f>
        <v/>
      </c>
      <c r="G579" s="6" t="n"/>
      <c r="H579" s="10">
        <f>IF(AND(B579="",C579=""),"",IF(G579&lt;&gt;"","Void",IF(OR(B579="",E579=""),"Needs child",IF(D579="","Needs level","OK"))))</f>
        <v/>
      </c>
    </row>
    <row r="580">
      <c r="A580" s="6" t="n"/>
      <c r="B580" s="6" t="n"/>
      <c r="C580" s="6" t="n"/>
      <c r="D580" s="11">
        <f>IF(C580="","",IFERROR(INDEX(Levels!$A$2:$A$30,MATCH(C580,Levels!$B$2:$B$30,0)),""))</f>
        <v/>
      </c>
      <c r="E580" s="10">
        <f>IF(B580="","",IFERROR(INDEX(Roster!$A$2:$A$600,MATCH(B580,Roster!$E$2:$E$600,0)),""))</f>
        <v/>
      </c>
      <c r="F580" s="10">
        <f>IF(C580="","",IFERROR(INDEX(Levels!$C$2:$C$30,MATCH(C580,Levels!$B$2:$B$30,0)),""))</f>
        <v/>
      </c>
      <c r="G580" s="6" t="n"/>
      <c r="H580" s="10">
        <f>IF(AND(B580="",C580=""),"",IF(G580&lt;&gt;"","Void",IF(OR(B580="",E580=""),"Needs child",IF(D580="","Needs level","OK"))))</f>
        <v/>
      </c>
    </row>
    <row r="581">
      <c r="A581" s="6" t="n"/>
      <c r="B581" s="6" t="n"/>
      <c r="C581" s="6" t="n"/>
      <c r="D581" s="11">
        <f>IF(C581="","",IFERROR(INDEX(Levels!$A$2:$A$30,MATCH(C581,Levels!$B$2:$B$30,0)),""))</f>
        <v/>
      </c>
      <c r="E581" s="10">
        <f>IF(B581="","",IFERROR(INDEX(Roster!$A$2:$A$600,MATCH(B581,Roster!$E$2:$E$600,0)),""))</f>
        <v/>
      </c>
      <c r="F581" s="10">
        <f>IF(C581="","",IFERROR(INDEX(Levels!$C$2:$C$30,MATCH(C581,Levels!$B$2:$B$30,0)),""))</f>
        <v/>
      </c>
      <c r="G581" s="6" t="n"/>
      <c r="H581" s="10">
        <f>IF(AND(B581="",C581=""),"",IF(G581&lt;&gt;"","Void",IF(OR(B581="",E581=""),"Needs child",IF(D581="","Needs level","OK"))))</f>
        <v/>
      </c>
    </row>
    <row r="582">
      <c r="A582" s="6" t="n"/>
      <c r="B582" s="6" t="n"/>
      <c r="C582" s="6" t="n"/>
      <c r="D582" s="11">
        <f>IF(C582="","",IFERROR(INDEX(Levels!$A$2:$A$30,MATCH(C582,Levels!$B$2:$B$30,0)),""))</f>
        <v/>
      </c>
      <c r="E582" s="10">
        <f>IF(B582="","",IFERROR(INDEX(Roster!$A$2:$A$600,MATCH(B582,Roster!$E$2:$E$600,0)),""))</f>
        <v/>
      </c>
      <c r="F582" s="10">
        <f>IF(C582="","",IFERROR(INDEX(Levels!$C$2:$C$30,MATCH(C582,Levels!$B$2:$B$30,0)),""))</f>
        <v/>
      </c>
      <c r="G582" s="6" t="n"/>
      <c r="H582" s="10">
        <f>IF(AND(B582="",C582=""),"",IF(G582&lt;&gt;"","Void",IF(OR(B582="",E582=""),"Needs child",IF(D582="","Needs level","OK"))))</f>
        <v/>
      </c>
    </row>
    <row r="583">
      <c r="A583" s="6" t="n"/>
      <c r="B583" s="6" t="n"/>
      <c r="C583" s="6" t="n"/>
      <c r="D583" s="11">
        <f>IF(C583="","",IFERROR(INDEX(Levels!$A$2:$A$30,MATCH(C583,Levels!$B$2:$B$30,0)),""))</f>
        <v/>
      </c>
      <c r="E583" s="10">
        <f>IF(B583="","",IFERROR(INDEX(Roster!$A$2:$A$600,MATCH(B583,Roster!$E$2:$E$600,0)),""))</f>
        <v/>
      </c>
      <c r="F583" s="10">
        <f>IF(C583="","",IFERROR(INDEX(Levels!$C$2:$C$30,MATCH(C583,Levels!$B$2:$B$30,0)),""))</f>
        <v/>
      </c>
      <c r="G583" s="6" t="n"/>
      <c r="H583" s="10">
        <f>IF(AND(B583="",C583=""),"",IF(G583&lt;&gt;"","Void",IF(OR(B583="",E583=""),"Needs child",IF(D583="","Needs level","OK"))))</f>
        <v/>
      </c>
    </row>
    <row r="584">
      <c r="A584" s="6" t="n"/>
      <c r="B584" s="6" t="n"/>
      <c r="C584" s="6" t="n"/>
      <c r="D584" s="11">
        <f>IF(C584="","",IFERROR(INDEX(Levels!$A$2:$A$30,MATCH(C584,Levels!$B$2:$B$30,0)),""))</f>
        <v/>
      </c>
      <c r="E584" s="10">
        <f>IF(B584="","",IFERROR(INDEX(Roster!$A$2:$A$600,MATCH(B584,Roster!$E$2:$E$600,0)),""))</f>
        <v/>
      </c>
      <c r="F584" s="10">
        <f>IF(C584="","",IFERROR(INDEX(Levels!$C$2:$C$30,MATCH(C584,Levels!$B$2:$B$30,0)),""))</f>
        <v/>
      </c>
      <c r="G584" s="6" t="n"/>
      <c r="H584" s="10">
        <f>IF(AND(B584="",C584=""),"",IF(G584&lt;&gt;"","Void",IF(OR(B584="",E584=""),"Needs child",IF(D584="","Needs level","OK"))))</f>
        <v/>
      </c>
    </row>
    <row r="585">
      <c r="A585" s="6" t="n"/>
      <c r="B585" s="6" t="n"/>
      <c r="C585" s="6" t="n"/>
      <c r="D585" s="11">
        <f>IF(C585="","",IFERROR(INDEX(Levels!$A$2:$A$30,MATCH(C585,Levels!$B$2:$B$30,0)),""))</f>
        <v/>
      </c>
      <c r="E585" s="10">
        <f>IF(B585="","",IFERROR(INDEX(Roster!$A$2:$A$600,MATCH(B585,Roster!$E$2:$E$600,0)),""))</f>
        <v/>
      </c>
      <c r="F585" s="10">
        <f>IF(C585="","",IFERROR(INDEX(Levels!$C$2:$C$30,MATCH(C585,Levels!$B$2:$B$30,0)),""))</f>
        <v/>
      </c>
      <c r="G585" s="6" t="n"/>
      <c r="H585" s="10">
        <f>IF(AND(B585="",C585=""),"",IF(G585&lt;&gt;"","Void",IF(OR(B585="",E585=""),"Needs child",IF(D585="","Needs level","OK"))))</f>
        <v/>
      </c>
    </row>
    <row r="586">
      <c r="A586" s="6" t="n"/>
      <c r="B586" s="6" t="n"/>
      <c r="C586" s="6" t="n"/>
      <c r="D586" s="11">
        <f>IF(C586="","",IFERROR(INDEX(Levels!$A$2:$A$30,MATCH(C586,Levels!$B$2:$B$30,0)),""))</f>
        <v/>
      </c>
      <c r="E586" s="10">
        <f>IF(B586="","",IFERROR(INDEX(Roster!$A$2:$A$600,MATCH(B586,Roster!$E$2:$E$600,0)),""))</f>
        <v/>
      </c>
      <c r="F586" s="10">
        <f>IF(C586="","",IFERROR(INDEX(Levels!$C$2:$C$30,MATCH(C586,Levels!$B$2:$B$30,0)),""))</f>
        <v/>
      </c>
      <c r="G586" s="6" t="n"/>
      <c r="H586" s="10">
        <f>IF(AND(B586="",C586=""),"",IF(G586&lt;&gt;"","Void",IF(OR(B586="",E586=""),"Needs child",IF(D586="","Needs level","OK"))))</f>
        <v/>
      </c>
    </row>
    <row r="587">
      <c r="A587" s="6" t="n"/>
      <c r="B587" s="6" t="n"/>
      <c r="C587" s="6" t="n"/>
      <c r="D587" s="11">
        <f>IF(C587="","",IFERROR(INDEX(Levels!$A$2:$A$30,MATCH(C587,Levels!$B$2:$B$30,0)),""))</f>
        <v/>
      </c>
      <c r="E587" s="10">
        <f>IF(B587="","",IFERROR(INDEX(Roster!$A$2:$A$600,MATCH(B587,Roster!$E$2:$E$600,0)),""))</f>
        <v/>
      </c>
      <c r="F587" s="10">
        <f>IF(C587="","",IFERROR(INDEX(Levels!$C$2:$C$30,MATCH(C587,Levels!$B$2:$B$30,0)),""))</f>
        <v/>
      </c>
      <c r="G587" s="6" t="n"/>
      <c r="H587" s="10">
        <f>IF(AND(B587="",C587=""),"",IF(G587&lt;&gt;"","Void",IF(OR(B587="",E587=""),"Needs child",IF(D587="","Needs level","OK"))))</f>
        <v/>
      </c>
    </row>
    <row r="588">
      <c r="A588" s="6" t="n"/>
      <c r="B588" s="6" t="n"/>
      <c r="C588" s="6" t="n"/>
      <c r="D588" s="11">
        <f>IF(C588="","",IFERROR(INDEX(Levels!$A$2:$A$30,MATCH(C588,Levels!$B$2:$B$30,0)),""))</f>
        <v/>
      </c>
      <c r="E588" s="10">
        <f>IF(B588="","",IFERROR(INDEX(Roster!$A$2:$A$600,MATCH(B588,Roster!$E$2:$E$600,0)),""))</f>
        <v/>
      </c>
      <c r="F588" s="10">
        <f>IF(C588="","",IFERROR(INDEX(Levels!$C$2:$C$30,MATCH(C588,Levels!$B$2:$B$30,0)),""))</f>
        <v/>
      </c>
      <c r="G588" s="6" t="n"/>
      <c r="H588" s="10">
        <f>IF(AND(B588="",C588=""),"",IF(G588&lt;&gt;"","Void",IF(OR(B588="",E588=""),"Needs child",IF(D588="","Needs level","OK"))))</f>
        <v/>
      </c>
    </row>
    <row r="589">
      <c r="A589" s="6" t="n"/>
      <c r="B589" s="6" t="n"/>
      <c r="C589" s="6" t="n"/>
      <c r="D589" s="11">
        <f>IF(C589="","",IFERROR(INDEX(Levels!$A$2:$A$30,MATCH(C589,Levels!$B$2:$B$30,0)),""))</f>
        <v/>
      </c>
      <c r="E589" s="10">
        <f>IF(B589="","",IFERROR(INDEX(Roster!$A$2:$A$600,MATCH(B589,Roster!$E$2:$E$600,0)),""))</f>
        <v/>
      </c>
      <c r="F589" s="10">
        <f>IF(C589="","",IFERROR(INDEX(Levels!$C$2:$C$30,MATCH(C589,Levels!$B$2:$B$30,0)),""))</f>
        <v/>
      </c>
      <c r="G589" s="6" t="n"/>
      <c r="H589" s="10">
        <f>IF(AND(B589="",C589=""),"",IF(G589&lt;&gt;"","Void",IF(OR(B589="",E589=""),"Needs child",IF(D589="","Needs level","OK"))))</f>
        <v/>
      </c>
    </row>
    <row r="590">
      <c r="A590" s="6" t="n"/>
      <c r="B590" s="6" t="n"/>
      <c r="C590" s="6" t="n"/>
      <c r="D590" s="11">
        <f>IF(C590="","",IFERROR(INDEX(Levels!$A$2:$A$30,MATCH(C590,Levels!$B$2:$B$30,0)),""))</f>
        <v/>
      </c>
      <c r="E590" s="10">
        <f>IF(B590="","",IFERROR(INDEX(Roster!$A$2:$A$600,MATCH(B590,Roster!$E$2:$E$600,0)),""))</f>
        <v/>
      </c>
      <c r="F590" s="10">
        <f>IF(C590="","",IFERROR(INDEX(Levels!$C$2:$C$30,MATCH(C590,Levels!$B$2:$B$30,0)),""))</f>
        <v/>
      </c>
      <c r="G590" s="6" t="n"/>
      <c r="H590" s="10">
        <f>IF(AND(B590="",C590=""),"",IF(G590&lt;&gt;"","Void",IF(OR(B590="",E590=""),"Needs child",IF(D590="","Needs level","OK"))))</f>
        <v/>
      </c>
    </row>
    <row r="591">
      <c r="A591" s="6" t="n"/>
      <c r="B591" s="6" t="n"/>
      <c r="C591" s="6" t="n"/>
      <c r="D591" s="11">
        <f>IF(C591="","",IFERROR(INDEX(Levels!$A$2:$A$30,MATCH(C591,Levels!$B$2:$B$30,0)),""))</f>
        <v/>
      </c>
      <c r="E591" s="10">
        <f>IF(B591="","",IFERROR(INDEX(Roster!$A$2:$A$600,MATCH(B591,Roster!$E$2:$E$600,0)),""))</f>
        <v/>
      </c>
      <c r="F591" s="10">
        <f>IF(C591="","",IFERROR(INDEX(Levels!$C$2:$C$30,MATCH(C591,Levels!$B$2:$B$30,0)),""))</f>
        <v/>
      </c>
      <c r="G591" s="6" t="n"/>
      <c r="H591" s="10">
        <f>IF(AND(B591="",C591=""),"",IF(G591&lt;&gt;"","Void",IF(OR(B591="",E591=""),"Needs child",IF(D591="","Needs level","OK"))))</f>
        <v/>
      </c>
    </row>
    <row r="592">
      <c r="A592" s="6" t="n"/>
      <c r="B592" s="6" t="n"/>
      <c r="C592" s="6" t="n"/>
      <c r="D592" s="11">
        <f>IF(C592="","",IFERROR(INDEX(Levels!$A$2:$A$30,MATCH(C592,Levels!$B$2:$B$30,0)),""))</f>
        <v/>
      </c>
      <c r="E592" s="10">
        <f>IF(B592="","",IFERROR(INDEX(Roster!$A$2:$A$600,MATCH(B592,Roster!$E$2:$E$600,0)),""))</f>
        <v/>
      </c>
      <c r="F592" s="10">
        <f>IF(C592="","",IFERROR(INDEX(Levels!$C$2:$C$30,MATCH(C592,Levels!$B$2:$B$30,0)),""))</f>
        <v/>
      </c>
      <c r="G592" s="6" t="n"/>
      <c r="H592" s="10">
        <f>IF(AND(B592="",C592=""),"",IF(G592&lt;&gt;"","Void",IF(OR(B592="",E592=""),"Needs child",IF(D592="","Needs level","OK"))))</f>
        <v/>
      </c>
    </row>
    <row r="593">
      <c r="A593" s="6" t="n"/>
      <c r="B593" s="6" t="n"/>
      <c r="C593" s="6" t="n"/>
      <c r="D593" s="11">
        <f>IF(C593="","",IFERROR(INDEX(Levels!$A$2:$A$30,MATCH(C593,Levels!$B$2:$B$30,0)),""))</f>
        <v/>
      </c>
      <c r="E593" s="10">
        <f>IF(B593="","",IFERROR(INDEX(Roster!$A$2:$A$600,MATCH(B593,Roster!$E$2:$E$600,0)),""))</f>
        <v/>
      </c>
      <c r="F593" s="10">
        <f>IF(C593="","",IFERROR(INDEX(Levels!$C$2:$C$30,MATCH(C593,Levels!$B$2:$B$30,0)),""))</f>
        <v/>
      </c>
      <c r="G593" s="6" t="n"/>
      <c r="H593" s="10">
        <f>IF(AND(B593="",C593=""),"",IF(G593&lt;&gt;"","Void",IF(OR(B593="",E593=""),"Needs child",IF(D593="","Needs level","OK"))))</f>
        <v/>
      </c>
    </row>
    <row r="594">
      <c r="A594" s="6" t="n"/>
      <c r="B594" s="6" t="n"/>
      <c r="C594" s="6" t="n"/>
      <c r="D594" s="11">
        <f>IF(C594="","",IFERROR(INDEX(Levels!$A$2:$A$30,MATCH(C594,Levels!$B$2:$B$30,0)),""))</f>
        <v/>
      </c>
      <c r="E594" s="10">
        <f>IF(B594="","",IFERROR(INDEX(Roster!$A$2:$A$600,MATCH(B594,Roster!$E$2:$E$600,0)),""))</f>
        <v/>
      </c>
      <c r="F594" s="10">
        <f>IF(C594="","",IFERROR(INDEX(Levels!$C$2:$C$30,MATCH(C594,Levels!$B$2:$B$30,0)),""))</f>
        <v/>
      </c>
      <c r="G594" s="6" t="n"/>
      <c r="H594" s="10">
        <f>IF(AND(B594="",C594=""),"",IF(G594&lt;&gt;"","Void",IF(OR(B594="",E594=""),"Needs child",IF(D594="","Needs level","OK"))))</f>
        <v/>
      </c>
    </row>
    <row r="595">
      <c r="A595" s="6" t="n"/>
      <c r="B595" s="6" t="n"/>
      <c r="C595" s="6" t="n"/>
      <c r="D595" s="11">
        <f>IF(C595="","",IFERROR(INDEX(Levels!$A$2:$A$30,MATCH(C595,Levels!$B$2:$B$30,0)),""))</f>
        <v/>
      </c>
      <c r="E595" s="10">
        <f>IF(B595="","",IFERROR(INDEX(Roster!$A$2:$A$600,MATCH(B595,Roster!$E$2:$E$600,0)),""))</f>
        <v/>
      </c>
      <c r="F595" s="10">
        <f>IF(C595="","",IFERROR(INDEX(Levels!$C$2:$C$30,MATCH(C595,Levels!$B$2:$B$30,0)),""))</f>
        <v/>
      </c>
      <c r="G595" s="6" t="n"/>
      <c r="H595" s="10">
        <f>IF(AND(B595="",C595=""),"",IF(G595&lt;&gt;"","Void",IF(OR(B595="",E595=""),"Needs child",IF(D595="","Needs level","OK"))))</f>
        <v/>
      </c>
    </row>
    <row r="596">
      <c r="A596" s="6" t="n"/>
      <c r="B596" s="6" t="n"/>
      <c r="C596" s="6" t="n"/>
      <c r="D596" s="11">
        <f>IF(C596="","",IFERROR(INDEX(Levels!$A$2:$A$30,MATCH(C596,Levels!$B$2:$B$30,0)),""))</f>
        <v/>
      </c>
      <c r="E596" s="10">
        <f>IF(B596="","",IFERROR(INDEX(Roster!$A$2:$A$600,MATCH(B596,Roster!$E$2:$E$600,0)),""))</f>
        <v/>
      </c>
      <c r="F596" s="10">
        <f>IF(C596="","",IFERROR(INDEX(Levels!$C$2:$C$30,MATCH(C596,Levels!$B$2:$B$30,0)),""))</f>
        <v/>
      </c>
      <c r="G596" s="6" t="n"/>
      <c r="H596" s="10">
        <f>IF(AND(B596="",C596=""),"",IF(G596&lt;&gt;"","Void",IF(OR(B596="",E596=""),"Needs child",IF(D596="","Needs level","OK"))))</f>
        <v/>
      </c>
    </row>
    <row r="597">
      <c r="A597" s="6" t="n"/>
      <c r="B597" s="6" t="n"/>
      <c r="C597" s="6" t="n"/>
      <c r="D597" s="11">
        <f>IF(C597="","",IFERROR(INDEX(Levels!$A$2:$A$30,MATCH(C597,Levels!$B$2:$B$30,0)),""))</f>
        <v/>
      </c>
      <c r="E597" s="10">
        <f>IF(B597="","",IFERROR(INDEX(Roster!$A$2:$A$600,MATCH(B597,Roster!$E$2:$E$600,0)),""))</f>
        <v/>
      </c>
      <c r="F597" s="10">
        <f>IF(C597="","",IFERROR(INDEX(Levels!$C$2:$C$30,MATCH(C597,Levels!$B$2:$B$30,0)),""))</f>
        <v/>
      </c>
      <c r="G597" s="6" t="n"/>
      <c r="H597" s="10">
        <f>IF(AND(B597="",C597=""),"",IF(G597&lt;&gt;"","Void",IF(OR(B597="",E597=""),"Needs child",IF(D597="","Needs level","OK"))))</f>
        <v/>
      </c>
    </row>
    <row r="598">
      <c r="A598" s="6" t="n"/>
      <c r="B598" s="6" t="n"/>
      <c r="C598" s="6" t="n"/>
      <c r="D598" s="11">
        <f>IF(C598="","",IFERROR(INDEX(Levels!$A$2:$A$30,MATCH(C598,Levels!$B$2:$B$30,0)),""))</f>
        <v/>
      </c>
      <c r="E598" s="10">
        <f>IF(B598="","",IFERROR(INDEX(Roster!$A$2:$A$600,MATCH(B598,Roster!$E$2:$E$600,0)),""))</f>
        <v/>
      </c>
      <c r="F598" s="10">
        <f>IF(C598="","",IFERROR(INDEX(Levels!$C$2:$C$30,MATCH(C598,Levels!$B$2:$B$30,0)),""))</f>
        <v/>
      </c>
      <c r="G598" s="6" t="n"/>
      <c r="H598" s="10">
        <f>IF(AND(B598="",C598=""),"",IF(G598&lt;&gt;"","Void",IF(OR(B598="",E598=""),"Needs child",IF(D598="","Needs level","OK"))))</f>
        <v/>
      </c>
    </row>
    <row r="599">
      <c r="A599" s="6" t="n"/>
      <c r="B599" s="6" t="n"/>
      <c r="C599" s="6" t="n"/>
      <c r="D599" s="11">
        <f>IF(C599="","",IFERROR(INDEX(Levels!$A$2:$A$30,MATCH(C599,Levels!$B$2:$B$30,0)),""))</f>
        <v/>
      </c>
      <c r="E599" s="10">
        <f>IF(B599="","",IFERROR(INDEX(Roster!$A$2:$A$600,MATCH(B599,Roster!$E$2:$E$600,0)),""))</f>
        <v/>
      </c>
      <c r="F599" s="10">
        <f>IF(C599="","",IFERROR(INDEX(Levels!$C$2:$C$30,MATCH(C599,Levels!$B$2:$B$30,0)),""))</f>
        <v/>
      </c>
      <c r="G599" s="6" t="n"/>
      <c r="H599" s="10">
        <f>IF(AND(B599="",C599=""),"",IF(G599&lt;&gt;"","Void",IF(OR(B599="",E599=""),"Needs child",IF(D599="","Needs level","OK"))))</f>
        <v/>
      </c>
    </row>
    <row r="600">
      <c r="A600" s="6" t="n"/>
      <c r="B600" s="6" t="n"/>
      <c r="C600" s="6" t="n"/>
      <c r="D600" s="11">
        <f>IF(C600="","",IFERROR(INDEX(Levels!$A$2:$A$30,MATCH(C600,Levels!$B$2:$B$30,0)),""))</f>
        <v/>
      </c>
      <c r="E600" s="10">
        <f>IF(B600="","",IFERROR(INDEX(Roster!$A$2:$A$600,MATCH(B600,Roster!$E$2:$E$600,0)),""))</f>
        <v/>
      </c>
      <c r="F600" s="10">
        <f>IF(C600="","",IFERROR(INDEX(Levels!$C$2:$C$30,MATCH(C600,Levels!$B$2:$B$30,0)),""))</f>
        <v/>
      </c>
      <c r="G600" s="6" t="n"/>
      <c r="H600" s="10">
        <f>IF(AND(B600="",C600=""),"",IF(G600&lt;&gt;"","Void",IF(OR(B600="",E600=""),"Needs child",IF(D600="","Needs level","OK"))))</f>
        <v/>
      </c>
    </row>
    <row r="601">
      <c r="A601" s="6" t="n"/>
      <c r="B601" s="6" t="n"/>
      <c r="C601" s="6" t="n"/>
      <c r="D601" s="11">
        <f>IF(C601="","",IFERROR(INDEX(Levels!$A$2:$A$30,MATCH(C601,Levels!$B$2:$B$30,0)),""))</f>
        <v/>
      </c>
      <c r="E601" s="10">
        <f>IF(B601="","",IFERROR(INDEX(Roster!$A$2:$A$600,MATCH(B601,Roster!$E$2:$E$600,0)),""))</f>
        <v/>
      </c>
      <c r="F601" s="10">
        <f>IF(C601="","",IFERROR(INDEX(Levels!$C$2:$C$30,MATCH(C601,Levels!$B$2:$B$30,0)),""))</f>
        <v/>
      </c>
      <c r="G601" s="6" t="n"/>
      <c r="H601" s="10">
        <f>IF(AND(B601="",C601=""),"",IF(G601&lt;&gt;"","Void",IF(OR(B601="",E601=""),"Needs child",IF(D601="","Needs level","OK"))))</f>
        <v/>
      </c>
    </row>
    <row r="602">
      <c r="A602" s="6" t="n"/>
      <c r="B602" s="6" t="n"/>
      <c r="C602" s="6" t="n"/>
      <c r="D602" s="11">
        <f>IF(C602="","",IFERROR(INDEX(Levels!$A$2:$A$30,MATCH(C602,Levels!$B$2:$B$30,0)),""))</f>
        <v/>
      </c>
      <c r="E602" s="10">
        <f>IF(B602="","",IFERROR(INDEX(Roster!$A$2:$A$600,MATCH(B602,Roster!$E$2:$E$600,0)),""))</f>
        <v/>
      </c>
      <c r="F602" s="10">
        <f>IF(C602="","",IFERROR(INDEX(Levels!$C$2:$C$30,MATCH(C602,Levels!$B$2:$B$30,0)),""))</f>
        <v/>
      </c>
      <c r="G602" s="6" t="n"/>
      <c r="H602" s="10">
        <f>IF(AND(B602="",C602=""),"",IF(G602&lt;&gt;"","Void",IF(OR(B602="",E602=""),"Needs child",IF(D602="","Needs level","OK"))))</f>
        <v/>
      </c>
    </row>
    <row r="603">
      <c r="A603" s="6" t="n"/>
      <c r="B603" s="6" t="n"/>
      <c r="C603" s="6" t="n"/>
      <c r="D603" s="11">
        <f>IF(C603="","",IFERROR(INDEX(Levels!$A$2:$A$30,MATCH(C603,Levels!$B$2:$B$30,0)),""))</f>
        <v/>
      </c>
      <c r="E603" s="10">
        <f>IF(B603="","",IFERROR(INDEX(Roster!$A$2:$A$600,MATCH(B603,Roster!$E$2:$E$600,0)),""))</f>
        <v/>
      </c>
      <c r="F603" s="10">
        <f>IF(C603="","",IFERROR(INDEX(Levels!$C$2:$C$30,MATCH(C603,Levels!$B$2:$B$30,0)),""))</f>
        <v/>
      </c>
      <c r="G603" s="6" t="n"/>
      <c r="H603" s="10">
        <f>IF(AND(B603="",C603=""),"",IF(G603&lt;&gt;"","Void",IF(OR(B603="",E603=""),"Needs child",IF(D603="","Needs level","OK"))))</f>
        <v/>
      </c>
    </row>
    <row r="604">
      <c r="A604" s="6" t="n"/>
      <c r="B604" s="6" t="n"/>
      <c r="C604" s="6" t="n"/>
      <c r="D604" s="11">
        <f>IF(C604="","",IFERROR(INDEX(Levels!$A$2:$A$30,MATCH(C604,Levels!$B$2:$B$30,0)),""))</f>
        <v/>
      </c>
      <c r="E604" s="10">
        <f>IF(B604="","",IFERROR(INDEX(Roster!$A$2:$A$600,MATCH(B604,Roster!$E$2:$E$600,0)),""))</f>
        <v/>
      </c>
      <c r="F604" s="10">
        <f>IF(C604="","",IFERROR(INDEX(Levels!$C$2:$C$30,MATCH(C604,Levels!$B$2:$B$30,0)),""))</f>
        <v/>
      </c>
      <c r="G604" s="6" t="n"/>
      <c r="H604" s="10">
        <f>IF(AND(B604="",C604=""),"",IF(G604&lt;&gt;"","Void",IF(OR(B604="",E604=""),"Needs child",IF(D604="","Needs level","OK"))))</f>
        <v/>
      </c>
    </row>
    <row r="605">
      <c r="A605" s="6" t="n"/>
      <c r="B605" s="6" t="n"/>
      <c r="C605" s="6" t="n"/>
      <c r="D605" s="11">
        <f>IF(C605="","",IFERROR(INDEX(Levels!$A$2:$A$30,MATCH(C605,Levels!$B$2:$B$30,0)),""))</f>
        <v/>
      </c>
      <c r="E605" s="10">
        <f>IF(B605="","",IFERROR(INDEX(Roster!$A$2:$A$600,MATCH(B605,Roster!$E$2:$E$600,0)),""))</f>
        <v/>
      </c>
      <c r="F605" s="10">
        <f>IF(C605="","",IFERROR(INDEX(Levels!$C$2:$C$30,MATCH(C605,Levels!$B$2:$B$30,0)),""))</f>
        <v/>
      </c>
      <c r="G605" s="6" t="n"/>
      <c r="H605" s="10">
        <f>IF(AND(B605="",C605=""),"",IF(G605&lt;&gt;"","Void",IF(OR(B605="",E605=""),"Needs child",IF(D605="","Needs level","OK"))))</f>
        <v/>
      </c>
    </row>
    <row r="606">
      <c r="A606" s="6" t="n"/>
      <c r="B606" s="6" t="n"/>
      <c r="C606" s="6" t="n"/>
      <c r="D606" s="11">
        <f>IF(C606="","",IFERROR(INDEX(Levels!$A$2:$A$30,MATCH(C606,Levels!$B$2:$B$30,0)),""))</f>
        <v/>
      </c>
      <c r="E606" s="10">
        <f>IF(B606="","",IFERROR(INDEX(Roster!$A$2:$A$600,MATCH(B606,Roster!$E$2:$E$600,0)),""))</f>
        <v/>
      </c>
      <c r="F606" s="10">
        <f>IF(C606="","",IFERROR(INDEX(Levels!$C$2:$C$30,MATCH(C606,Levels!$B$2:$B$30,0)),""))</f>
        <v/>
      </c>
      <c r="G606" s="6" t="n"/>
      <c r="H606" s="10">
        <f>IF(AND(B606="",C606=""),"",IF(G606&lt;&gt;"","Void",IF(OR(B606="",E606=""),"Needs child",IF(D606="","Needs level","OK"))))</f>
        <v/>
      </c>
    </row>
    <row r="607">
      <c r="A607" s="6" t="n"/>
      <c r="B607" s="6" t="n"/>
      <c r="C607" s="6" t="n"/>
      <c r="D607" s="11">
        <f>IF(C607="","",IFERROR(INDEX(Levels!$A$2:$A$30,MATCH(C607,Levels!$B$2:$B$30,0)),""))</f>
        <v/>
      </c>
      <c r="E607" s="10">
        <f>IF(B607="","",IFERROR(INDEX(Roster!$A$2:$A$600,MATCH(B607,Roster!$E$2:$E$600,0)),""))</f>
        <v/>
      </c>
      <c r="F607" s="10">
        <f>IF(C607="","",IFERROR(INDEX(Levels!$C$2:$C$30,MATCH(C607,Levels!$B$2:$B$30,0)),""))</f>
        <v/>
      </c>
      <c r="G607" s="6" t="n"/>
      <c r="H607" s="10">
        <f>IF(AND(B607="",C607=""),"",IF(G607&lt;&gt;"","Void",IF(OR(B607="",E607=""),"Needs child",IF(D607="","Needs level","OK"))))</f>
        <v/>
      </c>
    </row>
    <row r="608">
      <c r="A608" s="6" t="n"/>
      <c r="B608" s="6" t="n"/>
      <c r="C608" s="6" t="n"/>
      <c r="D608" s="11">
        <f>IF(C608="","",IFERROR(INDEX(Levels!$A$2:$A$30,MATCH(C608,Levels!$B$2:$B$30,0)),""))</f>
        <v/>
      </c>
      <c r="E608" s="10">
        <f>IF(B608="","",IFERROR(INDEX(Roster!$A$2:$A$600,MATCH(B608,Roster!$E$2:$E$600,0)),""))</f>
        <v/>
      </c>
      <c r="F608" s="10">
        <f>IF(C608="","",IFERROR(INDEX(Levels!$C$2:$C$30,MATCH(C608,Levels!$B$2:$B$30,0)),""))</f>
        <v/>
      </c>
      <c r="G608" s="6" t="n"/>
      <c r="H608" s="10">
        <f>IF(AND(B608="",C608=""),"",IF(G608&lt;&gt;"","Void",IF(OR(B608="",E608=""),"Needs child",IF(D608="","Needs level","OK"))))</f>
        <v/>
      </c>
    </row>
    <row r="609">
      <c r="A609" s="6" t="n"/>
      <c r="B609" s="6" t="n"/>
      <c r="C609" s="6" t="n"/>
      <c r="D609" s="11">
        <f>IF(C609="","",IFERROR(INDEX(Levels!$A$2:$A$30,MATCH(C609,Levels!$B$2:$B$30,0)),""))</f>
        <v/>
      </c>
      <c r="E609" s="10">
        <f>IF(B609="","",IFERROR(INDEX(Roster!$A$2:$A$600,MATCH(B609,Roster!$E$2:$E$600,0)),""))</f>
        <v/>
      </c>
      <c r="F609" s="10">
        <f>IF(C609="","",IFERROR(INDEX(Levels!$C$2:$C$30,MATCH(C609,Levels!$B$2:$B$30,0)),""))</f>
        <v/>
      </c>
      <c r="G609" s="6" t="n"/>
      <c r="H609" s="10">
        <f>IF(AND(B609="",C609=""),"",IF(G609&lt;&gt;"","Void",IF(OR(B609="",E609=""),"Needs child",IF(D609="","Needs level","OK"))))</f>
        <v/>
      </c>
    </row>
    <row r="610">
      <c r="A610" s="6" t="n"/>
      <c r="B610" s="6" t="n"/>
      <c r="C610" s="6" t="n"/>
      <c r="D610" s="11">
        <f>IF(C610="","",IFERROR(INDEX(Levels!$A$2:$A$30,MATCH(C610,Levels!$B$2:$B$30,0)),""))</f>
        <v/>
      </c>
      <c r="E610" s="10">
        <f>IF(B610="","",IFERROR(INDEX(Roster!$A$2:$A$600,MATCH(B610,Roster!$E$2:$E$600,0)),""))</f>
        <v/>
      </c>
      <c r="F610" s="10">
        <f>IF(C610="","",IFERROR(INDEX(Levels!$C$2:$C$30,MATCH(C610,Levels!$B$2:$B$30,0)),""))</f>
        <v/>
      </c>
      <c r="G610" s="6" t="n"/>
      <c r="H610" s="10">
        <f>IF(AND(B610="",C610=""),"",IF(G610&lt;&gt;"","Void",IF(OR(B610="",E610=""),"Needs child",IF(D610="","Needs level","OK"))))</f>
        <v/>
      </c>
    </row>
    <row r="611">
      <c r="A611" s="6" t="n"/>
      <c r="B611" s="6" t="n"/>
      <c r="C611" s="6" t="n"/>
      <c r="D611" s="11">
        <f>IF(C611="","",IFERROR(INDEX(Levels!$A$2:$A$30,MATCH(C611,Levels!$B$2:$B$30,0)),""))</f>
        <v/>
      </c>
      <c r="E611" s="10">
        <f>IF(B611="","",IFERROR(INDEX(Roster!$A$2:$A$600,MATCH(B611,Roster!$E$2:$E$600,0)),""))</f>
        <v/>
      </c>
      <c r="F611" s="10">
        <f>IF(C611="","",IFERROR(INDEX(Levels!$C$2:$C$30,MATCH(C611,Levels!$B$2:$B$30,0)),""))</f>
        <v/>
      </c>
      <c r="G611" s="6" t="n"/>
      <c r="H611" s="10">
        <f>IF(AND(B611="",C611=""),"",IF(G611&lt;&gt;"","Void",IF(OR(B611="",E611=""),"Needs child",IF(D611="","Needs level","OK"))))</f>
        <v/>
      </c>
    </row>
    <row r="612">
      <c r="A612" s="6" t="n"/>
      <c r="B612" s="6" t="n"/>
      <c r="C612" s="6" t="n"/>
      <c r="D612" s="11">
        <f>IF(C612="","",IFERROR(INDEX(Levels!$A$2:$A$30,MATCH(C612,Levels!$B$2:$B$30,0)),""))</f>
        <v/>
      </c>
      <c r="E612" s="10">
        <f>IF(B612="","",IFERROR(INDEX(Roster!$A$2:$A$600,MATCH(B612,Roster!$E$2:$E$600,0)),""))</f>
        <v/>
      </c>
      <c r="F612" s="10">
        <f>IF(C612="","",IFERROR(INDEX(Levels!$C$2:$C$30,MATCH(C612,Levels!$B$2:$B$30,0)),""))</f>
        <v/>
      </c>
      <c r="G612" s="6" t="n"/>
      <c r="H612" s="10">
        <f>IF(AND(B612="",C612=""),"",IF(G612&lt;&gt;"","Void",IF(OR(B612="",E612=""),"Needs child",IF(D612="","Needs level","OK"))))</f>
        <v/>
      </c>
    </row>
    <row r="613">
      <c r="A613" s="6" t="n"/>
      <c r="B613" s="6" t="n"/>
      <c r="C613" s="6" t="n"/>
      <c r="D613" s="11">
        <f>IF(C613="","",IFERROR(INDEX(Levels!$A$2:$A$30,MATCH(C613,Levels!$B$2:$B$30,0)),""))</f>
        <v/>
      </c>
      <c r="E613" s="10">
        <f>IF(B613="","",IFERROR(INDEX(Roster!$A$2:$A$600,MATCH(B613,Roster!$E$2:$E$600,0)),""))</f>
        <v/>
      </c>
      <c r="F613" s="10">
        <f>IF(C613="","",IFERROR(INDEX(Levels!$C$2:$C$30,MATCH(C613,Levels!$B$2:$B$30,0)),""))</f>
        <v/>
      </c>
      <c r="G613" s="6" t="n"/>
      <c r="H613" s="10">
        <f>IF(AND(B613="",C613=""),"",IF(G613&lt;&gt;"","Void",IF(OR(B613="",E613=""),"Needs child",IF(D613="","Needs level","OK"))))</f>
        <v/>
      </c>
    </row>
    <row r="614">
      <c r="A614" s="6" t="n"/>
      <c r="B614" s="6" t="n"/>
      <c r="C614" s="6" t="n"/>
      <c r="D614" s="11">
        <f>IF(C614="","",IFERROR(INDEX(Levels!$A$2:$A$30,MATCH(C614,Levels!$B$2:$B$30,0)),""))</f>
        <v/>
      </c>
      <c r="E614" s="10">
        <f>IF(B614="","",IFERROR(INDEX(Roster!$A$2:$A$600,MATCH(B614,Roster!$E$2:$E$600,0)),""))</f>
        <v/>
      </c>
      <c r="F614" s="10">
        <f>IF(C614="","",IFERROR(INDEX(Levels!$C$2:$C$30,MATCH(C614,Levels!$B$2:$B$30,0)),""))</f>
        <v/>
      </c>
      <c r="G614" s="6" t="n"/>
      <c r="H614" s="10">
        <f>IF(AND(B614="",C614=""),"",IF(G614&lt;&gt;"","Void",IF(OR(B614="",E614=""),"Needs child",IF(D614="","Needs level","OK"))))</f>
        <v/>
      </c>
    </row>
    <row r="615">
      <c r="A615" s="6" t="n"/>
      <c r="B615" s="6" t="n"/>
      <c r="C615" s="6" t="n"/>
      <c r="D615" s="11">
        <f>IF(C615="","",IFERROR(INDEX(Levels!$A$2:$A$30,MATCH(C615,Levels!$B$2:$B$30,0)),""))</f>
        <v/>
      </c>
      <c r="E615" s="10">
        <f>IF(B615="","",IFERROR(INDEX(Roster!$A$2:$A$600,MATCH(B615,Roster!$E$2:$E$600,0)),""))</f>
        <v/>
      </c>
      <c r="F615" s="10">
        <f>IF(C615="","",IFERROR(INDEX(Levels!$C$2:$C$30,MATCH(C615,Levels!$B$2:$B$30,0)),""))</f>
        <v/>
      </c>
      <c r="G615" s="6" t="n"/>
      <c r="H615" s="10">
        <f>IF(AND(B615="",C615=""),"",IF(G615&lt;&gt;"","Void",IF(OR(B615="",E615=""),"Needs child",IF(D615="","Needs level","OK"))))</f>
        <v/>
      </c>
    </row>
    <row r="616">
      <c r="A616" s="6" t="n"/>
      <c r="B616" s="6" t="n"/>
      <c r="C616" s="6" t="n"/>
      <c r="D616" s="11">
        <f>IF(C616="","",IFERROR(INDEX(Levels!$A$2:$A$30,MATCH(C616,Levels!$B$2:$B$30,0)),""))</f>
        <v/>
      </c>
      <c r="E616" s="10">
        <f>IF(B616="","",IFERROR(INDEX(Roster!$A$2:$A$600,MATCH(B616,Roster!$E$2:$E$600,0)),""))</f>
        <v/>
      </c>
      <c r="F616" s="10">
        <f>IF(C616="","",IFERROR(INDEX(Levels!$C$2:$C$30,MATCH(C616,Levels!$B$2:$B$30,0)),""))</f>
        <v/>
      </c>
      <c r="G616" s="6" t="n"/>
      <c r="H616" s="10">
        <f>IF(AND(B616="",C616=""),"",IF(G616&lt;&gt;"","Void",IF(OR(B616="",E616=""),"Needs child",IF(D616="","Needs level","OK"))))</f>
        <v/>
      </c>
    </row>
    <row r="617">
      <c r="A617" s="6" t="n"/>
      <c r="B617" s="6" t="n"/>
      <c r="C617" s="6" t="n"/>
      <c r="D617" s="11">
        <f>IF(C617="","",IFERROR(INDEX(Levels!$A$2:$A$30,MATCH(C617,Levels!$B$2:$B$30,0)),""))</f>
        <v/>
      </c>
      <c r="E617" s="10">
        <f>IF(B617="","",IFERROR(INDEX(Roster!$A$2:$A$600,MATCH(B617,Roster!$E$2:$E$600,0)),""))</f>
        <v/>
      </c>
      <c r="F617" s="10">
        <f>IF(C617="","",IFERROR(INDEX(Levels!$C$2:$C$30,MATCH(C617,Levels!$B$2:$B$30,0)),""))</f>
        <v/>
      </c>
      <c r="G617" s="6" t="n"/>
      <c r="H617" s="10">
        <f>IF(AND(B617="",C617=""),"",IF(G617&lt;&gt;"","Void",IF(OR(B617="",E617=""),"Needs child",IF(D617="","Needs level","OK"))))</f>
        <v/>
      </c>
    </row>
    <row r="618">
      <c r="A618" s="6" t="n"/>
      <c r="B618" s="6" t="n"/>
      <c r="C618" s="6" t="n"/>
      <c r="D618" s="11">
        <f>IF(C618="","",IFERROR(INDEX(Levels!$A$2:$A$30,MATCH(C618,Levels!$B$2:$B$30,0)),""))</f>
        <v/>
      </c>
      <c r="E618" s="10">
        <f>IF(B618="","",IFERROR(INDEX(Roster!$A$2:$A$600,MATCH(B618,Roster!$E$2:$E$600,0)),""))</f>
        <v/>
      </c>
      <c r="F618" s="10">
        <f>IF(C618="","",IFERROR(INDEX(Levels!$C$2:$C$30,MATCH(C618,Levels!$B$2:$B$30,0)),""))</f>
        <v/>
      </c>
      <c r="G618" s="6" t="n"/>
      <c r="H618" s="10">
        <f>IF(AND(B618="",C618=""),"",IF(G618&lt;&gt;"","Void",IF(OR(B618="",E618=""),"Needs child",IF(D618="","Needs level","OK"))))</f>
        <v/>
      </c>
    </row>
    <row r="619">
      <c r="A619" s="6" t="n"/>
      <c r="B619" s="6" t="n"/>
      <c r="C619" s="6" t="n"/>
      <c r="D619" s="11">
        <f>IF(C619="","",IFERROR(INDEX(Levels!$A$2:$A$30,MATCH(C619,Levels!$B$2:$B$30,0)),""))</f>
        <v/>
      </c>
      <c r="E619" s="10">
        <f>IF(B619="","",IFERROR(INDEX(Roster!$A$2:$A$600,MATCH(B619,Roster!$E$2:$E$600,0)),""))</f>
        <v/>
      </c>
      <c r="F619" s="10">
        <f>IF(C619="","",IFERROR(INDEX(Levels!$C$2:$C$30,MATCH(C619,Levels!$B$2:$B$30,0)),""))</f>
        <v/>
      </c>
      <c r="G619" s="6" t="n"/>
      <c r="H619" s="10">
        <f>IF(AND(B619="",C619=""),"",IF(G619&lt;&gt;"","Void",IF(OR(B619="",E619=""),"Needs child",IF(D619="","Needs level","OK"))))</f>
        <v/>
      </c>
    </row>
    <row r="620">
      <c r="A620" s="6" t="n"/>
      <c r="B620" s="6" t="n"/>
      <c r="C620" s="6" t="n"/>
      <c r="D620" s="11">
        <f>IF(C620="","",IFERROR(INDEX(Levels!$A$2:$A$30,MATCH(C620,Levels!$B$2:$B$30,0)),""))</f>
        <v/>
      </c>
      <c r="E620" s="10">
        <f>IF(B620="","",IFERROR(INDEX(Roster!$A$2:$A$600,MATCH(B620,Roster!$E$2:$E$600,0)),""))</f>
        <v/>
      </c>
      <c r="F620" s="10">
        <f>IF(C620="","",IFERROR(INDEX(Levels!$C$2:$C$30,MATCH(C620,Levels!$B$2:$B$30,0)),""))</f>
        <v/>
      </c>
      <c r="G620" s="6" t="n"/>
      <c r="H620" s="10">
        <f>IF(AND(B620="",C620=""),"",IF(G620&lt;&gt;"","Void",IF(OR(B620="",E620=""),"Needs child",IF(D620="","Needs level","OK"))))</f>
        <v/>
      </c>
    </row>
    <row r="621">
      <c r="A621" s="6" t="n"/>
      <c r="B621" s="6" t="n"/>
      <c r="C621" s="6" t="n"/>
      <c r="D621" s="11">
        <f>IF(C621="","",IFERROR(INDEX(Levels!$A$2:$A$30,MATCH(C621,Levels!$B$2:$B$30,0)),""))</f>
        <v/>
      </c>
      <c r="E621" s="10">
        <f>IF(B621="","",IFERROR(INDEX(Roster!$A$2:$A$600,MATCH(B621,Roster!$E$2:$E$600,0)),""))</f>
        <v/>
      </c>
      <c r="F621" s="10">
        <f>IF(C621="","",IFERROR(INDEX(Levels!$C$2:$C$30,MATCH(C621,Levels!$B$2:$B$30,0)),""))</f>
        <v/>
      </c>
      <c r="G621" s="6" t="n"/>
      <c r="H621" s="10">
        <f>IF(AND(B621="",C621=""),"",IF(G621&lt;&gt;"","Void",IF(OR(B621="",E621=""),"Needs child",IF(D621="","Needs level","OK"))))</f>
        <v/>
      </c>
    </row>
    <row r="622">
      <c r="A622" s="6" t="n"/>
      <c r="B622" s="6" t="n"/>
      <c r="C622" s="6" t="n"/>
      <c r="D622" s="11">
        <f>IF(C622="","",IFERROR(INDEX(Levels!$A$2:$A$30,MATCH(C622,Levels!$B$2:$B$30,0)),""))</f>
        <v/>
      </c>
      <c r="E622" s="10">
        <f>IF(B622="","",IFERROR(INDEX(Roster!$A$2:$A$600,MATCH(B622,Roster!$E$2:$E$600,0)),""))</f>
        <v/>
      </c>
      <c r="F622" s="10">
        <f>IF(C622="","",IFERROR(INDEX(Levels!$C$2:$C$30,MATCH(C622,Levels!$B$2:$B$30,0)),""))</f>
        <v/>
      </c>
      <c r="G622" s="6" t="n"/>
      <c r="H622" s="10">
        <f>IF(AND(B622="",C622=""),"",IF(G622&lt;&gt;"","Void",IF(OR(B622="",E622=""),"Needs child",IF(D622="","Needs level","OK"))))</f>
        <v/>
      </c>
    </row>
    <row r="623">
      <c r="A623" s="6" t="n"/>
      <c r="B623" s="6" t="n"/>
      <c r="C623" s="6" t="n"/>
      <c r="D623" s="11">
        <f>IF(C623="","",IFERROR(INDEX(Levels!$A$2:$A$30,MATCH(C623,Levels!$B$2:$B$30,0)),""))</f>
        <v/>
      </c>
      <c r="E623" s="10">
        <f>IF(B623="","",IFERROR(INDEX(Roster!$A$2:$A$600,MATCH(B623,Roster!$E$2:$E$600,0)),""))</f>
        <v/>
      </c>
      <c r="F623" s="10">
        <f>IF(C623="","",IFERROR(INDEX(Levels!$C$2:$C$30,MATCH(C623,Levels!$B$2:$B$30,0)),""))</f>
        <v/>
      </c>
      <c r="G623" s="6" t="n"/>
      <c r="H623" s="10">
        <f>IF(AND(B623="",C623=""),"",IF(G623&lt;&gt;"","Void",IF(OR(B623="",E623=""),"Needs child",IF(D623="","Needs level","OK"))))</f>
        <v/>
      </c>
    </row>
    <row r="624">
      <c r="A624" s="6" t="n"/>
      <c r="B624" s="6" t="n"/>
      <c r="C624" s="6" t="n"/>
      <c r="D624" s="11">
        <f>IF(C624="","",IFERROR(INDEX(Levels!$A$2:$A$30,MATCH(C624,Levels!$B$2:$B$30,0)),""))</f>
        <v/>
      </c>
      <c r="E624" s="10">
        <f>IF(B624="","",IFERROR(INDEX(Roster!$A$2:$A$600,MATCH(B624,Roster!$E$2:$E$600,0)),""))</f>
        <v/>
      </c>
      <c r="F624" s="10">
        <f>IF(C624="","",IFERROR(INDEX(Levels!$C$2:$C$30,MATCH(C624,Levels!$B$2:$B$30,0)),""))</f>
        <v/>
      </c>
      <c r="G624" s="6" t="n"/>
      <c r="H624" s="10">
        <f>IF(AND(B624="",C624=""),"",IF(G624&lt;&gt;"","Void",IF(OR(B624="",E624=""),"Needs child",IF(D624="","Needs level","OK"))))</f>
        <v/>
      </c>
    </row>
    <row r="625">
      <c r="A625" s="6" t="n"/>
      <c r="B625" s="6" t="n"/>
      <c r="C625" s="6" t="n"/>
      <c r="D625" s="11">
        <f>IF(C625="","",IFERROR(INDEX(Levels!$A$2:$A$30,MATCH(C625,Levels!$B$2:$B$30,0)),""))</f>
        <v/>
      </c>
      <c r="E625" s="10">
        <f>IF(B625="","",IFERROR(INDEX(Roster!$A$2:$A$600,MATCH(B625,Roster!$E$2:$E$600,0)),""))</f>
        <v/>
      </c>
      <c r="F625" s="10">
        <f>IF(C625="","",IFERROR(INDEX(Levels!$C$2:$C$30,MATCH(C625,Levels!$B$2:$B$30,0)),""))</f>
        <v/>
      </c>
      <c r="G625" s="6" t="n"/>
      <c r="H625" s="10">
        <f>IF(AND(B625="",C625=""),"",IF(G625&lt;&gt;"","Void",IF(OR(B625="",E625=""),"Needs child",IF(D625="","Needs level","OK"))))</f>
        <v/>
      </c>
    </row>
    <row r="626">
      <c r="A626" s="6" t="n"/>
      <c r="B626" s="6" t="n"/>
      <c r="C626" s="6" t="n"/>
      <c r="D626" s="11">
        <f>IF(C626="","",IFERROR(INDEX(Levels!$A$2:$A$30,MATCH(C626,Levels!$B$2:$B$30,0)),""))</f>
        <v/>
      </c>
      <c r="E626" s="10">
        <f>IF(B626="","",IFERROR(INDEX(Roster!$A$2:$A$600,MATCH(B626,Roster!$E$2:$E$600,0)),""))</f>
        <v/>
      </c>
      <c r="F626" s="10">
        <f>IF(C626="","",IFERROR(INDEX(Levels!$C$2:$C$30,MATCH(C626,Levels!$B$2:$B$30,0)),""))</f>
        <v/>
      </c>
      <c r="G626" s="6" t="n"/>
      <c r="H626" s="10">
        <f>IF(AND(B626="",C626=""),"",IF(G626&lt;&gt;"","Void",IF(OR(B626="",E626=""),"Needs child",IF(D626="","Needs level","OK"))))</f>
        <v/>
      </c>
    </row>
    <row r="627">
      <c r="A627" s="6" t="n"/>
      <c r="B627" s="6" t="n"/>
      <c r="C627" s="6" t="n"/>
      <c r="D627" s="11">
        <f>IF(C627="","",IFERROR(INDEX(Levels!$A$2:$A$30,MATCH(C627,Levels!$B$2:$B$30,0)),""))</f>
        <v/>
      </c>
      <c r="E627" s="10">
        <f>IF(B627="","",IFERROR(INDEX(Roster!$A$2:$A$600,MATCH(B627,Roster!$E$2:$E$600,0)),""))</f>
        <v/>
      </c>
      <c r="F627" s="10">
        <f>IF(C627="","",IFERROR(INDEX(Levels!$C$2:$C$30,MATCH(C627,Levels!$B$2:$B$30,0)),""))</f>
        <v/>
      </c>
      <c r="G627" s="6" t="n"/>
      <c r="H627" s="10">
        <f>IF(AND(B627="",C627=""),"",IF(G627&lt;&gt;"","Void",IF(OR(B627="",E627=""),"Needs child",IF(D627="","Needs level","OK"))))</f>
        <v/>
      </c>
    </row>
    <row r="628">
      <c r="A628" s="6" t="n"/>
      <c r="B628" s="6" t="n"/>
      <c r="C628" s="6" t="n"/>
      <c r="D628" s="11">
        <f>IF(C628="","",IFERROR(INDEX(Levels!$A$2:$A$30,MATCH(C628,Levels!$B$2:$B$30,0)),""))</f>
        <v/>
      </c>
      <c r="E628" s="10">
        <f>IF(B628="","",IFERROR(INDEX(Roster!$A$2:$A$600,MATCH(B628,Roster!$E$2:$E$600,0)),""))</f>
        <v/>
      </c>
      <c r="F628" s="10">
        <f>IF(C628="","",IFERROR(INDEX(Levels!$C$2:$C$30,MATCH(C628,Levels!$B$2:$B$30,0)),""))</f>
        <v/>
      </c>
      <c r="G628" s="6" t="n"/>
      <c r="H628" s="10">
        <f>IF(AND(B628="",C628=""),"",IF(G628&lt;&gt;"","Void",IF(OR(B628="",E628=""),"Needs child",IF(D628="","Needs level","OK"))))</f>
        <v/>
      </c>
    </row>
    <row r="629">
      <c r="A629" s="6" t="n"/>
      <c r="B629" s="6" t="n"/>
      <c r="C629" s="6" t="n"/>
      <c r="D629" s="11">
        <f>IF(C629="","",IFERROR(INDEX(Levels!$A$2:$A$30,MATCH(C629,Levels!$B$2:$B$30,0)),""))</f>
        <v/>
      </c>
      <c r="E629" s="10">
        <f>IF(B629="","",IFERROR(INDEX(Roster!$A$2:$A$600,MATCH(B629,Roster!$E$2:$E$600,0)),""))</f>
        <v/>
      </c>
      <c r="F629" s="10">
        <f>IF(C629="","",IFERROR(INDEX(Levels!$C$2:$C$30,MATCH(C629,Levels!$B$2:$B$30,0)),""))</f>
        <v/>
      </c>
      <c r="G629" s="6" t="n"/>
      <c r="H629" s="10">
        <f>IF(AND(B629="",C629=""),"",IF(G629&lt;&gt;"","Void",IF(OR(B629="",E629=""),"Needs child",IF(D629="","Needs level","OK"))))</f>
        <v/>
      </c>
    </row>
    <row r="630">
      <c r="A630" s="6" t="n"/>
      <c r="B630" s="6" t="n"/>
      <c r="C630" s="6" t="n"/>
      <c r="D630" s="11">
        <f>IF(C630="","",IFERROR(INDEX(Levels!$A$2:$A$30,MATCH(C630,Levels!$B$2:$B$30,0)),""))</f>
        <v/>
      </c>
      <c r="E630" s="10">
        <f>IF(B630="","",IFERROR(INDEX(Roster!$A$2:$A$600,MATCH(B630,Roster!$E$2:$E$600,0)),""))</f>
        <v/>
      </c>
      <c r="F630" s="10">
        <f>IF(C630="","",IFERROR(INDEX(Levels!$C$2:$C$30,MATCH(C630,Levels!$B$2:$B$30,0)),""))</f>
        <v/>
      </c>
      <c r="G630" s="6" t="n"/>
      <c r="H630" s="10">
        <f>IF(AND(B630="",C630=""),"",IF(G630&lt;&gt;"","Void",IF(OR(B630="",E630=""),"Needs child",IF(D630="","Needs level","OK"))))</f>
        <v/>
      </c>
    </row>
    <row r="631">
      <c r="A631" s="6" t="n"/>
      <c r="B631" s="6" t="n"/>
      <c r="C631" s="6" t="n"/>
      <c r="D631" s="11">
        <f>IF(C631="","",IFERROR(INDEX(Levels!$A$2:$A$30,MATCH(C631,Levels!$B$2:$B$30,0)),""))</f>
        <v/>
      </c>
      <c r="E631" s="10">
        <f>IF(B631="","",IFERROR(INDEX(Roster!$A$2:$A$600,MATCH(B631,Roster!$E$2:$E$600,0)),""))</f>
        <v/>
      </c>
      <c r="F631" s="10">
        <f>IF(C631="","",IFERROR(INDEX(Levels!$C$2:$C$30,MATCH(C631,Levels!$B$2:$B$30,0)),""))</f>
        <v/>
      </c>
      <c r="G631" s="6" t="n"/>
      <c r="H631" s="10">
        <f>IF(AND(B631="",C631=""),"",IF(G631&lt;&gt;"","Void",IF(OR(B631="",E631=""),"Needs child",IF(D631="","Needs level","OK"))))</f>
        <v/>
      </c>
    </row>
    <row r="632">
      <c r="A632" s="6" t="n"/>
      <c r="B632" s="6" t="n"/>
      <c r="C632" s="6" t="n"/>
      <c r="D632" s="11">
        <f>IF(C632="","",IFERROR(INDEX(Levels!$A$2:$A$30,MATCH(C632,Levels!$B$2:$B$30,0)),""))</f>
        <v/>
      </c>
      <c r="E632" s="10">
        <f>IF(B632="","",IFERROR(INDEX(Roster!$A$2:$A$600,MATCH(B632,Roster!$E$2:$E$600,0)),""))</f>
        <v/>
      </c>
      <c r="F632" s="10">
        <f>IF(C632="","",IFERROR(INDEX(Levels!$C$2:$C$30,MATCH(C632,Levels!$B$2:$B$30,0)),""))</f>
        <v/>
      </c>
      <c r="G632" s="6" t="n"/>
      <c r="H632" s="10">
        <f>IF(AND(B632="",C632=""),"",IF(G632&lt;&gt;"","Void",IF(OR(B632="",E632=""),"Needs child",IF(D632="","Needs level","OK"))))</f>
        <v/>
      </c>
    </row>
    <row r="633">
      <c r="A633" s="6" t="n"/>
      <c r="B633" s="6" t="n"/>
      <c r="C633" s="6" t="n"/>
      <c r="D633" s="11">
        <f>IF(C633="","",IFERROR(INDEX(Levels!$A$2:$A$30,MATCH(C633,Levels!$B$2:$B$30,0)),""))</f>
        <v/>
      </c>
      <c r="E633" s="10">
        <f>IF(B633="","",IFERROR(INDEX(Roster!$A$2:$A$600,MATCH(B633,Roster!$E$2:$E$600,0)),""))</f>
        <v/>
      </c>
      <c r="F633" s="10">
        <f>IF(C633="","",IFERROR(INDEX(Levels!$C$2:$C$30,MATCH(C633,Levels!$B$2:$B$30,0)),""))</f>
        <v/>
      </c>
      <c r="G633" s="6" t="n"/>
      <c r="H633" s="10">
        <f>IF(AND(B633="",C633=""),"",IF(G633&lt;&gt;"","Void",IF(OR(B633="",E633=""),"Needs child",IF(D633="","Needs level","OK"))))</f>
        <v/>
      </c>
    </row>
    <row r="634">
      <c r="A634" s="6" t="n"/>
      <c r="B634" s="6" t="n"/>
      <c r="C634" s="6" t="n"/>
      <c r="D634" s="11">
        <f>IF(C634="","",IFERROR(INDEX(Levels!$A$2:$A$30,MATCH(C634,Levels!$B$2:$B$30,0)),""))</f>
        <v/>
      </c>
      <c r="E634" s="10">
        <f>IF(B634="","",IFERROR(INDEX(Roster!$A$2:$A$600,MATCH(B634,Roster!$E$2:$E$600,0)),""))</f>
        <v/>
      </c>
      <c r="F634" s="10">
        <f>IF(C634="","",IFERROR(INDEX(Levels!$C$2:$C$30,MATCH(C634,Levels!$B$2:$B$30,0)),""))</f>
        <v/>
      </c>
      <c r="G634" s="6" t="n"/>
      <c r="H634" s="10">
        <f>IF(AND(B634="",C634=""),"",IF(G634&lt;&gt;"","Void",IF(OR(B634="",E634=""),"Needs child",IF(D634="","Needs level","OK"))))</f>
        <v/>
      </c>
    </row>
    <row r="635">
      <c r="A635" s="6" t="n"/>
      <c r="B635" s="6" t="n"/>
      <c r="C635" s="6" t="n"/>
      <c r="D635" s="11">
        <f>IF(C635="","",IFERROR(INDEX(Levels!$A$2:$A$30,MATCH(C635,Levels!$B$2:$B$30,0)),""))</f>
        <v/>
      </c>
      <c r="E635" s="10">
        <f>IF(B635="","",IFERROR(INDEX(Roster!$A$2:$A$600,MATCH(B635,Roster!$E$2:$E$600,0)),""))</f>
        <v/>
      </c>
      <c r="F635" s="10">
        <f>IF(C635="","",IFERROR(INDEX(Levels!$C$2:$C$30,MATCH(C635,Levels!$B$2:$B$30,0)),""))</f>
        <v/>
      </c>
      <c r="G635" s="6" t="n"/>
      <c r="H635" s="10">
        <f>IF(AND(B635="",C635=""),"",IF(G635&lt;&gt;"","Void",IF(OR(B635="",E635=""),"Needs child",IF(D635="","Needs level","OK"))))</f>
        <v/>
      </c>
    </row>
    <row r="636">
      <c r="A636" s="6" t="n"/>
      <c r="B636" s="6" t="n"/>
      <c r="C636" s="6" t="n"/>
      <c r="D636" s="11">
        <f>IF(C636="","",IFERROR(INDEX(Levels!$A$2:$A$30,MATCH(C636,Levels!$B$2:$B$30,0)),""))</f>
        <v/>
      </c>
      <c r="E636" s="10">
        <f>IF(B636="","",IFERROR(INDEX(Roster!$A$2:$A$600,MATCH(B636,Roster!$E$2:$E$600,0)),""))</f>
        <v/>
      </c>
      <c r="F636" s="10">
        <f>IF(C636="","",IFERROR(INDEX(Levels!$C$2:$C$30,MATCH(C636,Levels!$B$2:$B$30,0)),""))</f>
        <v/>
      </c>
      <c r="G636" s="6" t="n"/>
      <c r="H636" s="10">
        <f>IF(AND(B636="",C636=""),"",IF(G636&lt;&gt;"","Void",IF(OR(B636="",E636=""),"Needs child",IF(D636="","Needs level","OK"))))</f>
        <v/>
      </c>
    </row>
    <row r="637">
      <c r="A637" s="6" t="n"/>
      <c r="B637" s="6" t="n"/>
      <c r="C637" s="6" t="n"/>
      <c r="D637" s="11">
        <f>IF(C637="","",IFERROR(INDEX(Levels!$A$2:$A$30,MATCH(C637,Levels!$B$2:$B$30,0)),""))</f>
        <v/>
      </c>
      <c r="E637" s="10">
        <f>IF(B637="","",IFERROR(INDEX(Roster!$A$2:$A$600,MATCH(B637,Roster!$E$2:$E$600,0)),""))</f>
        <v/>
      </c>
      <c r="F637" s="10">
        <f>IF(C637="","",IFERROR(INDEX(Levels!$C$2:$C$30,MATCH(C637,Levels!$B$2:$B$30,0)),""))</f>
        <v/>
      </c>
      <c r="G637" s="6" t="n"/>
      <c r="H637" s="10">
        <f>IF(AND(B637="",C637=""),"",IF(G637&lt;&gt;"","Void",IF(OR(B637="",E637=""),"Needs child",IF(D637="","Needs level","OK"))))</f>
        <v/>
      </c>
    </row>
    <row r="638">
      <c r="A638" s="6" t="n"/>
      <c r="B638" s="6" t="n"/>
      <c r="C638" s="6" t="n"/>
      <c r="D638" s="11">
        <f>IF(C638="","",IFERROR(INDEX(Levels!$A$2:$A$30,MATCH(C638,Levels!$B$2:$B$30,0)),""))</f>
        <v/>
      </c>
      <c r="E638" s="10">
        <f>IF(B638="","",IFERROR(INDEX(Roster!$A$2:$A$600,MATCH(B638,Roster!$E$2:$E$600,0)),""))</f>
        <v/>
      </c>
      <c r="F638" s="10">
        <f>IF(C638="","",IFERROR(INDEX(Levels!$C$2:$C$30,MATCH(C638,Levels!$B$2:$B$30,0)),""))</f>
        <v/>
      </c>
      <c r="G638" s="6" t="n"/>
      <c r="H638" s="10">
        <f>IF(AND(B638="",C638=""),"",IF(G638&lt;&gt;"","Void",IF(OR(B638="",E638=""),"Needs child",IF(D638="","Needs level","OK"))))</f>
        <v/>
      </c>
    </row>
    <row r="639">
      <c r="A639" s="6" t="n"/>
      <c r="B639" s="6" t="n"/>
      <c r="C639" s="6" t="n"/>
      <c r="D639" s="11">
        <f>IF(C639="","",IFERROR(INDEX(Levels!$A$2:$A$30,MATCH(C639,Levels!$B$2:$B$30,0)),""))</f>
        <v/>
      </c>
      <c r="E639" s="10">
        <f>IF(B639="","",IFERROR(INDEX(Roster!$A$2:$A$600,MATCH(B639,Roster!$E$2:$E$600,0)),""))</f>
        <v/>
      </c>
      <c r="F639" s="10">
        <f>IF(C639="","",IFERROR(INDEX(Levels!$C$2:$C$30,MATCH(C639,Levels!$B$2:$B$30,0)),""))</f>
        <v/>
      </c>
      <c r="G639" s="6" t="n"/>
      <c r="H639" s="10">
        <f>IF(AND(B639="",C639=""),"",IF(G639&lt;&gt;"","Void",IF(OR(B639="",E639=""),"Needs child",IF(D639="","Needs level","OK"))))</f>
        <v/>
      </c>
    </row>
    <row r="640">
      <c r="A640" s="6" t="n"/>
      <c r="B640" s="6" t="n"/>
      <c r="C640" s="6" t="n"/>
      <c r="D640" s="11">
        <f>IF(C640="","",IFERROR(INDEX(Levels!$A$2:$A$30,MATCH(C640,Levels!$B$2:$B$30,0)),""))</f>
        <v/>
      </c>
      <c r="E640" s="10">
        <f>IF(B640="","",IFERROR(INDEX(Roster!$A$2:$A$600,MATCH(B640,Roster!$E$2:$E$600,0)),""))</f>
        <v/>
      </c>
      <c r="F640" s="10">
        <f>IF(C640="","",IFERROR(INDEX(Levels!$C$2:$C$30,MATCH(C640,Levels!$B$2:$B$30,0)),""))</f>
        <v/>
      </c>
      <c r="G640" s="6" t="n"/>
      <c r="H640" s="10">
        <f>IF(AND(B640="",C640=""),"",IF(G640&lt;&gt;"","Void",IF(OR(B640="",E640=""),"Needs child",IF(D640="","Needs level","OK"))))</f>
        <v/>
      </c>
    </row>
    <row r="641">
      <c r="A641" s="6" t="n"/>
      <c r="B641" s="6" t="n"/>
      <c r="C641" s="6" t="n"/>
      <c r="D641" s="11">
        <f>IF(C641="","",IFERROR(INDEX(Levels!$A$2:$A$30,MATCH(C641,Levels!$B$2:$B$30,0)),""))</f>
        <v/>
      </c>
      <c r="E641" s="10">
        <f>IF(B641="","",IFERROR(INDEX(Roster!$A$2:$A$600,MATCH(B641,Roster!$E$2:$E$600,0)),""))</f>
        <v/>
      </c>
      <c r="F641" s="10">
        <f>IF(C641="","",IFERROR(INDEX(Levels!$C$2:$C$30,MATCH(C641,Levels!$B$2:$B$30,0)),""))</f>
        <v/>
      </c>
      <c r="G641" s="6" t="n"/>
      <c r="H641" s="10">
        <f>IF(AND(B641="",C641=""),"",IF(G641&lt;&gt;"","Void",IF(OR(B641="",E641=""),"Needs child",IF(D641="","Needs level","OK"))))</f>
        <v/>
      </c>
    </row>
    <row r="642">
      <c r="A642" s="6" t="n"/>
      <c r="B642" s="6" t="n"/>
      <c r="C642" s="6" t="n"/>
      <c r="D642" s="11">
        <f>IF(C642="","",IFERROR(INDEX(Levels!$A$2:$A$30,MATCH(C642,Levels!$B$2:$B$30,0)),""))</f>
        <v/>
      </c>
      <c r="E642" s="10">
        <f>IF(B642="","",IFERROR(INDEX(Roster!$A$2:$A$600,MATCH(B642,Roster!$E$2:$E$600,0)),""))</f>
        <v/>
      </c>
      <c r="F642" s="10">
        <f>IF(C642="","",IFERROR(INDEX(Levels!$C$2:$C$30,MATCH(C642,Levels!$B$2:$B$30,0)),""))</f>
        <v/>
      </c>
      <c r="G642" s="6" t="n"/>
      <c r="H642" s="10">
        <f>IF(AND(B642="",C642=""),"",IF(G642&lt;&gt;"","Void",IF(OR(B642="",E642=""),"Needs child",IF(D642="","Needs level","OK"))))</f>
        <v/>
      </c>
    </row>
    <row r="643">
      <c r="A643" s="6" t="n"/>
      <c r="B643" s="6" t="n"/>
      <c r="C643" s="6" t="n"/>
      <c r="D643" s="11">
        <f>IF(C643="","",IFERROR(INDEX(Levels!$A$2:$A$30,MATCH(C643,Levels!$B$2:$B$30,0)),""))</f>
        <v/>
      </c>
      <c r="E643" s="10">
        <f>IF(B643="","",IFERROR(INDEX(Roster!$A$2:$A$600,MATCH(B643,Roster!$E$2:$E$600,0)),""))</f>
        <v/>
      </c>
      <c r="F643" s="10">
        <f>IF(C643="","",IFERROR(INDEX(Levels!$C$2:$C$30,MATCH(C643,Levels!$B$2:$B$30,0)),""))</f>
        <v/>
      </c>
      <c r="G643" s="6" t="n"/>
      <c r="H643" s="10">
        <f>IF(AND(B643="",C643=""),"",IF(G643&lt;&gt;"","Void",IF(OR(B643="",E643=""),"Needs child",IF(D643="","Needs level","OK"))))</f>
        <v/>
      </c>
    </row>
    <row r="644">
      <c r="A644" s="6" t="n"/>
      <c r="B644" s="6" t="n"/>
      <c r="C644" s="6" t="n"/>
      <c r="D644" s="11">
        <f>IF(C644="","",IFERROR(INDEX(Levels!$A$2:$A$30,MATCH(C644,Levels!$B$2:$B$30,0)),""))</f>
        <v/>
      </c>
      <c r="E644" s="10">
        <f>IF(B644="","",IFERROR(INDEX(Roster!$A$2:$A$600,MATCH(B644,Roster!$E$2:$E$600,0)),""))</f>
        <v/>
      </c>
      <c r="F644" s="10">
        <f>IF(C644="","",IFERROR(INDEX(Levels!$C$2:$C$30,MATCH(C644,Levels!$B$2:$B$30,0)),""))</f>
        <v/>
      </c>
      <c r="G644" s="6" t="n"/>
      <c r="H644" s="10">
        <f>IF(AND(B644="",C644=""),"",IF(G644&lt;&gt;"","Void",IF(OR(B644="",E644=""),"Needs child",IF(D644="","Needs level","OK"))))</f>
        <v/>
      </c>
    </row>
    <row r="645">
      <c r="A645" s="6" t="n"/>
      <c r="B645" s="6" t="n"/>
      <c r="C645" s="6" t="n"/>
      <c r="D645" s="11">
        <f>IF(C645="","",IFERROR(INDEX(Levels!$A$2:$A$30,MATCH(C645,Levels!$B$2:$B$30,0)),""))</f>
        <v/>
      </c>
      <c r="E645" s="10">
        <f>IF(B645="","",IFERROR(INDEX(Roster!$A$2:$A$600,MATCH(B645,Roster!$E$2:$E$600,0)),""))</f>
        <v/>
      </c>
      <c r="F645" s="10">
        <f>IF(C645="","",IFERROR(INDEX(Levels!$C$2:$C$30,MATCH(C645,Levels!$B$2:$B$30,0)),""))</f>
        <v/>
      </c>
      <c r="G645" s="6" t="n"/>
      <c r="H645" s="10">
        <f>IF(AND(B645="",C645=""),"",IF(G645&lt;&gt;"","Void",IF(OR(B645="",E645=""),"Needs child",IF(D645="","Needs level","OK"))))</f>
        <v/>
      </c>
    </row>
    <row r="646">
      <c r="A646" s="6" t="n"/>
      <c r="B646" s="6" t="n"/>
      <c r="C646" s="6" t="n"/>
      <c r="D646" s="11">
        <f>IF(C646="","",IFERROR(INDEX(Levels!$A$2:$A$30,MATCH(C646,Levels!$B$2:$B$30,0)),""))</f>
        <v/>
      </c>
      <c r="E646" s="10">
        <f>IF(B646="","",IFERROR(INDEX(Roster!$A$2:$A$600,MATCH(B646,Roster!$E$2:$E$600,0)),""))</f>
        <v/>
      </c>
      <c r="F646" s="10">
        <f>IF(C646="","",IFERROR(INDEX(Levels!$C$2:$C$30,MATCH(C646,Levels!$B$2:$B$30,0)),""))</f>
        <v/>
      </c>
      <c r="G646" s="6" t="n"/>
      <c r="H646" s="10">
        <f>IF(AND(B646="",C646=""),"",IF(G646&lt;&gt;"","Void",IF(OR(B646="",E646=""),"Needs child",IF(D646="","Needs level","OK"))))</f>
        <v/>
      </c>
    </row>
    <row r="647">
      <c r="A647" s="6" t="n"/>
      <c r="B647" s="6" t="n"/>
      <c r="C647" s="6" t="n"/>
      <c r="D647" s="11">
        <f>IF(C647="","",IFERROR(INDEX(Levels!$A$2:$A$30,MATCH(C647,Levels!$B$2:$B$30,0)),""))</f>
        <v/>
      </c>
      <c r="E647" s="10">
        <f>IF(B647="","",IFERROR(INDEX(Roster!$A$2:$A$600,MATCH(B647,Roster!$E$2:$E$600,0)),""))</f>
        <v/>
      </c>
      <c r="F647" s="10">
        <f>IF(C647="","",IFERROR(INDEX(Levels!$C$2:$C$30,MATCH(C647,Levels!$B$2:$B$30,0)),""))</f>
        <v/>
      </c>
      <c r="G647" s="6" t="n"/>
      <c r="H647" s="10">
        <f>IF(AND(B647="",C647=""),"",IF(G647&lt;&gt;"","Void",IF(OR(B647="",E647=""),"Needs child",IF(D647="","Needs level","OK"))))</f>
        <v/>
      </c>
    </row>
    <row r="648">
      <c r="A648" s="6" t="n"/>
      <c r="B648" s="6" t="n"/>
      <c r="C648" s="6" t="n"/>
      <c r="D648" s="11">
        <f>IF(C648="","",IFERROR(INDEX(Levels!$A$2:$A$30,MATCH(C648,Levels!$B$2:$B$30,0)),""))</f>
        <v/>
      </c>
      <c r="E648" s="10">
        <f>IF(B648="","",IFERROR(INDEX(Roster!$A$2:$A$600,MATCH(B648,Roster!$E$2:$E$600,0)),""))</f>
        <v/>
      </c>
      <c r="F648" s="10">
        <f>IF(C648="","",IFERROR(INDEX(Levels!$C$2:$C$30,MATCH(C648,Levels!$B$2:$B$30,0)),""))</f>
        <v/>
      </c>
      <c r="G648" s="6" t="n"/>
      <c r="H648" s="10">
        <f>IF(AND(B648="",C648=""),"",IF(G648&lt;&gt;"","Void",IF(OR(B648="",E648=""),"Needs child",IF(D648="","Needs level","OK"))))</f>
        <v/>
      </c>
    </row>
    <row r="649">
      <c r="A649" s="6" t="n"/>
      <c r="B649" s="6" t="n"/>
      <c r="C649" s="6" t="n"/>
      <c r="D649" s="11">
        <f>IF(C649="","",IFERROR(INDEX(Levels!$A$2:$A$30,MATCH(C649,Levels!$B$2:$B$30,0)),""))</f>
        <v/>
      </c>
      <c r="E649" s="10">
        <f>IF(B649="","",IFERROR(INDEX(Roster!$A$2:$A$600,MATCH(B649,Roster!$E$2:$E$600,0)),""))</f>
        <v/>
      </c>
      <c r="F649" s="10">
        <f>IF(C649="","",IFERROR(INDEX(Levels!$C$2:$C$30,MATCH(C649,Levels!$B$2:$B$30,0)),""))</f>
        <v/>
      </c>
      <c r="G649" s="6" t="n"/>
      <c r="H649" s="10">
        <f>IF(AND(B649="",C649=""),"",IF(G649&lt;&gt;"","Void",IF(OR(B649="",E649=""),"Needs child",IF(D649="","Needs level","OK"))))</f>
        <v/>
      </c>
    </row>
    <row r="650">
      <c r="A650" s="6" t="n"/>
      <c r="B650" s="6" t="n"/>
      <c r="C650" s="6" t="n"/>
      <c r="D650" s="11">
        <f>IF(C650="","",IFERROR(INDEX(Levels!$A$2:$A$30,MATCH(C650,Levels!$B$2:$B$30,0)),""))</f>
        <v/>
      </c>
      <c r="E650" s="10">
        <f>IF(B650="","",IFERROR(INDEX(Roster!$A$2:$A$600,MATCH(B650,Roster!$E$2:$E$600,0)),""))</f>
        <v/>
      </c>
      <c r="F650" s="10">
        <f>IF(C650="","",IFERROR(INDEX(Levels!$C$2:$C$30,MATCH(C650,Levels!$B$2:$B$30,0)),""))</f>
        <v/>
      </c>
      <c r="G650" s="6" t="n"/>
      <c r="H650" s="10">
        <f>IF(AND(B650="",C650=""),"",IF(G650&lt;&gt;"","Void",IF(OR(B650="",E650=""),"Needs child",IF(D650="","Needs level","OK"))))</f>
        <v/>
      </c>
    </row>
    <row r="651">
      <c r="A651" s="6" t="n"/>
      <c r="B651" s="6" t="n"/>
      <c r="C651" s="6" t="n"/>
      <c r="D651" s="11">
        <f>IF(C651="","",IFERROR(INDEX(Levels!$A$2:$A$30,MATCH(C651,Levels!$B$2:$B$30,0)),""))</f>
        <v/>
      </c>
      <c r="E651" s="10">
        <f>IF(B651="","",IFERROR(INDEX(Roster!$A$2:$A$600,MATCH(B651,Roster!$E$2:$E$600,0)),""))</f>
        <v/>
      </c>
      <c r="F651" s="10">
        <f>IF(C651="","",IFERROR(INDEX(Levels!$C$2:$C$30,MATCH(C651,Levels!$B$2:$B$30,0)),""))</f>
        <v/>
      </c>
      <c r="G651" s="6" t="n"/>
      <c r="H651" s="10">
        <f>IF(AND(B651="",C651=""),"",IF(G651&lt;&gt;"","Void",IF(OR(B651="",E651=""),"Needs child",IF(D651="","Needs level","OK"))))</f>
        <v/>
      </c>
    </row>
    <row r="652">
      <c r="A652" s="6" t="n"/>
      <c r="B652" s="6" t="n"/>
      <c r="C652" s="6" t="n"/>
      <c r="D652" s="11">
        <f>IF(C652="","",IFERROR(INDEX(Levels!$A$2:$A$30,MATCH(C652,Levels!$B$2:$B$30,0)),""))</f>
        <v/>
      </c>
      <c r="E652" s="10">
        <f>IF(B652="","",IFERROR(INDEX(Roster!$A$2:$A$600,MATCH(B652,Roster!$E$2:$E$600,0)),""))</f>
        <v/>
      </c>
      <c r="F652" s="10">
        <f>IF(C652="","",IFERROR(INDEX(Levels!$C$2:$C$30,MATCH(C652,Levels!$B$2:$B$30,0)),""))</f>
        <v/>
      </c>
      <c r="G652" s="6" t="n"/>
      <c r="H652" s="10">
        <f>IF(AND(B652="",C652=""),"",IF(G652&lt;&gt;"","Void",IF(OR(B652="",E652=""),"Needs child",IF(D652="","Needs level","OK"))))</f>
        <v/>
      </c>
    </row>
    <row r="653">
      <c r="A653" s="6" t="n"/>
      <c r="B653" s="6" t="n"/>
      <c r="C653" s="6" t="n"/>
      <c r="D653" s="11">
        <f>IF(C653="","",IFERROR(INDEX(Levels!$A$2:$A$30,MATCH(C653,Levels!$B$2:$B$30,0)),""))</f>
        <v/>
      </c>
      <c r="E653" s="10">
        <f>IF(B653="","",IFERROR(INDEX(Roster!$A$2:$A$600,MATCH(B653,Roster!$E$2:$E$600,0)),""))</f>
        <v/>
      </c>
      <c r="F653" s="10">
        <f>IF(C653="","",IFERROR(INDEX(Levels!$C$2:$C$30,MATCH(C653,Levels!$B$2:$B$30,0)),""))</f>
        <v/>
      </c>
      <c r="G653" s="6" t="n"/>
      <c r="H653" s="10">
        <f>IF(AND(B653="",C653=""),"",IF(G653&lt;&gt;"","Void",IF(OR(B653="",E653=""),"Needs child",IF(D653="","Needs level","OK"))))</f>
        <v/>
      </c>
    </row>
    <row r="654">
      <c r="A654" s="6" t="n"/>
      <c r="B654" s="6" t="n"/>
      <c r="C654" s="6" t="n"/>
      <c r="D654" s="11">
        <f>IF(C654="","",IFERROR(INDEX(Levels!$A$2:$A$30,MATCH(C654,Levels!$B$2:$B$30,0)),""))</f>
        <v/>
      </c>
      <c r="E654" s="10">
        <f>IF(B654="","",IFERROR(INDEX(Roster!$A$2:$A$600,MATCH(B654,Roster!$E$2:$E$600,0)),""))</f>
        <v/>
      </c>
      <c r="F654" s="10">
        <f>IF(C654="","",IFERROR(INDEX(Levels!$C$2:$C$30,MATCH(C654,Levels!$B$2:$B$30,0)),""))</f>
        <v/>
      </c>
      <c r="G654" s="6" t="n"/>
      <c r="H654" s="10">
        <f>IF(AND(B654="",C654=""),"",IF(G654&lt;&gt;"","Void",IF(OR(B654="",E654=""),"Needs child",IF(D654="","Needs level","OK"))))</f>
        <v/>
      </c>
    </row>
    <row r="655">
      <c r="A655" s="6" t="n"/>
      <c r="B655" s="6" t="n"/>
      <c r="C655" s="6" t="n"/>
      <c r="D655" s="11">
        <f>IF(C655="","",IFERROR(INDEX(Levels!$A$2:$A$30,MATCH(C655,Levels!$B$2:$B$30,0)),""))</f>
        <v/>
      </c>
      <c r="E655" s="10">
        <f>IF(B655="","",IFERROR(INDEX(Roster!$A$2:$A$600,MATCH(B655,Roster!$E$2:$E$600,0)),""))</f>
        <v/>
      </c>
      <c r="F655" s="10">
        <f>IF(C655="","",IFERROR(INDEX(Levels!$C$2:$C$30,MATCH(C655,Levels!$B$2:$B$30,0)),""))</f>
        <v/>
      </c>
      <c r="G655" s="6" t="n"/>
      <c r="H655" s="10">
        <f>IF(AND(B655="",C655=""),"",IF(G655&lt;&gt;"","Void",IF(OR(B655="",E655=""),"Needs child",IF(D655="","Needs level","OK"))))</f>
        <v/>
      </c>
    </row>
    <row r="656">
      <c r="A656" s="6" t="n"/>
      <c r="B656" s="6" t="n"/>
      <c r="C656" s="6" t="n"/>
      <c r="D656" s="11">
        <f>IF(C656="","",IFERROR(INDEX(Levels!$A$2:$A$30,MATCH(C656,Levels!$B$2:$B$30,0)),""))</f>
        <v/>
      </c>
      <c r="E656" s="10">
        <f>IF(B656="","",IFERROR(INDEX(Roster!$A$2:$A$600,MATCH(B656,Roster!$E$2:$E$600,0)),""))</f>
        <v/>
      </c>
      <c r="F656" s="10">
        <f>IF(C656="","",IFERROR(INDEX(Levels!$C$2:$C$30,MATCH(C656,Levels!$B$2:$B$30,0)),""))</f>
        <v/>
      </c>
      <c r="G656" s="6" t="n"/>
      <c r="H656" s="10">
        <f>IF(AND(B656="",C656=""),"",IF(G656&lt;&gt;"","Void",IF(OR(B656="",E656=""),"Needs child",IF(D656="","Needs level","OK"))))</f>
        <v/>
      </c>
    </row>
    <row r="657">
      <c r="A657" s="6" t="n"/>
      <c r="B657" s="6" t="n"/>
      <c r="C657" s="6" t="n"/>
      <c r="D657" s="11">
        <f>IF(C657="","",IFERROR(INDEX(Levels!$A$2:$A$30,MATCH(C657,Levels!$B$2:$B$30,0)),""))</f>
        <v/>
      </c>
      <c r="E657" s="10">
        <f>IF(B657="","",IFERROR(INDEX(Roster!$A$2:$A$600,MATCH(B657,Roster!$E$2:$E$600,0)),""))</f>
        <v/>
      </c>
      <c r="F657" s="10">
        <f>IF(C657="","",IFERROR(INDEX(Levels!$C$2:$C$30,MATCH(C657,Levels!$B$2:$B$30,0)),""))</f>
        <v/>
      </c>
      <c r="G657" s="6" t="n"/>
      <c r="H657" s="10">
        <f>IF(AND(B657="",C657=""),"",IF(G657&lt;&gt;"","Void",IF(OR(B657="",E657=""),"Needs child",IF(D657="","Needs level","OK"))))</f>
        <v/>
      </c>
    </row>
    <row r="658">
      <c r="A658" s="6" t="n"/>
      <c r="B658" s="6" t="n"/>
      <c r="C658" s="6" t="n"/>
      <c r="D658" s="11">
        <f>IF(C658="","",IFERROR(INDEX(Levels!$A$2:$A$30,MATCH(C658,Levels!$B$2:$B$30,0)),""))</f>
        <v/>
      </c>
      <c r="E658" s="10">
        <f>IF(B658="","",IFERROR(INDEX(Roster!$A$2:$A$600,MATCH(B658,Roster!$E$2:$E$600,0)),""))</f>
        <v/>
      </c>
      <c r="F658" s="10">
        <f>IF(C658="","",IFERROR(INDEX(Levels!$C$2:$C$30,MATCH(C658,Levels!$B$2:$B$30,0)),""))</f>
        <v/>
      </c>
      <c r="G658" s="6" t="n"/>
      <c r="H658" s="10">
        <f>IF(AND(B658="",C658=""),"",IF(G658&lt;&gt;"","Void",IF(OR(B658="",E658=""),"Needs child",IF(D658="","Needs level","OK"))))</f>
        <v/>
      </c>
    </row>
    <row r="659">
      <c r="A659" s="6" t="n"/>
      <c r="B659" s="6" t="n"/>
      <c r="C659" s="6" t="n"/>
      <c r="D659" s="11">
        <f>IF(C659="","",IFERROR(INDEX(Levels!$A$2:$A$30,MATCH(C659,Levels!$B$2:$B$30,0)),""))</f>
        <v/>
      </c>
      <c r="E659" s="10">
        <f>IF(B659="","",IFERROR(INDEX(Roster!$A$2:$A$600,MATCH(B659,Roster!$E$2:$E$600,0)),""))</f>
        <v/>
      </c>
      <c r="F659" s="10">
        <f>IF(C659="","",IFERROR(INDEX(Levels!$C$2:$C$30,MATCH(C659,Levels!$B$2:$B$30,0)),""))</f>
        <v/>
      </c>
      <c r="G659" s="6" t="n"/>
      <c r="H659" s="10">
        <f>IF(AND(B659="",C659=""),"",IF(G659&lt;&gt;"","Void",IF(OR(B659="",E659=""),"Needs child",IF(D659="","Needs level","OK"))))</f>
        <v/>
      </c>
    </row>
    <row r="660">
      <c r="A660" s="6" t="n"/>
      <c r="B660" s="6" t="n"/>
      <c r="C660" s="6" t="n"/>
      <c r="D660" s="11">
        <f>IF(C660="","",IFERROR(INDEX(Levels!$A$2:$A$30,MATCH(C660,Levels!$B$2:$B$30,0)),""))</f>
        <v/>
      </c>
      <c r="E660" s="10">
        <f>IF(B660="","",IFERROR(INDEX(Roster!$A$2:$A$600,MATCH(B660,Roster!$E$2:$E$600,0)),""))</f>
        <v/>
      </c>
      <c r="F660" s="10">
        <f>IF(C660="","",IFERROR(INDEX(Levels!$C$2:$C$30,MATCH(C660,Levels!$B$2:$B$30,0)),""))</f>
        <v/>
      </c>
      <c r="G660" s="6" t="n"/>
      <c r="H660" s="10">
        <f>IF(AND(B660="",C660=""),"",IF(G660&lt;&gt;"","Void",IF(OR(B660="",E660=""),"Needs child",IF(D660="","Needs level","OK"))))</f>
        <v/>
      </c>
    </row>
    <row r="661">
      <c r="A661" s="6" t="n"/>
      <c r="B661" s="6" t="n"/>
      <c r="C661" s="6" t="n"/>
      <c r="D661" s="11">
        <f>IF(C661="","",IFERROR(INDEX(Levels!$A$2:$A$30,MATCH(C661,Levels!$B$2:$B$30,0)),""))</f>
        <v/>
      </c>
      <c r="E661" s="10">
        <f>IF(B661="","",IFERROR(INDEX(Roster!$A$2:$A$600,MATCH(B661,Roster!$E$2:$E$600,0)),""))</f>
        <v/>
      </c>
      <c r="F661" s="10">
        <f>IF(C661="","",IFERROR(INDEX(Levels!$C$2:$C$30,MATCH(C661,Levels!$B$2:$B$30,0)),""))</f>
        <v/>
      </c>
      <c r="G661" s="6" t="n"/>
      <c r="H661" s="10">
        <f>IF(AND(B661="",C661=""),"",IF(G661&lt;&gt;"","Void",IF(OR(B661="",E661=""),"Needs child",IF(D661="","Needs level","OK"))))</f>
        <v/>
      </c>
    </row>
    <row r="662">
      <c r="A662" s="6" t="n"/>
      <c r="B662" s="6" t="n"/>
      <c r="C662" s="6" t="n"/>
      <c r="D662" s="11">
        <f>IF(C662="","",IFERROR(INDEX(Levels!$A$2:$A$30,MATCH(C662,Levels!$B$2:$B$30,0)),""))</f>
        <v/>
      </c>
      <c r="E662" s="10">
        <f>IF(B662="","",IFERROR(INDEX(Roster!$A$2:$A$600,MATCH(B662,Roster!$E$2:$E$600,0)),""))</f>
        <v/>
      </c>
      <c r="F662" s="10">
        <f>IF(C662="","",IFERROR(INDEX(Levels!$C$2:$C$30,MATCH(C662,Levels!$B$2:$B$30,0)),""))</f>
        <v/>
      </c>
      <c r="G662" s="6" t="n"/>
      <c r="H662" s="10">
        <f>IF(AND(B662="",C662=""),"",IF(G662&lt;&gt;"","Void",IF(OR(B662="",E662=""),"Needs child",IF(D662="","Needs level","OK"))))</f>
        <v/>
      </c>
    </row>
    <row r="663">
      <c r="A663" s="6" t="n"/>
      <c r="B663" s="6" t="n"/>
      <c r="C663" s="6" t="n"/>
      <c r="D663" s="11">
        <f>IF(C663="","",IFERROR(INDEX(Levels!$A$2:$A$30,MATCH(C663,Levels!$B$2:$B$30,0)),""))</f>
        <v/>
      </c>
      <c r="E663" s="10">
        <f>IF(B663="","",IFERROR(INDEX(Roster!$A$2:$A$600,MATCH(B663,Roster!$E$2:$E$600,0)),""))</f>
        <v/>
      </c>
      <c r="F663" s="10">
        <f>IF(C663="","",IFERROR(INDEX(Levels!$C$2:$C$30,MATCH(C663,Levels!$B$2:$B$30,0)),""))</f>
        <v/>
      </c>
      <c r="G663" s="6" t="n"/>
      <c r="H663" s="10">
        <f>IF(AND(B663="",C663=""),"",IF(G663&lt;&gt;"","Void",IF(OR(B663="",E663=""),"Needs child",IF(D663="","Needs level","OK"))))</f>
        <v/>
      </c>
    </row>
    <row r="664">
      <c r="A664" s="6" t="n"/>
      <c r="B664" s="6" t="n"/>
      <c r="C664" s="6" t="n"/>
      <c r="D664" s="11">
        <f>IF(C664="","",IFERROR(INDEX(Levels!$A$2:$A$30,MATCH(C664,Levels!$B$2:$B$30,0)),""))</f>
        <v/>
      </c>
      <c r="E664" s="10">
        <f>IF(B664="","",IFERROR(INDEX(Roster!$A$2:$A$600,MATCH(B664,Roster!$E$2:$E$600,0)),""))</f>
        <v/>
      </c>
      <c r="F664" s="10">
        <f>IF(C664="","",IFERROR(INDEX(Levels!$C$2:$C$30,MATCH(C664,Levels!$B$2:$B$30,0)),""))</f>
        <v/>
      </c>
      <c r="G664" s="6" t="n"/>
      <c r="H664" s="10">
        <f>IF(AND(B664="",C664=""),"",IF(G664&lt;&gt;"","Void",IF(OR(B664="",E664=""),"Needs child",IF(D664="","Needs level","OK"))))</f>
        <v/>
      </c>
    </row>
    <row r="665">
      <c r="A665" s="6" t="n"/>
      <c r="B665" s="6" t="n"/>
      <c r="C665" s="6" t="n"/>
      <c r="D665" s="11">
        <f>IF(C665="","",IFERROR(INDEX(Levels!$A$2:$A$30,MATCH(C665,Levels!$B$2:$B$30,0)),""))</f>
        <v/>
      </c>
      <c r="E665" s="10">
        <f>IF(B665="","",IFERROR(INDEX(Roster!$A$2:$A$600,MATCH(B665,Roster!$E$2:$E$600,0)),""))</f>
        <v/>
      </c>
      <c r="F665" s="10">
        <f>IF(C665="","",IFERROR(INDEX(Levels!$C$2:$C$30,MATCH(C665,Levels!$B$2:$B$30,0)),""))</f>
        <v/>
      </c>
      <c r="G665" s="6" t="n"/>
      <c r="H665" s="10">
        <f>IF(AND(B665="",C665=""),"",IF(G665&lt;&gt;"","Void",IF(OR(B665="",E665=""),"Needs child",IF(D665="","Needs level","OK"))))</f>
        <v/>
      </c>
    </row>
    <row r="666">
      <c r="A666" s="6" t="n"/>
      <c r="B666" s="6" t="n"/>
      <c r="C666" s="6" t="n"/>
      <c r="D666" s="11">
        <f>IF(C666="","",IFERROR(INDEX(Levels!$A$2:$A$30,MATCH(C666,Levels!$B$2:$B$30,0)),""))</f>
        <v/>
      </c>
      <c r="E666" s="10">
        <f>IF(B666="","",IFERROR(INDEX(Roster!$A$2:$A$600,MATCH(B666,Roster!$E$2:$E$600,0)),""))</f>
        <v/>
      </c>
      <c r="F666" s="10">
        <f>IF(C666="","",IFERROR(INDEX(Levels!$C$2:$C$30,MATCH(C666,Levels!$B$2:$B$30,0)),""))</f>
        <v/>
      </c>
      <c r="G666" s="6" t="n"/>
      <c r="H666" s="10">
        <f>IF(AND(B666="",C666=""),"",IF(G666&lt;&gt;"","Void",IF(OR(B666="",E666=""),"Needs child",IF(D666="","Needs level","OK"))))</f>
        <v/>
      </c>
    </row>
    <row r="667">
      <c r="A667" s="6" t="n"/>
      <c r="B667" s="6" t="n"/>
      <c r="C667" s="6" t="n"/>
      <c r="D667" s="11">
        <f>IF(C667="","",IFERROR(INDEX(Levels!$A$2:$A$30,MATCH(C667,Levels!$B$2:$B$30,0)),""))</f>
        <v/>
      </c>
      <c r="E667" s="10">
        <f>IF(B667="","",IFERROR(INDEX(Roster!$A$2:$A$600,MATCH(B667,Roster!$E$2:$E$600,0)),""))</f>
        <v/>
      </c>
      <c r="F667" s="10">
        <f>IF(C667="","",IFERROR(INDEX(Levels!$C$2:$C$30,MATCH(C667,Levels!$B$2:$B$30,0)),""))</f>
        <v/>
      </c>
      <c r="G667" s="6" t="n"/>
      <c r="H667" s="10">
        <f>IF(AND(B667="",C667=""),"",IF(G667&lt;&gt;"","Void",IF(OR(B667="",E667=""),"Needs child",IF(D667="","Needs level","OK"))))</f>
        <v/>
      </c>
    </row>
    <row r="668">
      <c r="A668" s="6" t="n"/>
      <c r="B668" s="6" t="n"/>
      <c r="C668" s="6" t="n"/>
      <c r="D668" s="11">
        <f>IF(C668="","",IFERROR(INDEX(Levels!$A$2:$A$30,MATCH(C668,Levels!$B$2:$B$30,0)),""))</f>
        <v/>
      </c>
      <c r="E668" s="10">
        <f>IF(B668="","",IFERROR(INDEX(Roster!$A$2:$A$600,MATCH(B668,Roster!$E$2:$E$600,0)),""))</f>
        <v/>
      </c>
      <c r="F668" s="10">
        <f>IF(C668="","",IFERROR(INDEX(Levels!$C$2:$C$30,MATCH(C668,Levels!$B$2:$B$30,0)),""))</f>
        <v/>
      </c>
      <c r="G668" s="6" t="n"/>
      <c r="H668" s="10">
        <f>IF(AND(B668="",C668=""),"",IF(G668&lt;&gt;"","Void",IF(OR(B668="",E668=""),"Needs child",IF(D668="","Needs level","OK"))))</f>
        <v/>
      </c>
    </row>
    <row r="669">
      <c r="A669" s="6" t="n"/>
      <c r="B669" s="6" t="n"/>
      <c r="C669" s="6" t="n"/>
      <c r="D669" s="11">
        <f>IF(C669="","",IFERROR(INDEX(Levels!$A$2:$A$30,MATCH(C669,Levels!$B$2:$B$30,0)),""))</f>
        <v/>
      </c>
      <c r="E669" s="10">
        <f>IF(B669="","",IFERROR(INDEX(Roster!$A$2:$A$600,MATCH(B669,Roster!$E$2:$E$600,0)),""))</f>
        <v/>
      </c>
      <c r="F669" s="10">
        <f>IF(C669="","",IFERROR(INDEX(Levels!$C$2:$C$30,MATCH(C669,Levels!$B$2:$B$30,0)),""))</f>
        <v/>
      </c>
      <c r="G669" s="6" t="n"/>
      <c r="H669" s="10">
        <f>IF(AND(B669="",C669=""),"",IF(G669&lt;&gt;"","Void",IF(OR(B669="",E669=""),"Needs child",IF(D669="","Needs level","OK"))))</f>
        <v/>
      </c>
    </row>
    <row r="670">
      <c r="A670" s="6" t="n"/>
      <c r="B670" s="6" t="n"/>
      <c r="C670" s="6" t="n"/>
      <c r="D670" s="11">
        <f>IF(C670="","",IFERROR(INDEX(Levels!$A$2:$A$30,MATCH(C670,Levels!$B$2:$B$30,0)),""))</f>
        <v/>
      </c>
      <c r="E670" s="10">
        <f>IF(B670="","",IFERROR(INDEX(Roster!$A$2:$A$600,MATCH(B670,Roster!$E$2:$E$600,0)),""))</f>
        <v/>
      </c>
      <c r="F670" s="10">
        <f>IF(C670="","",IFERROR(INDEX(Levels!$C$2:$C$30,MATCH(C670,Levels!$B$2:$B$30,0)),""))</f>
        <v/>
      </c>
      <c r="G670" s="6" t="n"/>
      <c r="H670" s="10">
        <f>IF(AND(B670="",C670=""),"",IF(G670&lt;&gt;"","Void",IF(OR(B670="",E670=""),"Needs child",IF(D670="","Needs level","OK"))))</f>
        <v/>
      </c>
    </row>
    <row r="671">
      <c r="A671" s="6" t="n"/>
      <c r="B671" s="6" t="n"/>
      <c r="C671" s="6" t="n"/>
      <c r="D671" s="11">
        <f>IF(C671="","",IFERROR(INDEX(Levels!$A$2:$A$30,MATCH(C671,Levels!$B$2:$B$30,0)),""))</f>
        <v/>
      </c>
      <c r="E671" s="10">
        <f>IF(B671="","",IFERROR(INDEX(Roster!$A$2:$A$600,MATCH(B671,Roster!$E$2:$E$600,0)),""))</f>
        <v/>
      </c>
      <c r="F671" s="10">
        <f>IF(C671="","",IFERROR(INDEX(Levels!$C$2:$C$30,MATCH(C671,Levels!$B$2:$B$30,0)),""))</f>
        <v/>
      </c>
      <c r="G671" s="6" t="n"/>
      <c r="H671" s="10">
        <f>IF(AND(B671="",C671=""),"",IF(G671&lt;&gt;"","Void",IF(OR(B671="",E671=""),"Needs child",IF(D671="","Needs level","OK"))))</f>
        <v/>
      </c>
    </row>
    <row r="672">
      <c r="A672" s="6" t="n"/>
      <c r="B672" s="6" t="n"/>
      <c r="C672" s="6" t="n"/>
      <c r="D672" s="11">
        <f>IF(C672="","",IFERROR(INDEX(Levels!$A$2:$A$30,MATCH(C672,Levels!$B$2:$B$30,0)),""))</f>
        <v/>
      </c>
      <c r="E672" s="10">
        <f>IF(B672="","",IFERROR(INDEX(Roster!$A$2:$A$600,MATCH(B672,Roster!$E$2:$E$600,0)),""))</f>
        <v/>
      </c>
      <c r="F672" s="10">
        <f>IF(C672="","",IFERROR(INDEX(Levels!$C$2:$C$30,MATCH(C672,Levels!$B$2:$B$30,0)),""))</f>
        <v/>
      </c>
      <c r="G672" s="6" t="n"/>
      <c r="H672" s="10">
        <f>IF(AND(B672="",C672=""),"",IF(G672&lt;&gt;"","Void",IF(OR(B672="",E672=""),"Needs child",IF(D672="","Needs level","OK"))))</f>
        <v/>
      </c>
    </row>
    <row r="673">
      <c r="A673" s="6" t="n"/>
      <c r="B673" s="6" t="n"/>
      <c r="C673" s="6" t="n"/>
      <c r="D673" s="11">
        <f>IF(C673="","",IFERROR(INDEX(Levels!$A$2:$A$30,MATCH(C673,Levels!$B$2:$B$30,0)),""))</f>
        <v/>
      </c>
      <c r="E673" s="10">
        <f>IF(B673="","",IFERROR(INDEX(Roster!$A$2:$A$600,MATCH(B673,Roster!$E$2:$E$600,0)),""))</f>
        <v/>
      </c>
      <c r="F673" s="10">
        <f>IF(C673="","",IFERROR(INDEX(Levels!$C$2:$C$30,MATCH(C673,Levels!$B$2:$B$30,0)),""))</f>
        <v/>
      </c>
      <c r="G673" s="6" t="n"/>
      <c r="H673" s="10">
        <f>IF(AND(B673="",C673=""),"",IF(G673&lt;&gt;"","Void",IF(OR(B673="",E673=""),"Needs child",IF(D673="","Needs level","OK"))))</f>
        <v/>
      </c>
    </row>
    <row r="674">
      <c r="A674" s="6" t="n"/>
      <c r="B674" s="6" t="n"/>
      <c r="C674" s="6" t="n"/>
      <c r="D674" s="11">
        <f>IF(C674="","",IFERROR(INDEX(Levels!$A$2:$A$30,MATCH(C674,Levels!$B$2:$B$30,0)),""))</f>
        <v/>
      </c>
      <c r="E674" s="10">
        <f>IF(B674="","",IFERROR(INDEX(Roster!$A$2:$A$600,MATCH(B674,Roster!$E$2:$E$600,0)),""))</f>
        <v/>
      </c>
      <c r="F674" s="10">
        <f>IF(C674="","",IFERROR(INDEX(Levels!$C$2:$C$30,MATCH(C674,Levels!$B$2:$B$30,0)),""))</f>
        <v/>
      </c>
      <c r="G674" s="6" t="n"/>
      <c r="H674" s="10">
        <f>IF(AND(B674="",C674=""),"",IF(G674&lt;&gt;"","Void",IF(OR(B674="",E674=""),"Needs child",IF(D674="","Needs level","OK"))))</f>
        <v/>
      </c>
    </row>
    <row r="675">
      <c r="A675" s="6" t="n"/>
      <c r="B675" s="6" t="n"/>
      <c r="C675" s="6" t="n"/>
      <c r="D675" s="11">
        <f>IF(C675="","",IFERROR(INDEX(Levels!$A$2:$A$30,MATCH(C675,Levels!$B$2:$B$30,0)),""))</f>
        <v/>
      </c>
      <c r="E675" s="10">
        <f>IF(B675="","",IFERROR(INDEX(Roster!$A$2:$A$600,MATCH(B675,Roster!$E$2:$E$600,0)),""))</f>
        <v/>
      </c>
      <c r="F675" s="10">
        <f>IF(C675="","",IFERROR(INDEX(Levels!$C$2:$C$30,MATCH(C675,Levels!$B$2:$B$30,0)),""))</f>
        <v/>
      </c>
      <c r="G675" s="6" t="n"/>
      <c r="H675" s="10">
        <f>IF(AND(B675="",C675=""),"",IF(G675&lt;&gt;"","Void",IF(OR(B675="",E675=""),"Needs child",IF(D675="","Needs level","OK"))))</f>
        <v/>
      </c>
    </row>
    <row r="676">
      <c r="A676" s="6" t="n"/>
      <c r="B676" s="6" t="n"/>
      <c r="C676" s="6" t="n"/>
      <c r="D676" s="11">
        <f>IF(C676="","",IFERROR(INDEX(Levels!$A$2:$A$30,MATCH(C676,Levels!$B$2:$B$30,0)),""))</f>
        <v/>
      </c>
      <c r="E676" s="10">
        <f>IF(B676="","",IFERROR(INDEX(Roster!$A$2:$A$600,MATCH(B676,Roster!$E$2:$E$600,0)),""))</f>
        <v/>
      </c>
      <c r="F676" s="10">
        <f>IF(C676="","",IFERROR(INDEX(Levels!$C$2:$C$30,MATCH(C676,Levels!$B$2:$B$30,0)),""))</f>
        <v/>
      </c>
      <c r="G676" s="6" t="n"/>
      <c r="H676" s="10">
        <f>IF(AND(B676="",C676=""),"",IF(G676&lt;&gt;"","Void",IF(OR(B676="",E676=""),"Needs child",IF(D676="","Needs level","OK"))))</f>
        <v/>
      </c>
    </row>
    <row r="677">
      <c r="A677" s="6" t="n"/>
      <c r="B677" s="6" t="n"/>
      <c r="C677" s="6" t="n"/>
      <c r="D677" s="11">
        <f>IF(C677="","",IFERROR(INDEX(Levels!$A$2:$A$30,MATCH(C677,Levels!$B$2:$B$30,0)),""))</f>
        <v/>
      </c>
      <c r="E677" s="10">
        <f>IF(B677="","",IFERROR(INDEX(Roster!$A$2:$A$600,MATCH(B677,Roster!$E$2:$E$600,0)),""))</f>
        <v/>
      </c>
      <c r="F677" s="10">
        <f>IF(C677="","",IFERROR(INDEX(Levels!$C$2:$C$30,MATCH(C677,Levels!$B$2:$B$30,0)),""))</f>
        <v/>
      </c>
      <c r="G677" s="6" t="n"/>
      <c r="H677" s="10">
        <f>IF(AND(B677="",C677=""),"",IF(G677&lt;&gt;"","Void",IF(OR(B677="",E677=""),"Needs child",IF(D677="","Needs level","OK"))))</f>
        <v/>
      </c>
    </row>
    <row r="678">
      <c r="A678" s="6" t="n"/>
      <c r="B678" s="6" t="n"/>
      <c r="C678" s="6" t="n"/>
      <c r="D678" s="11">
        <f>IF(C678="","",IFERROR(INDEX(Levels!$A$2:$A$30,MATCH(C678,Levels!$B$2:$B$30,0)),""))</f>
        <v/>
      </c>
      <c r="E678" s="10">
        <f>IF(B678="","",IFERROR(INDEX(Roster!$A$2:$A$600,MATCH(B678,Roster!$E$2:$E$600,0)),""))</f>
        <v/>
      </c>
      <c r="F678" s="10">
        <f>IF(C678="","",IFERROR(INDEX(Levels!$C$2:$C$30,MATCH(C678,Levels!$B$2:$B$30,0)),""))</f>
        <v/>
      </c>
      <c r="G678" s="6" t="n"/>
      <c r="H678" s="10">
        <f>IF(AND(B678="",C678=""),"",IF(G678&lt;&gt;"","Void",IF(OR(B678="",E678=""),"Needs child",IF(D678="","Needs level","OK"))))</f>
        <v/>
      </c>
    </row>
    <row r="679">
      <c r="A679" s="6" t="n"/>
      <c r="B679" s="6" t="n"/>
      <c r="C679" s="6" t="n"/>
      <c r="D679" s="11">
        <f>IF(C679="","",IFERROR(INDEX(Levels!$A$2:$A$30,MATCH(C679,Levels!$B$2:$B$30,0)),""))</f>
        <v/>
      </c>
      <c r="E679" s="10">
        <f>IF(B679="","",IFERROR(INDEX(Roster!$A$2:$A$600,MATCH(B679,Roster!$E$2:$E$600,0)),""))</f>
        <v/>
      </c>
      <c r="F679" s="10">
        <f>IF(C679="","",IFERROR(INDEX(Levels!$C$2:$C$30,MATCH(C679,Levels!$B$2:$B$30,0)),""))</f>
        <v/>
      </c>
      <c r="G679" s="6" t="n"/>
      <c r="H679" s="10">
        <f>IF(AND(B679="",C679=""),"",IF(G679&lt;&gt;"","Void",IF(OR(B679="",E679=""),"Needs child",IF(D679="","Needs level","OK"))))</f>
        <v/>
      </c>
    </row>
    <row r="680">
      <c r="A680" s="6" t="n"/>
      <c r="B680" s="6" t="n"/>
      <c r="C680" s="6" t="n"/>
      <c r="D680" s="11">
        <f>IF(C680="","",IFERROR(INDEX(Levels!$A$2:$A$30,MATCH(C680,Levels!$B$2:$B$30,0)),""))</f>
        <v/>
      </c>
      <c r="E680" s="10">
        <f>IF(B680="","",IFERROR(INDEX(Roster!$A$2:$A$600,MATCH(B680,Roster!$E$2:$E$600,0)),""))</f>
        <v/>
      </c>
      <c r="F680" s="10">
        <f>IF(C680="","",IFERROR(INDEX(Levels!$C$2:$C$30,MATCH(C680,Levels!$B$2:$B$30,0)),""))</f>
        <v/>
      </c>
      <c r="G680" s="6" t="n"/>
      <c r="H680" s="10">
        <f>IF(AND(B680="",C680=""),"",IF(G680&lt;&gt;"","Void",IF(OR(B680="",E680=""),"Needs child",IF(D680="","Needs level","OK"))))</f>
        <v/>
      </c>
    </row>
    <row r="681">
      <c r="A681" s="6" t="n"/>
      <c r="B681" s="6" t="n"/>
      <c r="C681" s="6" t="n"/>
      <c r="D681" s="11">
        <f>IF(C681="","",IFERROR(INDEX(Levels!$A$2:$A$30,MATCH(C681,Levels!$B$2:$B$30,0)),""))</f>
        <v/>
      </c>
      <c r="E681" s="10">
        <f>IF(B681="","",IFERROR(INDEX(Roster!$A$2:$A$600,MATCH(B681,Roster!$E$2:$E$600,0)),""))</f>
        <v/>
      </c>
      <c r="F681" s="10">
        <f>IF(C681="","",IFERROR(INDEX(Levels!$C$2:$C$30,MATCH(C681,Levels!$B$2:$B$30,0)),""))</f>
        <v/>
      </c>
      <c r="G681" s="6" t="n"/>
      <c r="H681" s="10">
        <f>IF(AND(B681="",C681=""),"",IF(G681&lt;&gt;"","Void",IF(OR(B681="",E681=""),"Needs child",IF(D681="","Needs level","OK"))))</f>
        <v/>
      </c>
    </row>
    <row r="682">
      <c r="A682" s="6" t="n"/>
      <c r="B682" s="6" t="n"/>
      <c r="C682" s="6" t="n"/>
      <c r="D682" s="11">
        <f>IF(C682="","",IFERROR(INDEX(Levels!$A$2:$A$30,MATCH(C682,Levels!$B$2:$B$30,0)),""))</f>
        <v/>
      </c>
      <c r="E682" s="10">
        <f>IF(B682="","",IFERROR(INDEX(Roster!$A$2:$A$600,MATCH(B682,Roster!$E$2:$E$600,0)),""))</f>
        <v/>
      </c>
      <c r="F682" s="10">
        <f>IF(C682="","",IFERROR(INDEX(Levels!$C$2:$C$30,MATCH(C682,Levels!$B$2:$B$30,0)),""))</f>
        <v/>
      </c>
      <c r="G682" s="6" t="n"/>
      <c r="H682" s="10">
        <f>IF(AND(B682="",C682=""),"",IF(G682&lt;&gt;"","Void",IF(OR(B682="",E682=""),"Needs child",IF(D682="","Needs level","OK"))))</f>
        <v/>
      </c>
    </row>
    <row r="683">
      <c r="A683" s="6" t="n"/>
      <c r="B683" s="6" t="n"/>
      <c r="C683" s="6" t="n"/>
      <c r="D683" s="11">
        <f>IF(C683="","",IFERROR(INDEX(Levels!$A$2:$A$30,MATCH(C683,Levels!$B$2:$B$30,0)),""))</f>
        <v/>
      </c>
      <c r="E683" s="10">
        <f>IF(B683="","",IFERROR(INDEX(Roster!$A$2:$A$600,MATCH(B683,Roster!$E$2:$E$600,0)),""))</f>
        <v/>
      </c>
      <c r="F683" s="10">
        <f>IF(C683="","",IFERROR(INDEX(Levels!$C$2:$C$30,MATCH(C683,Levels!$B$2:$B$30,0)),""))</f>
        <v/>
      </c>
      <c r="G683" s="6" t="n"/>
      <c r="H683" s="10">
        <f>IF(AND(B683="",C683=""),"",IF(G683&lt;&gt;"","Void",IF(OR(B683="",E683=""),"Needs child",IF(D683="","Needs level","OK"))))</f>
        <v/>
      </c>
    </row>
    <row r="684">
      <c r="A684" s="6" t="n"/>
      <c r="B684" s="6" t="n"/>
      <c r="C684" s="6" t="n"/>
      <c r="D684" s="11">
        <f>IF(C684="","",IFERROR(INDEX(Levels!$A$2:$A$30,MATCH(C684,Levels!$B$2:$B$30,0)),""))</f>
        <v/>
      </c>
      <c r="E684" s="10">
        <f>IF(B684="","",IFERROR(INDEX(Roster!$A$2:$A$600,MATCH(B684,Roster!$E$2:$E$600,0)),""))</f>
        <v/>
      </c>
      <c r="F684" s="10">
        <f>IF(C684="","",IFERROR(INDEX(Levels!$C$2:$C$30,MATCH(C684,Levels!$B$2:$B$30,0)),""))</f>
        <v/>
      </c>
      <c r="G684" s="6" t="n"/>
      <c r="H684" s="10">
        <f>IF(AND(B684="",C684=""),"",IF(G684&lt;&gt;"","Void",IF(OR(B684="",E684=""),"Needs child",IF(D684="","Needs level","OK"))))</f>
        <v/>
      </c>
    </row>
    <row r="685">
      <c r="A685" s="6" t="n"/>
      <c r="B685" s="6" t="n"/>
      <c r="C685" s="6" t="n"/>
      <c r="D685" s="11">
        <f>IF(C685="","",IFERROR(INDEX(Levels!$A$2:$A$30,MATCH(C685,Levels!$B$2:$B$30,0)),""))</f>
        <v/>
      </c>
      <c r="E685" s="10">
        <f>IF(B685="","",IFERROR(INDEX(Roster!$A$2:$A$600,MATCH(B685,Roster!$E$2:$E$600,0)),""))</f>
        <v/>
      </c>
      <c r="F685" s="10">
        <f>IF(C685="","",IFERROR(INDEX(Levels!$C$2:$C$30,MATCH(C685,Levels!$B$2:$B$30,0)),""))</f>
        <v/>
      </c>
      <c r="G685" s="6" t="n"/>
      <c r="H685" s="10">
        <f>IF(AND(B685="",C685=""),"",IF(G685&lt;&gt;"","Void",IF(OR(B685="",E685=""),"Needs child",IF(D685="","Needs level","OK"))))</f>
        <v/>
      </c>
    </row>
    <row r="686">
      <c r="A686" s="6" t="n"/>
      <c r="B686" s="6" t="n"/>
      <c r="C686" s="6" t="n"/>
      <c r="D686" s="11">
        <f>IF(C686="","",IFERROR(INDEX(Levels!$A$2:$A$30,MATCH(C686,Levels!$B$2:$B$30,0)),""))</f>
        <v/>
      </c>
      <c r="E686" s="10">
        <f>IF(B686="","",IFERROR(INDEX(Roster!$A$2:$A$600,MATCH(B686,Roster!$E$2:$E$600,0)),""))</f>
        <v/>
      </c>
      <c r="F686" s="10">
        <f>IF(C686="","",IFERROR(INDEX(Levels!$C$2:$C$30,MATCH(C686,Levels!$B$2:$B$30,0)),""))</f>
        <v/>
      </c>
      <c r="G686" s="6" t="n"/>
      <c r="H686" s="10">
        <f>IF(AND(B686="",C686=""),"",IF(G686&lt;&gt;"","Void",IF(OR(B686="",E686=""),"Needs child",IF(D686="","Needs level","OK"))))</f>
        <v/>
      </c>
    </row>
    <row r="687">
      <c r="A687" s="6" t="n"/>
      <c r="B687" s="6" t="n"/>
      <c r="C687" s="6" t="n"/>
      <c r="D687" s="11">
        <f>IF(C687="","",IFERROR(INDEX(Levels!$A$2:$A$30,MATCH(C687,Levels!$B$2:$B$30,0)),""))</f>
        <v/>
      </c>
      <c r="E687" s="10">
        <f>IF(B687="","",IFERROR(INDEX(Roster!$A$2:$A$600,MATCH(B687,Roster!$E$2:$E$600,0)),""))</f>
        <v/>
      </c>
      <c r="F687" s="10">
        <f>IF(C687="","",IFERROR(INDEX(Levels!$C$2:$C$30,MATCH(C687,Levels!$B$2:$B$30,0)),""))</f>
        <v/>
      </c>
      <c r="G687" s="6" t="n"/>
      <c r="H687" s="10">
        <f>IF(AND(B687="",C687=""),"",IF(G687&lt;&gt;"","Void",IF(OR(B687="",E687=""),"Needs child",IF(D687="","Needs level","OK"))))</f>
        <v/>
      </c>
    </row>
    <row r="688">
      <c r="A688" s="6" t="n"/>
      <c r="B688" s="6" t="n"/>
      <c r="C688" s="6" t="n"/>
      <c r="D688" s="11">
        <f>IF(C688="","",IFERROR(INDEX(Levels!$A$2:$A$30,MATCH(C688,Levels!$B$2:$B$30,0)),""))</f>
        <v/>
      </c>
      <c r="E688" s="10">
        <f>IF(B688="","",IFERROR(INDEX(Roster!$A$2:$A$600,MATCH(B688,Roster!$E$2:$E$600,0)),""))</f>
        <v/>
      </c>
      <c r="F688" s="10">
        <f>IF(C688="","",IFERROR(INDEX(Levels!$C$2:$C$30,MATCH(C688,Levels!$B$2:$B$30,0)),""))</f>
        <v/>
      </c>
      <c r="G688" s="6" t="n"/>
      <c r="H688" s="10">
        <f>IF(AND(B688="",C688=""),"",IF(G688&lt;&gt;"","Void",IF(OR(B688="",E688=""),"Needs child",IF(D688="","Needs level","OK"))))</f>
        <v/>
      </c>
    </row>
    <row r="689">
      <c r="A689" s="6" t="n"/>
      <c r="B689" s="6" t="n"/>
      <c r="C689" s="6" t="n"/>
      <c r="D689" s="11">
        <f>IF(C689="","",IFERROR(INDEX(Levels!$A$2:$A$30,MATCH(C689,Levels!$B$2:$B$30,0)),""))</f>
        <v/>
      </c>
      <c r="E689" s="10">
        <f>IF(B689="","",IFERROR(INDEX(Roster!$A$2:$A$600,MATCH(B689,Roster!$E$2:$E$600,0)),""))</f>
        <v/>
      </c>
      <c r="F689" s="10">
        <f>IF(C689="","",IFERROR(INDEX(Levels!$C$2:$C$30,MATCH(C689,Levels!$B$2:$B$30,0)),""))</f>
        <v/>
      </c>
      <c r="G689" s="6" t="n"/>
      <c r="H689" s="10">
        <f>IF(AND(B689="",C689=""),"",IF(G689&lt;&gt;"","Void",IF(OR(B689="",E689=""),"Needs child",IF(D689="","Needs level","OK"))))</f>
        <v/>
      </c>
    </row>
    <row r="690">
      <c r="A690" s="6" t="n"/>
      <c r="B690" s="6" t="n"/>
      <c r="C690" s="6" t="n"/>
      <c r="D690" s="11">
        <f>IF(C690="","",IFERROR(INDEX(Levels!$A$2:$A$30,MATCH(C690,Levels!$B$2:$B$30,0)),""))</f>
        <v/>
      </c>
      <c r="E690" s="10">
        <f>IF(B690="","",IFERROR(INDEX(Roster!$A$2:$A$600,MATCH(B690,Roster!$E$2:$E$600,0)),""))</f>
        <v/>
      </c>
      <c r="F690" s="10">
        <f>IF(C690="","",IFERROR(INDEX(Levels!$C$2:$C$30,MATCH(C690,Levels!$B$2:$B$30,0)),""))</f>
        <v/>
      </c>
      <c r="G690" s="6" t="n"/>
      <c r="H690" s="10">
        <f>IF(AND(B690="",C690=""),"",IF(G690&lt;&gt;"","Void",IF(OR(B690="",E690=""),"Needs child",IF(D690="","Needs level","OK"))))</f>
        <v/>
      </c>
    </row>
    <row r="691">
      <c r="A691" s="6" t="n"/>
      <c r="B691" s="6" t="n"/>
      <c r="C691" s="6" t="n"/>
      <c r="D691" s="11">
        <f>IF(C691="","",IFERROR(INDEX(Levels!$A$2:$A$30,MATCH(C691,Levels!$B$2:$B$30,0)),""))</f>
        <v/>
      </c>
      <c r="E691" s="10">
        <f>IF(B691="","",IFERROR(INDEX(Roster!$A$2:$A$600,MATCH(B691,Roster!$E$2:$E$600,0)),""))</f>
        <v/>
      </c>
      <c r="F691" s="10">
        <f>IF(C691="","",IFERROR(INDEX(Levels!$C$2:$C$30,MATCH(C691,Levels!$B$2:$B$30,0)),""))</f>
        <v/>
      </c>
      <c r="G691" s="6" t="n"/>
      <c r="H691" s="10">
        <f>IF(AND(B691="",C691=""),"",IF(G691&lt;&gt;"","Void",IF(OR(B691="",E691=""),"Needs child",IF(D691="","Needs level","OK"))))</f>
        <v/>
      </c>
    </row>
    <row r="692">
      <c r="A692" s="6" t="n"/>
      <c r="B692" s="6" t="n"/>
      <c r="C692" s="6" t="n"/>
      <c r="D692" s="11">
        <f>IF(C692="","",IFERROR(INDEX(Levels!$A$2:$A$30,MATCH(C692,Levels!$B$2:$B$30,0)),""))</f>
        <v/>
      </c>
      <c r="E692" s="10">
        <f>IF(B692="","",IFERROR(INDEX(Roster!$A$2:$A$600,MATCH(B692,Roster!$E$2:$E$600,0)),""))</f>
        <v/>
      </c>
      <c r="F692" s="10">
        <f>IF(C692="","",IFERROR(INDEX(Levels!$C$2:$C$30,MATCH(C692,Levels!$B$2:$B$30,0)),""))</f>
        <v/>
      </c>
      <c r="G692" s="6" t="n"/>
      <c r="H692" s="10">
        <f>IF(AND(B692="",C692=""),"",IF(G692&lt;&gt;"","Void",IF(OR(B692="",E692=""),"Needs child",IF(D692="","Needs level","OK"))))</f>
        <v/>
      </c>
    </row>
    <row r="693">
      <c r="A693" s="6" t="n"/>
      <c r="B693" s="6" t="n"/>
      <c r="C693" s="6" t="n"/>
      <c r="D693" s="11">
        <f>IF(C693="","",IFERROR(INDEX(Levels!$A$2:$A$30,MATCH(C693,Levels!$B$2:$B$30,0)),""))</f>
        <v/>
      </c>
      <c r="E693" s="10">
        <f>IF(B693="","",IFERROR(INDEX(Roster!$A$2:$A$600,MATCH(B693,Roster!$E$2:$E$600,0)),""))</f>
        <v/>
      </c>
      <c r="F693" s="10">
        <f>IF(C693="","",IFERROR(INDEX(Levels!$C$2:$C$30,MATCH(C693,Levels!$B$2:$B$30,0)),""))</f>
        <v/>
      </c>
      <c r="G693" s="6" t="n"/>
      <c r="H693" s="10">
        <f>IF(AND(B693="",C693=""),"",IF(G693&lt;&gt;"","Void",IF(OR(B693="",E693=""),"Needs child",IF(D693="","Needs level","OK"))))</f>
        <v/>
      </c>
    </row>
    <row r="694">
      <c r="A694" s="6" t="n"/>
      <c r="B694" s="6" t="n"/>
      <c r="C694" s="6" t="n"/>
      <c r="D694" s="11">
        <f>IF(C694="","",IFERROR(INDEX(Levels!$A$2:$A$30,MATCH(C694,Levels!$B$2:$B$30,0)),""))</f>
        <v/>
      </c>
      <c r="E694" s="10">
        <f>IF(B694="","",IFERROR(INDEX(Roster!$A$2:$A$600,MATCH(B694,Roster!$E$2:$E$600,0)),""))</f>
        <v/>
      </c>
      <c r="F694" s="10">
        <f>IF(C694="","",IFERROR(INDEX(Levels!$C$2:$C$30,MATCH(C694,Levels!$B$2:$B$30,0)),""))</f>
        <v/>
      </c>
      <c r="G694" s="6" t="n"/>
      <c r="H694" s="10">
        <f>IF(AND(B694="",C694=""),"",IF(G694&lt;&gt;"","Void",IF(OR(B694="",E694=""),"Needs child",IF(D694="","Needs level","OK"))))</f>
        <v/>
      </c>
    </row>
    <row r="695">
      <c r="A695" s="6" t="n"/>
      <c r="B695" s="6" t="n"/>
      <c r="C695" s="6" t="n"/>
      <c r="D695" s="11">
        <f>IF(C695="","",IFERROR(INDEX(Levels!$A$2:$A$30,MATCH(C695,Levels!$B$2:$B$30,0)),""))</f>
        <v/>
      </c>
      <c r="E695" s="10">
        <f>IF(B695="","",IFERROR(INDEX(Roster!$A$2:$A$600,MATCH(B695,Roster!$E$2:$E$600,0)),""))</f>
        <v/>
      </c>
      <c r="F695" s="10">
        <f>IF(C695="","",IFERROR(INDEX(Levels!$C$2:$C$30,MATCH(C695,Levels!$B$2:$B$30,0)),""))</f>
        <v/>
      </c>
      <c r="G695" s="6" t="n"/>
      <c r="H695" s="10">
        <f>IF(AND(B695="",C695=""),"",IF(G695&lt;&gt;"","Void",IF(OR(B695="",E695=""),"Needs child",IF(D695="","Needs level","OK"))))</f>
        <v/>
      </c>
    </row>
    <row r="696">
      <c r="A696" s="6" t="n"/>
      <c r="B696" s="6" t="n"/>
      <c r="C696" s="6" t="n"/>
      <c r="D696" s="11">
        <f>IF(C696="","",IFERROR(INDEX(Levels!$A$2:$A$30,MATCH(C696,Levels!$B$2:$B$30,0)),""))</f>
        <v/>
      </c>
      <c r="E696" s="10">
        <f>IF(B696="","",IFERROR(INDEX(Roster!$A$2:$A$600,MATCH(B696,Roster!$E$2:$E$600,0)),""))</f>
        <v/>
      </c>
      <c r="F696" s="10">
        <f>IF(C696="","",IFERROR(INDEX(Levels!$C$2:$C$30,MATCH(C696,Levels!$B$2:$B$30,0)),""))</f>
        <v/>
      </c>
      <c r="G696" s="6" t="n"/>
      <c r="H696" s="10">
        <f>IF(AND(B696="",C696=""),"",IF(G696&lt;&gt;"","Void",IF(OR(B696="",E696=""),"Needs child",IF(D696="","Needs level","OK"))))</f>
        <v/>
      </c>
    </row>
    <row r="697">
      <c r="A697" s="6" t="n"/>
      <c r="B697" s="6" t="n"/>
      <c r="C697" s="6" t="n"/>
      <c r="D697" s="11">
        <f>IF(C697="","",IFERROR(INDEX(Levels!$A$2:$A$30,MATCH(C697,Levels!$B$2:$B$30,0)),""))</f>
        <v/>
      </c>
      <c r="E697" s="10">
        <f>IF(B697="","",IFERROR(INDEX(Roster!$A$2:$A$600,MATCH(B697,Roster!$E$2:$E$600,0)),""))</f>
        <v/>
      </c>
      <c r="F697" s="10">
        <f>IF(C697="","",IFERROR(INDEX(Levels!$C$2:$C$30,MATCH(C697,Levels!$B$2:$B$30,0)),""))</f>
        <v/>
      </c>
      <c r="G697" s="6" t="n"/>
      <c r="H697" s="10">
        <f>IF(AND(B697="",C697=""),"",IF(G697&lt;&gt;"","Void",IF(OR(B697="",E697=""),"Needs child",IF(D697="","Needs level","OK"))))</f>
        <v/>
      </c>
    </row>
    <row r="698">
      <c r="A698" s="6" t="n"/>
      <c r="B698" s="6" t="n"/>
      <c r="C698" s="6" t="n"/>
      <c r="D698" s="11">
        <f>IF(C698="","",IFERROR(INDEX(Levels!$A$2:$A$30,MATCH(C698,Levels!$B$2:$B$30,0)),""))</f>
        <v/>
      </c>
      <c r="E698" s="10">
        <f>IF(B698="","",IFERROR(INDEX(Roster!$A$2:$A$600,MATCH(B698,Roster!$E$2:$E$600,0)),""))</f>
        <v/>
      </c>
      <c r="F698" s="10">
        <f>IF(C698="","",IFERROR(INDEX(Levels!$C$2:$C$30,MATCH(C698,Levels!$B$2:$B$30,0)),""))</f>
        <v/>
      </c>
      <c r="G698" s="6" t="n"/>
      <c r="H698" s="10">
        <f>IF(AND(B698="",C698=""),"",IF(G698&lt;&gt;"","Void",IF(OR(B698="",E698=""),"Needs child",IF(D698="","Needs level","OK"))))</f>
        <v/>
      </c>
    </row>
    <row r="699">
      <c r="A699" s="6" t="n"/>
      <c r="B699" s="6" t="n"/>
      <c r="C699" s="6" t="n"/>
      <c r="D699" s="11">
        <f>IF(C699="","",IFERROR(INDEX(Levels!$A$2:$A$30,MATCH(C699,Levels!$B$2:$B$30,0)),""))</f>
        <v/>
      </c>
      <c r="E699" s="10">
        <f>IF(B699="","",IFERROR(INDEX(Roster!$A$2:$A$600,MATCH(B699,Roster!$E$2:$E$600,0)),""))</f>
        <v/>
      </c>
      <c r="F699" s="10">
        <f>IF(C699="","",IFERROR(INDEX(Levels!$C$2:$C$30,MATCH(C699,Levels!$B$2:$B$30,0)),""))</f>
        <v/>
      </c>
      <c r="G699" s="6" t="n"/>
      <c r="H699" s="10">
        <f>IF(AND(B699="",C699=""),"",IF(G699&lt;&gt;"","Void",IF(OR(B699="",E699=""),"Needs child",IF(D699="","Needs level","OK"))))</f>
        <v/>
      </c>
    </row>
    <row r="700">
      <c r="A700" s="6" t="n"/>
      <c r="B700" s="6" t="n"/>
      <c r="C700" s="6" t="n"/>
      <c r="D700" s="11">
        <f>IF(C700="","",IFERROR(INDEX(Levels!$A$2:$A$30,MATCH(C700,Levels!$B$2:$B$30,0)),""))</f>
        <v/>
      </c>
      <c r="E700" s="10">
        <f>IF(B700="","",IFERROR(INDEX(Roster!$A$2:$A$600,MATCH(B700,Roster!$E$2:$E$600,0)),""))</f>
        <v/>
      </c>
      <c r="F700" s="10">
        <f>IF(C700="","",IFERROR(INDEX(Levels!$C$2:$C$30,MATCH(C700,Levels!$B$2:$B$30,0)),""))</f>
        <v/>
      </c>
      <c r="G700" s="6" t="n"/>
      <c r="H700" s="10">
        <f>IF(AND(B700="",C700=""),"",IF(G700&lt;&gt;"","Void",IF(OR(B700="",E700=""),"Needs child",IF(D700="","Needs level","OK"))))</f>
        <v/>
      </c>
    </row>
    <row r="701">
      <c r="A701" s="6" t="n"/>
      <c r="B701" s="6" t="n"/>
      <c r="C701" s="6" t="n"/>
      <c r="D701" s="11">
        <f>IF(C701="","",IFERROR(INDEX(Levels!$A$2:$A$30,MATCH(C701,Levels!$B$2:$B$30,0)),""))</f>
        <v/>
      </c>
      <c r="E701" s="10">
        <f>IF(B701="","",IFERROR(INDEX(Roster!$A$2:$A$600,MATCH(B701,Roster!$E$2:$E$600,0)),""))</f>
        <v/>
      </c>
      <c r="F701" s="10">
        <f>IF(C701="","",IFERROR(INDEX(Levels!$C$2:$C$30,MATCH(C701,Levels!$B$2:$B$30,0)),""))</f>
        <v/>
      </c>
      <c r="G701" s="6" t="n"/>
      <c r="H701" s="10">
        <f>IF(AND(B701="",C701=""),"",IF(G701&lt;&gt;"","Void",IF(OR(B701="",E701=""),"Needs child",IF(D701="","Needs level","OK"))))</f>
        <v/>
      </c>
    </row>
    <row r="702">
      <c r="A702" s="6" t="n"/>
      <c r="B702" s="6" t="n"/>
      <c r="C702" s="6" t="n"/>
      <c r="D702" s="11">
        <f>IF(C702="","",IFERROR(INDEX(Levels!$A$2:$A$30,MATCH(C702,Levels!$B$2:$B$30,0)),""))</f>
        <v/>
      </c>
      <c r="E702" s="10">
        <f>IF(B702="","",IFERROR(INDEX(Roster!$A$2:$A$600,MATCH(B702,Roster!$E$2:$E$600,0)),""))</f>
        <v/>
      </c>
      <c r="F702" s="10">
        <f>IF(C702="","",IFERROR(INDEX(Levels!$C$2:$C$30,MATCH(C702,Levels!$B$2:$B$30,0)),""))</f>
        <v/>
      </c>
      <c r="G702" s="6" t="n"/>
      <c r="H702" s="10">
        <f>IF(AND(B702="",C702=""),"",IF(G702&lt;&gt;"","Void",IF(OR(B702="",E702=""),"Needs child",IF(D702="","Needs level","OK"))))</f>
        <v/>
      </c>
    </row>
    <row r="703">
      <c r="A703" s="6" t="n"/>
      <c r="B703" s="6" t="n"/>
      <c r="C703" s="6" t="n"/>
      <c r="D703" s="11">
        <f>IF(C703="","",IFERROR(INDEX(Levels!$A$2:$A$30,MATCH(C703,Levels!$B$2:$B$30,0)),""))</f>
        <v/>
      </c>
      <c r="E703" s="10">
        <f>IF(B703="","",IFERROR(INDEX(Roster!$A$2:$A$600,MATCH(B703,Roster!$E$2:$E$600,0)),""))</f>
        <v/>
      </c>
      <c r="F703" s="10">
        <f>IF(C703="","",IFERROR(INDEX(Levels!$C$2:$C$30,MATCH(C703,Levels!$B$2:$B$30,0)),""))</f>
        <v/>
      </c>
      <c r="G703" s="6" t="n"/>
      <c r="H703" s="10">
        <f>IF(AND(B703="",C703=""),"",IF(G703&lt;&gt;"","Void",IF(OR(B703="",E703=""),"Needs child",IF(D703="","Needs level","OK"))))</f>
        <v/>
      </c>
    </row>
    <row r="704">
      <c r="A704" s="6" t="n"/>
      <c r="B704" s="6" t="n"/>
      <c r="C704" s="6" t="n"/>
      <c r="D704" s="11">
        <f>IF(C704="","",IFERROR(INDEX(Levels!$A$2:$A$30,MATCH(C704,Levels!$B$2:$B$30,0)),""))</f>
        <v/>
      </c>
      <c r="E704" s="10">
        <f>IF(B704="","",IFERROR(INDEX(Roster!$A$2:$A$600,MATCH(B704,Roster!$E$2:$E$600,0)),""))</f>
        <v/>
      </c>
      <c r="F704" s="10">
        <f>IF(C704="","",IFERROR(INDEX(Levels!$C$2:$C$30,MATCH(C704,Levels!$B$2:$B$30,0)),""))</f>
        <v/>
      </c>
      <c r="G704" s="6" t="n"/>
      <c r="H704" s="10">
        <f>IF(AND(B704="",C704=""),"",IF(G704&lt;&gt;"","Void",IF(OR(B704="",E704=""),"Needs child",IF(D704="","Needs level","OK"))))</f>
        <v/>
      </c>
    </row>
    <row r="705">
      <c r="A705" s="6" t="n"/>
      <c r="B705" s="6" t="n"/>
      <c r="C705" s="6" t="n"/>
      <c r="D705" s="11">
        <f>IF(C705="","",IFERROR(INDEX(Levels!$A$2:$A$30,MATCH(C705,Levels!$B$2:$B$30,0)),""))</f>
        <v/>
      </c>
      <c r="E705" s="10">
        <f>IF(B705="","",IFERROR(INDEX(Roster!$A$2:$A$600,MATCH(B705,Roster!$E$2:$E$600,0)),""))</f>
        <v/>
      </c>
      <c r="F705" s="10">
        <f>IF(C705="","",IFERROR(INDEX(Levels!$C$2:$C$30,MATCH(C705,Levels!$B$2:$B$30,0)),""))</f>
        <v/>
      </c>
      <c r="G705" s="6" t="n"/>
      <c r="H705" s="10">
        <f>IF(AND(B705="",C705=""),"",IF(G705&lt;&gt;"","Void",IF(OR(B705="",E705=""),"Needs child",IF(D705="","Needs level","OK"))))</f>
        <v/>
      </c>
    </row>
    <row r="706">
      <c r="A706" s="6" t="n"/>
      <c r="B706" s="6" t="n"/>
      <c r="C706" s="6" t="n"/>
      <c r="D706" s="11">
        <f>IF(C706="","",IFERROR(INDEX(Levels!$A$2:$A$30,MATCH(C706,Levels!$B$2:$B$30,0)),""))</f>
        <v/>
      </c>
      <c r="E706" s="10">
        <f>IF(B706="","",IFERROR(INDEX(Roster!$A$2:$A$600,MATCH(B706,Roster!$E$2:$E$600,0)),""))</f>
        <v/>
      </c>
      <c r="F706" s="10">
        <f>IF(C706="","",IFERROR(INDEX(Levels!$C$2:$C$30,MATCH(C706,Levels!$B$2:$B$30,0)),""))</f>
        <v/>
      </c>
      <c r="G706" s="6" t="n"/>
      <c r="H706" s="10">
        <f>IF(AND(B706="",C706=""),"",IF(G706&lt;&gt;"","Void",IF(OR(B706="",E706=""),"Needs child",IF(D706="","Needs level","OK"))))</f>
        <v/>
      </c>
    </row>
    <row r="707">
      <c r="A707" s="6" t="n"/>
      <c r="B707" s="6" t="n"/>
      <c r="C707" s="6" t="n"/>
      <c r="D707" s="11">
        <f>IF(C707="","",IFERROR(INDEX(Levels!$A$2:$A$30,MATCH(C707,Levels!$B$2:$B$30,0)),""))</f>
        <v/>
      </c>
      <c r="E707" s="10">
        <f>IF(B707="","",IFERROR(INDEX(Roster!$A$2:$A$600,MATCH(B707,Roster!$E$2:$E$600,0)),""))</f>
        <v/>
      </c>
      <c r="F707" s="10">
        <f>IF(C707="","",IFERROR(INDEX(Levels!$C$2:$C$30,MATCH(C707,Levels!$B$2:$B$30,0)),""))</f>
        <v/>
      </c>
      <c r="G707" s="6" t="n"/>
      <c r="H707" s="10">
        <f>IF(AND(B707="",C707=""),"",IF(G707&lt;&gt;"","Void",IF(OR(B707="",E707=""),"Needs child",IF(D707="","Needs level","OK"))))</f>
        <v/>
      </c>
    </row>
    <row r="708">
      <c r="A708" s="6" t="n"/>
      <c r="B708" s="6" t="n"/>
      <c r="C708" s="6" t="n"/>
      <c r="D708" s="11">
        <f>IF(C708="","",IFERROR(INDEX(Levels!$A$2:$A$30,MATCH(C708,Levels!$B$2:$B$30,0)),""))</f>
        <v/>
      </c>
      <c r="E708" s="10">
        <f>IF(B708="","",IFERROR(INDEX(Roster!$A$2:$A$600,MATCH(B708,Roster!$E$2:$E$600,0)),""))</f>
        <v/>
      </c>
      <c r="F708" s="10">
        <f>IF(C708="","",IFERROR(INDEX(Levels!$C$2:$C$30,MATCH(C708,Levels!$B$2:$B$30,0)),""))</f>
        <v/>
      </c>
      <c r="G708" s="6" t="n"/>
      <c r="H708" s="10">
        <f>IF(AND(B708="",C708=""),"",IF(G708&lt;&gt;"","Void",IF(OR(B708="",E708=""),"Needs child",IF(D708="","Needs level","OK"))))</f>
        <v/>
      </c>
    </row>
    <row r="709">
      <c r="A709" s="6" t="n"/>
      <c r="B709" s="6" t="n"/>
      <c r="C709" s="6" t="n"/>
      <c r="D709" s="11">
        <f>IF(C709="","",IFERROR(INDEX(Levels!$A$2:$A$30,MATCH(C709,Levels!$B$2:$B$30,0)),""))</f>
        <v/>
      </c>
      <c r="E709" s="10">
        <f>IF(B709="","",IFERROR(INDEX(Roster!$A$2:$A$600,MATCH(B709,Roster!$E$2:$E$600,0)),""))</f>
        <v/>
      </c>
      <c r="F709" s="10">
        <f>IF(C709="","",IFERROR(INDEX(Levels!$C$2:$C$30,MATCH(C709,Levels!$B$2:$B$30,0)),""))</f>
        <v/>
      </c>
      <c r="G709" s="6" t="n"/>
      <c r="H709" s="10">
        <f>IF(AND(B709="",C709=""),"",IF(G709&lt;&gt;"","Void",IF(OR(B709="",E709=""),"Needs child",IF(D709="","Needs level","OK"))))</f>
        <v/>
      </c>
    </row>
    <row r="710">
      <c r="A710" s="6" t="n"/>
      <c r="B710" s="6" t="n"/>
      <c r="C710" s="6" t="n"/>
      <c r="D710" s="11">
        <f>IF(C710="","",IFERROR(INDEX(Levels!$A$2:$A$30,MATCH(C710,Levels!$B$2:$B$30,0)),""))</f>
        <v/>
      </c>
      <c r="E710" s="10">
        <f>IF(B710="","",IFERROR(INDEX(Roster!$A$2:$A$600,MATCH(B710,Roster!$E$2:$E$600,0)),""))</f>
        <v/>
      </c>
      <c r="F710" s="10">
        <f>IF(C710="","",IFERROR(INDEX(Levels!$C$2:$C$30,MATCH(C710,Levels!$B$2:$B$30,0)),""))</f>
        <v/>
      </c>
      <c r="G710" s="6" t="n"/>
      <c r="H710" s="10">
        <f>IF(AND(B710="",C710=""),"",IF(G710&lt;&gt;"","Void",IF(OR(B710="",E710=""),"Needs child",IF(D710="","Needs level","OK"))))</f>
        <v/>
      </c>
    </row>
    <row r="711">
      <c r="A711" s="6" t="n"/>
      <c r="B711" s="6" t="n"/>
      <c r="C711" s="6" t="n"/>
      <c r="D711" s="11">
        <f>IF(C711="","",IFERROR(INDEX(Levels!$A$2:$A$30,MATCH(C711,Levels!$B$2:$B$30,0)),""))</f>
        <v/>
      </c>
      <c r="E711" s="10">
        <f>IF(B711="","",IFERROR(INDEX(Roster!$A$2:$A$600,MATCH(B711,Roster!$E$2:$E$600,0)),""))</f>
        <v/>
      </c>
      <c r="F711" s="10">
        <f>IF(C711="","",IFERROR(INDEX(Levels!$C$2:$C$30,MATCH(C711,Levels!$B$2:$B$30,0)),""))</f>
        <v/>
      </c>
      <c r="G711" s="6" t="n"/>
      <c r="H711" s="10">
        <f>IF(AND(B711="",C711=""),"",IF(G711&lt;&gt;"","Void",IF(OR(B711="",E711=""),"Needs child",IF(D711="","Needs level","OK"))))</f>
        <v/>
      </c>
    </row>
    <row r="712">
      <c r="A712" s="6" t="n"/>
      <c r="B712" s="6" t="n"/>
      <c r="C712" s="6" t="n"/>
      <c r="D712" s="11">
        <f>IF(C712="","",IFERROR(INDEX(Levels!$A$2:$A$30,MATCH(C712,Levels!$B$2:$B$30,0)),""))</f>
        <v/>
      </c>
      <c r="E712" s="10">
        <f>IF(B712="","",IFERROR(INDEX(Roster!$A$2:$A$600,MATCH(B712,Roster!$E$2:$E$600,0)),""))</f>
        <v/>
      </c>
      <c r="F712" s="10">
        <f>IF(C712="","",IFERROR(INDEX(Levels!$C$2:$C$30,MATCH(C712,Levels!$B$2:$B$30,0)),""))</f>
        <v/>
      </c>
      <c r="G712" s="6" t="n"/>
      <c r="H712" s="10">
        <f>IF(AND(B712="",C712=""),"",IF(G712&lt;&gt;"","Void",IF(OR(B712="",E712=""),"Needs child",IF(D712="","Needs level","OK"))))</f>
        <v/>
      </c>
    </row>
    <row r="713">
      <c r="A713" s="6" t="n"/>
      <c r="B713" s="6" t="n"/>
      <c r="C713" s="6" t="n"/>
      <c r="D713" s="11">
        <f>IF(C713="","",IFERROR(INDEX(Levels!$A$2:$A$30,MATCH(C713,Levels!$B$2:$B$30,0)),""))</f>
        <v/>
      </c>
      <c r="E713" s="10">
        <f>IF(B713="","",IFERROR(INDEX(Roster!$A$2:$A$600,MATCH(B713,Roster!$E$2:$E$600,0)),""))</f>
        <v/>
      </c>
      <c r="F713" s="10">
        <f>IF(C713="","",IFERROR(INDEX(Levels!$C$2:$C$30,MATCH(C713,Levels!$B$2:$B$30,0)),""))</f>
        <v/>
      </c>
      <c r="G713" s="6" t="n"/>
      <c r="H713" s="10">
        <f>IF(AND(B713="",C713=""),"",IF(G713&lt;&gt;"","Void",IF(OR(B713="",E713=""),"Needs child",IF(D713="","Needs level","OK"))))</f>
        <v/>
      </c>
    </row>
    <row r="714">
      <c r="A714" s="6" t="n"/>
      <c r="B714" s="6" t="n"/>
      <c r="C714" s="6" t="n"/>
      <c r="D714" s="11">
        <f>IF(C714="","",IFERROR(INDEX(Levels!$A$2:$A$30,MATCH(C714,Levels!$B$2:$B$30,0)),""))</f>
        <v/>
      </c>
      <c r="E714" s="10">
        <f>IF(B714="","",IFERROR(INDEX(Roster!$A$2:$A$600,MATCH(B714,Roster!$E$2:$E$600,0)),""))</f>
        <v/>
      </c>
      <c r="F714" s="10">
        <f>IF(C714="","",IFERROR(INDEX(Levels!$C$2:$C$30,MATCH(C714,Levels!$B$2:$B$30,0)),""))</f>
        <v/>
      </c>
      <c r="G714" s="6" t="n"/>
      <c r="H714" s="10">
        <f>IF(AND(B714="",C714=""),"",IF(G714&lt;&gt;"","Void",IF(OR(B714="",E714=""),"Needs child",IF(D714="","Needs level","OK"))))</f>
        <v/>
      </c>
    </row>
    <row r="715">
      <c r="A715" s="6" t="n"/>
      <c r="B715" s="6" t="n"/>
      <c r="C715" s="6" t="n"/>
      <c r="D715" s="11">
        <f>IF(C715="","",IFERROR(INDEX(Levels!$A$2:$A$30,MATCH(C715,Levels!$B$2:$B$30,0)),""))</f>
        <v/>
      </c>
      <c r="E715" s="10">
        <f>IF(B715="","",IFERROR(INDEX(Roster!$A$2:$A$600,MATCH(B715,Roster!$E$2:$E$600,0)),""))</f>
        <v/>
      </c>
      <c r="F715" s="10">
        <f>IF(C715="","",IFERROR(INDEX(Levels!$C$2:$C$30,MATCH(C715,Levels!$B$2:$B$30,0)),""))</f>
        <v/>
      </c>
      <c r="G715" s="6" t="n"/>
      <c r="H715" s="10">
        <f>IF(AND(B715="",C715=""),"",IF(G715&lt;&gt;"","Void",IF(OR(B715="",E715=""),"Needs child",IF(D715="","Needs level","OK"))))</f>
        <v/>
      </c>
    </row>
    <row r="716">
      <c r="A716" s="6" t="n"/>
      <c r="B716" s="6" t="n"/>
      <c r="C716" s="6" t="n"/>
      <c r="D716" s="11">
        <f>IF(C716="","",IFERROR(INDEX(Levels!$A$2:$A$30,MATCH(C716,Levels!$B$2:$B$30,0)),""))</f>
        <v/>
      </c>
      <c r="E716" s="10">
        <f>IF(B716="","",IFERROR(INDEX(Roster!$A$2:$A$600,MATCH(B716,Roster!$E$2:$E$600,0)),""))</f>
        <v/>
      </c>
      <c r="F716" s="10">
        <f>IF(C716="","",IFERROR(INDEX(Levels!$C$2:$C$30,MATCH(C716,Levels!$B$2:$B$30,0)),""))</f>
        <v/>
      </c>
      <c r="G716" s="6" t="n"/>
      <c r="H716" s="10">
        <f>IF(AND(B716="",C716=""),"",IF(G716&lt;&gt;"","Void",IF(OR(B716="",E716=""),"Needs child",IF(D716="","Needs level","OK"))))</f>
        <v/>
      </c>
    </row>
    <row r="717">
      <c r="A717" s="6" t="n"/>
      <c r="B717" s="6" t="n"/>
      <c r="C717" s="6" t="n"/>
      <c r="D717" s="11">
        <f>IF(C717="","",IFERROR(INDEX(Levels!$A$2:$A$30,MATCH(C717,Levels!$B$2:$B$30,0)),""))</f>
        <v/>
      </c>
      <c r="E717" s="10">
        <f>IF(B717="","",IFERROR(INDEX(Roster!$A$2:$A$600,MATCH(B717,Roster!$E$2:$E$600,0)),""))</f>
        <v/>
      </c>
      <c r="F717" s="10">
        <f>IF(C717="","",IFERROR(INDEX(Levels!$C$2:$C$30,MATCH(C717,Levels!$B$2:$B$30,0)),""))</f>
        <v/>
      </c>
      <c r="G717" s="6" t="n"/>
      <c r="H717" s="10">
        <f>IF(AND(B717="",C717=""),"",IF(G717&lt;&gt;"","Void",IF(OR(B717="",E717=""),"Needs child",IF(D717="","Needs level","OK"))))</f>
        <v/>
      </c>
    </row>
    <row r="718">
      <c r="A718" s="6" t="n"/>
      <c r="B718" s="6" t="n"/>
      <c r="C718" s="6" t="n"/>
      <c r="D718" s="11">
        <f>IF(C718="","",IFERROR(INDEX(Levels!$A$2:$A$30,MATCH(C718,Levels!$B$2:$B$30,0)),""))</f>
        <v/>
      </c>
      <c r="E718" s="10">
        <f>IF(B718="","",IFERROR(INDEX(Roster!$A$2:$A$600,MATCH(B718,Roster!$E$2:$E$600,0)),""))</f>
        <v/>
      </c>
      <c r="F718" s="10">
        <f>IF(C718="","",IFERROR(INDEX(Levels!$C$2:$C$30,MATCH(C718,Levels!$B$2:$B$30,0)),""))</f>
        <v/>
      </c>
      <c r="G718" s="6" t="n"/>
      <c r="H718" s="10">
        <f>IF(AND(B718="",C718=""),"",IF(G718&lt;&gt;"","Void",IF(OR(B718="",E718=""),"Needs child",IF(D718="","Needs level","OK"))))</f>
        <v/>
      </c>
    </row>
    <row r="719">
      <c r="A719" s="6" t="n"/>
      <c r="B719" s="6" t="n"/>
      <c r="C719" s="6" t="n"/>
      <c r="D719" s="11">
        <f>IF(C719="","",IFERROR(INDEX(Levels!$A$2:$A$30,MATCH(C719,Levels!$B$2:$B$30,0)),""))</f>
        <v/>
      </c>
      <c r="E719" s="10">
        <f>IF(B719="","",IFERROR(INDEX(Roster!$A$2:$A$600,MATCH(B719,Roster!$E$2:$E$600,0)),""))</f>
        <v/>
      </c>
      <c r="F719" s="10">
        <f>IF(C719="","",IFERROR(INDEX(Levels!$C$2:$C$30,MATCH(C719,Levels!$B$2:$B$30,0)),""))</f>
        <v/>
      </c>
      <c r="G719" s="6" t="n"/>
      <c r="H719" s="10">
        <f>IF(AND(B719="",C719=""),"",IF(G719&lt;&gt;"","Void",IF(OR(B719="",E719=""),"Needs child",IF(D719="","Needs level","OK"))))</f>
        <v/>
      </c>
    </row>
    <row r="720">
      <c r="A720" s="6" t="n"/>
      <c r="B720" s="6" t="n"/>
      <c r="C720" s="6" t="n"/>
      <c r="D720" s="11">
        <f>IF(C720="","",IFERROR(INDEX(Levels!$A$2:$A$30,MATCH(C720,Levels!$B$2:$B$30,0)),""))</f>
        <v/>
      </c>
      <c r="E720" s="10">
        <f>IF(B720="","",IFERROR(INDEX(Roster!$A$2:$A$600,MATCH(B720,Roster!$E$2:$E$600,0)),""))</f>
        <v/>
      </c>
      <c r="F720" s="10">
        <f>IF(C720="","",IFERROR(INDEX(Levels!$C$2:$C$30,MATCH(C720,Levels!$B$2:$B$30,0)),""))</f>
        <v/>
      </c>
      <c r="G720" s="6" t="n"/>
      <c r="H720" s="10">
        <f>IF(AND(B720="",C720=""),"",IF(G720&lt;&gt;"","Void",IF(OR(B720="",E720=""),"Needs child",IF(D720="","Needs level","OK"))))</f>
        <v/>
      </c>
    </row>
    <row r="721">
      <c r="A721" s="6" t="n"/>
      <c r="B721" s="6" t="n"/>
      <c r="C721" s="6" t="n"/>
      <c r="D721" s="11">
        <f>IF(C721="","",IFERROR(INDEX(Levels!$A$2:$A$30,MATCH(C721,Levels!$B$2:$B$30,0)),""))</f>
        <v/>
      </c>
      <c r="E721" s="10">
        <f>IF(B721="","",IFERROR(INDEX(Roster!$A$2:$A$600,MATCH(B721,Roster!$E$2:$E$600,0)),""))</f>
        <v/>
      </c>
      <c r="F721" s="10">
        <f>IF(C721="","",IFERROR(INDEX(Levels!$C$2:$C$30,MATCH(C721,Levels!$B$2:$B$30,0)),""))</f>
        <v/>
      </c>
      <c r="G721" s="6" t="n"/>
      <c r="H721" s="10">
        <f>IF(AND(B721="",C721=""),"",IF(G721&lt;&gt;"","Void",IF(OR(B721="",E721=""),"Needs child",IF(D721="","Needs level","OK"))))</f>
        <v/>
      </c>
    </row>
    <row r="722">
      <c r="A722" s="6" t="n"/>
      <c r="B722" s="6" t="n"/>
      <c r="C722" s="6" t="n"/>
      <c r="D722" s="11">
        <f>IF(C722="","",IFERROR(INDEX(Levels!$A$2:$A$30,MATCH(C722,Levels!$B$2:$B$30,0)),""))</f>
        <v/>
      </c>
      <c r="E722" s="10">
        <f>IF(B722="","",IFERROR(INDEX(Roster!$A$2:$A$600,MATCH(B722,Roster!$E$2:$E$600,0)),""))</f>
        <v/>
      </c>
      <c r="F722" s="10">
        <f>IF(C722="","",IFERROR(INDEX(Levels!$C$2:$C$30,MATCH(C722,Levels!$B$2:$B$30,0)),""))</f>
        <v/>
      </c>
      <c r="G722" s="6" t="n"/>
      <c r="H722" s="10">
        <f>IF(AND(B722="",C722=""),"",IF(G722&lt;&gt;"","Void",IF(OR(B722="",E722=""),"Needs child",IF(D722="","Needs level","OK"))))</f>
        <v/>
      </c>
    </row>
    <row r="723">
      <c r="A723" s="6" t="n"/>
      <c r="B723" s="6" t="n"/>
      <c r="C723" s="6" t="n"/>
      <c r="D723" s="11">
        <f>IF(C723="","",IFERROR(INDEX(Levels!$A$2:$A$30,MATCH(C723,Levels!$B$2:$B$30,0)),""))</f>
        <v/>
      </c>
      <c r="E723" s="10">
        <f>IF(B723="","",IFERROR(INDEX(Roster!$A$2:$A$600,MATCH(B723,Roster!$E$2:$E$600,0)),""))</f>
        <v/>
      </c>
      <c r="F723" s="10">
        <f>IF(C723="","",IFERROR(INDEX(Levels!$C$2:$C$30,MATCH(C723,Levels!$B$2:$B$30,0)),""))</f>
        <v/>
      </c>
      <c r="G723" s="6" t="n"/>
      <c r="H723" s="10">
        <f>IF(AND(B723="",C723=""),"",IF(G723&lt;&gt;"","Void",IF(OR(B723="",E723=""),"Needs child",IF(D723="","Needs level","OK"))))</f>
        <v/>
      </c>
    </row>
    <row r="724">
      <c r="A724" s="6" t="n"/>
      <c r="B724" s="6" t="n"/>
      <c r="C724" s="6" t="n"/>
      <c r="D724" s="11">
        <f>IF(C724="","",IFERROR(INDEX(Levels!$A$2:$A$30,MATCH(C724,Levels!$B$2:$B$30,0)),""))</f>
        <v/>
      </c>
      <c r="E724" s="10">
        <f>IF(B724="","",IFERROR(INDEX(Roster!$A$2:$A$600,MATCH(B724,Roster!$E$2:$E$600,0)),""))</f>
        <v/>
      </c>
      <c r="F724" s="10">
        <f>IF(C724="","",IFERROR(INDEX(Levels!$C$2:$C$30,MATCH(C724,Levels!$B$2:$B$30,0)),""))</f>
        <v/>
      </c>
      <c r="G724" s="6" t="n"/>
      <c r="H724" s="10">
        <f>IF(AND(B724="",C724=""),"",IF(G724&lt;&gt;"","Void",IF(OR(B724="",E724=""),"Needs child",IF(D724="","Needs level","OK"))))</f>
        <v/>
      </c>
    </row>
    <row r="725">
      <c r="A725" s="6" t="n"/>
      <c r="B725" s="6" t="n"/>
      <c r="C725" s="6" t="n"/>
      <c r="D725" s="11">
        <f>IF(C725="","",IFERROR(INDEX(Levels!$A$2:$A$30,MATCH(C725,Levels!$B$2:$B$30,0)),""))</f>
        <v/>
      </c>
      <c r="E725" s="10">
        <f>IF(B725="","",IFERROR(INDEX(Roster!$A$2:$A$600,MATCH(B725,Roster!$E$2:$E$600,0)),""))</f>
        <v/>
      </c>
      <c r="F725" s="10">
        <f>IF(C725="","",IFERROR(INDEX(Levels!$C$2:$C$30,MATCH(C725,Levels!$B$2:$B$30,0)),""))</f>
        <v/>
      </c>
      <c r="G725" s="6" t="n"/>
      <c r="H725" s="10">
        <f>IF(AND(B725="",C725=""),"",IF(G725&lt;&gt;"","Void",IF(OR(B725="",E725=""),"Needs child",IF(D725="","Needs level","OK"))))</f>
        <v/>
      </c>
    </row>
    <row r="726">
      <c r="A726" s="6" t="n"/>
      <c r="B726" s="6" t="n"/>
      <c r="C726" s="6" t="n"/>
      <c r="D726" s="11">
        <f>IF(C726="","",IFERROR(INDEX(Levels!$A$2:$A$30,MATCH(C726,Levels!$B$2:$B$30,0)),""))</f>
        <v/>
      </c>
      <c r="E726" s="10">
        <f>IF(B726="","",IFERROR(INDEX(Roster!$A$2:$A$600,MATCH(B726,Roster!$E$2:$E$600,0)),""))</f>
        <v/>
      </c>
      <c r="F726" s="10">
        <f>IF(C726="","",IFERROR(INDEX(Levels!$C$2:$C$30,MATCH(C726,Levels!$B$2:$B$30,0)),""))</f>
        <v/>
      </c>
      <c r="G726" s="6" t="n"/>
      <c r="H726" s="10">
        <f>IF(AND(B726="",C726=""),"",IF(G726&lt;&gt;"","Void",IF(OR(B726="",E726=""),"Needs child",IF(D726="","Needs level","OK"))))</f>
        <v/>
      </c>
    </row>
    <row r="727">
      <c r="A727" s="6" t="n"/>
      <c r="B727" s="6" t="n"/>
      <c r="C727" s="6" t="n"/>
      <c r="D727" s="11">
        <f>IF(C727="","",IFERROR(INDEX(Levels!$A$2:$A$30,MATCH(C727,Levels!$B$2:$B$30,0)),""))</f>
        <v/>
      </c>
      <c r="E727" s="10">
        <f>IF(B727="","",IFERROR(INDEX(Roster!$A$2:$A$600,MATCH(B727,Roster!$E$2:$E$600,0)),""))</f>
        <v/>
      </c>
      <c r="F727" s="10">
        <f>IF(C727="","",IFERROR(INDEX(Levels!$C$2:$C$30,MATCH(C727,Levels!$B$2:$B$30,0)),""))</f>
        <v/>
      </c>
      <c r="G727" s="6" t="n"/>
      <c r="H727" s="10">
        <f>IF(AND(B727="",C727=""),"",IF(G727&lt;&gt;"","Void",IF(OR(B727="",E727=""),"Needs child",IF(D727="","Needs level","OK"))))</f>
        <v/>
      </c>
    </row>
    <row r="728">
      <c r="A728" s="6" t="n"/>
      <c r="B728" s="6" t="n"/>
      <c r="C728" s="6" t="n"/>
      <c r="D728" s="11">
        <f>IF(C728="","",IFERROR(INDEX(Levels!$A$2:$A$30,MATCH(C728,Levels!$B$2:$B$30,0)),""))</f>
        <v/>
      </c>
      <c r="E728" s="10">
        <f>IF(B728="","",IFERROR(INDEX(Roster!$A$2:$A$600,MATCH(B728,Roster!$E$2:$E$600,0)),""))</f>
        <v/>
      </c>
      <c r="F728" s="10">
        <f>IF(C728="","",IFERROR(INDEX(Levels!$C$2:$C$30,MATCH(C728,Levels!$B$2:$B$30,0)),""))</f>
        <v/>
      </c>
      <c r="G728" s="6" t="n"/>
      <c r="H728" s="10">
        <f>IF(AND(B728="",C728=""),"",IF(G728&lt;&gt;"","Void",IF(OR(B728="",E728=""),"Needs child",IF(D728="","Needs level","OK"))))</f>
        <v/>
      </c>
    </row>
    <row r="729">
      <c r="A729" s="6" t="n"/>
      <c r="B729" s="6" t="n"/>
      <c r="C729" s="6" t="n"/>
      <c r="D729" s="11">
        <f>IF(C729="","",IFERROR(INDEX(Levels!$A$2:$A$30,MATCH(C729,Levels!$B$2:$B$30,0)),""))</f>
        <v/>
      </c>
      <c r="E729" s="10">
        <f>IF(B729="","",IFERROR(INDEX(Roster!$A$2:$A$600,MATCH(B729,Roster!$E$2:$E$600,0)),""))</f>
        <v/>
      </c>
      <c r="F729" s="10">
        <f>IF(C729="","",IFERROR(INDEX(Levels!$C$2:$C$30,MATCH(C729,Levels!$B$2:$B$30,0)),""))</f>
        <v/>
      </c>
      <c r="G729" s="6" t="n"/>
      <c r="H729" s="10">
        <f>IF(AND(B729="",C729=""),"",IF(G729&lt;&gt;"","Void",IF(OR(B729="",E729=""),"Needs child",IF(D729="","Needs level","OK"))))</f>
        <v/>
      </c>
    </row>
    <row r="730">
      <c r="A730" s="6" t="n"/>
      <c r="B730" s="6" t="n"/>
      <c r="C730" s="6" t="n"/>
      <c r="D730" s="11">
        <f>IF(C730="","",IFERROR(INDEX(Levels!$A$2:$A$30,MATCH(C730,Levels!$B$2:$B$30,0)),""))</f>
        <v/>
      </c>
      <c r="E730" s="10">
        <f>IF(B730="","",IFERROR(INDEX(Roster!$A$2:$A$600,MATCH(B730,Roster!$E$2:$E$600,0)),""))</f>
        <v/>
      </c>
      <c r="F730" s="10">
        <f>IF(C730="","",IFERROR(INDEX(Levels!$C$2:$C$30,MATCH(C730,Levels!$B$2:$B$30,0)),""))</f>
        <v/>
      </c>
      <c r="G730" s="6" t="n"/>
      <c r="H730" s="10">
        <f>IF(AND(B730="",C730=""),"",IF(G730&lt;&gt;"","Void",IF(OR(B730="",E730=""),"Needs child",IF(D730="","Needs level","OK"))))</f>
        <v/>
      </c>
    </row>
    <row r="731">
      <c r="A731" s="6" t="n"/>
      <c r="B731" s="6" t="n"/>
      <c r="C731" s="6" t="n"/>
      <c r="D731" s="11">
        <f>IF(C731="","",IFERROR(INDEX(Levels!$A$2:$A$30,MATCH(C731,Levels!$B$2:$B$30,0)),""))</f>
        <v/>
      </c>
      <c r="E731" s="10">
        <f>IF(B731="","",IFERROR(INDEX(Roster!$A$2:$A$600,MATCH(B731,Roster!$E$2:$E$600,0)),""))</f>
        <v/>
      </c>
      <c r="F731" s="10">
        <f>IF(C731="","",IFERROR(INDEX(Levels!$C$2:$C$30,MATCH(C731,Levels!$B$2:$B$30,0)),""))</f>
        <v/>
      </c>
      <c r="G731" s="6" t="n"/>
      <c r="H731" s="10">
        <f>IF(AND(B731="",C731=""),"",IF(G731&lt;&gt;"","Void",IF(OR(B731="",E731=""),"Needs child",IF(D731="","Needs level","OK"))))</f>
        <v/>
      </c>
    </row>
    <row r="732">
      <c r="A732" s="6" t="n"/>
      <c r="B732" s="6" t="n"/>
      <c r="C732" s="6" t="n"/>
      <c r="D732" s="11">
        <f>IF(C732="","",IFERROR(INDEX(Levels!$A$2:$A$30,MATCH(C732,Levels!$B$2:$B$30,0)),""))</f>
        <v/>
      </c>
      <c r="E732" s="10">
        <f>IF(B732="","",IFERROR(INDEX(Roster!$A$2:$A$600,MATCH(B732,Roster!$E$2:$E$600,0)),""))</f>
        <v/>
      </c>
      <c r="F732" s="10">
        <f>IF(C732="","",IFERROR(INDEX(Levels!$C$2:$C$30,MATCH(C732,Levels!$B$2:$B$30,0)),""))</f>
        <v/>
      </c>
      <c r="G732" s="6" t="n"/>
      <c r="H732" s="10">
        <f>IF(AND(B732="",C732=""),"",IF(G732&lt;&gt;"","Void",IF(OR(B732="",E732=""),"Needs child",IF(D732="","Needs level","OK"))))</f>
        <v/>
      </c>
    </row>
    <row r="733">
      <c r="A733" s="6" t="n"/>
      <c r="B733" s="6" t="n"/>
      <c r="C733" s="6" t="n"/>
      <c r="D733" s="11">
        <f>IF(C733="","",IFERROR(INDEX(Levels!$A$2:$A$30,MATCH(C733,Levels!$B$2:$B$30,0)),""))</f>
        <v/>
      </c>
      <c r="E733" s="10">
        <f>IF(B733="","",IFERROR(INDEX(Roster!$A$2:$A$600,MATCH(B733,Roster!$E$2:$E$600,0)),""))</f>
        <v/>
      </c>
      <c r="F733" s="10">
        <f>IF(C733="","",IFERROR(INDEX(Levels!$C$2:$C$30,MATCH(C733,Levels!$B$2:$B$30,0)),""))</f>
        <v/>
      </c>
      <c r="G733" s="6" t="n"/>
      <c r="H733" s="10">
        <f>IF(AND(B733="",C733=""),"",IF(G733&lt;&gt;"","Void",IF(OR(B733="",E733=""),"Needs child",IF(D733="","Needs level","OK"))))</f>
        <v/>
      </c>
    </row>
    <row r="734">
      <c r="A734" s="6" t="n"/>
      <c r="B734" s="6" t="n"/>
      <c r="C734" s="6" t="n"/>
      <c r="D734" s="11">
        <f>IF(C734="","",IFERROR(INDEX(Levels!$A$2:$A$30,MATCH(C734,Levels!$B$2:$B$30,0)),""))</f>
        <v/>
      </c>
      <c r="E734" s="10">
        <f>IF(B734="","",IFERROR(INDEX(Roster!$A$2:$A$600,MATCH(B734,Roster!$E$2:$E$600,0)),""))</f>
        <v/>
      </c>
      <c r="F734" s="10">
        <f>IF(C734="","",IFERROR(INDEX(Levels!$C$2:$C$30,MATCH(C734,Levels!$B$2:$B$30,0)),""))</f>
        <v/>
      </c>
      <c r="G734" s="6" t="n"/>
      <c r="H734" s="10">
        <f>IF(AND(B734="",C734=""),"",IF(G734&lt;&gt;"","Void",IF(OR(B734="",E734=""),"Needs child",IF(D734="","Needs level","OK"))))</f>
        <v/>
      </c>
    </row>
    <row r="735">
      <c r="A735" s="6" t="n"/>
      <c r="B735" s="6" t="n"/>
      <c r="C735" s="6" t="n"/>
      <c r="D735" s="11">
        <f>IF(C735="","",IFERROR(INDEX(Levels!$A$2:$A$30,MATCH(C735,Levels!$B$2:$B$30,0)),""))</f>
        <v/>
      </c>
      <c r="E735" s="10">
        <f>IF(B735="","",IFERROR(INDEX(Roster!$A$2:$A$600,MATCH(B735,Roster!$E$2:$E$600,0)),""))</f>
        <v/>
      </c>
      <c r="F735" s="10">
        <f>IF(C735="","",IFERROR(INDEX(Levels!$C$2:$C$30,MATCH(C735,Levels!$B$2:$B$30,0)),""))</f>
        <v/>
      </c>
      <c r="G735" s="6" t="n"/>
      <c r="H735" s="10">
        <f>IF(AND(B735="",C735=""),"",IF(G735&lt;&gt;"","Void",IF(OR(B735="",E735=""),"Needs child",IF(D735="","Needs level","OK"))))</f>
        <v/>
      </c>
    </row>
    <row r="736">
      <c r="A736" s="6" t="n"/>
      <c r="B736" s="6" t="n"/>
      <c r="C736" s="6" t="n"/>
      <c r="D736" s="11">
        <f>IF(C736="","",IFERROR(INDEX(Levels!$A$2:$A$30,MATCH(C736,Levels!$B$2:$B$30,0)),""))</f>
        <v/>
      </c>
      <c r="E736" s="10">
        <f>IF(B736="","",IFERROR(INDEX(Roster!$A$2:$A$600,MATCH(B736,Roster!$E$2:$E$600,0)),""))</f>
        <v/>
      </c>
      <c r="F736" s="10">
        <f>IF(C736="","",IFERROR(INDEX(Levels!$C$2:$C$30,MATCH(C736,Levels!$B$2:$B$30,0)),""))</f>
        <v/>
      </c>
      <c r="G736" s="6" t="n"/>
      <c r="H736" s="10">
        <f>IF(AND(B736="",C736=""),"",IF(G736&lt;&gt;"","Void",IF(OR(B736="",E736=""),"Needs child",IF(D736="","Needs level","OK"))))</f>
        <v/>
      </c>
    </row>
    <row r="737">
      <c r="A737" s="6" t="n"/>
      <c r="B737" s="6" t="n"/>
      <c r="C737" s="6" t="n"/>
      <c r="D737" s="11">
        <f>IF(C737="","",IFERROR(INDEX(Levels!$A$2:$A$30,MATCH(C737,Levels!$B$2:$B$30,0)),""))</f>
        <v/>
      </c>
      <c r="E737" s="10">
        <f>IF(B737="","",IFERROR(INDEX(Roster!$A$2:$A$600,MATCH(B737,Roster!$E$2:$E$600,0)),""))</f>
        <v/>
      </c>
      <c r="F737" s="10">
        <f>IF(C737="","",IFERROR(INDEX(Levels!$C$2:$C$30,MATCH(C737,Levels!$B$2:$B$30,0)),""))</f>
        <v/>
      </c>
      <c r="G737" s="6" t="n"/>
      <c r="H737" s="10">
        <f>IF(AND(B737="",C737=""),"",IF(G737&lt;&gt;"","Void",IF(OR(B737="",E737=""),"Needs child",IF(D737="","Needs level","OK"))))</f>
        <v/>
      </c>
    </row>
    <row r="738">
      <c r="A738" s="6" t="n"/>
      <c r="B738" s="6" t="n"/>
      <c r="C738" s="6" t="n"/>
      <c r="D738" s="11">
        <f>IF(C738="","",IFERROR(INDEX(Levels!$A$2:$A$30,MATCH(C738,Levels!$B$2:$B$30,0)),""))</f>
        <v/>
      </c>
      <c r="E738" s="10">
        <f>IF(B738="","",IFERROR(INDEX(Roster!$A$2:$A$600,MATCH(B738,Roster!$E$2:$E$600,0)),""))</f>
        <v/>
      </c>
      <c r="F738" s="10">
        <f>IF(C738="","",IFERROR(INDEX(Levels!$C$2:$C$30,MATCH(C738,Levels!$B$2:$B$30,0)),""))</f>
        <v/>
      </c>
      <c r="G738" s="6" t="n"/>
      <c r="H738" s="10">
        <f>IF(AND(B738="",C738=""),"",IF(G738&lt;&gt;"","Void",IF(OR(B738="",E738=""),"Needs child",IF(D738="","Needs level","OK"))))</f>
        <v/>
      </c>
    </row>
    <row r="739">
      <c r="A739" s="6" t="n"/>
      <c r="B739" s="6" t="n"/>
      <c r="C739" s="6" t="n"/>
      <c r="D739" s="11">
        <f>IF(C739="","",IFERROR(INDEX(Levels!$A$2:$A$30,MATCH(C739,Levels!$B$2:$B$30,0)),""))</f>
        <v/>
      </c>
      <c r="E739" s="10">
        <f>IF(B739="","",IFERROR(INDEX(Roster!$A$2:$A$600,MATCH(B739,Roster!$E$2:$E$600,0)),""))</f>
        <v/>
      </c>
      <c r="F739" s="10">
        <f>IF(C739="","",IFERROR(INDEX(Levels!$C$2:$C$30,MATCH(C739,Levels!$B$2:$B$30,0)),""))</f>
        <v/>
      </c>
      <c r="G739" s="6" t="n"/>
      <c r="H739" s="10">
        <f>IF(AND(B739="",C739=""),"",IF(G739&lt;&gt;"","Void",IF(OR(B739="",E739=""),"Needs child",IF(D739="","Needs level","OK"))))</f>
        <v/>
      </c>
    </row>
    <row r="740">
      <c r="A740" s="6" t="n"/>
      <c r="B740" s="6" t="n"/>
      <c r="C740" s="6" t="n"/>
      <c r="D740" s="11">
        <f>IF(C740="","",IFERROR(INDEX(Levels!$A$2:$A$30,MATCH(C740,Levels!$B$2:$B$30,0)),""))</f>
        <v/>
      </c>
      <c r="E740" s="10">
        <f>IF(B740="","",IFERROR(INDEX(Roster!$A$2:$A$600,MATCH(B740,Roster!$E$2:$E$600,0)),""))</f>
        <v/>
      </c>
      <c r="F740" s="10">
        <f>IF(C740="","",IFERROR(INDEX(Levels!$C$2:$C$30,MATCH(C740,Levels!$B$2:$B$30,0)),""))</f>
        <v/>
      </c>
      <c r="G740" s="6" t="n"/>
      <c r="H740" s="10">
        <f>IF(AND(B740="",C740=""),"",IF(G740&lt;&gt;"","Void",IF(OR(B740="",E740=""),"Needs child",IF(D740="","Needs level","OK"))))</f>
        <v/>
      </c>
    </row>
    <row r="741">
      <c r="A741" s="6" t="n"/>
      <c r="B741" s="6" t="n"/>
      <c r="C741" s="6" t="n"/>
      <c r="D741" s="11">
        <f>IF(C741="","",IFERROR(INDEX(Levels!$A$2:$A$30,MATCH(C741,Levels!$B$2:$B$30,0)),""))</f>
        <v/>
      </c>
      <c r="E741" s="10">
        <f>IF(B741="","",IFERROR(INDEX(Roster!$A$2:$A$600,MATCH(B741,Roster!$E$2:$E$600,0)),""))</f>
        <v/>
      </c>
      <c r="F741" s="10">
        <f>IF(C741="","",IFERROR(INDEX(Levels!$C$2:$C$30,MATCH(C741,Levels!$B$2:$B$30,0)),""))</f>
        <v/>
      </c>
      <c r="G741" s="6" t="n"/>
      <c r="H741" s="10">
        <f>IF(AND(B741="",C741=""),"",IF(G741&lt;&gt;"","Void",IF(OR(B741="",E741=""),"Needs child",IF(D741="","Needs level","OK"))))</f>
        <v/>
      </c>
    </row>
    <row r="742">
      <c r="A742" s="6" t="n"/>
      <c r="B742" s="6" t="n"/>
      <c r="C742" s="6" t="n"/>
      <c r="D742" s="11">
        <f>IF(C742="","",IFERROR(INDEX(Levels!$A$2:$A$30,MATCH(C742,Levels!$B$2:$B$30,0)),""))</f>
        <v/>
      </c>
      <c r="E742" s="10">
        <f>IF(B742="","",IFERROR(INDEX(Roster!$A$2:$A$600,MATCH(B742,Roster!$E$2:$E$600,0)),""))</f>
        <v/>
      </c>
      <c r="F742" s="10">
        <f>IF(C742="","",IFERROR(INDEX(Levels!$C$2:$C$30,MATCH(C742,Levels!$B$2:$B$30,0)),""))</f>
        <v/>
      </c>
      <c r="G742" s="6" t="n"/>
      <c r="H742" s="10">
        <f>IF(AND(B742="",C742=""),"",IF(G742&lt;&gt;"","Void",IF(OR(B742="",E742=""),"Needs child",IF(D742="","Needs level","OK"))))</f>
        <v/>
      </c>
    </row>
    <row r="743">
      <c r="A743" s="6" t="n"/>
      <c r="B743" s="6" t="n"/>
      <c r="C743" s="6" t="n"/>
      <c r="D743" s="11">
        <f>IF(C743="","",IFERROR(INDEX(Levels!$A$2:$A$30,MATCH(C743,Levels!$B$2:$B$30,0)),""))</f>
        <v/>
      </c>
      <c r="E743" s="10">
        <f>IF(B743="","",IFERROR(INDEX(Roster!$A$2:$A$600,MATCH(B743,Roster!$E$2:$E$600,0)),""))</f>
        <v/>
      </c>
      <c r="F743" s="10">
        <f>IF(C743="","",IFERROR(INDEX(Levels!$C$2:$C$30,MATCH(C743,Levels!$B$2:$B$30,0)),""))</f>
        <v/>
      </c>
      <c r="G743" s="6" t="n"/>
      <c r="H743" s="10">
        <f>IF(AND(B743="",C743=""),"",IF(G743&lt;&gt;"","Void",IF(OR(B743="",E743=""),"Needs child",IF(D743="","Needs level","OK"))))</f>
        <v/>
      </c>
    </row>
    <row r="744">
      <c r="A744" s="6" t="n"/>
      <c r="B744" s="6" t="n"/>
      <c r="C744" s="6" t="n"/>
      <c r="D744" s="11">
        <f>IF(C744="","",IFERROR(INDEX(Levels!$A$2:$A$30,MATCH(C744,Levels!$B$2:$B$30,0)),""))</f>
        <v/>
      </c>
      <c r="E744" s="10">
        <f>IF(B744="","",IFERROR(INDEX(Roster!$A$2:$A$600,MATCH(B744,Roster!$E$2:$E$600,0)),""))</f>
        <v/>
      </c>
      <c r="F744" s="10">
        <f>IF(C744="","",IFERROR(INDEX(Levels!$C$2:$C$30,MATCH(C744,Levels!$B$2:$B$30,0)),""))</f>
        <v/>
      </c>
      <c r="G744" s="6" t="n"/>
      <c r="H744" s="10">
        <f>IF(AND(B744="",C744=""),"",IF(G744&lt;&gt;"","Void",IF(OR(B744="",E744=""),"Needs child",IF(D744="","Needs level","OK"))))</f>
        <v/>
      </c>
    </row>
    <row r="745">
      <c r="A745" s="6" t="n"/>
      <c r="B745" s="6" t="n"/>
      <c r="C745" s="6" t="n"/>
      <c r="D745" s="11">
        <f>IF(C745="","",IFERROR(INDEX(Levels!$A$2:$A$30,MATCH(C745,Levels!$B$2:$B$30,0)),""))</f>
        <v/>
      </c>
      <c r="E745" s="10">
        <f>IF(B745="","",IFERROR(INDEX(Roster!$A$2:$A$600,MATCH(B745,Roster!$E$2:$E$600,0)),""))</f>
        <v/>
      </c>
      <c r="F745" s="10">
        <f>IF(C745="","",IFERROR(INDEX(Levels!$C$2:$C$30,MATCH(C745,Levels!$B$2:$B$30,0)),""))</f>
        <v/>
      </c>
      <c r="G745" s="6" t="n"/>
      <c r="H745" s="10">
        <f>IF(AND(B745="",C745=""),"",IF(G745&lt;&gt;"","Void",IF(OR(B745="",E745=""),"Needs child",IF(D745="","Needs level","OK"))))</f>
        <v/>
      </c>
    </row>
    <row r="746">
      <c r="A746" s="6" t="n"/>
      <c r="B746" s="6" t="n"/>
      <c r="C746" s="6" t="n"/>
      <c r="D746" s="11">
        <f>IF(C746="","",IFERROR(INDEX(Levels!$A$2:$A$30,MATCH(C746,Levels!$B$2:$B$30,0)),""))</f>
        <v/>
      </c>
      <c r="E746" s="10">
        <f>IF(B746="","",IFERROR(INDEX(Roster!$A$2:$A$600,MATCH(B746,Roster!$E$2:$E$600,0)),""))</f>
        <v/>
      </c>
      <c r="F746" s="10">
        <f>IF(C746="","",IFERROR(INDEX(Levels!$C$2:$C$30,MATCH(C746,Levels!$B$2:$B$30,0)),""))</f>
        <v/>
      </c>
      <c r="G746" s="6" t="n"/>
      <c r="H746" s="10">
        <f>IF(AND(B746="",C746=""),"",IF(G746&lt;&gt;"","Void",IF(OR(B746="",E746=""),"Needs child",IF(D746="","Needs level","OK"))))</f>
        <v/>
      </c>
    </row>
    <row r="747">
      <c r="A747" s="6" t="n"/>
      <c r="B747" s="6" t="n"/>
      <c r="C747" s="6" t="n"/>
      <c r="D747" s="11">
        <f>IF(C747="","",IFERROR(INDEX(Levels!$A$2:$A$30,MATCH(C747,Levels!$B$2:$B$30,0)),""))</f>
        <v/>
      </c>
      <c r="E747" s="10">
        <f>IF(B747="","",IFERROR(INDEX(Roster!$A$2:$A$600,MATCH(B747,Roster!$E$2:$E$600,0)),""))</f>
        <v/>
      </c>
      <c r="F747" s="10">
        <f>IF(C747="","",IFERROR(INDEX(Levels!$C$2:$C$30,MATCH(C747,Levels!$B$2:$B$30,0)),""))</f>
        <v/>
      </c>
      <c r="G747" s="6" t="n"/>
      <c r="H747" s="10">
        <f>IF(AND(B747="",C747=""),"",IF(G747&lt;&gt;"","Void",IF(OR(B747="",E747=""),"Needs child",IF(D747="","Needs level","OK"))))</f>
        <v/>
      </c>
    </row>
    <row r="748">
      <c r="A748" s="6" t="n"/>
      <c r="B748" s="6" t="n"/>
      <c r="C748" s="6" t="n"/>
      <c r="D748" s="11">
        <f>IF(C748="","",IFERROR(INDEX(Levels!$A$2:$A$30,MATCH(C748,Levels!$B$2:$B$30,0)),""))</f>
        <v/>
      </c>
      <c r="E748" s="10">
        <f>IF(B748="","",IFERROR(INDEX(Roster!$A$2:$A$600,MATCH(B748,Roster!$E$2:$E$600,0)),""))</f>
        <v/>
      </c>
      <c r="F748" s="10">
        <f>IF(C748="","",IFERROR(INDEX(Levels!$C$2:$C$30,MATCH(C748,Levels!$B$2:$B$30,0)),""))</f>
        <v/>
      </c>
      <c r="G748" s="6" t="n"/>
      <c r="H748" s="10">
        <f>IF(AND(B748="",C748=""),"",IF(G748&lt;&gt;"","Void",IF(OR(B748="",E748=""),"Needs child",IF(D748="","Needs level","OK"))))</f>
        <v/>
      </c>
    </row>
    <row r="749">
      <c r="A749" s="6" t="n"/>
      <c r="B749" s="6" t="n"/>
      <c r="C749" s="6" t="n"/>
      <c r="D749" s="11">
        <f>IF(C749="","",IFERROR(INDEX(Levels!$A$2:$A$30,MATCH(C749,Levels!$B$2:$B$30,0)),""))</f>
        <v/>
      </c>
      <c r="E749" s="10">
        <f>IF(B749="","",IFERROR(INDEX(Roster!$A$2:$A$600,MATCH(B749,Roster!$E$2:$E$600,0)),""))</f>
        <v/>
      </c>
      <c r="F749" s="10">
        <f>IF(C749="","",IFERROR(INDEX(Levels!$C$2:$C$30,MATCH(C749,Levels!$B$2:$B$30,0)),""))</f>
        <v/>
      </c>
      <c r="G749" s="6" t="n"/>
      <c r="H749" s="10">
        <f>IF(AND(B749="",C749=""),"",IF(G749&lt;&gt;"","Void",IF(OR(B749="",E749=""),"Needs child",IF(D749="","Needs level","OK"))))</f>
        <v/>
      </c>
    </row>
    <row r="750">
      <c r="A750" s="6" t="n"/>
      <c r="B750" s="6" t="n"/>
      <c r="C750" s="6" t="n"/>
      <c r="D750" s="11">
        <f>IF(C750="","",IFERROR(INDEX(Levels!$A$2:$A$30,MATCH(C750,Levels!$B$2:$B$30,0)),""))</f>
        <v/>
      </c>
      <c r="E750" s="10">
        <f>IF(B750="","",IFERROR(INDEX(Roster!$A$2:$A$600,MATCH(B750,Roster!$E$2:$E$600,0)),""))</f>
        <v/>
      </c>
      <c r="F750" s="10">
        <f>IF(C750="","",IFERROR(INDEX(Levels!$C$2:$C$30,MATCH(C750,Levels!$B$2:$B$30,0)),""))</f>
        <v/>
      </c>
      <c r="G750" s="6" t="n"/>
      <c r="H750" s="10">
        <f>IF(AND(B750="",C750=""),"",IF(G750&lt;&gt;"","Void",IF(OR(B750="",E750=""),"Needs child",IF(D750="","Needs level","OK"))))</f>
        <v/>
      </c>
    </row>
    <row r="751">
      <c r="A751" s="6" t="n"/>
      <c r="B751" s="6" t="n"/>
      <c r="C751" s="6" t="n"/>
      <c r="D751" s="11">
        <f>IF(C751="","",IFERROR(INDEX(Levels!$A$2:$A$30,MATCH(C751,Levels!$B$2:$B$30,0)),""))</f>
        <v/>
      </c>
      <c r="E751" s="10">
        <f>IF(B751="","",IFERROR(INDEX(Roster!$A$2:$A$600,MATCH(B751,Roster!$E$2:$E$600,0)),""))</f>
        <v/>
      </c>
      <c r="F751" s="10">
        <f>IF(C751="","",IFERROR(INDEX(Levels!$C$2:$C$30,MATCH(C751,Levels!$B$2:$B$30,0)),""))</f>
        <v/>
      </c>
      <c r="G751" s="6" t="n"/>
      <c r="H751" s="10">
        <f>IF(AND(B751="",C751=""),"",IF(G751&lt;&gt;"","Void",IF(OR(B751="",E751=""),"Needs child",IF(D751="","Needs level","OK"))))</f>
        <v/>
      </c>
    </row>
    <row r="752">
      <c r="A752" s="6" t="n"/>
      <c r="B752" s="6" t="n"/>
      <c r="C752" s="6" t="n"/>
      <c r="D752" s="11">
        <f>IF(C752="","",IFERROR(INDEX(Levels!$A$2:$A$30,MATCH(C752,Levels!$B$2:$B$30,0)),""))</f>
        <v/>
      </c>
      <c r="E752" s="10">
        <f>IF(B752="","",IFERROR(INDEX(Roster!$A$2:$A$600,MATCH(B752,Roster!$E$2:$E$600,0)),""))</f>
        <v/>
      </c>
      <c r="F752" s="10">
        <f>IF(C752="","",IFERROR(INDEX(Levels!$C$2:$C$30,MATCH(C752,Levels!$B$2:$B$30,0)),""))</f>
        <v/>
      </c>
      <c r="G752" s="6" t="n"/>
      <c r="H752" s="10">
        <f>IF(AND(B752="",C752=""),"",IF(G752&lt;&gt;"","Void",IF(OR(B752="",E752=""),"Needs child",IF(D752="","Needs level","OK"))))</f>
        <v/>
      </c>
    </row>
    <row r="753">
      <c r="A753" s="6" t="n"/>
      <c r="B753" s="6" t="n"/>
      <c r="C753" s="6" t="n"/>
      <c r="D753" s="11">
        <f>IF(C753="","",IFERROR(INDEX(Levels!$A$2:$A$30,MATCH(C753,Levels!$B$2:$B$30,0)),""))</f>
        <v/>
      </c>
      <c r="E753" s="10">
        <f>IF(B753="","",IFERROR(INDEX(Roster!$A$2:$A$600,MATCH(B753,Roster!$E$2:$E$600,0)),""))</f>
        <v/>
      </c>
      <c r="F753" s="10">
        <f>IF(C753="","",IFERROR(INDEX(Levels!$C$2:$C$30,MATCH(C753,Levels!$B$2:$B$30,0)),""))</f>
        <v/>
      </c>
      <c r="G753" s="6" t="n"/>
      <c r="H753" s="10">
        <f>IF(AND(B753="",C753=""),"",IF(G753&lt;&gt;"","Void",IF(OR(B753="",E753=""),"Needs child",IF(D753="","Needs level","OK"))))</f>
        <v/>
      </c>
    </row>
    <row r="754">
      <c r="A754" s="6" t="n"/>
      <c r="B754" s="6" t="n"/>
      <c r="C754" s="6" t="n"/>
      <c r="D754" s="11">
        <f>IF(C754="","",IFERROR(INDEX(Levels!$A$2:$A$30,MATCH(C754,Levels!$B$2:$B$30,0)),""))</f>
        <v/>
      </c>
      <c r="E754" s="10">
        <f>IF(B754="","",IFERROR(INDEX(Roster!$A$2:$A$600,MATCH(B754,Roster!$E$2:$E$600,0)),""))</f>
        <v/>
      </c>
      <c r="F754" s="10">
        <f>IF(C754="","",IFERROR(INDEX(Levels!$C$2:$C$30,MATCH(C754,Levels!$B$2:$B$30,0)),""))</f>
        <v/>
      </c>
      <c r="G754" s="6" t="n"/>
      <c r="H754" s="10">
        <f>IF(AND(B754="",C754=""),"",IF(G754&lt;&gt;"","Void",IF(OR(B754="",E754=""),"Needs child",IF(D754="","Needs level","OK"))))</f>
        <v/>
      </c>
    </row>
    <row r="755">
      <c r="A755" s="6" t="n"/>
      <c r="B755" s="6" t="n"/>
      <c r="C755" s="6" t="n"/>
      <c r="D755" s="11">
        <f>IF(C755="","",IFERROR(INDEX(Levels!$A$2:$A$30,MATCH(C755,Levels!$B$2:$B$30,0)),""))</f>
        <v/>
      </c>
      <c r="E755" s="10">
        <f>IF(B755="","",IFERROR(INDEX(Roster!$A$2:$A$600,MATCH(B755,Roster!$E$2:$E$600,0)),""))</f>
        <v/>
      </c>
      <c r="F755" s="10">
        <f>IF(C755="","",IFERROR(INDEX(Levels!$C$2:$C$30,MATCH(C755,Levels!$B$2:$B$30,0)),""))</f>
        <v/>
      </c>
      <c r="G755" s="6" t="n"/>
      <c r="H755" s="10">
        <f>IF(AND(B755="",C755=""),"",IF(G755&lt;&gt;"","Void",IF(OR(B755="",E755=""),"Needs child",IF(D755="","Needs level","OK"))))</f>
        <v/>
      </c>
    </row>
    <row r="756">
      <c r="A756" s="6" t="n"/>
      <c r="B756" s="6" t="n"/>
      <c r="C756" s="6" t="n"/>
      <c r="D756" s="11">
        <f>IF(C756="","",IFERROR(INDEX(Levels!$A$2:$A$30,MATCH(C756,Levels!$B$2:$B$30,0)),""))</f>
        <v/>
      </c>
      <c r="E756" s="10">
        <f>IF(B756="","",IFERROR(INDEX(Roster!$A$2:$A$600,MATCH(B756,Roster!$E$2:$E$600,0)),""))</f>
        <v/>
      </c>
      <c r="F756" s="10">
        <f>IF(C756="","",IFERROR(INDEX(Levels!$C$2:$C$30,MATCH(C756,Levels!$B$2:$B$30,0)),""))</f>
        <v/>
      </c>
      <c r="G756" s="6" t="n"/>
      <c r="H756" s="10">
        <f>IF(AND(B756="",C756=""),"",IF(G756&lt;&gt;"","Void",IF(OR(B756="",E756=""),"Needs child",IF(D756="","Needs level","OK"))))</f>
        <v/>
      </c>
    </row>
    <row r="757">
      <c r="A757" s="6" t="n"/>
      <c r="B757" s="6" t="n"/>
      <c r="C757" s="6" t="n"/>
      <c r="D757" s="11">
        <f>IF(C757="","",IFERROR(INDEX(Levels!$A$2:$A$30,MATCH(C757,Levels!$B$2:$B$30,0)),""))</f>
        <v/>
      </c>
      <c r="E757" s="10">
        <f>IF(B757="","",IFERROR(INDEX(Roster!$A$2:$A$600,MATCH(B757,Roster!$E$2:$E$600,0)),""))</f>
        <v/>
      </c>
      <c r="F757" s="10">
        <f>IF(C757="","",IFERROR(INDEX(Levels!$C$2:$C$30,MATCH(C757,Levels!$B$2:$B$30,0)),""))</f>
        <v/>
      </c>
      <c r="G757" s="6" t="n"/>
      <c r="H757" s="10">
        <f>IF(AND(B757="",C757=""),"",IF(G757&lt;&gt;"","Void",IF(OR(B757="",E757=""),"Needs child",IF(D757="","Needs level","OK"))))</f>
        <v/>
      </c>
    </row>
    <row r="758">
      <c r="A758" s="6" t="n"/>
      <c r="B758" s="6" t="n"/>
      <c r="C758" s="6" t="n"/>
      <c r="D758" s="11">
        <f>IF(C758="","",IFERROR(INDEX(Levels!$A$2:$A$30,MATCH(C758,Levels!$B$2:$B$30,0)),""))</f>
        <v/>
      </c>
      <c r="E758" s="10">
        <f>IF(B758="","",IFERROR(INDEX(Roster!$A$2:$A$600,MATCH(B758,Roster!$E$2:$E$600,0)),""))</f>
        <v/>
      </c>
      <c r="F758" s="10">
        <f>IF(C758="","",IFERROR(INDEX(Levels!$C$2:$C$30,MATCH(C758,Levels!$B$2:$B$30,0)),""))</f>
        <v/>
      </c>
      <c r="G758" s="6" t="n"/>
      <c r="H758" s="10">
        <f>IF(AND(B758="",C758=""),"",IF(G758&lt;&gt;"","Void",IF(OR(B758="",E758=""),"Needs child",IF(D758="","Needs level","OK"))))</f>
        <v/>
      </c>
    </row>
    <row r="759">
      <c r="A759" s="6" t="n"/>
      <c r="B759" s="6" t="n"/>
      <c r="C759" s="6" t="n"/>
      <c r="D759" s="11">
        <f>IF(C759="","",IFERROR(INDEX(Levels!$A$2:$A$30,MATCH(C759,Levels!$B$2:$B$30,0)),""))</f>
        <v/>
      </c>
      <c r="E759" s="10">
        <f>IF(B759="","",IFERROR(INDEX(Roster!$A$2:$A$600,MATCH(B759,Roster!$E$2:$E$600,0)),""))</f>
        <v/>
      </c>
      <c r="F759" s="10">
        <f>IF(C759="","",IFERROR(INDEX(Levels!$C$2:$C$30,MATCH(C759,Levels!$B$2:$B$30,0)),""))</f>
        <v/>
      </c>
      <c r="G759" s="6" t="n"/>
      <c r="H759" s="10">
        <f>IF(AND(B759="",C759=""),"",IF(G759&lt;&gt;"","Void",IF(OR(B759="",E759=""),"Needs child",IF(D759="","Needs level","OK"))))</f>
        <v/>
      </c>
    </row>
    <row r="760">
      <c r="A760" s="6" t="n"/>
      <c r="B760" s="6" t="n"/>
      <c r="C760" s="6" t="n"/>
      <c r="D760" s="11">
        <f>IF(C760="","",IFERROR(INDEX(Levels!$A$2:$A$30,MATCH(C760,Levels!$B$2:$B$30,0)),""))</f>
        <v/>
      </c>
      <c r="E760" s="10">
        <f>IF(B760="","",IFERROR(INDEX(Roster!$A$2:$A$600,MATCH(B760,Roster!$E$2:$E$600,0)),""))</f>
        <v/>
      </c>
      <c r="F760" s="10">
        <f>IF(C760="","",IFERROR(INDEX(Levels!$C$2:$C$30,MATCH(C760,Levels!$B$2:$B$30,0)),""))</f>
        <v/>
      </c>
      <c r="G760" s="6" t="n"/>
      <c r="H760" s="10">
        <f>IF(AND(B760="",C760=""),"",IF(G760&lt;&gt;"","Void",IF(OR(B760="",E760=""),"Needs child",IF(D760="","Needs level","OK"))))</f>
        <v/>
      </c>
    </row>
    <row r="761">
      <c r="A761" s="6" t="n"/>
      <c r="B761" s="6" t="n"/>
      <c r="C761" s="6" t="n"/>
      <c r="D761" s="11">
        <f>IF(C761="","",IFERROR(INDEX(Levels!$A$2:$A$30,MATCH(C761,Levels!$B$2:$B$30,0)),""))</f>
        <v/>
      </c>
      <c r="E761" s="10">
        <f>IF(B761="","",IFERROR(INDEX(Roster!$A$2:$A$600,MATCH(B761,Roster!$E$2:$E$600,0)),""))</f>
        <v/>
      </c>
      <c r="F761" s="10">
        <f>IF(C761="","",IFERROR(INDEX(Levels!$C$2:$C$30,MATCH(C761,Levels!$B$2:$B$30,0)),""))</f>
        <v/>
      </c>
      <c r="G761" s="6" t="n"/>
      <c r="H761" s="10">
        <f>IF(AND(B761="",C761=""),"",IF(G761&lt;&gt;"","Void",IF(OR(B761="",E761=""),"Needs child",IF(D761="","Needs level","OK"))))</f>
        <v/>
      </c>
    </row>
    <row r="762">
      <c r="A762" s="6" t="n"/>
      <c r="B762" s="6" t="n"/>
      <c r="C762" s="6" t="n"/>
      <c r="D762" s="11">
        <f>IF(C762="","",IFERROR(INDEX(Levels!$A$2:$A$30,MATCH(C762,Levels!$B$2:$B$30,0)),""))</f>
        <v/>
      </c>
      <c r="E762" s="10">
        <f>IF(B762="","",IFERROR(INDEX(Roster!$A$2:$A$600,MATCH(B762,Roster!$E$2:$E$600,0)),""))</f>
        <v/>
      </c>
      <c r="F762" s="10">
        <f>IF(C762="","",IFERROR(INDEX(Levels!$C$2:$C$30,MATCH(C762,Levels!$B$2:$B$30,0)),""))</f>
        <v/>
      </c>
      <c r="G762" s="6" t="n"/>
      <c r="H762" s="10">
        <f>IF(AND(B762="",C762=""),"",IF(G762&lt;&gt;"","Void",IF(OR(B762="",E762=""),"Needs child",IF(D762="","Needs level","OK"))))</f>
        <v/>
      </c>
    </row>
    <row r="763">
      <c r="A763" s="6" t="n"/>
      <c r="B763" s="6" t="n"/>
      <c r="C763" s="6" t="n"/>
      <c r="D763" s="11">
        <f>IF(C763="","",IFERROR(INDEX(Levels!$A$2:$A$30,MATCH(C763,Levels!$B$2:$B$30,0)),""))</f>
        <v/>
      </c>
      <c r="E763" s="10">
        <f>IF(B763="","",IFERROR(INDEX(Roster!$A$2:$A$600,MATCH(B763,Roster!$E$2:$E$600,0)),""))</f>
        <v/>
      </c>
      <c r="F763" s="10">
        <f>IF(C763="","",IFERROR(INDEX(Levels!$C$2:$C$30,MATCH(C763,Levels!$B$2:$B$30,0)),""))</f>
        <v/>
      </c>
      <c r="G763" s="6" t="n"/>
      <c r="H763" s="10">
        <f>IF(AND(B763="",C763=""),"",IF(G763&lt;&gt;"","Void",IF(OR(B763="",E763=""),"Needs child",IF(D763="","Needs level","OK"))))</f>
        <v/>
      </c>
    </row>
    <row r="764">
      <c r="A764" s="6" t="n"/>
      <c r="B764" s="6" t="n"/>
      <c r="C764" s="6" t="n"/>
      <c r="D764" s="11">
        <f>IF(C764="","",IFERROR(INDEX(Levels!$A$2:$A$30,MATCH(C764,Levels!$B$2:$B$30,0)),""))</f>
        <v/>
      </c>
      <c r="E764" s="10">
        <f>IF(B764="","",IFERROR(INDEX(Roster!$A$2:$A$600,MATCH(B764,Roster!$E$2:$E$600,0)),""))</f>
        <v/>
      </c>
      <c r="F764" s="10">
        <f>IF(C764="","",IFERROR(INDEX(Levels!$C$2:$C$30,MATCH(C764,Levels!$B$2:$B$30,0)),""))</f>
        <v/>
      </c>
      <c r="G764" s="6" t="n"/>
      <c r="H764" s="10">
        <f>IF(AND(B764="",C764=""),"",IF(G764&lt;&gt;"","Void",IF(OR(B764="",E764=""),"Needs child",IF(D764="","Needs level","OK"))))</f>
        <v/>
      </c>
    </row>
    <row r="765">
      <c r="A765" s="6" t="n"/>
      <c r="B765" s="6" t="n"/>
      <c r="C765" s="6" t="n"/>
      <c r="D765" s="11">
        <f>IF(C765="","",IFERROR(INDEX(Levels!$A$2:$A$30,MATCH(C765,Levels!$B$2:$B$30,0)),""))</f>
        <v/>
      </c>
      <c r="E765" s="10">
        <f>IF(B765="","",IFERROR(INDEX(Roster!$A$2:$A$600,MATCH(B765,Roster!$E$2:$E$600,0)),""))</f>
        <v/>
      </c>
      <c r="F765" s="10">
        <f>IF(C765="","",IFERROR(INDEX(Levels!$C$2:$C$30,MATCH(C765,Levels!$B$2:$B$30,0)),""))</f>
        <v/>
      </c>
      <c r="G765" s="6" t="n"/>
      <c r="H765" s="10">
        <f>IF(AND(B765="",C765=""),"",IF(G765&lt;&gt;"","Void",IF(OR(B765="",E765=""),"Needs child",IF(D765="","Needs level","OK"))))</f>
        <v/>
      </c>
    </row>
    <row r="766">
      <c r="A766" s="6" t="n"/>
      <c r="B766" s="6" t="n"/>
      <c r="C766" s="6" t="n"/>
      <c r="D766" s="11">
        <f>IF(C766="","",IFERROR(INDEX(Levels!$A$2:$A$30,MATCH(C766,Levels!$B$2:$B$30,0)),""))</f>
        <v/>
      </c>
      <c r="E766" s="10">
        <f>IF(B766="","",IFERROR(INDEX(Roster!$A$2:$A$600,MATCH(B766,Roster!$E$2:$E$600,0)),""))</f>
        <v/>
      </c>
      <c r="F766" s="10">
        <f>IF(C766="","",IFERROR(INDEX(Levels!$C$2:$C$30,MATCH(C766,Levels!$B$2:$B$30,0)),""))</f>
        <v/>
      </c>
      <c r="G766" s="6" t="n"/>
      <c r="H766" s="10">
        <f>IF(AND(B766="",C766=""),"",IF(G766&lt;&gt;"","Void",IF(OR(B766="",E766=""),"Needs child",IF(D766="","Needs level","OK"))))</f>
        <v/>
      </c>
    </row>
    <row r="767">
      <c r="A767" s="6" t="n"/>
      <c r="B767" s="6" t="n"/>
      <c r="C767" s="6" t="n"/>
      <c r="D767" s="11">
        <f>IF(C767="","",IFERROR(INDEX(Levels!$A$2:$A$30,MATCH(C767,Levels!$B$2:$B$30,0)),""))</f>
        <v/>
      </c>
      <c r="E767" s="10">
        <f>IF(B767="","",IFERROR(INDEX(Roster!$A$2:$A$600,MATCH(B767,Roster!$E$2:$E$600,0)),""))</f>
        <v/>
      </c>
      <c r="F767" s="10">
        <f>IF(C767="","",IFERROR(INDEX(Levels!$C$2:$C$30,MATCH(C767,Levels!$B$2:$B$30,0)),""))</f>
        <v/>
      </c>
      <c r="G767" s="6" t="n"/>
      <c r="H767" s="10">
        <f>IF(AND(B767="",C767=""),"",IF(G767&lt;&gt;"","Void",IF(OR(B767="",E767=""),"Needs child",IF(D767="","Needs level","OK"))))</f>
        <v/>
      </c>
    </row>
    <row r="768">
      <c r="A768" s="6" t="n"/>
      <c r="B768" s="6" t="n"/>
      <c r="C768" s="6" t="n"/>
      <c r="D768" s="11">
        <f>IF(C768="","",IFERROR(INDEX(Levels!$A$2:$A$30,MATCH(C768,Levels!$B$2:$B$30,0)),""))</f>
        <v/>
      </c>
      <c r="E768" s="10">
        <f>IF(B768="","",IFERROR(INDEX(Roster!$A$2:$A$600,MATCH(B768,Roster!$E$2:$E$600,0)),""))</f>
        <v/>
      </c>
      <c r="F768" s="10">
        <f>IF(C768="","",IFERROR(INDEX(Levels!$C$2:$C$30,MATCH(C768,Levels!$B$2:$B$30,0)),""))</f>
        <v/>
      </c>
      <c r="G768" s="6" t="n"/>
      <c r="H768" s="10">
        <f>IF(AND(B768="",C768=""),"",IF(G768&lt;&gt;"","Void",IF(OR(B768="",E768=""),"Needs child",IF(D768="","Needs level","OK"))))</f>
        <v/>
      </c>
    </row>
    <row r="769">
      <c r="A769" s="6" t="n"/>
      <c r="B769" s="6" t="n"/>
      <c r="C769" s="6" t="n"/>
      <c r="D769" s="11">
        <f>IF(C769="","",IFERROR(INDEX(Levels!$A$2:$A$30,MATCH(C769,Levels!$B$2:$B$30,0)),""))</f>
        <v/>
      </c>
      <c r="E769" s="10">
        <f>IF(B769="","",IFERROR(INDEX(Roster!$A$2:$A$600,MATCH(B769,Roster!$E$2:$E$600,0)),""))</f>
        <v/>
      </c>
      <c r="F769" s="10">
        <f>IF(C769="","",IFERROR(INDEX(Levels!$C$2:$C$30,MATCH(C769,Levels!$B$2:$B$30,0)),""))</f>
        <v/>
      </c>
      <c r="G769" s="6" t="n"/>
      <c r="H769" s="10">
        <f>IF(AND(B769="",C769=""),"",IF(G769&lt;&gt;"","Void",IF(OR(B769="",E769=""),"Needs child",IF(D769="","Needs level","OK"))))</f>
        <v/>
      </c>
    </row>
    <row r="770">
      <c r="A770" s="6" t="n"/>
      <c r="B770" s="6" t="n"/>
      <c r="C770" s="6" t="n"/>
      <c r="D770" s="11">
        <f>IF(C770="","",IFERROR(INDEX(Levels!$A$2:$A$30,MATCH(C770,Levels!$B$2:$B$30,0)),""))</f>
        <v/>
      </c>
      <c r="E770" s="10">
        <f>IF(B770="","",IFERROR(INDEX(Roster!$A$2:$A$600,MATCH(B770,Roster!$E$2:$E$600,0)),""))</f>
        <v/>
      </c>
      <c r="F770" s="10">
        <f>IF(C770="","",IFERROR(INDEX(Levels!$C$2:$C$30,MATCH(C770,Levels!$B$2:$B$30,0)),""))</f>
        <v/>
      </c>
      <c r="G770" s="6" t="n"/>
      <c r="H770" s="10">
        <f>IF(AND(B770="",C770=""),"",IF(G770&lt;&gt;"","Void",IF(OR(B770="",E770=""),"Needs child",IF(D770="","Needs level","OK"))))</f>
        <v/>
      </c>
    </row>
    <row r="771">
      <c r="A771" s="6" t="n"/>
      <c r="B771" s="6" t="n"/>
      <c r="C771" s="6" t="n"/>
      <c r="D771" s="11">
        <f>IF(C771="","",IFERROR(INDEX(Levels!$A$2:$A$30,MATCH(C771,Levels!$B$2:$B$30,0)),""))</f>
        <v/>
      </c>
      <c r="E771" s="10">
        <f>IF(B771="","",IFERROR(INDEX(Roster!$A$2:$A$600,MATCH(B771,Roster!$E$2:$E$600,0)),""))</f>
        <v/>
      </c>
      <c r="F771" s="10">
        <f>IF(C771="","",IFERROR(INDEX(Levels!$C$2:$C$30,MATCH(C771,Levels!$B$2:$B$30,0)),""))</f>
        <v/>
      </c>
      <c r="G771" s="6" t="n"/>
      <c r="H771" s="10">
        <f>IF(AND(B771="",C771=""),"",IF(G771&lt;&gt;"","Void",IF(OR(B771="",E771=""),"Needs child",IF(D771="","Needs level","OK"))))</f>
        <v/>
      </c>
    </row>
    <row r="772">
      <c r="A772" s="6" t="n"/>
      <c r="B772" s="6" t="n"/>
      <c r="C772" s="6" t="n"/>
      <c r="D772" s="11">
        <f>IF(C772="","",IFERROR(INDEX(Levels!$A$2:$A$30,MATCH(C772,Levels!$B$2:$B$30,0)),""))</f>
        <v/>
      </c>
      <c r="E772" s="10">
        <f>IF(B772="","",IFERROR(INDEX(Roster!$A$2:$A$600,MATCH(B772,Roster!$E$2:$E$600,0)),""))</f>
        <v/>
      </c>
      <c r="F772" s="10">
        <f>IF(C772="","",IFERROR(INDEX(Levels!$C$2:$C$30,MATCH(C772,Levels!$B$2:$B$30,0)),""))</f>
        <v/>
      </c>
      <c r="G772" s="6" t="n"/>
      <c r="H772" s="10">
        <f>IF(AND(B772="",C772=""),"",IF(G772&lt;&gt;"","Void",IF(OR(B772="",E772=""),"Needs child",IF(D772="","Needs level","OK"))))</f>
        <v/>
      </c>
    </row>
    <row r="773">
      <c r="A773" s="6" t="n"/>
      <c r="B773" s="6" t="n"/>
      <c r="C773" s="6" t="n"/>
      <c r="D773" s="11">
        <f>IF(C773="","",IFERROR(INDEX(Levels!$A$2:$A$30,MATCH(C773,Levels!$B$2:$B$30,0)),""))</f>
        <v/>
      </c>
      <c r="E773" s="10">
        <f>IF(B773="","",IFERROR(INDEX(Roster!$A$2:$A$600,MATCH(B773,Roster!$E$2:$E$600,0)),""))</f>
        <v/>
      </c>
      <c r="F773" s="10">
        <f>IF(C773="","",IFERROR(INDEX(Levels!$C$2:$C$30,MATCH(C773,Levels!$B$2:$B$30,0)),""))</f>
        <v/>
      </c>
      <c r="G773" s="6" t="n"/>
      <c r="H773" s="10">
        <f>IF(AND(B773="",C773=""),"",IF(G773&lt;&gt;"","Void",IF(OR(B773="",E773=""),"Needs child",IF(D773="","Needs level","OK"))))</f>
        <v/>
      </c>
    </row>
    <row r="774">
      <c r="A774" s="6" t="n"/>
      <c r="B774" s="6" t="n"/>
      <c r="C774" s="6" t="n"/>
      <c r="D774" s="11">
        <f>IF(C774="","",IFERROR(INDEX(Levels!$A$2:$A$30,MATCH(C774,Levels!$B$2:$B$30,0)),""))</f>
        <v/>
      </c>
      <c r="E774" s="10">
        <f>IF(B774="","",IFERROR(INDEX(Roster!$A$2:$A$600,MATCH(B774,Roster!$E$2:$E$600,0)),""))</f>
        <v/>
      </c>
      <c r="F774" s="10">
        <f>IF(C774="","",IFERROR(INDEX(Levels!$C$2:$C$30,MATCH(C774,Levels!$B$2:$B$30,0)),""))</f>
        <v/>
      </c>
      <c r="G774" s="6" t="n"/>
      <c r="H774" s="10">
        <f>IF(AND(B774="",C774=""),"",IF(G774&lt;&gt;"","Void",IF(OR(B774="",E774=""),"Needs child",IF(D774="","Needs level","OK"))))</f>
        <v/>
      </c>
    </row>
    <row r="775">
      <c r="A775" s="6" t="n"/>
      <c r="B775" s="6" t="n"/>
      <c r="C775" s="6" t="n"/>
      <c r="D775" s="11">
        <f>IF(C775="","",IFERROR(INDEX(Levels!$A$2:$A$30,MATCH(C775,Levels!$B$2:$B$30,0)),""))</f>
        <v/>
      </c>
      <c r="E775" s="10">
        <f>IF(B775="","",IFERROR(INDEX(Roster!$A$2:$A$600,MATCH(B775,Roster!$E$2:$E$600,0)),""))</f>
        <v/>
      </c>
      <c r="F775" s="10">
        <f>IF(C775="","",IFERROR(INDEX(Levels!$C$2:$C$30,MATCH(C775,Levels!$B$2:$B$30,0)),""))</f>
        <v/>
      </c>
      <c r="G775" s="6" t="n"/>
      <c r="H775" s="10">
        <f>IF(AND(B775="",C775=""),"",IF(G775&lt;&gt;"","Void",IF(OR(B775="",E775=""),"Needs child",IF(D775="","Needs level","OK"))))</f>
        <v/>
      </c>
    </row>
    <row r="776">
      <c r="A776" s="6" t="n"/>
      <c r="B776" s="6" t="n"/>
      <c r="C776" s="6" t="n"/>
      <c r="D776" s="11">
        <f>IF(C776="","",IFERROR(INDEX(Levels!$A$2:$A$30,MATCH(C776,Levels!$B$2:$B$30,0)),""))</f>
        <v/>
      </c>
      <c r="E776" s="10">
        <f>IF(B776="","",IFERROR(INDEX(Roster!$A$2:$A$600,MATCH(B776,Roster!$E$2:$E$600,0)),""))</f>
        <v/>
      </c>
      <c r="F776" s="10">
        <f>IF(C776="","",IFERROR(INDEX(Levels!$C$2:$C$30,MATCH(C776,Levels!$B$2:$B$30,0)),""))</f>
        <v/>
      </c>
      <c r="G776" s="6" t="n"/>
      <c r="H776" s="10">
        <f>IF(AND(B776="",C776=""),"",IF(G776&lt;&gt;"","Void",IF(OR(B776="",E776=""),"Needs child",IF(D776="","Needs level","OK"))))</f>
        <v/>
      </c>
    </row>
    <row r="777">
      <c r="A777" s="6" t="n"/>
      <c r="B777" s="6" t="n"/>
      <c r="C777" s="6" t="n"/>
      <c r="D777" s="11">
        <f>IF(C777="","",IFERROR(INDEX(Levels!$A$2:$A$30,MATCH(C777,Levels!$B$2:$B$30,0)),""))</f>
        <v/>
      </c>
      <c r="E777" s="10">
        <f>IF(B777="","",IFERROR(INDEX(Roster!$A$2:$A$600,MATCH(B777,Roster!$E$2:$E$600,0)),""))</f>
        <v/>
      </c>
      <c r="F777" s="10">
        <f>IF(C777="","",IFERROR(INDEX(Levels!$C$2:$C$30,MATCH(C777,Levels!$B$2:$B$30,0)),""))</f>
        <v/>
      </c>
      <c r="G777" s="6" t="n"/>
      <c r="H777" s="10">
        <f>IF(AND(B777="",C777=""),"",IF(G777&lt;&gt;"","Void",IF(OR(B777="",E777=""),"Needs child",IF(D777="","Needs level","OK"))))</f>
        <v/>
      </c>
    </row>
    <row r="778">
      <c r="A778" s="6" t="n"/>
      <c r="B778" s="6" t="n"/>
      <c r="C778" s="6" t="n"/>
      <c r="D778" s="11">
        <f>IF(C778="","",IFERROR(INDEX(Levels!$A$2:$A$30,MATCH(C778,Levels!$B$2:$B$30,0)),""))</f>
        <v/>
      </c>
      <c r="E778" s="10">
        <f>IF(B778="","",IFERROR(INDEX(Roster!$A$2:$A$600,MATCH(B778,Roster!$E$2:$E$600,0)),""))</f>
        <v/>
      </c>
      <c r="F778" s="10">
        <f>IF(C778="","",IFERROR(INDEX(Levels!$C$2:$C$30,MATCH(C778,Levels!$B$2:$B$30,0)),""))</f>
        <v/>
      </c>
      <c r="G778" s="6" t="n"/>
      <c r="H778" s="10">
        <f>IF(AND(B778="",C778=""),"",IF(G778&lt;&gt;"","Void",IF(OR(B778="",E778=""),"Needs child",IF(D778="","Needs level","OK"))))</f>
        <v/>
      </c>
    </row>
    <row r="779">
      <c r="A779" s="6" t="n"/>
      <c r="B779" s="6" t="n"/>
      <c r="C779" s="6" t="n"/>
      <c r="D779" s="11">
        <f>IF(C779="","",IFERROR(INDEX(Levels!$A$2:$A$30,MATCH(C779,Levels!$B$2:$B$30,0)),""))</f>
        <v/>
      </c>
      <c r="E779" s="10">
        <f>IF(B779="","",IFERROR(INDEX(Roster!$A$2:$A$600,MATCH(B779,Roster!$E$2:$E$600,0)),""))</f>
        <v/>
      </c>
      <c r="F779" s="10">
        <f>IF(C779="","",IFERROR(INDEX(Levels!$C$2:$C$30,MATCH(C779,Levels!$B$2:$B$30,0)),""))</f>
        <v/>
      </c>
      <c r="G779" s="6" t="n"/>
      <c r="H779" s="10">
        <f>IF(AND(B779="",C779=""),"",IF(G779&lt;&gt;"","Void",IF(OR(B779="",E779=""),"Needs child",IF(D779="","Needs level","OK"))))</f>
        <v/>
      </c>
    </row>
    <row r="780">
      <c r="A780" s="6" t="n"/>
      <c r="B780" s="6" t="n"/>
      <c r="C780" s="6" t="n"/>
      <c r="D780" s="11">
        <f>IF(C780="","",IFERROR(INDEX(Levels!$A$2:$A$30,MATCH(C780,Levels!$B$2:$B$30,0)),""))</f>
        <v/>
      </c>
      <c r="E780" s="10">
        <f>IF(B780="","",IFERROR(INDEX(Roster!$A$2:$A$600,MATCH(B780,Roster!$E$2:$E$600,0)),""))</f>
        <v/>
      </c>
      <c r="F780" s="10">
        <f>IF(C780="","",IFERROR(INDEX(Levels!$C$2:$C$30,MATCH(C780,Levels!$B$2:$B$30,0)),""))</f>
        <v/>
      </c>
      <c r="G780" s="6" t="n"/>
      <c r="H780" s="10">
        <f>IF(AND(B780="",C780=""),"",IF(G780&lt;&gt;"","Void",IF(OR(B780="",E780=""),"Needs child",IF(D780="","Needs level","OK"))))</f>
        <v/>
      </c>
    </row>
    <row r="781">
      <c r="A781" s="6" t="n"/>
      <c r="B781" s="6" t="n"/>
      <c r="C781" s="6" t="n"/>
      <c r="D781" s="11">
        <f>IF(C781="","",IFERROR(INDEX(Levels!$A$2:$A$30,MATCH(C781,Levels!$B$2:$B$30,0)),""))</f>
        <v/>
      </c>
      <c r="E781" s="10">
        <f>IF(B781="","",IFERROR(INDEX(Roster!$A$2:$A$600,MATCH(B781,Roster!$E$2:$E$600,0)),""))</f>
        <v/>
      </c>
      <c r="F781" s="10">
        <f>IF(C781="","",IFERROR(INDEX(Levels!$C$2:$C$30,MATCH(C781,Levels!$B$2:$B$30,0)),""))</f>
        <v/>
      </c>
      <c r="G781" s="6" t="n"/>
      <c r="H781" s="10">
        <f>IF(AND(B781="",C781=""),"",IF(G781&lt;&gt;"","Void",IF(OR(B781="",E781=""),"Needs child",IF(D781="","Needs level","OK"))))</f>
        <v/>
      </c>
    </row>
    <row r="782">
      <c r="A782" s="6" t="n"/>
      <c r="B782" s="6" t="n"/>
      <c r="C782" s="6" t="n"/>
      <c r="D782" s="11">
        <f>IF(C782="","",IFERROR(INDEX(Levels!$A$2:$A$30,MATCH(C782,Levels!$B$2:$B$30,0)),""))</f>
        <v/>
      </c>
      <c r="E782" s="10">
        <f>IF(B782="","",IFERROR(INDEX(Roster!$A$2:$A$600,MATCH(B782,Roster!$E$2:$E$600,0)),""))</f>
        <v/>
      </c>
      <c r="F782" s="10">
        <f>IF(C782="","",IFERROR(INDEX(Levels!$C$2:$C$30,MATCH(C782,Levels!$B$2:$B$30,0)),""))</f>
        <v/>
      </c>
      <c r="G782" s="6" t="n"/>
      <c r="H782" s="10">
        <f>IF(AND(B782="",C782=""),"",IF(G782&lt;&gt;"","Void",IF(OR(B782="",E782=""),"Needs child",IF(D782="","Needs level","OK"))))</f>
        <v/>
      </c>
    </row>
    <row r="783">
      <c r="A783" s="6" t="n"/>
      <c r="B783" s="6" t="n"/>
      <c r="C783" s="6" t="n"/>
      <c r="D783" s="11">
        <f>IF(C783="","",IFERROR(INDEX(Levels!$A$2:$A$30,MATCH(C783,Levels!$B$2:$B$30,0)),""))</f>
        <v/>
      </c>
      <c r="E783" s="10">
        <f>IF(B783="","",IFERROR(INDEX(Roster!$A$2:$A$600,MATCH(B783,Roster!$E$2:$E$600,0)),""))</f>
        <v/>
      </c>
      <c r="F783" s="10">
        <f>IF(C783="","",IFERROR(INDEX(Levels!$C$2:$C$30,MATCH(C783,Levels!$B$2:$B$30,0)),""))</f>
        <v/>
      </c>
      <c r="G783" s="6" t="n"/>
      <c r="H783" s="10">
        <f>IF(AND(B783="",C783=""),"",IF(G783&lt;&gt;"","Void",IF(OR(B783="",E783=""),"Needs child",IF(D783="","Needs level","OK"))))</f>
        <v/>
      </c>
    </row>
    <row r="784">
      <c r="A784" s="6" t="n"/>
      <c r="B784" s="6" t="n"/>
      <c r="C784" s="6" t="n"/>
      <c r="D784" s="11">
        <f>IF(C784="","",IFERROR(INDEX(Levels!$A$2:$A$30,MATCH(C784,Levels!$B$2:$B$30,0)),""))</f>
        <v/>
      </c>
      <c r="E784" s="10">
        <f>IF(B784="","",IFERROR(INDEX(Roster!$A$2:$A$600,MATCH(B784,Roster!$E$2:$E$600,0)),""))</f>
        <v/>
      </c>
      <c r="F784" s="10">
        <f>IF(C784="","",IFERROR(INDEX(Levels!$C$2:$C$30,MATCH(C784,Levels!$B$2:$B$30,0)),""))</f>
        <v/>
      </c>
      <c r="G784" s="6" t="n"/>
      <c r="H784" s="10">
        <f>IF(AND(B784="",C784=""),"",IF(G784&lt;&gt;"","Void",IF(OR(B784="",E784=""),"Needs child",IF(D784="","Needs level","OK"))))</f>
        <v/>
      </c>
    </row>
    <row r="785">
      <c r="A785" s="6" t="n"/>
      <c r="B785" s="6" t="n"/>
      <c r="C785" s="6" t="n"/>
      <c r="D785" s="11">
        <f>IF(C785="","",IFERROR(INDEX(Levels!$A$2:$A$30,MATCH(C785,Levels!$B$2:$B$30,0)),""))</f>
        <v/>
      </c>
      <c r="E785" s="10">
        <f>IF(B785="","",IFERROR(INDEX(Roster!$A$2:$A$600,MATCH(B785,Roster!$E$2:$E$600,0)),""))</f>
        <v/>
      </c>
      <c r="F785" s="10">
        <f>IF(C785="","",IFERROR(INDEX(Levels!$C$2:$C$30,MATCH(C785,Levels!$B$2:$B$30,0)),""))</f>
        <v/>
      </c>
      <c r="G785" s="6" t="n"/>
      <c r="H785" s="10">
        <f>IF(AND(B785="",C785=""),"",IF(G785&lt;&gt;"","Void",IF(OR(B785="",E785=""),"Needs child",IF(D785="","Needs level","OK"))))</f>
        <v/>
      </c>
    </row>
    <row r="786">
      <c r="A786" s="6" t="n"/>
      <c r="B786" s="6" t="n"/>
      <c r="C786" s="6" t="n"/>
      <c r="D786" s="11">
        <f>IF(C786="","",IFERROR(INDEX(Levels!$A$2:$A$30,MATCH(C786,Levels!$B$2:$B$30,0)),""))</f>
        <v/>
      </c>
      <c r="E786" s="10">
        <f>IF(B786="","",IFERROR(INDEX(Roster!$A$2:$A$600,MATCH(B786,Roster!$E$2:$E$600,0)),""))</f>
        <v/>
      </c>
      <c r="F786" s="10">
        <f>IF(C786="","",IFERROR(INDEX(Levels!$C$2:$C$30,MATCH(C786,Levels!$B$2:$B$30,0)),""))</f>
        <v/>
      </c>
      <c r="G786" s="6" t="n"/>
      <c r="H786" s="10">
        <f>IF(AND(B786="",C786=""),"",IF(G786&lt;&gt;"","Void",IF(OR(B786="",E786=""),"Needs child",IF(D786="","Needs level","OK"))))</f>
        <v/>
      </c>
    </row>
    <row r="787">
      <c r="A787" s="6" t="n"/>
      <c r="B787" s="6" t="n"/>
      <c r="C787" s="6" t="n"/>
      <c r="D787" s="11">
        <f>IF(C787="","",IFERROR(INDEX(Levels!$A$2:$A$30,MATCH(C787,Levels!$B$2:$B$30,0)),""))</f>
        <v/>
      </c>
      <c r="E787" s="10">
        <f>IF(B787="","",IFERROR(INDEX(Roster!$A$2:$A$600,MATCH(B787,Roster!$E$2:$E$600,0)),""))</f>
        <v/>
      </c>
      <c r="F787" s="10">
        <f>IF(C787="","",IFERROR(INDEX(Levels!$C$2:$C$30,MATCH(C787,Levels!$B$2:$B$30,0)),""))</f>
        <v/>
      </c>
      <c r="G787" s="6" t="n"/>
      <c r="H787" s="10">
        <f>IF(AND(B787="",C787=""),"",IF(G787&lt;&gt;"","Void",IF(OR(B787="",E787=""),"Needs child",IF(D787="","Needs level","OK"))))</f>
        <v/>
      </c>
    </row>
    <row r="788">
      <c r="A788" s="6" t="n"/>
      <c r="B788" s="6" t="n"/>
      <c r="C788" s="6" t="n"/>
      <c r="D788" s="11">
        <f>IF(C788="","",IFERROR(INDEX(Levels!$A$2:$A$30,MATCH(C788,Levels!$B$2:$B$30,0)),""))</f>
        <v/>
      </c>
      <c r="E788" s="10">
        <f>IF(B788="","",IFERROR(INDEX(Roster!$A$2:$A$600,MATCH(B788,Roster!$E$2:$E$600,0)),""))</f>
        <v/>
      </c>
      <c r="F788" s="10">
        <f>IF(C788="","",IFERROR(INDEX(Levels!$C$2:$C$30,MATCH(C788,Levels!$B$2:$B$30,0)),""))</f>
        <v/>
      </c>
      <c r="G788" s="6" t="n"/>
      <c r="H788" s="10">
        <f>IF(AND(B788="",C788=""),"",IF(G788&lt;&gt;"","Void",IF(OR(B788="",E788=""),"Needs child",IF(D788="","Needs level","OK"))))</f>
        <v/>
      </c>
    </row>
    <row r="789">
      <c r="A789" s="6" t="n"/>
      <c r="B789" s="6" t="n"/>
      <c r="C789" s="6" t="n"/>
      <c r="D789" s="11">
        <f>IF(C789="","",IFERROR(INDEX(Levels!$A$2:$A$30,MATCH(C789,Levels!$B$2:$B$30,0)),""))</f>
        <v/>
      </c>
      <c r="E789" s="10">
        <f>IF(B789="","",IFERROR(INDEX(Roster!$A$2:$A$600,MATCH(B789,Roster!$E$2:$E$600,0)),""))</f>
        <v/>
      </c>
      <c r="F789" s="10">
        <f>IF(C789="","",IFERROR(INDEX(Levels!$C$2:$C$30,MATCH(C789,Levels!$B$2:$B$30,0)),""))</f>
        <v/>
      </c>
      <c r="G789" s="6" t="n"/>
      <c r="H789" s="10">
        <f>IF(AND(B789="",C789=""),"",IF(G789&lt;&gt;"","Void",IF(OR(B789="",E789=""),"Needs child",IF(D789="","Needs level","OK"))))</f>
        <v/>
      </c>
    </row>
    <row r="790">
      <c r="A790" s="6" t="n"/>
      <c r="B790" s="6" t="n"/>
      <c r="C790" s="6" t="n"/>
      <c r="D790" s="11">
        <f>IF(C790="","",IFERROR(INDEX(Levels!$A$2:$A$30,MATCH(C790,Levels!$B$2:$B$30,0)),""))</f>
        <v/>
      </c>
      <c r="E790" s="10">
        <f>IF(B790="","",IFERROR(INDEX(Roster!$A$2:$A$600,MATCH(B790,Roster!$E$2:$E$600,0)),""))</f>
        <v/>
      </c>
      <c r="F790" s="10">
        <f>IF(C790="","",IFERROR(INDEX(Levels!$C$2:$C$30,MATCH(C790,Levels!$B$2:$B$30,0)),""))</f>
        <v/>
      </c>
      <c r="G790" s="6" t="n"/>
      <c r="H790" s="10">
        <f>IF(AND(B790="",C790=""),"",IF(G790&lt;&gt;"","Void",IF(OR(B790="",E790=""),"Needs child",IF(D790="","Needs level","OK"))))</f>
        <v/>
      </c>
    </row>
    <row r="791">
      <c r="A791" s="6" t="n"/>
      <c r="B791" s="6" t="n"/>
      <c r="C791" s="6" t="n"/>
      <c r="D791" s="11">
        <f>IF(C791="","",IFERROR(INDEX(Levels!$A$2:$A$30,MATCH(C791,Levels!$B$2:$B$30,0)),""))</f>
        <v/>
      </c>
      <c r="E791" s="10">
        <f>IF(B791="","",IFERROR(INDEX(Roster!$A$2:$A$600,MATCH(B791,Roster!$E$2:$E$600,0)),""))</f>
        <v/>
      </c>
      <c r="F791" s="10">
        <f>IF(C791="","",IFERROR(INDEX(Levels!$C$2:$C$30,MATCH(C791,Levels!$B$2:$B$30,0)),""))</f>
        <v/>
      </c>
      <c r="G791" s="6" t="n"/>
      <c r="H791" s="10">
        <f>IF(AND(B791="",C791=""),"",IF(G791&lt;&gt;"","Void",IF(OR(B791="",E791=""),"Needs child",IF(D791="","Needs level","OK"))))</f>
        <v/>
      </c>
    </row>
    <row r="792">
      <c r="A792" s="6" t="n"/>
      <c r="B792" s="6" t="n"/>
      <c r="C792" s="6" t="n"/>
      <c r="D792" s="11">
        <f>IF(C792="","",IFERROR(INDEX(Levels!$A$2:$A$30,MATCH(C792,Levels!$B$2:$B$30,0)),""))</f>
        <v/>
      </c>
      <c r="E792" s="10">
        <f>IF(B792="","",IFERROR(INDEX(Roster!$A$2:$A$600,MATCH(B792,Roster!$E$2:$E$600,0)),""))</f>
        <v/>
      </c>
      <c r="F792" s="10">
        <f>IF(C792="","",IFERROR(INDEX(Levels!$C$2:$C$30,MATCH(C792,Levels!$B$2:$B$30,0)),""))</f>
        <v/>
      </c>
      <c r="G792" s="6" t="n"/>
      <c r="H792" s="10">
        <f>IF(AND(B792="",C792=""),"",IF(G792&lt;&gt;"","Void",IF(OR(B792="",E792=""),"Needs child",IF(D792="","Needs level","OK"))))</f>
        <v/>
      </c>
    </row>
    <row r="793">
      <c r="A793" s="6" t="n"/>
      <c r="B793" s="6" t="n"/>
      <c r="C793" s="6" t="n"/>
      <c r="D793" s="11">
        <f>IF(C793="","",IFERROR(INDEX(Levels!$A$2:$A$30,MATCH(C793,Levels!$B$2:$B$30,0)),""))</f>
        <v/>
      </c>
      <c r="E793" s="10">
        <f>IF(B793="","",IFERROR(INDEX(Roster!$A$2:$A$600,MATCH(B793,Roster!$E$2:$E$600,0)),""))</f>
        <v/>
      </c>
      <c r="F793" s="10">
        <f>IF(C793="","",IFERROR(INDEX(Levels!$C$2:$C$30,MATCH(C793,Levels!$B$2:$B$30,0)),""))</f>
        <v/>
      </c>
      <c r="G793" s="6" t="n"/>
      <c r="H793" s="10">
        <f>IF(AND(B793="",C793=""),"",IF(G793&lt;&gt;"","Void",IF(OR(B793="",E793=""),"Needs child",IF(D793="","Needs level","OK"))))</f>
        <v/>
      </c>
    </row>
    <row r="794">
      <c r="A794" s="6" t="n"/>
      <c r="B794" s="6" t="n"/>
      <c r="C794" s="6" t="n"/>
      <c r="D794" s="11">
        <f>IF(C794="","",IFERROR(INDEX(Levels!$A$2:$A$30,MATCH(C794,Levels!$B$2:$B$30,0)),""))</f>
        <v/>
      </c>
      <c r="E794" s="10">
        <f>IF(B794="","",IFERROR(INDEX(Roster!$A$2:$A$600,MATCH(B794,Roster!$E$2:$E$600,0)),""))</f>
        <v/>
      </c>
      <c r="F794" s="10">
        <f>IF(C794="","",IFERROR(INDEX(Levels!$C$2:$C$30,MATCH(C794,Levels!$B$2:$B$30,0)),""))</f>
        <v/>
      </c>
      <c r="G794" s="6" t="n"/>
      <c r="H794" s="10">
        <f>IF(AND(B794="",C794=""),"",IF(G794&lt;&gt;"","Void",IF(OR(B794="",E794=""),"Needs child",IF(D794="","Needs level","OK"))))</f>
        <v/>
      </c>
    </row>
    <row r="795">
      <c r="A795" s="6" t="n"/>
      <c r="B795" s="6" t="n"/>
      <c r="C795" s="6" t="n"/>
      <c r="D795" s="11">
        <f>IF(C795="","",IFERROR(INDEX(Levels!$A$2:$A$30,MATCH(C795,Levels!$B$2:$B$30,0)),""))</f>
        <v/>
      </c>
      <c r="E795" s="10">
        <f>IF(B795="","",IFERROR(INDEX(Roster!$A$2:$A$600,MATCH(B795,Roster!$E$2:$E$600,0)),""))</f>
        <v/>
      </c>
      <c r="F795" s="10">
        <f>IF(C795="","",IFERROR(INDEX(Levels!$C$2:$C$30,MATCH(C795,Levels!$B$2:$B$30,0)),""))</f>
        <v/>
      </c>
      <c r="G795" s="6" t="n"/>
      <c r="H795" s="10">
        <f>IF(AND(B795="",C795=""),"",IF(G795&lt;&gt;"","Void",IF(OR(B795="",E795=""),"Needs child",IF(D795="","Needs level","OK"))))</f>
        <v/>
      </c>
    </row>
    <row r="796">
      <c r="A796" s="6" t="n"/>
      <c r="B796" s="6" t="n"/>
      <c r="C796" s="6" t="n"/>
      <c r="D796" s="11">
        <f>IF(C796="","",IFERROR(INDEX(Levels!$A$2:$A$30,MATCH(C796,Levels!$B$2:$B$30,0)),""))</f>
        <v/>
      </c>
      <c r="E796" s="10">
        <f>IF(B796="","",IFERROR(INDEX(Roster!$A$2:$A$600,MATCH(B796,Roster!$E$2:$E$600,0)),""))</f>
        <v/>
      </c>
      <c r="F796" s="10">
        <f>IF(C796="","",IFERROR(INDEX(Levels!$C$2:$C$30,MATCH(C796,Levels!$B$2:$B$30,0)),""))</f>
        <v/>
      </c>
      <c r="G796" s="6" t="n"/>
      <c r="H796" s="10">
        <f>IF(AND(B796="",C796=""),"",IF(G796&lt;&gt;"","Void",IF(OR(B796="",E796=""),"Needs child",IF(D796="","Needs level","OK"))))</f>
        <v/>
      </c>
    </row>
    <row r="797">
      <c r="A797" s="6" t="n"/>
      <c r="B797" s="6" t="n"/>
      <c r="C797" s="6" t="n"/>
      <c r="D797" s="11">
        <f>IF(C797="","",IFERROR(INDEX(Levels!$A$2:$A$30,MATCH(C797,Levels!$B$2:$B$30,0)),""))</f>
        <v/>
      </c>
      <c r="E797" s="10">
        <f>IF(B797="","",IFERROR(INDEX(Roster!$A$2:$A$600,MATCH(B797,Roster!$E$2:$E$600,0)),""))</f>
        <v/>
      </c>
      <c r="F797" s="10">
        <f>IF(C797="","",IFERROR(INDEX(Levels!$C$2:$C$30,MATCH(C797,Levels!$B$2:$B$30,0)),""))</f>
        <v/>
      </c>
      <c r="G797" s="6" t="n"/>
      <c r="H797" s="10">
        <f>IF(AND(B797="",C797=""),"",IF(G797&lt;&gt;"","Void",IF(OR(B797="",E797=""),"Needs child",IF(D797="","Needs level","OK"))))</f>
        <v/>
      </c>
    </row>
    <row r="798">
      <c r="A798" s="6" t="n"/>
      <c r="B798" s="6" t="n"/>
      <c r="C798" s="6" t="n"/>
      <c r="D798" s="11">
        <f>IF(C798="","",IFERROR(INDEX(Levels!$A$2:$A$30,MATCH(C798,Levels!$B$2:$B$30,0)),""))</f>
        <v/>
      </c>
      <c r="E798" s="10">
        <f>IF(B798="","",IFERROR(INDEX(Roster!$A$2:$A$600,MATCH(B798,Roster!$E$2:$E$600,0)),""))</f>
        <v/>
      </c>
      <c r="F798" s="10">
        <f>IF(C798="","",IFERROR(INDEX(Levels!$C$2:$C$30,MATCH(C798,Levels!$B$2:$B$30,0)),""))</f>
        <v/>
      </c>
      <c r="G798" s="6" t="n"/>
      <c r="H798" s="10">
        <f>IF(AND(B798="",C798=""),"",IF(G798&lt;&gt;"","Void",IF(OR(B798="",E798=""),"Needs child",IF(D798="","Needs level","OK"))))</f>
        <v/>
      </c>
    </row>
    <row r="799">
      <c r="A799" s="6" t="n"/>
      <c r="B799" s="6" t="n"/>
      <c r="C799" s="6" t="n"/>
      <c r="D799" s="11">
        <f>IF(C799="","",IFERROR(INDEX(Levels!$A$2:$A$30,MATCH(C799,Levels!$B$2:$B$30,0)),""))</f>
        <v/>
      </c>
      <c r="E799" s="10">
        <f>IF(B799="","",IFERROR(INDEX(Roster!$A$2:$A$600,MATCH(B799,Roster!$E$2:$E$600,0)),""))</f>
        <v/>
      </c>
      <c r="F799" s="10">
        <f>IF(C799="","",IFERROR(INDEX(Levels!$C$2:$C$30,MATCH(C799,Levels!$B$2:$B$30,0)),""))</f>
        <v/>
      </c>
      <c r="G799" s="6" t="n"/>
      <c r="H799" s="10">
        <f>IF(AND(B799="",C799=""),"",IF(G799&lt;&gt;"","Void",IF(OR(B799="",E799=""),"Needs child",IF(D799="","Needs level","OK"))))</f>
        <v/>
      </c>
    </row>
    <row r="800">
      <c r="A800" s="6" t="n"/>
      <c r="B800" s="6" t="n"/>
      <c r="C800" s="6" t="n"/>
      <c r="D800" s="11">
        <f>IF(C800="","",IFERROR(INDEX(Levels!$A$2:$A$30,MATCH(C800,Levels!$B$2:$B$30,0)),""))</f>
        <v/>
      </c>
      <c r="E800" s="10">
        <f>IF(B800="","",IFERROR(INDEX(Roster!$A$2:$A$600,MATCH(B800,Roster!$E$2:$E$600,0)),""))</f>
        <v/>
      </c>
      <c r="F800" s="10">
        <f>IF(C800="","",IFERROR(INDEX(Levels!$C$2:$C$30,MATCH(C800,Levels!$B$2:$B$30,0)),""))</f>
        <v/>
      </c>
      <c r="G800" s="6" t="n"/>
      <c r="H800" s="10">
        <f>IF(AND(B800="",C800=""),"",IF(G800&lt;&gt;"","Void",IF(OR(B800="",E800=""),"Needs child",IF(D800="","Needs level","OK"))))</f>
        <v/>
      </c>
    </row>
    <row r="801">
      <c r="A801" s="6" t="n"/>
      <c r="B801" s="6" t="n"/>
      <c r="C801" s="6" t="n"/>
      <c r="D801" s="11">
        <f>IF(C801="","",IFERROR(INDEX(Levels!$A$2:$A$30,MATCH(C801,Levels!$B$2:$B$30,0)),""))</f>
        <v/>
      </c>
      <c r="E801" s="10">
        <f>IF(B801="","",IFERROR(INDEX(Roster!$A$2:$A$600,MATCH(B801,Roster!$E$2:$E$600,0)),""))</f>
        <v/>
      </c>
      <c r="F801" s="10">
        <f>IF(C801="","",IFERROR(INDEX(Levels!$C$2:$C$30,MATCH(C801,Levels!$B$2:$B$30,0)),""))</f>
        <v/>
      </c>
      <c r="G801" s="6" t="n"/>
      <c r="H801" s="10">
        <f>IF(AND(B801="",C801=""),"",IF(G801&lt;&gt;"","Void",IF(OR(B801="",E801=""),"Needs child",IF(D801="","Needs level","OK"))))</f>
        <v/>
      </c>
    </row>
    <row r="802">
      <c r="A802" s="6" t="n"/>
      <c r="B802" s="6" t="n"/>
      <c r="C802" s="6" t="n"/>
      <c r="D802" s="11">
        <f>IF(C802="","",IFERROR(INDEX(Levels!$A$2:$A$30,MATCH(C802,Levels!$B$2:$B$30,0)),""))</f>
        <v/>
      </c>
      <c r="E802" s="10">
        <f>IF(B802="","",IFERROR(INDEX(Roster!$A$2:$A$600,MATCH(B802,Roster!$E$2:$E$600,0)),""))</f>
        <v/>
      </c>
      <c r="F802" s="10">
        <f>IF(C802="","",IFERROR(INDEX(Levels!$C$2:$C$30,MATCH(C802,Levels!$B$2:$B$30,0)),""))</f>
        <v/>
      </c>
      <c r="G802" s="6" t="n"/>
      <c r="H802" s="10">
        <f>IF(AND(B802="",C802=""),"",IF(G802&lt;&gt;"","Void",IF(OR(B802="",E802=""),"Needs child",IF(D802="","Needs level","OK"))))</f>
        <v/>
      </c>
    </row>
    <row r="803">
      <c r="A803" s="6" t="n"/>
      <c r="B803" s="6" t="n"/>
      <c r="C803" s="6" t="n"/>
      <c r="D803" s="11">
        <f>IF(C803="","",IFERROR(INDEX(Levels!$A$2:$A$30,MATCH(C803,Levels!$B$2:$B$30,0)),""))</f>
        <v/>
      </c>
      <c r="E803" s="10">
        <f>IF(B803="","",IFERROR(INDEX(Roster!$A$2:$A$600,MATCH(B803,Roster!$E$2:$E$600,0)),""))</f>
        <v/>
      </c>
      <c r="F803" s="10">
        <f>IF(C803="","",IFERROR(INDEX(Levels!$C$2:$C$30,MATCH(C803,Levels!$B$2:$B$30,0)),""))</f>
        <v/>
      </c>
      <c r="G803" s="6" t="n"/>
      <c r="H803" s="10">
        <f>IF(AND(B803="",C803=""),"",IF(G803&lt;&gt;"","Void",IF(OR(B803="",E803=""),"Needs child",IF(D803="","Needs level","OK"))))</f>
        <v/>
      </c>
    </row>
    <row r="804">
      <c r="A804" s="6" t="n"/>
      <c r="B804" s="6" t="n"/>
      <c r="C804" s="6" t="n"/>
      <c r="D804" s="11">
        <f>IF(C804="","",IFERROR(INDEX(Levels!$A$2:$A$30,MATCH(C804,Levels!$B$2:$B$30,0)),""))</f>
        <v/>
      </c>
      <c r="E804" s="10">
        <f>IF(B804="","",IFERROR(INDEX(Roster!$A$2:$A$600,MATCH(B804,Roster!$E$2:$E$600,0)),""))</f>
        <v/>
      </c>
      <c r="F804" s="10">
        <f>IF(C804="","",IFERROR(INDEX(Levels!$C$2:$C$30,MATCH(C804,Levels!$B$2:$B$30,0)),""))</f>
        <v/>
      </c>
      <c r="G804" s="6" t="n"/>
      <c r="H804" s="10">
        <f>IF(AND(B804="",C804=""),"",IF(G804&lt;&gt;"","Void",IF(OR(B804="",E804=""),"Needs child",IF(D804="","Needs level","OK"))))</f>
        <v/>
      </c>
    </row>
    <row r="805">
      <c r="A805" s="6" t="n"/>
      <c r="B805" s="6" t="n"/>
      <c r="C805" s="6" t="n"/>
      <c r="D805" s="11">
        <f>IF(C805="","",IFERROR(INDEX(Levels!$A$2:$A$30,MATCH(C805,Levels!$B$2:$B$30,0)),""))</f>
        <v/>
      </c>
      <c r="E805" s="10">
        <f>IF(B805="","",IFERROR(INDEX(Roster!$A$2:$A$600,MATCH(B805,Roster!$E$2:$E$600,0)),""))</f>
        <v/>
      </c>
      <c r="F805" s="10">
        <f>IF(C805="","",IFERROR(INDEX(Levels!$C$2:$C$30,MATCH(C805,Levels!$B$2:$B$30,0)),""))</f>
        <v/>
      </c>
      <c r="G805" s="6" t="n"/>
      <c r="H805" s="10">
        <f>IF(AND(B805="",C805=""),"",IF(G805&lt;&gt;"","Void",IF(OR(B805="",E805=""),"Needs child",IF(D805="","Needs level","OK"))))</f>
        <v/>
      </c>
    </row>
    <row r="806">
      <c r="A806" s="6" t="n"/>
      <c r="B806" s="6" t="n"/>
      <c r="C806" s="6" t="n"/>
      <c r="D806" s="11">
        <f>IF(C806="","",IFERROR(INDEX(Levels!$A$2:$A$30,MATCH(C806,Levels!$B$2:$B$30,0)),""))</f>
        <v/>
      </c>
      <c r="E806" s="10">
        <f>IF(B806="","",IFERROR(INDEX(Roster!$A$2:$A$600,MATCH(B806,Roster!$E$2:$E$600,0)),""))</f>
        <v/>
      </c>
      <c r="F806" s="10">
        <f>IF(C806="","",IFERROR(INDEX(Levels!$C$2:$C$30,MATCH(C806,Levels!$B$2:$B$30,0)),""))</f>
        <v/>
      </c>
      <c r="G806" s="6" t="n"/>
      <c r="H806" s="10">
        <f>IF(AND(B806="",C806=""),"",IF(G806&lt;&gt;"","Void",IF(OR(B806="",E806=""),"Needs child",IF(D806="","Needs level","OK"))))</f>
        <v/>
      </c>
    </row>
    <row r="807">
      <c r="A807" s="6" t="n"/>
      <c r="B807" s="6" t="n"/>
      <c r="C807" s="6" t="n"/>
      <c r="D807" s="11">
        <f>IF(C807="","",IFERROR(INDEX(Levels!$A$2:$A$30,MATCH(C807,Levels!$B$2:$B$30,0)),""))</f>
        <v/>
      </c>
      <c r="E807" s="10">
        <f>IF(B807="","",IFERROR(INDEX(Roster!$A$2:$A$600,MATCH(B807,Roster!$E$2:$E$600,0)),""))</f>
        <v/>
      </c>
      <c r="F807" s="10">
        <f>IF(C807="","",IFERROR(INDEX(Levels!$C$2:$C$30,MATCH(C807,Levels!$B$2:$B$30,0)),""))</f>
        <v/>
      </c>
      <c r="G807" s="6" t="n"/>
      <c r="H807" s="10">
        <f>IF(AND(B807="",C807=""),"",IF(G807&lt;&gt;"","Void",IF(OR(B807="",E807=""),"Needs child",IF(D807="","Needs level","OK"))))</f>
        <v/>
      </c>
    </row>
    <row r="808">
      <c r="A808" s="6" t="n"/>
      <c r="B808" s="6" t="n"/>
      <c r="C808" s="6" t="n"/>
      <c r="D808" s="11">
        <f>IF(C808="","",IFERROR(INDEX(Levels!$A$2:$A$30,MATCH(C808,Levels!$B$2:$B$30,0)),""))</f>
        <v/>
      </c>
      <c r="E808" s="10">
        <f>IF(B808="","",IFERROR(INDEX(Roster!$A$2:$A$600,MATCH(B808,Roster!$E$2:$E$600,0)),""))</f>
        <v/>
      </c>
      <c r="F808" s="10">
        <f>IF(C808="","",IFERROR(INDEX(Levels!$C$2:$C$30,MATCH(C808,Levels!$B$2:$B$30,0)),""))</f>
        <v/>
      </c>
      <c r="G808" s="6" t="n"/>
      <c r="H808" s="10">
        <f>IF(AND(B808="",C808=""),"",IF(G808&lt;&gt;"","Void",IF(OR(B808="",E808=""),"Needs child",IF(D808="","Needs level","OK"))))</f>
        <v/>
      </c>
    </row>
    <row r="809">
      <c r="A809" s="6" t="n"/>
      <c r="B809" s="6" t="n"/>
      <c r="C809" s="6" t="n"/>
      <c r="D809" s="11">
        <f>IF(C809="","",IFERROR(INDEX(Levels!$A$2:$A$30,MATCH(C809,Levels!$B$2:$B$30,0)),""))</f>
        <v/>
      </c>
      <c r="E809" s="10">
        <f>IF(B809="","",IFERROR(INDEX(Roster!$A$2:$A$600,MATCH(B809,Roster!$E$2:$E$600,0)),""))</f>
        <v/>
      </c>
      <c r="F809" s="10">
        <f>IF(C809="","",IFERROR(INDEX(Levels!$C$2:$C$30,MATCH(C809,Levels!$B$2:$B$30,0)),""))</f>
        <v/>
      </c>
      <c r="G809" s="6" t="n"/>
      <c r="H809" s="10">
        <f>IF(AND(B809="",C809=""),"",IF(G809&lt;&gt;"","Void",IF(OR(B809="",E809=""),"Needs child",IF(D809="","Needs level","OK"))))</f>
        <v/>
      </c>
    </row>
    <row r="810">
      <c r="A810" s="6" t="n"/>
      <c r="B810" s="6" t="n"/>
      <c r="C810" s="6" t="n"/>
      <c r="D810" s="11">
        <f>IF(C810="","",IFERROR(INDEX(Levels!$A$2:$A$30,MATCH(C810,Levels!$B$2:$B$30,0)),""))</f>
        <v/>
      </c>
      <c r="E810" s="10">
        <f>IF(B810="","",IFERROR(INDEX(Roster!$A$2:$A$600,MATCH(B810,Roster!$E$2:$E$600,0)),""))</f>
        <v/>
      </c>
      <c r="F810" s="10">
        <f>IF(C810="","",IFERROR(INDEX(Levels!$C$2:$C$30,MATCH(C810,Levels!$B$2:$B$30,0)),""))</f>
        <v/>
      </c>
      <c r="G810" s="6" t="n"/>
      <c r="H810" s="10">
        <f>IF(AND(B810="",C810=""),"",IF(G810&lt;&gt;"","Void",IF(OR(B810="",E810=""),"Needs child",IF(D810="","Needs level","OK"))))</f>
        <v/>
      </c>
    </row>
    <row r="811">
      <c r="A811" s="6" t="n"/>
      <c r="B811" s="6" t="n"/>
      <c r="C811" s="6" t="n"/>
      <c r="D811" s="11">
        <f>IF(C811="","",IFERROR(INDEX(Levels!$A$2:$A$30,MATCH(C811,Levels!$B$2:$B$30,0)),""))</f>
        <v/>
      </c>
      <c r="E811" s="10">
        <f>IF(B811="","",IFERROR(INDEX(Roster!$A$2:$A$600,MATCH(B811,Roster!$E$2:$E$600,0)),""))</f>
        <v/>
      </c>
      <c r="F811" s="10">
        <f>IF(C811="","",IFERROR(INDEX(Levels!$C$2:$C$30,MATCH(C811,Levels!$B$2:$B$30,0)),""))</f>
        <v/>
      </c>
      <c r="G811" s="6" t="n"/>
      <c r="H811" s="10">
        <f>IF(AND(B811="",C811=""),"",IF(G811&lt;&gt;"","Void",IF(OR(B811="",E811=""),"Needs child",IF(D811="","Needs level","OK"))))</f>
        <v/>
      </c>
    </row>
    <row r="812">
      <c r="A812" s="6" t="n"/>
      <c r="B812" s="6" t="n"/>
      <c r="C812" s="6" t="n"/>
      <c r="D812" s="11">
        <f>IF(C812="","",IFERROR(INDEX(Levels!$A$2:$A$30,MATCH(C812,Levels!$B$2:$B$30,0)),""))</f>
        <v/>
      </c>
      <c r="E812" s="10">
        <f>IF(B812="","",IFERROR(INDEX(Roster!$A$2:$A$600,MATCH(B812,Roster!$E$2:$E$600,0)),""))</f>
        <v/>
      </c>
      <c r="F812" s="10">
        <f>IF(C812="","",IFERROR(INDEX(Levels!$C$2:$C$30,MATCH(C812,Levels!$B$2:$B$30,0)),""))</f>
        <v/>
      </c>
      <c r="G812" s="6" t="n"/>
      <c r="H812" s="10">
        <f>IF(AND(B812="",C812=""),"",IF(G812&lt;&gt;"","Void",IF(OR(B812="",E812=""),"Needs child",IF(D812="","Needs level","OK"))))</f>
        <v/>
      </c>
    </row>
    <row r="813">
      <c r="A813" s="6" t="n"/>
      <c r="B813" s="6" t="n"/>
      <c r="C813" s="6" t="n"/>
      <c r="D813" s="11">
        <f>IF(C813="","",IFERROR(INDEX(Levels!$A$2:$A$30,MATCH(C813,Levels!$B$2:$B$30,0)),""))</f>
        <v/>
      </c>
      <c r="E813" s="10">
        <f>IF(B813="","",IFERROR(INDEX(Roster!$A$2:$A$600,MATCH(B813,Roster!$E$2:$E$600,0)),""))</f>
        <v/>
      </c>
      <c r="F813" s="10">
        <f>IF(C813="","",IFERROR(INDEX(Levels!$C$2:$C$30,MATCH(C813,Levels!$B$2:$B$30,0)),""))</f>
        <v/>
      </c>
      <c r="G813" s="6" t="n"/>
      <c r="H813" s="10">
        <f>IF(AND(B813="",C813=""),"",IF(G813&lt;&gt;"","Void",IF(OR(B813="",E813=""),"Needs child",IF(D813="","Needs level","OK"))))</f>
        <v/>
      </c>
    </row>
    <row r="814">
      <c r="A814" s="6" t="n"/>
      <c r="B814" s="6" t="n"/>
      <c r="C814" s="6" t="n"/>
      <c r="D814" s="11">
        <f>IF(C814="","",IFERROR(INDEX(Levels!$A$2:$A$30,MATCH(C814,Levels!$B$2:$B$30,0)),""))</f>
        <v/>
      </c>
      <c r="E814" s="10">
        <f>IF(B814="","",IFERROR(INDEX(Roster!$A$2:$A$600,MATCH(B814,Roster!$E$2:$E$600,0)),""))</f>
        <v/>
      </c>
      <c r="F814" s="10">
        <f>IF(C814="","",IFERROR(INDEX(Levels!$C$2:$C$30,MATCH(C814,Levels!$B$2:$B$30,0)),""))</f>
        <v/>
      </c>
      <c r="G814" s="6" t="n"/>
      <c r="H814" s="10">
        <f>IF(AND(B814="",C814=""),"",IF(G814&lt;&gt;"","Void",IF(OR(B814="",E814=""),"Needs child",IF(D814="","Needs level","OK"))))</f>
        <v/>
      </c>
    </row>
    <row r="815">
      <c r="A815" s="6" t="n"/>
      <c r="B815" s="6" t="n"/>
      <c r="C815" s="6" t="n"/>
      <c r="D815" s="11">
        <f>IF(C815="","",IFERROR(INDEX(Levels!$A$2:$A$30,MATCH(C815,Levels!$B$2:$B$30,0)),""))</f>
        <v/>
      </c>
      <c r="E815" s="10">
        <f>IF(B815="","",IFERROR(INDEX(Roster!$A$2:$A$600,MATCH(B815,Roster!$E$2:$E$600,0)),""))</f>
        <v/>
      </c>
      <c r="F815" s="10">
        <f>IF(C815="","",IFERROR(INDEX(Levels!$C$2:$C$30,MATCH(C815,Levels!$B$2:$B$30,0)),""))</f>
        <v/>
      </c>
      <c r="G815" s="6" t="n"/>
      <c r="H815" s="10">
        <f>IF(AND(B815="",C815=""),"",IF(G815&lt;&gt;"","Void",IF(OR(B815="",E815=""),"Needs child",IF(D815="","Needs level","OK"))))</f>
        <v/>
      </c>
    </row>
    <row r="816">
      <c r="A816" s="6" t="n"/>
      <c r="B816" s="6" t="n"/>
      <c r="C816" s="6" t="n"/>
      <c r="D816" s="11">
        <f>IF(C816="","",IFERROR(INDEX(Levels!$A$2:$A$30,MATCH(C816,Levels!$B$2:$B$30,0)),""))</f>
        <v/>
      </c>
      <c r="E816" s="10">
        <f>IF(B816="","",IFERROR(INDEX(Roster!$A$2:$A$600,MATCH(B816,Roster!$E$2:$E$600,0)),""))</f>
        <v/>
      </c>
      <c r="F816" s="10">
        <f>IF(C816="","",IFERROR(INDEX(Levels!$C$2:$C$30,MATCH(C816,Levels!$B$2:$B$30,0)),""))</f>
        <v/>
      </c>
      <c r="G816" s="6" t="n"/>
      <c r="H816" s="10">
        <f>IF(AND(B816="",C816=""),"",IF(G816&lt;&gt;"","Void",IF(OR(B816="",E816=""),"Needs child",IF(D816="","Needs level","OK"))))</f>
        <v/>
      </c>
    </row>
    <row r="817">
      <c r="A817" s="6" t="n"/>
      <c r="B817" s="6" t="n"/>
      <c r="C817" s="6" t="n"/>
      <c r="D817" s="11">
        <f>IF(C817="","",IFERROR(INDEX(Levels!$A$2:$A$30,MATCH(C817,Levels!$B$2:$B$30,0)),""))</f>
        <v/>
      </c>
      <c r="E817" s="10">
        <f>IF(B817="","",IFERROR(INDEX(Roster!$A$2:$A$600,MATCH(B817,Roster!$E$2:$E$600,0)),""))</f>
        <v/>
      </c>
      <c r="F817" s="10">
        <f>IF(C817="","",IFERROR(INDEX(Levels!$C$2:$C$30,MATCH(C817,Levels!$B$2:$B$30,0)),""))</f>
        <v/>
      </c>
      <c r="G817" s="6" t="n"/>
      <c r="H817" s="10">
        <f>IF(AND(B817="",C817=""),"",IF(G817&lt;&gt;"","Void",IF(OR(B817="",E817=""),"Needs child",IF(D817="","Needs level","OK"))))</f>
        <v/>
      </c>
    </row>
    <row r="818">
      <c r="A818" s="6" t="n"/>
      <c r="B818" s="6" t="n"/>
      <c r="C818" s="6" t="n"/>
      <c r="D818" s="11">
        <f>IF(C818="","",IFERROR(INDEX(Levels!$A$2:$A$30,MATCH(C818,Levels!$B$2:$B$30,0)),""))</f>
        <v/>
      </c>
      <c r="E818" s="10">
        <f>IF(B818="","",IFERROR(INDEX(Roster!$A$2:$A$600,MATCH(B818,Roster!$E$2:$E$600,0)),""))</f>
        <v/>
      </c>
      <c r="F818" s="10">
        <f>IF(C818="","",IFERROR(INDEX(Levels!$C$2:$C$30,MATCH(C818,Levels!$B$2:$B$30,0)),""))</f>
        <v/>
      </c>
      <c r="G818" s="6" t="n"/>
      <c r="H818" s="10">
        <f>IF(AND(B818="",C818=""),"",IF(G818&lt;&gt;"","Void",IF(OR(B818="",E818=""),"Needs child",IF(D818="","Needs level","OK"))))</f>
        <v/>
      </c>
    </row>
    <row r="819">
      <c r="A819" s="6" t="n"/>
      <c r="B819" s="6" t="n"/>
      <c r="C819" s="6" t="n"/>
      <c r="D819" s="11">
        <f>IF(C819="","",IFERROR(INDEX(Levels!$A$2:$A$30,MATCH(C819,Levels!$B$2:$B$30,0)),""))</f>
        <v/>
      </c>
      <c r="E819" s="10">
        <f>IF(B819="","",IFERROR(INDEX(Roster!$A$2:$A$600,MATCH(B819,Roster!$E$2:$E$600,0)),""))</f>
        <v/>
      </c>
      <c r="F819" s="10">
        <f>IF(C819="","",IFERROR(INDEX(Levels!$C$2:$C$30,MATCH(C819,Levels!$B$2:$B$30,0)),""))</f>
        <v/>
      </c>
      <c r="G819" s="6" t="n"/>
      <c r="H819" s="10">
        <f>IF(AND(B819="",C819=""),"",IF(G819&lt;&gt;"","Void",IF(OR(B819="",E819=""),"Needs child",IF(D819="","Needs level","OK"))))</f>
        <v/>
      </c>
    </row>
    <row r="820">
      <c r="A820" s="6" t="n"/>
      <c r="B820" s="6" t="n"/>
      <c r="C820" s="6" t="n"/>
      <c r="D820" s="11">
        <f>IF(C820="","",IFERROR(INDEX(Levels!$A$2:$A$30,MATCH(C820,Levels!$B$2:$B$30,0)),""))</f>
        <v/>
      </c>
      <c r="E820" s="10">
        <f>IF(B820="","",IFERROR(INDEX(Roster!$A$2:$A$600,MATCH(B820,Roster!$E$2:$E$600,0)),""))</f>
        <v/>
      </c>
      <c r="F820" s="10">
        <f>IF(C820="","",IFERROR(INDEX(Levels!$C$2:$C$30,MATCH(C820,Levels!$B$2:$B$30,0)),""))</f>
        <v/>
      </c>
      <c r="G820" s="6" t="n"/>
      <c r="H820" s="10">
        <f>IF(AND(B820="",C820=""),"",IF(G820&lt;&gt;"","Void",IF(OR(B820="",E820=""),"Needs child",IF(D820="","Needs level","OK"))))</f>
        <v/>
      </c>
    </row>
    <row r="821">
      <c r="A821" s="6" t="n"/>
      <c r="B821" s="6" t="n"/>
      <c r="C821" s="6" t="n"/>
      <c r="D821" s="11">
        <f>IF(C821="","",IFERROR(INDEX(Levels!$A$2:$A$30,MATCH(C821,Levels!$B$2:$B$30,0)),""))</f>
        <v/>
      </c>
      <c r="E821" s="10">
        <f>IF(B821="","",IFERROR(INDEX(Roster!$A$2:$A$600,MATCH(B821,Roster!$E$2:$E$600,0)),""))</f>
        <v/>
      </c>
      <c r="F821" s="10">
        <f>IF(C821="","",IFERROR(INDEX(Levels!$C$2:$C$30,MATCH(C821,Levels!$B$2:$B$30,0)),""))</f>
        <v/>
      </c>
      <c r="G821" s="6" t="n"/>
      <c r="H821" s="10">
        <f>IF(AND(B821="",C821=""),"",IF(G821&lt;&gt;"","Void",IF(OR(B821="",E821=""),"Needs child",IF(D821="","Needs level","OK"))))</f>
        <v/>
      </c>
    </row>
    <row r="822">
      <c r="A822" s="6" t="n"/>
      <c r="B822" s="6" t="n"/>
      <c r="C822" s="6" t="n"/>
      <c r="D822" s="11">
        <f>IF(C822="","",IFERROR(INDEX(Levels!$A$2:$A$30,MATCH(C822,Levels!$B$2:$B$30,0)),""))</f>
        <v/>
      </c>
      <c r="E822" s="10">
        <f>IF(B822="","",IFERROR(INDEX(Roster!$A$2:$A$600,MATCH(B822,Roster!$E$2:$E$600,0)),""))</f>
        <v/>
      </c>
      <c r="F822" s="10">
        <f>IF(C822="","",IFERROR(INDEX(Levels!$C$2:$C$30,MATCH(C822,Levels!$B$2:$B$30,0)),""))</f>
        <v/>
      </c>
      <c r="G822" s="6" t="n"/>
      <c r="H822" s="10">
        <f>IF(AND(B822="",C822=""),"",IF(G822&lt;&gt;"","Void",IF(OR(B822="",E822=""),"Needs child",IF(D822="","Needs level","OK"))))</f>
        <v/>
      </c>
    </row>
    <row r="823">
      <c r="A823" s="6" t="n"/>
      <c r="B823" s="6" t="n"/>
      <c r="C823" s="6" t="n"/>
      <c r="D823" s="11">
        <f>IF(C823="","",IFERROR(INDEX(Levels!$A$2:$A$30,MATCH(C823,Levels!$B$2:$B$30,0)),""))</f>
        <v/>
      </c>
      <c r="E823" s="10">
        <f>IF(B823="","",IFERROR(INDEX(Roster!$A$2:$A$600,MATCH(B823,Roster!$E$2:$E$600,0)),""))</f>
        <v/>
      </c>
      <c r="F823" s="10">
        <f>IF(C823="","",IFERROR(INDEX(Levels!$C$2:$C$30,MATCH(C823,Levels!$B$2:$B$30,0)),""))</f>
        <v/>
      </c>
      <c r="G823" s="6" t="n"/>
      <c r="H823" s="10">
        <f>IF(AND(B823="",C823=""),"",IF(G823&lt;&gt;"","Void",IF(OR(B823="",E823=""),"Needs child",IF(D823="","Needs level","OK"))))</f>
        <v/>
      </c>
    </row>
    <row r="824">
      <c r="A824" s="6" t="n"/>
      <c r="B824" s="6" t="n"/>
      <c r="C824" s="6" t="n"/>
      <c r="D824" s="11">
        <f>IF(C824="","",IFERROR(INDEX(Levels!$A$2:$A$30,MATCH(C824,Levels!$B$2:$B$30,0)),""))</f>
        <v/>
      </c>
      <c r="E824" s="10">
        <f>IF(B824="","",IFERROR(INDEX(Roster!$A$2:$A$600,MATCH(B824,Roster!$E$2:$E$600,0)),""))</f>
        <v/>
      </c>
      <c r="F824" s="10">
        <f>IF(C824="","",IFERROR(INDEX(Levels!$C$2:$C$30,MATCH(C824,Levels!$B$2:$B$30,0)),""))</f>
        <v/>
      </c>
      <c r="G824" s="6" t="n"/>
      <c r="H824" s="10">
        <f>IF(AND(B824="",C824=""),"",IF(G824&lt;&gt;"","Void",IF(OR(B824="",E824=""),"Needs child",IF(D824="","Needs level","OK"))))</f>
        <v/>
      </c>
    </row>
    <row r="825">
      <c r="A825" s="6" t="n"/>
      <c r="B825" s="6" t="n"/>
      <c r="C825" s="6" t="n"/>
      <c r="D825" s="11">
        <f>IF(C825="","",IFERROR(INDEX(Levels!$A$2:$A$30,MATCH(C825,Levels!$B$2:$B$30,0)),""))</f>
        <v/>
      </c>
      <c r="E825" s="10">
        <f>IF(B825="","",IFERROR(INDEX(Roster!$A$2:$A$600,MATCH(B825,Roster!$E$2:$E$600,0)),""))</f>
        <v/>
      </c>
      <c r="F825" s="10">
        <f>IF(C825="","",IFERROR(INDEX(Levels!$C$2:$C$30,MATCH(C825,Levels!$B$2:$B$30,0)),""))</f>
        <v/>
      </c>
      <c r="G825" s="6" t="n"/>
      <c r="H825" s="10">
        <f>IF(AND(B825="",C825=""),"",IF(G825&lt;&gt;"","Void",IF(OR(B825="",E825=""),"Needs child",IF(D825="","Needs level","OK"))))</f>
        <v/>
      </c>
    </row>
    <row r="826">
      <c r="A826" s="6" t="n"/>
      <c r="B826" s="6" t="n"/>
      <c r="C826" s="6" t="n"/>
      <c r="D826" s="11">
        <f>IF(C826="","",IFERROR(INDEX(Levels!$A$2:$A$30,MATCH(C826,Levels!$B$2:$B$30,0)),""))</f>
        <v/>
      </c>
      <c r="E826" s="10">
        <f>IF(B826="","",IFERROR(INDEX(Roster!$A$2:$A$600,MATCH(B826,Roster!$E$2:$E$600,0)),""))</f>
        <v/>
      </c>
      <c r="F826" s="10">
        <f>IF(C826="","",IFERROR(INDEX(Levels!$C$2:$C$30,MATCH(C826,Levels!$B$2:$B$30,0)),""))</f>
        <v/>
      </c>
      <c r="G826" s="6" t="n"/>
      <c r="H826" s="10">
        <f>IF(AND(B826="",C826=""),"",IF(G826&lt;&gt;"","Void",IF(OR(B826="",E826=""),"Needs child",IF(D826="","Needs level","OK"))))</f>
        <v/>
      </c>
    </row>
    <row r="827">
      <c r="A827" s="6" t="n"/>
      <c r="B827" s="6" t="n"/>
      <c r="C827" s="6" t="n"/>
      <c r="D827" s="11">
        <f>IF(C827="","",IFERROR(INDEX(Levels!$A$2:$A$30,MATCH(C827,Levels!$B$2:$B$30,0)),""))</f>
        <v/>
      </c>
      <c r="E827" s="10">
        <f>IF(B827="","",IFERROR(INDEX(Roster!$A$2:$A$600,MATCH(B827,Roster!$E$2:$E$600,0)),""))</f>
        <v/>
      </c>
      <c r="F827" s="10">
        <f>IF(C827="","",IFERROR(INDEX(Levels!$C$2:$C$30,MATCH(C827,Levels!$B$2:$B$30,0)),""))</f>
        <v/>
      </c>
      <c r="G827" s="6" t="n"/>
      <c r="H827" s="10">
        <f>IF(AND(B827="",C827=""),"",IF(G827&lt;&gt;"","Void",IF(OR(B827="",E827=""),"Needs child",IF(D827="","Needs level","OK"))))</f>
        <v/>
      </c>
    </row>
    <row r="828">
      <c r="A828" s="6" t="n"/>
      <c r="B828" s="6" t="n"/>
      <c r="C828" s="6" t="n"/>
      <c r="D828" s="11">
        <f>IF(C828="","",IFERROR(INDEX(Levels!$A$2:$A$30,MATCH(C828,Levels!$B$2:$B$30,0)),""))</f>
        <v/>
      </c>
      <c r="E828" s="10">
        <f>IF(B828="","",IFERROR(INDEX(Roster!$A$2:$A$600,MATCH(B828,Roster!$E$2:$E$600,0)),""))</f>
        <v/>
      </c>
      <c r="F828" s="10">
        <f>IF(C828="","",IFERROR(INDEX(Levels!$C$2:$C$30,MATCH(C828,Levels!$B$2:$B$30,0)),""))</f>
        <v/>
      </c>
      <c r="G828" s="6" t="n"/>
      <c r="H828" s="10">
        <f>IF(AND(B828="",C828=""),"",IF(G828&lt;&gt;"","Void",IF(OR(B828="",E828=""),"Needs child",IF(D828="","Needs level","OK"))))</f>
        <v/>
      </c>
    </row>
    <row r="829">
      <c r="A829" s="6" t="n"/>
      <c r="B829" s="6" t="n"/>
      <c r="C829" s="6" t="n"/>
      <c r="D829" s="11">
        <f>IF(C829="","",IFERROR(INDEX(Levels!$A$2:$A$30,MATCH(C829,Levels!$B$2:$B$30,0)),""))</f>
        <v/>
      </c>
      <c r="E829" s="10">
        <f>IF(B829="","",IFERROR(INDEX(Roster!$A$2:$A$600,MATCH(B829,Roster!$E$2:$E$600,0)),""))</f>
        <v/>
      </c>
      <c r="F829" s="10">
        <f>IF(C829="","",IFERROR(INDEX(Levels!$C$2:$C$30,MATCH(C829,Levels!$B$2:$B$30,0)),""))</f>
        <v/>
      </c>
      <c r="G829" s="6" t="n"/>
      <c r="H829" s="10">
        <f>IF(AND(B829="",C829=""),"",IF(G829&lt;&gt;"","Void",IF(OR(B829="",E829=""),"Needs child",IF(D829="","Needs level","OK"))))</f>
        <v/>
      </c>
    </row>
    <row r="830">
      <c r="A830" s="6" t="n"/>
      <c r="B830" s="6" t="n"/>
      <c r="C830" s="6" t="n"/>
      <c r="D830" s="11">
        <f>IF(C830="","",IFERROR(INDEX(Levels!$A$2:$A$30,MATCH(C830,Levels!$B$2:$B$30,0)),""))</f>
        <v/>
      </c>
      <c r="E830" s="10">
        <f>IF(B830="","",IFERROR(INDEX(Roster!$A$2:$A$600,MATCH(B830,Roster!$E$2:$E$600,0)),""))</f>
        <v/>
      </c>
      <c r="F830" s="10">
        <f>IF(C830="","",IFERROR(INDEX(Levels!$C$2:$C$30,MATCH(C830,Levels!$B$2:$B$30,0)),""))</f>
        <v/>
      </c>
      <c r="G830" s="6" t="n"/>
      <c r="H830" s="10">
        <f>IF(AND(B830="",C830=""),"",IF(G830&lt;&gt;"","Void",IF(OR(B830="",E830=""),"Needs child",IF(D830="","Needs level","OK"))))</f>
        <v/>
      </c>
    </row>
    <row r="831">
      <c r="A831" s="6" t="n"/>
      <c r="B831" s="6" t="n"/>
      <c r="C831" s="6" t="n"/>
      <c r="D831" s="11">
        <f>IF(C831="","",IFERROR(INDEX(Levels!$A$2:$A$30,MATCH(C831,Levels!$B$2:$B$30,0)),""))</f>
        <v/>
      </c>
      <c r="E831" s="10">
        <f>IF(B831="","",IFERROR(INDEX(Roster!$A$2:$A$600,MATCH(B831,Roster!$E$2:$E$600,0)),""))</f>
        <v/>
      </c>
      <c r="F831" s="10">
        <f>IF(C831="","",IFERROR(INDEX(Levels!$C$2:$C$30,MATCH(C831,Levels!$B$2:$B$30,0)),""))</f>
        <v/>
      </c>
      <c r="G831" s="6" t="n"/>
      <c r="H831" s="10">
        <f>IF(AND(B831="",C831=""),"",IF(G831&lt;&gt;"","Void",IF(OR(B831="",E831=""),"Needs child",IF(D831="","Needs level","OK"))))</f>
        <v/>
      </c>
    </row>
    <row r="832">
      <c r="A832" s="6" t="n"/>
      <c r="B832" s="6" t="n"/>
      <c r="C832" s="6" t="n"/>
      <c r="D832" s="11">
        <f>IF(C832="","",IFERROR(INDEX(Levels!$A$2:$A$30,MATCH(C832,Levels!$B$2:$B$30,0)),""))</f>
        <v/>
      </c>
      <c r="E832" s="10">
        <f>IF(B832="","",IFERROR(INDEX(Roster!$A$2:$A$600,MATCH(B832,Roster!$E$2:$E$600,0)),""))</f>
        <v/>
      </c>
      <c r="F832" s="10">
        <f>IF(C832="","",IFERROR(INDEX(Levels!$C$2:$C$30,MATCH(C832,Levels!$B$2:$B$30,0)),""))</f>
        <v/>
      </c>
      <c r="G832" s="6" t="n"/>
      <c r="H832" s="10">
        <f>IF(AND(B832="",C832=""),"",IF(G832&lt;&gt;"","Void",IF(OR(B832="",E832=""),"Needs child",IF(D832="","Needs level","OK"))))</f>
        <v/>
      </c>
    </row>
    <row r="833">
      <c r="A833" s="6" t="n"/>
      <c r="B833" s="6" t="n"/>
      <c r="C833" s="6" t="n"/>
      <c r="D833" s="11">
        <f>IF(C833="","",IFERROR(INDEX(Levels!$A$2:$A$30,MATCH(C833,Levels!$B$2:$B$30,0)),""))</f>
        <v/>
      </c>
      <c r="E833" s="10">
        <f>IF(B833="","",IFERROR(INDEX(Roster!$A$2:$A$600,MATCH(B833,Roster!$E$2:$E$600,0)),""))</f>
        <v/>
      </c>
      <c r="F833" s="10">
        <f>IF(C833="","",IFERROR(INDEX(Levels!$C$2:$C$30,MATCH(C833,Levels!$B$2:$B$30,0)),""))</f>
        <v/>
      </c>
      <c r="G833" s="6" t="n"/>
      <c r="H833" s="10">
        <f>IF(AND(B833="",C833=""),"",IF(G833&lt;&gt;"","Void",IF(OR(B833="",E833=""),"Needs child",IF(D833="","Needs level","OK"))))</f>
        <v/>
      </c>
    </row>
    <row r="834">
      <c r="A834" s="6" t="n"/>
      <c r="B834" s="6" t="n"/>
      <c r="C834" s="6" t="n"/>
      <c r="D834" s="11">
        <f>IF(C834="","",IFERROR(INDEX(Levels!$A$2:$A$30,MATCH(C834,Levels!$B$2:$B$30,0)),""))</f>
        <v/>
      </c>
      <c r="E834" s="10">
        <f>IF(B834="","",IFERROR(INDEX(Roster!$A$2:$A$600,MATCH(B834,Roster!$E$2:$E$600,0)),""))</f>
        <v/>
      </c>
      <c r="F834" s="10">
        <f>IF(C834="","",IFERROR(INDEX(Levels!$C$2:$C$30,MATCH(C834,Levels!$B$2:$B$30,0)),""))</f>
        <v/>
      </c>
      <c r="G834" s="6" t="n"/>
      <c r="H834" s="10">
        <f>IF(AND(B834="",C834=""),"",IF(G834&lt;&gt;"","Void",IF(OR(B834="",E834=""),"Needs child",IF(D834="","Needs level","OK"))))</f>
        <v/>
      </c>
    </row>
    <row r="835">
      <c r="A835" s="6" t="n"/>
      <c r="B835" s="6" t="n"/>
      <c r="C835" s="6" t="n"/>
      <c r="D835" s="11">
        <f>IF(C835="","",IFERROR(INDEX(Levels!$A$2:$A$30,MATCH(C835,Levels!$B$2:$B$30,0)),""))</f>
        <v/>
      </c>
      <c r="E835" s="10">
        <f>IF(B835="","",IFERROR(INDEX(Roster!$A$2:$A$600,MATCH(B835,Roster!$E$2:$E$600,0)),""))</f>
        <v/>
      </c>
      <c r="F835" s="10">
        <f>IF(C835="","",IFERROR(INDEX(Levels!$C$2:$C$30,MATCH(C835,Levels!$B$2:$B$30,0)),""))</f>
        <v/>
      </c>
      <c r="G835" s="6" t="n"/>
      <c r="H835" s="10">
        <f>IF(AND(B835="",C835=""),"",IF(G835&lt;&gt;"","Void",IF(OR(B835="",E835=""),"Needs child",IF(D835="","Needs level","OK"))))</f>
        <v/>
      </c>
    </row>
    <row r="836">
      <c r="A836" s="6" t="n"/>
      <c r="B836" s="6" t="n"/>
      <c r="C836" s="6" t="n"/>
      <c r="D836" s="11">
        <f>IF(C836="","",IFERROR(INDEX(Levels!$A$2:$A$30,MATCH(C836,Levels!$B$2:$B$30,0)),""))</f>
        <v/>
      </c>
      <c r="E836" s="10">
        <f>IF(B836="","",IFERROR(INDEX(Roster!$A$2:$A$600,MATCH(B836,Roster!$E$2:$E$600,0)),""))</f>
        <v/>
      </c>
      <c r="F836" s="10">
        <f>IF(C836="","",IFERROR(INDEX(Levels!$C$2:$C$30,MATCH(C836,Levels!$B$2:$B$30,0)),""))</f>
        <v/>
      </c>
      <c r="G836" s="6" t="n"/>
      <c r="H836" s="10">
        <f>IF(AND(B836="",C836=""),"",IF(G836&lt;&gt;"","Void",IF(OR(B836="",E836=""),"Needs child",IF(D836="","Needs level","OK"))))</f>
        <v/>
      </c>
    </row>
    <row r="837">
      <c r="A837" s="6" t="n"/>
      <c r="B837" s="6" t="n"/>
      <c r="C837" s="6" t="n"/>
      <c r="D837" s="11">
        <f>IF(C837="","",IFERROR(INDEX(Levels!$A$2:$A$30,MATCH(C837,Levels!$B$2:$B$30,0)),""))</f>
        <v/>
      </c>
      <c r="E837" s="10">
        <f>IF(B837="","",IFERROR(INDEX(Roster!$A$2:$A$600,MATCH(B837,Roster!$E$2:$E$600,0)),""))</f>
        <v/>
      </c>
      <c r="F837" s="10">
        <f>IF(C837="","",IFERROR(INDEX(Levels!$C$2:$C$30,MATCH(C837,Levels!$B$2:$B$30,0)),""))</f>
        <v/>
      </c>
      <c r="G837" s="6" t="n"/>
      <c r="H837" s="10">
        <f>IF(AND(B837="",C837=""),"",IF(G837&lt;&gt;"","Void",IF(OR(B837="",E837=""),"Needs child",IF(D837="","Needs level","OK"))))</f>
        <v/>
      </c>
    </row>
    <row r="838">
      <c r="A838" s="6" t="n"/>
      <c r="B838" s="6" t="n"/>
      <c r="C838" s="6" t="n"/>
      <c r="D838" s="11">
        <f>IF(C838="","",IFERROR(INDEX(Levels!$A$2:$A$30,MATCH(C838,Levels!$B$2:$B$30,0)),""))</f>
        <v/>
      </c>
      <c r="E838" s="10">
        <f>IF(B838="","",IFERROR(INDEX(Roster!$A$2:$A$600,MATCH(B838,Roster!$E$2:$E$600,0)),""))</f>
        <v/>
      </c>
      <c r="F838" s="10">
        <f>IF(C838="","",IFERROR(INDEX(Levels!$C$2:$C$30,MATCH(C838,Levels!$B$2:$B$30,0)),""))</f>
        <v/>
      </c>
      <c r="G838" s="6" t="n"/>
      <c r="H838" s="10">
        <f>IF(AND(B838="",C838=""),"",IF(G838&lt;&gt;"","Void",IF(OR(B838="",E838=""),"Needs child",IF(D838="","Needs level","OK"))))</f>
        <v/>
      </c>
    </row>
    <row r="839">
      <c r="A839" s="6" t="n"/>
      <c r="B839" s="6" t="n"/>
      <c r="C839" s="6" t="n"/>
      <c r="D839" s="11">
        <f>IF(C839="","",IFERROR(INDEX(Levels!$A$2:$A$30,MATCH(C839,Levels!$B$2:$B$30,0)),""))</f>
        <v/>
      </c>
      <c r="E839" s="10">
        <f>IF(B839="","",IFERROR(INDEX(Roster!$A$2:$A$600,MATCH(B839,Roster!$E$2:$E$600,0)),""))</f>
        <v/>
      </c>
      <c r="F839" s="10">
        <f>IF(C839="","",IFERROR(INDEX(Levels!$C$2:$C$30,MATCH(C839,Levels!$B$2:$B$30,0)),""))</f>
        <v/>
      </c>
      <c r="G839" s="6" t="n"/>
      <c r="H839" s="10">
        <f>IF(AND(B839="",C839=""),"",IF(G839&lt;&gt;"","Void",IF(OR(B839="",E839=""),"Needs child",IF(D839="","Needs level","OK"))))</f>
        <v/>
      </c>
    </row>
    <row r="840">
      <c r="A840" s="6" t="n"/>
      <c r="B840" s="6" t="n"/>
      <c r="C840" s="6" t="n"/>
      <c r="D840" s="11">
        <f>IF(C840="","",IFERROR(INDEX(Levels!$A$2:$A$30,MATCH(C840,Levels!$B$2:$B$30,0)),""))</f>
        <v/>
      </c>
      <c r="E840" s="10">
        <f>IF(B840="","",IFERROR(INDEX(Roster!$A$2:$A$600,MATCH(B840,Roster!$E$2:$E$600,0)),""))</f>
        <v/>
      </c>
      <c r="F840" s="10">
        <f>IF(C840="","",IFERROR(INDEX(Levels!$C$2:$C$30,MATCH(C840,Levels!$B$2:$B$30,0)),""))</f>
        <v/>
      </c>
      <c r="G840" s="6" t="n"/>
      <c r="H840" s="10">
        <f>IF(AND(B840="",C840=""),"",IF(G840&lt;&gt;"","Void",IF(OR(B840="",E840=""),"Needs child",IF(D840="","Needs level","OK"))))</f>
        <v/>
      </c>
    </row>
    <row r="841">
      <c r="A841" s="6" t="n"/>
      <c r="B841" s="6" t="n"/>
      <c r="C841" s="6" t="n"/>
      <c r="D841" s="11">
        <f>IF(C841="","",IFERROR(INDEX(Levels!$A$2:$A$30,MATCH(C841,Levels!$B$2:$B$30,0)),""))</f>
        <v/>
      </c>
      <c r="E841" s="10">
        <f>IF(B841="","",IFERROR(INDEX(Roster!$A$2:$A$600,MATCH(B841,Roster!$E$2:$E$600,0)),""))</f>
        <v/>
      </c>
      <c r="F841" s="10">
        <f>IF(C841="","",IFERROR(INDEX(Levels!$C$2:$C$30,MATCH(C841,Levels!$B$2:$B$30,0)),""))</f>
        <v/>
      </c>
      <c r="G841" s="6" t="n"/>
      <c r="H841" s="10">
        <f>IF(AND(B841="",C841=""),"",IF(G841&lt;&gt;"","Void",IF(OR(B841="",E841=""),"Needs child",IF(D841="","Needs level","OK"))))</f>
        <v/>
      </c>
    </row>
    <row r="842">
      <c r="A842" s="6" t="n"/>
      <c r="B842" s="6" t="n"/>
      <c r="C842" s="6" t="n"/>
      <c r="D842" s="11">
        <f>IF(C842="","",IFERROR(INDEX(Levels!$A$2:$A$30,MATCH(C842,Levels!$B$2:$B$30,0)),""))</f>
        <v/>
      </c>
      <c r="E842" s="10">
        <f>IF(B842="","",IFERROR(INDEX(Roster!$A$2:$A$600,MATCH(B842,Roster!$E$2:$E$600,0)),""))</f>
        <v/>
      </c>
      <c r="F842" s="10">
        <f>IF(C842="","",IFERROR(INDEX(Levels!$C$2:$C$30,MATCH(C842,Levels!$B$2:$B$30,0)),""))</f>
        <v/>
      </c>
      <c r="G842" s="6" t="n"/>
      <c r="H842" s="10">
        <f>IF(AND(B842="",C842=""),"",IF(G842&lt;&gt;"","Void",IF(OR(B842="",E842=""),"Needs child",IF(D842="","Needs level","OK"))))</f>
        <v/>
      </c>
    </row>
    <row r="843">
      <c r="A843" s="6" t="n"/>
      <c r="B843" s="6" t="n"/>
      <c r="C843" s="6" t="n"/>
      <c r="D843" s="11">
        <f>IF(C843="","",IFERROR(INDEX(Levels!$A$2:$A$30,MATCH(C843,Levels!$B$2:$B$30,0)),""))</f>
        <v/>
      </c>
      <c r="E843" s="10">
        <f>IF(B843="","",IFERROR(INDEX(Roster!$A$2:$A$600,MATCH(B843,Roster!$E$2:$E$600,0)),""))</f>
        <v/>
      </c>
      <c r="F843" s="10">
        <f>IF(C843="","",IFERROR(INDEX(Levels!$C$2:$C$30,MATCH(C843,Levels!$B$2:$B$30,0)),""))</f>
        <v/>
      </c>
      <c r="G843" s="6" t="n"/>
      <c r="H843" s="10">
        <f>IF(AND(B843="",C843=""),"",IF(G843&lt;&gt;"","Void",IF(OR(B843="",E843=""),"Needs child",IF(D843="","Needs level","OK"))))</f>
        <v/>
      </c>
    </row>
    <row r="844">
      <c r="A844" s="6" t="n"/>
      <c r="B844" s="6" t="n"/>
      <c r="C844" s="6" t="n"/>
      <c r="D844" s="11">
        <f>IF(C844="","",IFERROR(INDEX(Levels!$A$2:$A$30,MATCH(C844,Levels!$B$2:$B$30,0)),""))</f>
        <v/>
      </c>
      <c r="E844" s="10">
        <f>IF(B844="","",IFERROR(INDEX(Roster!$A$2:$A$600,MATCH(B844,Roster!$E$2:$E$600,0)),""))</f>
        <v/>
      </c>
      <c r="F844" s="10">
        <f>IF(C844="","",IFERROR(INDEX(Levels!$C$2:$C$30,MATCH(C844,Levels!$B$2:$B$30,0)),""))</f>
        <v/>
      </c>
      <c r="G844" s="6" t="n"/>
      <c r="H844" s="10">
        <f>IF(AND(B844="",C844=""),"",IF(G844&lt;&gt;"","Void",IF(OR(B844="",E844=""),"Needs child",IF(D844="","Needs level","OK"))))</f>
        <v/>
      </c>
    </row>
    <row r="845">
      <c r="A845" s="6" t="n"/>
      <c r="B845" s="6" t="n"/>
      <c r="C845" s="6" t="n"/>
      <c r="D845" s="11">
        <f>IF(C845="","",IFERROR(INDEX(Levels!$A$2:$A$30,MATCH(C845,Levels!$B$2:$B$30,0)),""))</f>
        <v/>
      </c>
      <c r="E845" s="10">
        <f>IF(B845="","",IFERROR(INDEX(Roster!$A$2:$A$600,MATCH(B845,Roster!$E$2:$E$600,0)),""))</f>
        <v/>
      </c>
      <c r="F845" s="10">
        <f>IF(C845="","",IFERROR(INDEX(Levels!$C$2:$C$30,MATCH(C845,Levels!$B$2:$B$30,0)),""))</f>
        <v/>
      </c>
      <c r="G845" s="6" t="n"/>
      <c r="H845" s="10">
        <f>IF(AND(B845="",C845=""),"",IF(G845&lt;&gt;"","Void",IF(OR(B845="",E845=""),"Needs child",IF(D845="","Needs level","OK"))))</f>
        <v/>
      </c>
    </row>
    <row r="846">
      <c r="A846" s="6" t="n"/>
      <c r="B846" s="6" t="n"/>
      <c r="C846" s="6" t="n"/>
      <c r="D846" s="11">
        <f>IF(C846="","",IFERROR(INDEX(Levels!$A$2:$A$30,MATCH(C846,Levels!$B$2:$B$30,0)),""))</f>
        <v/>
      </c>
      <c r="E846" s="10">
        <f>IF(B846="","",IFERROR(INDEX(Roster!$A$2:$A$600,MATCH(B846,Roster!$E$2:$E$600,0)),""))</f>
        <v/>
      </c>
      <c r="F846" s="10">
        <f>IF(C846="","",IFERROR(INDEX(Levels!$C$2:$C$30,MATCH(C846,Levels!$B$2:$B$30,0)),""))</f>
        <v/>
      </c>
      <c r="G846" s="6" t="n"/>
      <c r="H846" s="10">
        <f>IF(AND(B846="",C846=""),"",IF(G846&lt;&gt;"","Void",IF(OR(B846="",E846=""),"Needs child",IF(D846="","Needs level","OK"))))</f>
        <v/>
      </c>
    </row>
    <row r="847">
      <c r="A847" s="6" t="n"/>
      <c r="B847" s="6" t="n"/>
      <c r="C847" s="6" t="n"/>
      <c r="D847" s="11">
        <f>IF(C847="","",IFERROR(INDEX(Levels!$A$2:$A$30,MATCH(C847,Levels!$B$2:$B$30,0)),""))</f>
        <v/>
      </c>
      <c r="E847" s="10">
        <f>IF(B847="","",IFERROR(INDEX(Roster!$A$2:$A$600,MATCH(B847,Roster!$E$2:$E$600,0)),""))</f>
        <v/>
      </c>
      <c r="F847" s="10">
        <f>IF(C847="","",IFERROR(INDEX(Levels!$C$2:$C$30,MATCH(C847,Levels!$B$2:$B$30,0)),""))</f>
        <v/>
      </c>
      <c r="G847" s="6" t="n"/>
      <c r="H847" s="10">
        <f>IF(AND(B847="",C847=""),"",IF(G847&lt;&gt;"","Void",IF(OR(B847="",E847=""),"Needs child",IF(D847="","Needs level","OK"))))</f>
        <v/>
      </c>
    </row>
    <row r="848">
      <c r="A848" s="6" t="n"/>
      <c r="B848" s="6" t="n"/>
      <c r="C848" s="6" t="n"/>
      <c r="D848" s="11">
        <f>IF(C848="","",IFERROR(INDEX(Levels!$A$2:$A$30,MATCH(C848,Levels!$B$2:$B$30,0)),""))</f>
        <v/>
      </c>
      <c r="E848" s="10">
        <f>IF(B848="","",IFERROR(INDEX(Roster!$A$2:$A$600,MATCH(B848,Roster!$E$2:$E$600,0)),""))</f>
        <v/>
      </c>
      <c r="F848" s="10">
        <f>IF(C848="","",IFERROR(INDEX(Levels!$C$2:$C$30,MATCH(C848,Levels!$B$2:$B$30,0)),""))</f>
        <v/>
      </c>
      <c r="G848" s="6" t="n"/>
      <c r="H848" s="10">
        <f>IF(AND(B848="",C848=""),"",IF(G848&lt;&gt;"","Void",IF(OR(B848="",E848=""),"Needs child",IF(D848="","Needs level","OK"))))</f>
        <v/>
      </c>
    </row>
    <row r="849">
      <c r="A849" s="6" t="n"/>
      <c r="B849" s="6" t="n"/>
      <c r="C849" s="6" t="n"/>
      <c r="D849" s="11">
        <f>IF(C849="","",IFERROR(INDEX(Levels!$A$2:$A$30,MATCH(C849,Levels!$B$2:$B$30,0)),""))</f>
        <v/>
      </c>
      <c r="E849" s="10">
        <f>IF(B849="","",IFERROR(INDEX(Roster!$A$2:$A$600,MATCH(B849,Roster!$E$2:$E$600,0)),""))</f>
        <v/>
      </c>
      <c r="F849" s="10">
        <f>IF(C849="","",IFERROR(INDEX(Levels!$C$2:$C$30,MATCH(C849,Levels!$B$2:$B$30,0)),""))</f>
        <v/>
      </c>
      <c r="G849" s="6" t="n"/>
      <c r="H849" s="10">
        <f>IF(AND(B849="",C849=""),"",IF(G849&lt;&gt;"","Void",IF(OR(B849="",E849=""),"Needs child",IF(D849="","Needs level","OK"))))</f>
        <v/>
      </c>
    </row>
    <row r="850">
      <c r="A850" s="6" t="n"/>
      <c r="B850" s="6" t="n"/>
      <c r="C850" s="6" t="n"/>
      <c r="D850" s="11">
        <f>IF(C850="","",IFERROR(INDEX(Levels!$A$2:$A$30,MATCH(C850,Levels!$B$2:$B$30,0)),""))</f>
        <v/>
      </c>
      <c r="E850" s="10">
        <f>IF(B850="","",IFERROR(INDEX(Roster!$A$2:$A$600,MATCH(B850,Roster!$E$2:$E$600,0)),""))</f>
        <v/>
      </c>
      <c r="F850" s="10">
        <f>IF(C850="","",IFERROR(INDEX(Levels!$C$2:$C$30,MATCH(C850,Levels!$B$2:$B$30,0)),""))</f>
        <v/>
      </c>
      <c r="G850" s="6" t="n"/>
      <c r="H850" s="10">
        <f>IF(AND(B850="",C850=""),"",IF(G850&lt;&gt;"","Void",IF(OR(B850="",E850=""),"Needs child",IF(D850="","Needs level","OK"))))</f>
        <v/>
      </c>
    </row>
    <row r="851">
      <c r="A851" s="6" t="n"/>
      <c r="B851" s="6" t="n"/>
      <c r="C851" s="6" t="n"/>
      <c r="D851" s="11">
        <f>IF(C851="","",IFERROR(INDEX(Levels!$A$2:$A$30,MATCH(C851,Levels!$B$2:$B$30,0)),""))</f>
        <v/>
      </c>
      <c r="E851" s="10">
        <f>IF(B851="","",IFERROR(INDEX(Roster!$A$2:$A$600,MATCH(B851,Roster!$E$2:$E$600,0)),""))</f>
        <v/>
      </c>
      <c r="F851" s="10">
        <f>IF(C851="","",IFERROR(INDEX(Levels!$C$2:$C$30,MATCH(C851,Levels!$B$2:$B$30,0)),""))</f>
        <v/>
      </c>
      <c r="G851" s="6" t="n"/>
      <c r="H851" s="10">
        <f>IF(AND(B851="",C851=""),"",IF(G851&lt;&gt;"","Void",IF(OR(B851="",E851=""),"Needs child",IF(D851="","Needs level","OK"))))</f>
        <v/>
      </c>
    </row>
    <row r="852">
      <c r="A852" s="6" t="n"/>
      <c r="B852" s="6" t="n"/>
      <c r="C852" s="6" t="n"/>
      <c r="D852" s="11">
        <f>IF(C852="","",IFERROR(INDEX(Levels!$A$2:$A$30,MATCH(C852,Levels!$B$2:$B$30,0)),""))</f>
        <v/>
      </c>
      <c r="E852" s="10">
        <f>IF(B852="","",IFERROR(INDEX(Roster!$A$2:$A$600,MATCH(B852,Roster!$E$2:$E$600,0)),""))</f>
        <v/>
      </c>
      <c r="F852" s="10">
        <f>IF(C852="","",IFERROR(INDEX(Levels!$C$2:$C$30,MATCH(C852,Levels!$B$2:$B$30,0)),""))</f>
        <v/>
      </c>
      <c r="G852" s="6" t="n"/>
      <c r="H852" s="10">
        <f>IF(AND(B852="",C852=""),"",IF(G852&lt;&gt;"","Void",IF(OR(B852="",E852=""),"Needs child",IF(D852="","Needs level","OK"))))</f>
        <v/>
      </c>
    </row>
    <row r="853">
      <c r="A853" s="6" t="n"/>
      <c r="B853" s="6" t="n"/>
      <c r="C853" s="6" t="n"/>
      <c r="D853" s="11">
        <f>IF(C853="","",IFERROR(INDEX(Levels!$A$2:$A$30,MATCH(C853,Levels!$B$2:$B$30,0)),""))</f>
        <v/>
      </c>
      <c r="E853" s="10">
        <f>IF(B853="","",IFERROR(INDEX(Roster!$A$2:$A$600,MATCH(B853,Roster!$E$2:$E$600,0)),""))</f>
        <v/>
      </c>
      <c r="F853" s="10">
        <f>IF(C853="","",IFERROR(INDEX(Levels!$C$2:$C$30,MATCH(C853,Levels!$B$2:$B$30,0)),""))</f>
        <v/>
      </c>
      <c r="G853" s="6" t="n"/>
      <c r="H853" s="10">
        <f>IF(AND(B853="",C853=""),"",IF(G853&lt;&gt;"","Void",IF(OR(B853="",E853=""),"Needs child",IF(D853="","Needs level","OK"))))</f>
        <v/>
      </c>
    </row>
    <row r="854">
      <c r="A854" s="6" t="n"/>
      <c r="B854" s="6" t="n"/>
      <c r="C854" s="6" t="n"/>
      <c r="D854" s="11">
        <f>IF(C854="","",IFERROR(INDEX(Levels!$A$2:$A$30,MATCH(C854,Levels!$B$2:$B$30,0)),""))</f>
        <v/>
      </c>
      <c r="E854" s="10">
        <f>IF(B854="","",IFERROR(INDEX(Roster!$A$2:$A$600,MATCH(B854,Roster!$E$2:$E$600,0)),""))</f>
        <v/>
      </c>
      <c r="F854" s="10">
        <f>IF(C854="","",IFERROR(INDEX(Levels!$C$2:$C$30,MATCH(C854,Levels!$B$2:$B$30,0)),""))</f>
        <v/>
      </c>
      <c r="G854" s="6" t="n"/>
      <c r="H854" s="10">
        <f>IF(AND(B854="",C854=""),"",IF(G854&lt;&gt;"","Void",IF(OR(B854="",E854=""),"Needs child",IF(D854="","Needs level","OK"))))</f>
        <v/>
      </c>
    </row>
    <row r="855">
      <c r="A855" s="6" t="n"/>
      <c r="B855" s="6" t="n"/>
      <c r="C855" s="6" t="n"/>
      <c r="D855" s="11">
        <f>IF(C855="","",IFERROR(INDEX(Levels!$A$2:$A$30,MATCH(C855,Levels!$B$2:$B$30,0)),""))</f>
        <v/>
      </c>
      <c r="E855" s="10">
        <f>IF(B855="","",IFERROR(INDEX(Roster!$A$2:$A$600,MATCH(B855,Roster!$E$2:$E$600,0)),""))</f>
        <v/>
      </c>
      <c r="F855" s="10">
        <f>IF(C855="","",IFERROR(INDEX(Levels!$C$2:$C$30,MATCH(C855,Levels!$B$2:$B$30,0)),""))</f>
        <v/>
      </c>
      <c r="G855" s="6" t="n"/>
      <c r="H855" s="10">
        <f>IF(AND(B855="",C855=""),"",IF(G855&lt;&gt;"","Void",IF(OR(B855="",E855=""),"Needs child",IF(D855="","Needs level","OK"))))</f>
        <v/>
      </c>
    </row>
    <row r="856">
      <c r="A856" s="6" t="n"/>
      <c r="B856" s="6" t="n"/>
      <c r="C856" s="6" t="n"/>
      <c r="D856" s="11">
        <f>IF(C856="","",IFERROR(INDEX(Levels!$A$2:$A$30,MATCH(C856,Levels!$B$2:$B$30,0)),""))</f>
        <v/>
      </c>
      <c r="E856" s="10">
        <f>IF(B856="","",IFERROR(INDEX(Roster!$A$2:$A$600,MATCH(B856,Roster!$E$2:$E$600,0)),""))</f>
        <v/>
      </c>
      <c r="F856" s="10">
        <f>IF(C856="","",IFERROR(INDEX(Levels!$C$2:$C$30,MATCH(C856,Levels!$B$2:$B$30,0)),""))</f>
        <v/>
      </c>
      <c r="G856" s="6" t="n"/>
      <c r="H856" s="10">
        <f>IF(AND(B856="",C856=""),"",IF(G856&lt;&gt;"","Void",IF(OR(B856="",E856=""),"Needs child",IF(D856="","Needs level","OK"))))</f>
        <v/>
      </c>
    </row>
    <row r="857">
      <c r="A857" s="6" t="n"/>
      <c r="B857" s="6" t="n"/>
      <c r="C857" s="6" t="n"/>
      <c r="D857" s="11">
        <f>IF(C857="","",IFERROR(INDEX(Levels!$A$2:$A$30,MATCH(C857,Levels!$B$2:$B$30,0)),""))</f>
        <v/>
      </c>
      <c r="E857" s="10">
        <f>IF(B857="","",IFERROR(INDEX(Roster!$A$2:$A$600,MATCH(B857,Roster!$E$2:$E$600,0)),""))</f>
        <v/>
      </c>
      <c r="F857" s="10">
        <f>IF(C857="","",IFERROR(INDEX(Levels!$C$2:$C$30,MATCH(C857,Levels!$B$2:$B$30,0)),""))</f>
        <v/>
      </c>
      <c r="G857" s="6" t="n"/>
      <c r="H857" s="10">
        <f>IF(AND(B857="",C857=""),"",IF(G857&lt;&gt;"","Void",IF(OR(B857="",E857=""),"Needs child",IF(D857="","Needs level","OK"))))</f>
        <v/>
      </c>
    </row>
    <row r="858">
      <c r="A858" s="6" t="n"/>
      <c r="B858" s="6" t="n"/>
      <c r="C858" s="6" t="n"/>
      <c r="D858" s="11">
        <f>IF(C858="","",IFERROR(INDEX(Levels!$A$2:$A$30,MATCH(C858,Levels!$B$2:$B$30,0)),""))</f>
        <v/>
      </c>
      <c r="E858" s="10">
        <f>IF(B858="","",IFERROR(INDEX(Roster!$A$2:$A$600,MATCH(B858,Roster!$E$2:$E$600,0)),""))</f>
        <v/>
      </c>
      <c r="F858" s="10">
        <f>IF(C858="","",IFERROR(INDEX(Levels!$C$2:$C$30,MATCH(C858,Levels!$B$2:$B$30,0)),""))</f>
        <v/>
      </c>
      <c r="G858" s="6" t="n"/>
      <c r="H858" s="10">
        <f>IF(AND(B858="",C858=""),"",IF(G858&lt;&gt;"","Void",IF(OR(B858="",E858=""),"Needs child",IF(D858="","Needs level","OK"))))</f>
        <v/>
      </c>
    </row>
    <row r="859">
      <c r="A859" s="6" t="n"/>
      <c r="B859" s="6" t="n"/>
      <c r="C859" s="6" t="n"/>
      <c r="D859" s="11">
        <f>IF(C859="","",IFERROR(INDEX(Levels!$A$2:$A$30,MATCH(C859,Levels!$B$2:$B$30,0)),""))</f>
        <v/>
      </c>
      <c r="E859" s="10">
        <f>IF(B859="","",IFERROR(INDEX(Roster!$A$2:$A$600,MATCH(B859,Roster!$E$2:$E$600,0)),""))</f>
        <v/>
      </c>
      <c r="F859" s="10">
        <f>IF(C859="","",IFERROR(INDEX(Levels!$C$2:$C$30,MATCH(C859,Levels!$B$2:$B$30,0)),""))</f>
        <v/>
      </c>
      <c r="G859" s="6" t="n"/>
      <c r="H859" s="10">
        <f>IF(AND(B859="",C859=""),"",IF(G859&lt;&gt;"","Void",IF(OR(B859="",E859=""),"Needs child",IF(D859="","Needs level","OK"))))</f>
        <v/>
      </c>
    </row>
    <row r="860">
      <c r="A860" s="6" t="n"/>
      <c r="B860" s="6" t="n"/>
      <c r="C860" s="6" t="n"/>
      <c r="D860" s="11">
        <f>IF(C860="","",IFERROR(INDEX(Levels!$A$2:$A$30,MATCH(C860,Levels!$B$2:$B$30,0)),""))</f>
        <v/>
      </c>
      <c r="E860" s="10">
        <f>IF(B860="","",IFERROR(INDEX(Roster!$A$2:$A$600,MATCH(B860,Roster!$E$2:$E$600,0)),""))</f>
        <v/>
      </c>
      <c r="F860" s="10">
        <f>IF(C860="","",IFERROR(INDEX(Levels!$C$2:$C$30,MATCH(C860,Levels!$B$2:$B$30,0)),""))</f>
        <v/>
      </c>
      <c r="G860" s="6" t="n"/>
      <c r="H860" s="10">
        <f>IF(AND(B860="",C860=""),"",IF(G860&lt;&gt;"","Void",IF(OR(B860="",E860=""),"Needs child",IF(D860="","Needs level","OK"))))</f>
        <v/>
      </c>
    </row>
    <row r="861">
      <c r="A861" s="6" t="n"/>
      <c r="B861" s="6" t="n"/>
      <c r="C861" s="6" t="n"/>
      <c r="D861" s="11">
        <f>IF(C861="","",IFERROR(INDEX(Levels!$A$2:$A$30,MATCH(C861,Levels!$B$2:$B$30,0)),""))</f>
        <v/>
      </c>
      <c r="E861" s="10">
        <f>IF(B861="","",IFERROR(INDEX(Roster!$A$2:$A$600,MATCH(B861,Roster!$E$2:$E$600,0)),""))</f>
        <v/>
      </c>
      <c r="F861" s="10">
        <f>IF(C861="","",IFERROR(INDEX(Levels!$C$2:$C$30,MATCH(C861,Levels!$B$2:$B$30,0)),""))</f>
        <v/>
      </c>
      <c r="G861" s="6" t="n"/>
      <c r="H861" s="10">
        <f>IF(AND(B861="",C861=""),"",IF(G861&lt;&gt;"","Void",IF(OR(B861="",E861=""),"Needs child",IF(D861="","Needs level","OK"))))</f>
        <v/>
      </c>
    </row>
    <row r="862">
      <c r="A862" s="6" t="n"/>
      <c r="B862" s="6" t="n"/>
      <c r="C862" s="6" t="n"/>
      <c r="D862" s="11">
        <f>IF(C862="","",IFERROR(INDEX(Levels!$A$2:$A$30,MATCH(C862,Levels!$B$2:$B$30,0)),""))</f>
        <v/>
      </c>
      <c r="E862" s="10">
        <f>IF(B862="","",IFERROR(INDEX(Roster!$A$2:$A$600,MATCH(B862,Roster!$E$2:$E$600,0)),""))</f>
        <v/>
      </c>
      <c r="F862" s="10">
        <f>IF(C862="","",IFERROR(INDEX(Levels!$C$2:$C$30,MATCH(C862,Levels!$B$2:$B$30,0)),""))</f>
        <v/>
      </c>
      <c r="G862" s="6" t="n"/>
      <c r="H862" s="10">
        <f>IF(AND(B862="",C862=""),"",IF(G862&lt;&gt;"","Void",IF(OR(B862="",E862=""),"Needs child",IF(D862="","Needs level","OK"))))</f>
        <v/>
      </c>
    </row>
    <row r="863">
      <c r="A863" s="6" t="n"/>
      <c r="B863" s="6" t="n"/>
      <c r="C863" s="6" t="n"/>
      <c r="D863" s="11">
        <f>IF(C863="","",IFERROR(INDEX(Levels!$A$2:$A$30,MATCH(C863,Levels!$B$2:$B$30,0)),""))</f>
        <v/>
      </c>
      <c r="E863" s="10">
        <f>IF(B863="","",IFERROR(INDEX(Roster!$A$2:$A$600,MATCH(B863,Roster!$E$2:$E$600,0)),""))</f>
        <v/>
      </c>
      <c r="F863" s="10">
        <f>IF(C863="","",IFERROR(INDEX(Levels!$C$2:$C$30,MATCH(C863,Levels!$B$2:$B$30,0)),""))</f>
        <v/>
      </c>
      <c r="G863" s="6" t="n"/>
      <c r="H863" s="10">
        <f>IF(AND(B863="",C863=""),"",IF(G863&lt;&gt;"","Void",IF(OR(B863="",E863=""),"Needs child",IF(D863="","Needs level","OK"))))</f>
        <v/>
      </c>
    </row>
    <row r="864">
      <c r="A864" s="6" t="n"/>
      <c r="B864" s="6" t="n"/>
      <c r="C864" s="6" t="n"/>
      <c r="D864" s="11">
        <f>IF(C864="","",IFERROR(INDEX(Levels!$A$2:$A$30,MATCH(C864,Levels!$B$2:$B$30,0)),""))</f>
        <v/>
      </c>
      <c r="E864" s="10">
        <f>IF(B864="","",IFERROR(INDEX(Roster!$A$2:$A$600,MATCH(B864,Roster!$E$2:$E$600,0)),""))</f>
        <v/>
      </c>
      <c r="F864" s="10">
        <f>IF(C864="","",IFERROR(INDEX(Levels!$C$2:$C$30,MATCH(C864,Levels!$B$2:$B$30,0)),""))</f>
        <v/>
      </c>
      <c r="G864" s="6" t="n"/>
      <c r="H864" s="10">
        <f>IF(AND(B864="",C864=""),"",IF(G864&lt;&gt;"","Void",IF(OR(B864="",E864=""),"Needs child",IF(D864="","Needs level","OK"))))</f>
        <v/>
      </c>
    </row>
    <row r="865">
      <c r="A865" s="6" t="n"/>
      <c r="B865" s="6" t="n"/>
      <c r="C865" s="6" t="n"/>
      <c r="D865" s="11">
        <f>IF(C865="","",IFERROR(INDEX(Levels!$A$2:$A$30,MATCH(C865,Levels!$B$2:$B$30,0)),""))</f>
        <v/>
      </c>
      <c r="E865" s="10">
        <f>IF(B865="","",IFERROR(INDEX(Roster!$A$2:$A$600,MATCH(B865,Roster!$E$2:$E$600,0)),""))</f>
        <v/>
      </c>
      <c r="F865" s="10">
        <f>IF(C865="","",IFERROR(INDEX(Levels!$C$2:$C$30,MATCH(C865,Levels!$B$2:$B$30,0)),""))</f>
        <v/>
      </c>
      <c r="G865" s="6" t="n"/>
      <c r="H865" s="10">
        <f>IF(AND(B865="",C865=""),"",IF(G865&lt;&gt;"","Void",IF(OR(B865="",E865=""),"Needs child",IF(D865="","Needs level","OK"))))</f>
        <v/>
      </c>
    </row>
    <row r="866">
      <c r="A866" s="6" t="n"/>
      <c r="B866" s="6" t="n"/>
      <c r="C866" s="6" t="n"/>
      <c r="D866" s="11">
        <f>IF(C866="","",IFERROR(INDEX(Levels!$A$2:$A$30,MATCH(C866,Levels!$B$2:$B$30,0)),""))</f>
        <v/>
      </c>
      <c r="E866" s="10">
        <f>IF(B866="","",IFERROR(INDEX(Roster!$A$2:$A$600,MATCH(B866,Roster!$E$2:$E$600,0)),""))</f>
        <v/>
      </c>
      <c r="F866" s="10">
        <f>IF(C866="","",IFERROR(INDEX(Levels!$C$2:$C$30,MATCH(C866,Levels!$B$2:$B$30,0)),""))</f>
        <v/>
      </c>
      <c r="G866" s="6" t="n"/>
      <c r="H866" s="10">
        <f>IF(AND(B866="",C866=""),"",IF(G866&lt;&gt;"","Void",IF(OR(B866="",E866=""),"Needs child",IF(D866="","Needs level","OK"))))</f>
        <v/>
      </c>
    </row>
    <row r="867">
      <c r="A867" s="6" t="n"/>
      <c r="B867" s="6" t="n"/>
      <c r="C867" s="6" t="n"/>
      <c r="D867" s="11">
        <f>IF(C867="","",IFERROR(INDEX(Levels!$A$2:$A$30,MATCH(C867,Levels!$B$2:$B$30,0)),""))</f>
        <v/>
      </c>
      <c r="E867" s="10">
        <f>IF(B867="","",IFERROR(INDEX(Roster!$A$2:$A$600,MATCH(B867,Roster!$E$2:$E$600,0)),""))</f>
        <v/>
      </c>
      <c r="F867" s="10">
        <f>IF(C867="","",IFERROR(INDEX(Levels!$C$2:$C$30,MATCH(C867,Levels!$B$2:$B$30,0)),""))</f>
        <v/>
      </c>
      <c r="G867" s="6" t="n"/>
      <c r="H867" s="10">
        <f>IF(AND(B867="",C867=""),"",IF(G867&lt;&gt;"","Void",IF(OR(B867="",E867=""),"Needs child",IF(D867="","Needs level","OK"))))</f>
        <v/>
      </c>
    </row>
    <row r="868">
      <c r="A868" s="6" t="n"/>
      <c r="B868" s="6" t="n"/>
      <c r="C868" s="6" t="n"/>
      <c r="D868" s="11">
        <f>IF(C868="","",IFERROR(INDEX(Levels!$A$2:$A$30,MATCH(C868,Levels!$B$2:$B$30,0)),""))</f>
        <v/>
      </c>
      <c r="E868" s="10">
        <f>IF(B868="","",IFERROR(INDEX(Roster!$A$2:$A$600,MATCH(B868,Roster!$E$2:$E$600,0)),""))</f>
        <v/>
      </c>
      <c r="F868" s="10">
        <f>IF(C868="","",IFERROR(INDEX(Levels!$C$2:$C$30,MATCH(C868,Levels!$B$2:$B$30,0)),""))</f>
        <v/>
      </c>
      <c r="G868" s="6" t="n"/>
      <c r="H868" s="10">
        <f>IF(AND(B868="",C868=""),"",IF(G868&lt;&gt;"","Void",IF(OR(B868="",E868=""),"Needs child",IF(D868="","Needs level","OK"))))</f>
        <v/>
      </c>
    </row>
    <row r="869">
      <c r="A869" s="6" t="n"/>
      <c r="B869" s="6" t="n"/>
      <c r="C869" s="6" t="n"/>
      <c r="D869" s="11">
        <f>IF(C869="","",IFERROR(INDEX(Levels!$A$2:$A$30,MATCH(C869,Levels!$B$2:$B$30,0)),""))</f>
        <v/>
      </c>
      <c r="E869" s="10">
        <f>IF(B869="","",IFERROR(INDEX(Roster!$A$2:$A$600,MATCH(B869,Roster!$E$2:$E$600,0)),""))</f>
        <v/>
      </c>
      <c r="F869" s="10">
        <f>IF(C869="","",IFERROR(INDEX(Levels!$C$2:$C$30,MATCH(C869,Levels!$B$2:$B$30,0)),""))</f>
        <v/>
      </c>
      <c r="G869" s="6" t="n"/>
      <c r="H869" s="10">
        <f>IF(AND(B869="",C869=""),"",IF(G869&lt;&gt;"","Void",IF(OR(B869="",E869=""),"Needs child",IF(D869="","Needs level","OK"))))</f>
        <v/>
      </c>
    </row>
    <row r="870">
      <c r="A870" s="6" t="n"/>
      <c r="B870" s="6" t="n"/>
      <c r="C870" s="6" t="n"/>
      <c r="D870" s="11">
        <f>IF(C870="","",IFERROR(INDEX(Levels!$A$2:$A$30,MATCH(C870,Levels!$B$2:$B$30,0)),""))</f>
        <v/>
      </c>
      <c r="E870" s="10">
        <f>IF(B870="","",IFERROR(INDEX(Roster!$A$2:$A$600,MATCH(B870,Roster!$E$2:$E$600,0)),""))</f>
        <v/>
      </c>
      <c r="F870" s="10">
        <f>IF(C870="","",IFERROR(INDEX(Levels!$C$2:$C$30,MATCH(C870,Levels!$B$2:$B$30,0)),""))</f>
        <v/>
      </c>
      <c r="G870" s="6" t="n"/>
      <c r="H870" s="10">
        <f>IF(AND(B870="",C870=""),"",IF(G870&lt;&gt;"","Void",IF(OR(B870="",E870=""),"Needs child",IF(D870="","Needs level","OK"))))</f>
        <v/>
      </c>
    </row>
    <row r="871">
      <c r="A871" s="6" t="n"/>
      <c r="B871" s="6" t="n"/>
      <c r="C871" s="6" t="n"/>
      <c r="D871" s="11">
        <f>IF(C871="","",IFERROR(INDEX(Levels!$A$2:$A$30,MATCH(C871,Levels!$B$2:$B$30,0)),""))</f>
        <v/>
      </c>
      <c r="E871" s="10">
        <f>IF(B871="","",IFERROR(INDEX(Roster!$A$2:$A$600,MATCH(B871,Roster!$E$2:$E$600,0)),""))</f>
        <v/>
      </c>
      <c r="F871" s="10">
        <f>IF(C871="","",IFERROR(INDEX(Levels!$C$2:$C$30,MATCH(C871,Levels!$B$2:$B$30,0)),""))</f>
        <v/>
      </c>
      <c r="G871" s="6" t="n"/>
      <c r="H871" s="10">
        <f>IF(AND(B871="",C871=""),"",IF(G871&lt;&gt;"","Void",IF(OR(B871="",E871=""),"Needs child",IF(D871="","Needs level","OK"))))</f>
        <v/>
      </c>
    </row>
    <row r="872">
      <c r="A872" s="6" t="n"/>
      <c r="B872" s="6" t="n"/>
      <c r="C872" s="6" t="n"/>
      <c r="D872" s="11">
        <f>IF(C872="","",IFERROR(INDEX(Levels!$A$2:$A$30,MATCH(C872,Levels!$B$2:$B$30,0)),""))</f>
        <v/>
      </c>
      <c r="E872" s="10">
        <f>IF(B872="","",IFERROR(INDEX(Roster!$A$2:$A$600,MATCH(B872,Roster!$E$2:$E$600,0)),""))</f>
        <v/>
      </c>
      <c r="F872" s="10">
        <f>IF(C872="","",IFERROR(INDEX(Levels!$C$2:$C$30,MATCH(C872,Levels!$B$2:$B$30,0)),""))</f>
        <v/>
      </c>
      <c r="G872" s="6" t="n"/>
      <c r="H872" s="10">
        <f>IF(AND(B872="",C872=""),"",IF(G872&lt;&gt;"","Void",IF(OR(B872="",E872=""),"Needs child",IF(D872="","Needs level","OK"))))</f>
        <v/>
      </c>
    </row>
    <row r="873">
      <c r="A873" s="6" t="n"/>
      <c r="B873" s="6" t="n"/>
      <c r="C873" s="6" t="n"/>
      <c r="D873" s="11">
        <f>IF(C873="","",IFERROR(INDEX(Levels!$A$2:$A$30,MATCH(C873,Levels!$B$2:$B$30,0)),""))</f>
        <v/>
      </c>
      <c r="E873" s="10">
        <f>IF(B873="","",IFERROR(INDEX(Roster!$A$2:$A$600,MATCH(B873,Roster!$E$2:$E$600,0)),""))</f>
        <v/>
      </c>
      <c r="F873" s="10">
        <f>IF(C873="","",IFERROR(INDEX(Levels!$C$2:$C$30,MATCH(C873,Levels!$B$2:$B$30,0)),""))</f>
        <v/>
      </c>
      <c r="G873" s="6" t="n"/>
      <c r="H873" s="10">
        <f>IF(AND(B873="",C873=""),"",IF(G873&lt;&gt;"","Void",IF(OR(B873="",E873=""),"Needs child",IF(D873="","Needs level","OK"))))</f>
        <v/>
      </c>
    </row>
    <row r="874">
      <c r="A874" s="6" t="n"/>
      <c r="B874" s="6" t="n"/>
      <c r="C874" s="6" t="n"/>
      <c r="D874" s="11">
        <f>IF(C874="","",IFERROR(INDEX(Levels!$A$2:$A$30,MATCH(C874,Levels!$B$2:$B$30,0)),""))</f>
        <v/>
      </c>
      <c r="E874" s="10">
        <f>IF(B874="","",IFERROR(INDEX(Roster!$A$2:$A$600,MATCH(B874,Roster!$E$2:$E$600,0)),""))</f>
        <v/>
      </c>
      <c r="F874" s="10">
        <f>IF(C874="","",IFERROR(INDEX(Levels!$C$2:$C$30,MATCH(C874,Levels!$B$2:$B$30,0)),""))</f>
        <v/>
      </c>
      <c r="G874" s="6" t="n"/>
      <c r="H874" s="10">
        <f>IF(AND(B874="",C874=""),"",IF(G874&lt;&gt;"","Void",IF(OR(B874="",E874=""),"Needs child",IF(D874="","Needs level","OK"))))</f>
        <v/>
      </c>
    </row>
    <row r="875">
      <c r="A875" s="6" t="n"/>
      <c r="B875" s="6" t="n"/>
      <c r="C875" s="6" t="n"/>
      <c r="D875" s="11">
        <f>IF(C875="","",IFERROR(INDEX(Levels!$A$2:$A$30,MATCH(C875,Levels!$B$2:$B$30,0)),""))</f>
        <v/>
      </c>
      <c r="E875" s="10">
        <f>IF(B875="","",IFERROR(INDEX(Roster!$A$2:$A$600,MATCH(B875,Roster!$E$2:$E$600,0)),""))</f>
        <v/>
      </c>
      <c r="F875" s="10">
        <f>IF(C875="","",IFERROR(INDEX(Levels!$C$2:$C$30,MATCH(C875,Levels!$B$2:$B$30,0)),""))</f>
        <v/>
      </c>
      <c r="G875" s="6" t="n"/>
      <c r="H875" s="10">
        <f>IF(AND(B875="",C875=""),"",IF(G875&lt;&gt;"","Void",IF(OR(B875="",E875=""),"Needs child",IF(D875="","Needs level","OK"))))</f>
        <v/>
      </c>
    </row>
    <row r="876">
      <c r="A876" s="6" t="n"/>
      <c r="B876" s="6" t="n"/>
      <c r="C876" s="6" t="n"/>
      <c r="D876" s="11">
        <f>IF(C876="","",IFERROR(INDEX(Levels!$A$2:$A$30,MATCH(C876,Levels!$B$2:$B$30,0)),""))</f>
        <v/>
      </c>
      <c r="E876" s="10">
        <f>IF(B876="","",IFERROR(INDEX(Roster!$A$2:$A$600,MATCH(B876,Roster!$E$2:$E$600,0)),""))</f>
        <v/>
      </c>
      <c r="F876" s="10">
        <f>IF(C876="","",IFERROR(INDEX(Levels!$C$2:$C$30,MATCH(C876,Levels!$B$2:$B$30,0)),""))</f>
        <v/>
      </c>
      <c r="G876" s="6" t="n"/>
      <c r="H876" s="10">
        <f>IF(AND(B876="",C876=""),"",IF(G876&lt;&gt;"","Void",IF(OR(B876="",E876=""),"Needs child",IF(D876="","Needs level","OK"))))</f>
        <v/>
      </c>
    </row>
    <row r="877">
      <c r="A877" s="6" t="n"/>
      <c r="B877" s="6" t="n"/>
      <c r="C877" s="6" t="n"/>
      <c r="D877" s="11">
        <f>IF(C877="","",IFERROR(INDEX(Levels!$A$2:$A$30,MATCH(C877,Levels!$B$2:$B$30,0)),""))</f>
        <v/>
      </c>
      <c r="E877" s="10">
        <f>IF(B877="","",IFERROR(INDEX(Roster!$A$2:$A$600,MATCH(B877,Roster!$E$2:$E$600,0)),""))</f>
        <v/>
      </c>
      <c r="F877" s="10">
        <f>IF(C877="","",IFERROR(INDEX(Levels!$C$2:$C$30,MATCH(C877,Levels!$B$2:$B$30,0)),""))</f>
        <v/>
      </c>
      <c r="G877" s="6" t="n"/>
      <c r="H877" s="10">
        <f>IF(AND(B877="",C877=""),"",IF(G877&lt;&gt;"","Void",IF(OR(B877="",E877=""),"Needs child",IF(D877="","Needs level","OK"))))</f>
        <v/>
      </c>
    </row>
    <row r="878">
      <c r="A878" s="6" t="n"/>
      <c r="B878" s="6" t="n"/>
      <c r="C878" s="6" t="n"/>
      <c r="D878" s="11">
        <f>IF(C878="","",IFERROR(INDEX(Levels!$A$2:$A$30,MATCH(C878,Levels!$B$2:$B$30,0)),""))</f>
        <v/>
      </c>
      <c r="E878" s="10">
        <f>IF(B878="","",IFERROR(INDEX(Roster!$A$2:$A$600,MATCH(B878,Roster!$E$2:$E$600,0)),""))</f>
        <v/>
      </c>
      <c r="F878" s="10">
        <f>IF(C878="","",IFERROR(INDEX(Levels!$C$2:$C$30,MATCH(C878,Levels!$B$2:$B$30,0)),""))</f>
        <v/>
      </c>
      <c r="G878" s="6" t="n"/>
      <c r="H878" s="10">
        <f>IF(AND(B878="",C878=""),"",IF(G878&lt;&gt;"","Void",IF(OR(B878="",E878=""),"Needs child",IF(D878="","Needs level","OK"))))</f>
        <v/>
      </c>
    </row>
    <row r="879">
      <c r="A879" s="6" t="n"/>
      <c r="B879" s="6" t="n"/>
      <c r="C879" s="6" t="n"/>
      <c r="D879" s="11">
        <f>IF(C879="","",IFERROR(INDEX(Levels!$A$2:$A$30,MATCH(C879,Levels!$B$2:$B$30,0)),""))</f>
        <v/>
      </c>
      <c r="E879" s="10">
        <f>IF(B879="","",IFERROR(INDEX(Roster!$A$2:$A$600,MATCH(B879,Roster!$E$2:$E$600,0)),""))</f>
        <v/>
      </c>
      <c r="F879" s="10">
        <f>IF(C879="","",IFERROR(INDEX(Levels!$C$2:$C$30,MATCH(C879,Levels!$B$2:$B$30,0)),""))</f>
        <v/>
      </c>
      <c r="G879" s="6" t="n"/>
      <c r="H879" s="10">
        <f>IF(AND(B879="",C879=""),"",IF(G879&lt;&gt;"","Void",IF(OR(B879="",E879=""),"Needs child",IF(D879="","Needs level","OK"))))</f>
        <v/>
      </c>
    </row>
    <row r="880">
      <c r="A880" s="6" t="n"/>
      <c r="B880" s="6" t="n"/>
      <c r="C880" s="6" t="n"/>
      <c r="D880" s="11">
        <f>IF(C880="","",IFERROR(INDEX(Levels!$A$2:$A$30,MATCH(C880,Levels!$B$2:$B$30,0)),""))</f>
        <v/>
      </c>
      <c r="E880" s="10">
        <f>IF(B880="","",IFERROR(INDEX(Roster!$A$2:$A$600,MATCH(B880,Roster!$E$2:$E$600,0)),""))</f>
        <v/>
      </c>
      <c r="F880" s="10">
        <f>IF(C880="","",IFERROR(INDEX(Levels!$C$2:$C$30,MATCH(C880,Levels!$B$2:$B$30,0)),""))</f>
        <v/>
      </c>
      <c r="G880" s="6" t="n"/>
      <c r="H880" s="10">
        <f>IF(AND(B880="",C880=""),"",IF(G880&lt;&gt;"","Void",IF(OR(B880="",E880=""),"Needs child",IF(D880="","Needs level","OK"))))</f>
        <v/>
      </c>
    </row>
    <row r="881">
      <c r="A881" s="6" t="n"/>
      <c r="B881" s="6" t="n"/>
      <c r="C881" s="6" t="n"/>
      <c r="D881" s="11">
        <f>IF(C881="","",IFERROR(INDEX(Levels!$A$2:$A$30,MATCH(C881,Levels!$B$2:$B$30,0)),""))</f>
        <v/>
      </c>
      <c r="E881" s="10">
        <f>IF(B881="","",IFERROR(INDEX(Roster!$A$2:$A$600,MATCH(B881,Roster!$E$2:$E$600,0)),""))</f>
        <v/>
      </c>
      <c r="F881" s="10">
        <f>IF(C881="","",IFERROR(INDEX(Levels!$C$2:$C$30,MATCH(C881,Levels!$B$2:$B$30,0)),""))</f>
        <v/>
      </c>
      <c r="G881" s="6" t="n"/>
      <c r="H881" s="10">
        <f>IF(AND(B881="",C881=""),"",IF(G881&lt;&gt;"","Void",IF(OR(B881="",E881=""),"Needs child",IF(D881="","Needs level","OK"))))</f>
        <v/>
      </c>
    </row>
    <row r="882">
      <c r="A882" s="6" t="n"/>
      <c r="B882" s="6" t="n"/>
      <c r="C882" s="6" t="n"/>
      <c r="D882" s="11">
        <f>IF(C882="","",IFERROR(INDEX(Levels!$A$2:$A$30,MATCH(C882,Levels!$B$2:$B$30,0)),""))</f>
        <v/>
      </c>
      <c r="E882" s="10">
        <f>IF(B882="","",IFERROR(INDEX(Roster!$A$2:$A$600,MATCH(B882,Roster!$E$2:$E$600,0)),""))</f>
        <v/>
      </c>
      <c r="F882" s="10">
        <f>IF(C882="","",IFERROR(INDEX(Levels!$C$2:$C$30,MATCH(C882,Levels!$B$2:$B$30,0)),""))</f>
        <v/>
      </c>
      <c r="G882" s="6" t="n"/>
      <c r="H882" s="10">
        <f>IF(AND(B882="",C882=""),"",IF(G882&lt;&gt;"","Void",IF(OR(B882="",E882=""),"Needs child",IF(D882="","Needs level","OK"))))</f>
        <v/>
      </c>
    </row>
    <row r="883">
      <c r="A883" s="6" t="n"/>
      <c r="B883" s="6" t="n"/>
      <c r="C883" s="6" t="n"/>
      <c r="D883" s="11">
        <f>IF(C883="","",IFERROR(INDEX(Levels!$A$2:$A$30,MATCH(C883,Levels!$B$2:$B$30,0)),""))</f>
        <v/>
      </c>
      <c r="E883" s="10">
        <f>IF(B883="","",IFERROR(INDEX(Roster!$A$2:$A$600,MATCH(B883,Roster!$E$2:$E$600,0)),""))</f>
        <v/>
      </c>
      <c r="F883" s="10">
        <f>IF(C883="","",IFERROR(INDEX(Levels!$C$2:$C$30,MATCH(C883,Levels!$B$2:$B$30,0)),""))</f>
        <v/>
      </c>
      <c r="G883" s="6" t="n"/>
      <c r="H883" s="10">
        <f>IF(AND(B883="",C883=""),"",IF(G883&lt;&gt;"","Void",IF(OR(B883="",E883=""),"Needs child",IF(D883="","Needs level","OK"))))</f>
        <v/>
      </c>
    </row>
    <row r="884">
      <c r="A884" s="6" t="n"/>
      <c r="B884" s="6" t="n"/>
      <c r="C884" s="6" t="n"/>
      <c r="D884" s="11">
        <f>IF(C884="","",IFERROR(INDEX(Levels!$A$2:$A$30,MATCH(C884,Levels!$B$2:$B$30,0)),""))</f>
        <v/>
      </c>
      <c r="E884" s="10">
        <f>IF(B884="","",IFERROR(INDEX(Roster!$A$2:$A$600,MATCH(B884,Roster!$E$2:$E$600,0)),""))</f>
        <v/>
      </c>
      <c r="F884" s="10">
        <f>IF(C884="","",IFERROR(INDEX(Levels!$C$2:$C$30,MATCH(C884,Levels!$B$2:$B$30,0)),""))</f>
        <v/>
      </c>
      <c r="G884" s="6" t="n"/>
      <c r="H884" s="10">
        <f>IF(AND(B884="",C884=""),"",IF(G884&lt;&gt;"","Void",IF(OR(B884="",E884=""),"Needs child",IF(D884="","Needs level","OK"))))</f>
        <v/>
      </c>
    </row>
    <row r="885">
      <c r="A885" s="6" t="n"/>
      <c r="B885" s="6" t="n"/>
      <c r="C885" s="6" t="n"/>
      <c r="D885" s="11">
        <f>IF(C885="","",IFERROR(INDEX(Levels!$A$2:$A$30,MATCH(C885,Levels!$B$2:$B$30,0)),""))</f>
        <v/>
      </c>
      <c r="E885" s="10">
        <f>IF(B885="","",IFERROR(INDEX(Roster!$A$2:$A$600,MATCH(B885,Roster!$E$2:$E$600,0)),""))</f>
        <v/>
      </c>
      <c r="F885" s="10">
        <f>IF(C885="","",IFERROR(INDEX(Levels!$C$2:$C$30,MATCH(C885,Levels!$B$2:$B$30,0)),""))</f>
        <v/>
      </c>
      <c r="G885" s="6" t="n"/>
      <c r="H885" s="10">
        <f>IF(AND(B885="",C885=""),"",IF(G885&lt;&gt;"","Void",IF(OR(B885="",E885=""),"Needs child",IF(D885="","Needs level","OK"))))</f>
        <v/>
      </c>
    </row>
    <row r="886">
      <c r="A886" s="6" t="n"/>
      <c r="B886" s="6" t="n"/>
      <c r="C886" s="6" t="n"/>
      <c r="D886" s="11">
        <f>IF(C886="","",IFERROR(INDEX(Levels!$A$2:$A$30,MATCH(C886,Levels!$B$2:$B$30,0)),""))</f>
        <v/>
      </c>
      <c r="E886" s="10">
        <f>IF(B886="","",IFERROR(INDEX(Roster!$A$2:$A$600,MATCH(B886,Roster!$E$2:$E$600,0)),""))</f>
        <v/>
      </c>
      <c r="F886" s="10">
        <f>IF(C886="","",IFERROR(INDEX(Levels!$C$2:$C$30,MATCH(C886,Levels!$B$2:$B$30,0)),""))</f>
        <v/>
      </c>
      <c r="G886" s="6" t="n"/>
      <c r="H886" s="10">
        <f>IF(AND(B886="",C886=""),"",IF(G886&lt;&gt;"","Void",IF(OR(B886="",E886=""),"Needs child",IF(D886="","Needs level","OK"))))</f>
        <v/>
      </c>
    </row>
    <row r="887">
      <c r="A887" s="6" t="n"/>
      <c r="B887" s="6" t="n"/>
      <c r="C887" s="6" t="n"/>
      <c r="D887" s="11">
        <f>IF(C887="","",IFERROR(INDEX(Levels!$A$2:$A$30,MATCH(C887,Levels!$B$2:$B$30,0)),""))</f>
        <v/>
      </c>
      <c r="E887" s="10">
        <f>IF(B887="","",IFERROR(INDEX(Roster!$A$2:$A$600,MATCH(B887,Roster!$E$2:$E$600,0)),""))</f>
        <v/>
      </c>
      <c r="F887" s="10">
        <f>IF(C887="","",IFERROR(INDEX(Levels!$C$2:$C$30,MATCH(C887,Levels!$B$2:$B$30,0)),""))</f>
        <v/>
      </c>
      <c r="G887" s="6" t="n"/>
      <c r="H887" s="10">
        <f>IF(AND(B887="",C887=""),"",IF(G887&lt;&gt;"","Void",IF(OR(B887="",E887=""),"Needs child",IF(D887="","Needs level","OK"))))</f>
        <v/>
      </c>
    </row>
    <row r="888">
      <c r="A888" s="6" t="n"/>
      <c r="B888" s="6" t="n"/>
      <c r="C888" s="6" t="n"/>
      <c r="D888" s="11">
        <f>IF(C888="","",IFERROR(INDEX(Levels!$A$2:$A$30,MATCH(C888,Levels!$B$2:$B$30,0)),""))</f>
        <v/>
      </c>
      <c r="E888" s="10">
        <f>IF(B888="","",IFERROR(INDEX(Roster!$A$2:$A$600,MATCH(B888,Roster!$E$2:$E$600,0)),""))</f>
        <v/>
      </c>
      <c r="F888" s="10">
        <f>IF(C888="","",IFERROR(INDEX(Levels!$C$2:$C$30,MATCH(C888,Levels!$B$2:$B$30,0)),""))</f>
        <v/>
      </c>
      <c r="G888" s="6" t="n"/>
      <c r="H888" s="10">
        <f>IF(AND(B888="",C888=""),"",IF(G888&lt;&gt;"","Void",IF(OR(B888="",E888=""),"Needs child",IF(D888="","Needs level","OK"))))</f>
        <v/>
      </c>
    </row>
    <row r="889">
      <c r="A889" s="6" t="n"/>
      <c r="B889" s="6" t="n"/>
      <c r="C889" s="6" t="n"/>
      <c r="D889" s="11">
        <f>IF(C889="","",IFERROR(INDEX(Levels!$A$2:$A$30,MATCH(C889,Levels!$B$2:$B$30,0)),""))</f>
        <v/>
      </c>
      <c r="E889" s="10">
        <f>IF(B889="","",IFERROR(INDEX(Roster!$A$2:$A$600,MATCH(B889,Roster!$E$2:$E$600,0)),""))</f>
        <v/>
      </c>
      <c r="F889" s="10">
        <f>IF(C889="","",IFERROR(INDEX(Levels!$C$2:$C$30,MATCH(C889,Levels!$B$2:$B$30,0)),""))</f>
        <v/>
      </c>
      <c r="G889" s="6" t="n"/>
      <c r="H889" s="10">
        <f>IF(AND(B889="",C889=""),"",IF(G889&lt;&gt;"","Void",IF(OR(B889="",E889=""),"Needs child",IF(D889="","Needs level","OK"))))</f>
        <v/>
      </c>
    </row>
    <row r="890">
      <c r="A890" s="6" t="n"/>
      <c r="B890" s="6" t="n"/>
      <c r="C890" s="6" t="n"/>
      <c r="D890" s="11">
        <f>IF(C890="","",IFERROR(INDEX(Levels!$A$2:$A$30,MATCH(C890,Levels!$B$2:$B$30,0)),""))</f>
        <v/>
      </c>
      <c r="E890" s="10">
        <f>IF(B890="","",IFERROR(INDEX(Roster!$A$2:$A$600,MATCH(B890,Roster!$E$2:$E$600,0)),""))</f>
        <v/>
      </c>
      <c r="F890" s="10">
        <f>IF(C890="","",IFERROR(INDEX(Levels!$C$2:$C$30,MATCH(C890,Levels!$B$2:$B$30,0)),""))</f>
        <v/>
      </c>
      <c r="G890" s="6" t="n"/>
      <c r="H890" s="10">
        <f>IF(AND(B890="",C890=""),"",IF(G890&lt;&gt;"","Void",IF(OR(B890="",E890=""),"Needs child",IF(D890="","Needs level","OK"))))</f>
        <v/>
      </c>
    </row>
    <row r="891">
      <c r="A891" s="6" t="n"/>
      <c r="B891" s="6" t="n"/>
      <c r="C891" s="6" t="n"/>
      <c r="D891" s="11">
        <f>IF(C891="","",IFERROR(INDEX(Levels!$A$2:$A$30,MATCH(C891,Levels!$B$2:$B$30,0)),""))</f>
        <v/>
      </c>
      <c r="E891" s="10">
        <f>IF(B891="","",IFERROR(INDEX(Roster!$A$2:$A$600,MATCH(B891,Roster!$E$2:$E$600,0)),""))</f>
        <v/>
      </c>
      <c r="F891" s="10">
        <f>IF(C891="","",IFERROR(INDEX(Levels!$C$2:$C$30,MATCH(C891,Levels!$B$2:$B$30,0)),""))</f>
        <v/>
      </c>
      <c r="G891" s="6" t="n"/>
      <c r="H891" s="10">
        <f>IF(AND(B891="",C891=""),"",IF(G891&lt;&gt;"","Void",IF(OR(B891="",E891=""),"Needs child",IF(D891="","Needs level","OK"))))</f>
        <v/>
      </c>
    </row>
    <row r="892">
      <c r="A892" s="6" t="n"/>
      <c r="B892" s="6" t="n"/>
      <c r="C892" s="6" t="n"/>
      <c r="D892" s="11">
        <f>IF(C892="","",IFERROR(INDEX(Levels!$A$2:$A$30,MATCH(C892,Levels!$B$2:$B$30,0)),""))</f>
        <v/>
      </c>
      <c r="E892" s="10">
        <f>IF(B892="","",IFERROR(INDEX(Roster!$A$2:$A$600,MATCH(B892,Roster!$E$2:$E$600,0)),""))</f>
        <v/>
      </c>
      <c r="F892" s="10">
        <f>IF(C892="","",IFERROR(INDEX(Levels!$C$2:$C$30,MATCH(C892,Levels!$B$2:$B$30,0)),""))</f>
        <v/>
      </c>
      <c r="G892" s="6" t="n"/>
      <c r="H892" s="10">
        <f>IF(AND(B892="",C892=""),"",IF(G892&lt;&gt;"","Void",IF(OR(B892="",E892=""),"Needs child",IF(D892="","Needs level","OK"))))</f>
        <v/>
      </c>
    </row>
    <row r="893">
      <c r="A893" s="6" t="n"/>
      <c r="B893" s="6" t="n"/>
      <c r="C893" s="6" t="n"/>
      <c r="D893" s="11">
        <f>IF(C893="","",IFERROR(INDEX(Levels!$A$2:$A$30,MATCH(C893,Levels!$B$2:$B$30,0)),""))</f>
        <v/>
      </c>
      <c r="E893" s="10">
        <f>IF(B893="","",IFERROR(INDEX(Roster!$A$2:$A$600,MATCH(B893,Roster!$E$2:$E$600,0)),""))</f>
        <v/>
      </c>
      <c r="F893" s="10">
        <f>IF(C893="","",IFERROR(INDEX(Levels!$C$2:$C$30,MATCH(C893,Levels!$B$2:$B$30,0)),""))</f>
        <v/>
      </c>
      <c r="G893" s="6" t="n"/>
      <c r="H893" s="10">
        <f>IF(AND(B893="",C893=""),"",IF(G893&lt;&gt;"","Void",IF(OR(B893="",E893=""),"Needs child",IF(D893="","Needs level","OK"))))</f>
        <v/>
      </c>
    </row>
    <row r="894">
      <c r="A894" s="6" t="n"/>
      <c r="B894" s="6" t="n"/>
      <c r="C894" s="6" t="n"/>
      <c r="D894" s="11">
        <f>IF(C894="","",IFERROR(INDEX(Levels!$A$2:$A$30,MATCH(C894,Levels!$B$2:$B$30,0)),""))</f>
        <v/>
      </c>
      <c r="E894" s="10">
        <f>IF(B894="","",IFERROR(INDEX(Roster!$A$2:$A$600,MATCH(B894,Roster!$E$2:$E$600,0)),""))</f>
        <v/>
      </c>
      <c r="F894" s="10">
        <f>IF(C894="","",IFERROR(INDEX(Levels!$C$2:$C$30,MATCH(C894,Levels!$B$2:$B$30,0)),""))</f>
        <v/>
      </c>
      <c r="G894" s="6" t="n"/>
      <c r="H894" s="10">
        <f>IF(AND(B894="",C894=""),"",IF(G894&lt;&gt;"","Void",IF(OR(B894="",E894=""),"Needs child",IF(D894="","Needs level","OK"))))</f>
        <v/>
      </c>
    </row>
    <row r="895">
      <c r="A895" s="6" t="n"/>
      <c r="B895" s="6" t="n"/>
      <c r="C895" s="6" t="n"/>
      <c r="D895" s="11">
        <f>IF(C895="","",IFERROR(INDEX(Levels!$A$2:$A$30,MATCH(C895,Levels!$B$2:$B$30,0)),""))</f>
        <v/>
      </c>
      <c r="E895" s="10">
        <f>IF(B895="","",IFERROR(INDEX(Roster!$A$2:$A$600,MATCH(B895,Roster!$E$2:$E$600,0)),""))</f>
        <v/>
      </c>
      <c r="F895" s="10">
        <f>IF(C895="","",IFERROR(INDEX(Levels!$C$2:$C$30,MATCH(C895,Levels!$B$2:$B$30,0)),""))</f>
        <v/>
      </c>
      <c r="G895" s="6" t="n"/>
      <c r="H895" s="10">
        <f>IF(AND(B895="",C895=""),"",IF(G895&lt;&gt;"","Void",IF(OR(B895="",E895=""),"Needs child",IF(D895="","Needs level","OK"))))</f>
        <v/>
      </c>
    </row>
    <row r="896">
      <c r="A896" s="6" t="n"/>
      <c r="B896" s="6" t="n"/>
      <c r="C896" s="6" t="n"/>
      <c r="D896" s="11">
        <f>IF(C896="","",IFERROR(INDEX(Levels!$A$2:$A$30,MATCH(C896,Levels!$B$2:$B$30,0)),""))</f>
        <v/>
      </c>
      <c r="E896" s="10">
        <f>IF(B896="","",IFERROR(INDEX(Roster!$A$2:$A$600,MATCH(B896,Roster!$E$2:$E$600,0)),""))</f>
        <v/>
      </c>
      <c r="F896" s="10">
        <f>IF(C896="","",IFERROR(INDEX(Levels!$C$2:$C$30,MATCH(C896,Levels!$B$2:$B$30,0)),""))</f>
        <v/>
      </c>
      <c r="G896" s="6" t="n"/>
      <c r="H896" s="10">
        <f>IF(AND(B896="",C896=""),"",IF(G896&lt;&gt;"","Void",IF(OR(B896="",E896=""),"Needs child",IF(D896="","Needs level","OK"))))</f>
        <v/>
      </c>
    </row>
    <row r="897">
      <c r="A897" s="6" t="n"/>
      <c r="B897" s="6" t="n"/>
      <c r="C897" s="6" t="n"/>
      <c r="D897" s="11">
        <f>IF(C897="","",IFERROR(INDEX(Levels!$A$2:$A$30,MATCH(C897,Levels!$B$2:$B$30,0)),""))</f>
        <v/>
      </c>
      <c r="E897" s="10">
        <f>IF(B897="","",IFERROR(INDEX(Roster!$A$2:$A$600,MATCH(B897,Roster!$E$2:$E$600,0)),""))</f>
        <v/>
      </c>
      <c r="F897" s="10">
        <f>IF(C897="","",IFERROR(INDEX(Levels!$C$2:$C$30,MATCH(C897,Levels!$B$2:$B$30,0)),""))</f>
        <v/>
      </c>
      <c r="G897" s="6" t="n"/>
      <c r="H897" s="10">
        <f>IF(AND(B897="",C897=""),"",IF(G897&lt;&gt;"","Void",IF(OR(B897="",E897=""),"Needs child",IF(D897="","Needs level","OK"))))</f>
        <v/>
      </c>
    </row>
    <row r="898">
      <c r="A898" s="6" t="n"/>
      <c r="B898" s="6" t="n"/>
      <c r="C898" s="6" t="n"/>
      <c r="D898" s="11">
        <f>IF(C898="","",IFERROR(INDEX(Levels!$A$2:$A$30,MATCH(C898,Levels!$B$2:$B$30,0)),""))</f>
        <v/>
      </c>
      <c r="E898" s="10">
        <f>IF(B898="","",IFERROR(INDEX(Roster!$A$2:$A$600,MATCH(B898,Roster!$E$2:$E$600,0)),""))</f>
        <v/>
      </c>
      <c r="F898" s="10">
        <f>IF(C898="","",IFERROR(INDEX(Levels!$C$2:$C$30,MATCH(C898,Levels!$B$2:$B$30,0)),""))</f>
        <v/>
      </c>
      <c r="G898" s="6" t="n"/>
      <c r="H898" s="10">
        <f>IF(AND(B898="",C898=""),"",IF(G898&lt;&gt;"","Void",IF(OR(B898="",E898=""),"Needs child",IF(D898="","Needs level","OK"))))</f>
        <v/>
      </c>
    </row>
    <row r="899">
      <c r="A899" s="6" t="n"/>
      <c r="B899" s="6" t="n"/>
      <c r="C899" s="6" t="n"/>
      <c r="D899" s="11">
        <f>IF(C899="","",IFERROR(INDEX(Levels!$A$2:$A$30,MATCH(C899,Levels!$B$2:$B$30,0)),""))</f>
        <v/>
      </c>
      <c r="E899" s="10">
        <f>IF(B899="","",IFERROR(INDEX(Roster!$A$2:$A$600,MATCH(B899,Roster!$E$2:$E$600,0)),""))</f>
        <v/>
      </c>
      <c r="F899" s="10">
        <f>IF(C899="","",IFERROR(INDEX(Levels!$C$2:$C$30,MATCH(C899,Levels!$B$2:$B$30,0)),""))</f>
        <v/>
      </c>
      <c r="G899" s="6" t="n"/>
      <c r="H899" s="10">
        <f>IF(AND(B899="",C899=""),"",IF(G899&lt;&gt;"","Void",IF(OR(B899="",E899=""),"Needs child",IF(D899="","Needs level","OK"))))</f>
        <v/>
      </c>
    </row>
    <row r="900">
      <c r="A900" s="6" t="n"/>
      <c r="B900" s="6" t="n"/>
      <c r="C900" s="6" t="n"/>
      <c r="D900" s="11">
        <f>IF(C900="","",IFERROR(INDEX(Levels!$A$2:$A$30,MATCH(C900,Levels!$B$2:$B$30,0)),""))</f>
        <v/>
      </c>
      <c r="E900" s="10">
        <f>IF(B900="","",IFERROR(INDEX(Roster!$A$2:$A$600,MATCH(B900,Roster!$E$2:$E$600,0)),""))</f>
        <v/>
      </c>
      <c r="F900" s="10">
        <f>IF(C900="","",IFERROR(INDEX(Levels!$C$2:$C$30,MATCH(C900,Levels!$B$2:$B$30,0)),""))</f>
        <v/>
      </c>
      <c r="G900" s="6" t="n"/>
      <c r="H900" s="10">
        <f>IF(AND(B900="",C900=""),"",IF(G900&lt;&gt;"","Void",IF(OR(B900="",E900=""),"Needs child",IF(D900="","Needs level","OK"))))</f>
        <v/>
      </c>
    </row>
    <row r="901">
      <c r="A901" s="6" t="n"/>
      <c r="B901" s="6" t="n"/>
      <c r="C901" s="6" t="n"/>
      <c r="D901" s="11">
        <f>IF(C901="","",IFERROR(INDEX(Levels!$A$2:$A$30,MATCH(C901,Levels!$B$2:$B$30,0)),""))</f>
        <v/>
      </c>
      <c r="E901" s="10">
        <f>IF(B901="","",IFERROR(INDEX(Roster!$A$2:$A$600,MATCH(B901,Roster!$E$2:$E$600,0)),""))</f>
        <v/>
      </c>
      <c r="F901" s="10">
        <f>IF(C901="","",IFERROR(INDEX(Levels!$C$2:$C$30,MATCH(C901,Levels!$B$2:$B$30,0)),""))</f>
        <v/>
      </c>
      <c r="G901" s="6" t="n"/>
      <c r="H901" s="10">
        <f>IF(AND(B901="",C901=""),"",IF(G901&lt;&gt;"","Void",IF(OR(B901="",E901=""),"Needs child",IF(D901="","Needs level","OK"))))</f>
        <v/>
      </c>
    </row>
    <row r="902">
      <c r="A902" s="6" t="n"/>
      <c r="B902" s="6" t="n"/>
      <c r="C902" s="6" t="n"/>
      <c r="D902" s="11">
        <f>IF(C902="","",IFERROR(INDEX(Levels!$A$2:$A$30,MATCH(C902,Levels!$B$2:$B$30,0)),""))</f>
        <v/>
      </c>
      <c r="E902" s="10">
        <f>IF(B902="","",IFERROR(INDEX(Roster!$A$2:$A$600,MATCH(B902,Roster!$E$2:$E$600,0)),""))</f>
        <v/>
      </c>
      <c r="F902" s="10">
        <f>IF(C902="","",IFERROR(INDEX(Levels!$C$2:$C$30,MATCH(C902,Levels!$B$2:$B$30,0)),""))</f>
        <v/>
      </c>
      <c r="G902" s="6" t="n"/>
      <c r="H902" s="10">
        <f>IF(AND(B902="",C902=""),"",IF(G902&lt;&gt;"","Void",IF(OR(B902="",E902=""),"Needs child",IF(D902="","Needs level","OK"))))</f>
        <v/>
      </c>
    </row>
    <row r="903">
      <c r="A903" s="6" t="n"/>
      <c r="B903" s="6" t="n"/>
      <c r="C903" s="6" t="n"/>
      <c r="D903" s="11">
        <f>IF(C903="","",IFERROR(INDEX(Levels!$A$2:$A$30,MATCH(C903,Levels!$B$2:$B$30,0)),""))</f>
        <v/>
      </c>
      <c r="E903" s="10">
        <f>IF(B903="","",IFERROR(INDEX(Roster!$A$2:$A$600,MATCH(B903,Roster!$E$2:$E$600,0)),""))</f>
        <v/>
      </c>
      <c r="F903" s="10">
        <f>IF(C903="","",IFERROR(INDEX(Levels!$C$2:$C$30,MATCH(C903,Levels!$B$2:$B$30,0)),""))</f>
        <v/>
      </c>
      <c r="G903" s="6" t="n"/>
      <c r="H903" s="10">
        <f>IF(AND(B903="",C903=""),"",IF(G903&lt;&gt;"","Void",IF(OR(B903="",E903=""),"Needs child",IF(D903="","Needs level","OK"))))</f>
        <v/>
      </c>
    </row>
    <row r="904">
      <c r="A904" s="6" t="n"/>
      <c r="B904" s="6" t="n"/>
      <c r="C904" s="6" t="n"/>
      <c r="D904" s="11">
        <f>IF(C904="","",IFERROR(INDEX(Levels!$A$2:$A$30,MATCH(C904,Levels!$B$2:$B$30,0)),""))</f>
        <v/>
      </c>
      <c r="E904" s="10">
        <f>IF(B904="","",IFERROR(INDEX(Roster!$A$2:$A$600,MATCH(B904,Roster!$E$2:$E$600,0)),""))</f>
        <v/>
      </c>
      <c r="F904" s="10">
        <f>IF(C904="","",IFERROR(INDEX(Levels!$C$2:$C$30,MATCH(C904,Levels!$B$2:$B$30,0)),""))</f>
        <v/>
      </c>
      <c r="G904" s="6" t="n"/>
      <c r="H904" s="10">
        <f>IF(AND(B904="",C904=""),"",IF(G904&lt;&gt;"","Void",IF(OR(B904="",E904=""),"Needs child",IF(D904="","Needs level","OK"))))</f>
        <v/>
      </c>
    </row>
    <row r="905">
      <c r="A905" s="6" t="n"/>
      <c r="B905" s="6" t="n"/>
      <c r="C905" s="6" t="n"/>
      <c r="D905" s="11">
        <f>IF(C905="","",IFERROR(INDEX(Levels!$A$2:$A$30,MATCH(C905,Levels!$B$2:$B$30,0)),""))</f>
        <v/>
      </c>
      <c r="E905" s="10">
        <f>IF(B905="","",IFERROR(INDEX(Roster!$A$2:$A$600,MATCH(B905,Roster!$E$2:$E$600,0)),""))</f>
        <v/>
      </c>
      <c r="F905" s="10">
        <f>IF(C905="","",IFERROR(INDEX(Levels!$C$2:$C$30,MATCH(C905,Levels!$B$2:$B$30,0)),""))</f>
        <v/>
      </c>
      <c r="G905" s="6" t="n"/>
      <c r="H905" s="10">
        <f>IF(AND(B905="",C905=""),"",IF(G905&lt;&gt;"","Void",IF(OR(B905="",E905=""),"Needs child",IF(D905="","Needs level","OK"))))</f>
        <v/>
      </c>
    </row>
    <row r="906">
      <c r="A906" s="6" t="n"/>
      <c r="B906" s="6" t="n"/>
      <c r="C906" s="6" t="n"/>
      <c r="D906" s="11">
        <f>IF(C906="","",IFERROR(INDEX(Levels!$A$2:$A$30,MATCH(C906,Levels!$B$2:$B$30,0)),""))</f>
        <v/>
      </c>
      <c r="E906" s="10">
        <f>IF(B906="","",IFERROR(INDEX(Roster!$A$2:$A$600,MATCH(B906,Roster!$E$2:$E$600,0)),""))</f>
        <v/>
      </c>
      <c r="F906" s="10">
        <f>IF(C906="","",IFERROR(INDEX(Levels!$C$2:$C$30,MATCH(C906,Levels!$B$2:$B$30,0)),""))</f>
        <v/>
      </c>
      <c r="G906" s="6" t="n"/>
      <c r="H906" s="10">
        <f>IF(AND(B906="",C906=""),"",IF(G906&lt;&gt;"","Void",IF(OR(B906="",E906=""),"Needs child",IF(D906="","Needs level","OK"))))</f>
        <v/>
      </c>
    </row>
    <row r="907">
      <c r="A907" s="6" t="n"/>
      <c r="B907" s="6" t="n"/>
      <c r="C907" s="6" t="n"/>
      <c r="D907" s="11">
        <f>IF(C907="","",IFERROR(INDEX(Levels!$A$2:$A$30,MATCH(C907,Levels!$B$2:$B$30,0)),""))</f>
        <v/>
      </c>
      <c r="E907" s="10">
        <f>IF(B907="","",IFERROR(INDEX(Roster!$A$2:$A$600,MATCH(B907,Roster!$E$2:$E$600,0)),""))</f>
        <v/>
      </c>
      <c r="F907" s="10">
        <f>IF(C907="","",IFERROR(INDEX(Levels!$C$2:$C$30,MATCH(C907,Levels!$B$2:$B$30,0)),""))</f>
        <v/>
      </c>
      <c r="G907" s="6" t="n"/>
      <c r="H907" s="10">
        <f>IF(AND(B907="",C907=""),"",IF(G907&lt;&gt;"","Void",IF(OR(B907="",E907=""),"Needs child",IF(D907="","Needs level","OK"))))</f>
        <v/>
      </c>
    </row>
    <row r="908">
      <c r="A908" s="6" t="n"/>
      <c r="B908" s="6" t="n"/>
      <c r="C908" s="6" t="n"/>
      <c r="D908" s="11">
        <f>IF(C908="","",IFERROR(INDEX(Levels!$A$2:$A$30,MATCH(C908,Levels!$B$2:$B$30,0)),""))</f>
        <v/>
      </c>
      <c r="E908" s="10">
        <f>IF(B908="","",IFERROR(INDEX(Roster!$A$2:$A$600,MATCH(B908,Roster!$E$2:$E$600,0)),""))</f>
        <v/>
      </c>
      <c r="F908" s="10">
        <f>IF(C908="","",IFERROR(INDEX(Levels!$C$2:$C$30,MATCH(C908,Levels!$B$2:$B$30,0)),""))</f>
        <v/>
      </c>
      <c r="G908" s="6" t="n"/>
      <c r="H908" s="10">
        <f>IF(AND(B908="",C908=""),"",IF(G908&lt;&gt;"","Void",IF(OR(B908="",E908=""),"Needs child",IF(D908="","Needs level","OK"))))</f>
        <v/>
      </c>
    </row>
    <row r="909">
      <c r="A909" s="6" t="n"/>
      <c r="B909" s="6" t="n"/>
      <c r="C909" s="6" t="n"/>
      <c r="D909" s="11">
        <f>IF(C909="","",IFERROR(INDEX(Levels!$A$2:$A$30,MATCH(C909,Levels!$B$2:$B$30,0)),""))</f>
        <v/>
      </c>
      <c r="E909" s="10">
        <f>IF(B909="","",IFERROR(INDEX(Roster!$A$2:$A$600,MATCH(B909,Roster!$E$2:$E$600,0)),""))</f>
        <v/>
      </c>
      <c r="F909" s="10">
        <f>IF(C909="","",IFERROR(INDEX(Levels!$C$2:$C$30,MATCH(C909,Levels!$B$2:$B$30,0)),""))</f>
        <v/>
      </c>
      <c r="G909" s="6" t="n"/>
      <c r="H909" s="10">
        <f>IF(AND(B909="",C909=""),"",IF(G909&lt;&gt;"","Void",IF(OR(B909="",E909=""),"Needs child",IF(D909="","Needs level","OK"))))</f>
        <v/>
      </c>
    </row>
    <row r="910">
      <c r="A910" s="6" t="n"/>
      <c r="B910" s="6" t="n"/>
      <c r="C910" s="6" t="n"/>
      <c r="D910" s="11">
        <f>IF(C910="","",IFERROR(INDEX(Levels!$A$2:$A$30,MATCH(C910,Levels!$B$2:$B$30,0)),""))</f>
        <v/>
      </c>
      <c r="E910" s="10">
        <f>IF(B910="","",IFERROR(INDEX(Roster!$A$2:$A$600,MATCH(B910,Roster!$E$2:$E$600,0)),""))</f>
        <v/>
      </c>
      <c r="F910" s="10">
        <f>IF(C910="","",IFERROR(INDEX(Levels!$C$2:$C$30,MATCH(C910,Levels!$B$2:$B$30,0)),""))</f>
        <v/>
      </c>
      <c r="G910" s="6" t="n"/>
      <c r="H910" s="10">
        <f>IF(AND(B910="",C910=""),"",IF(G910&lt;&gt;"","Void",IF(OR(B910="",E910=""),"Needs child",IF(D910="","Needs level","OK"))))</f>
        <v/>
      </c>
    </row>
    <row r="911">
      <c r="A911" s="6" t="n"/>
      <c r="B911" s="6" t="n"/>
      <c r="C911" s="6" t="n"/>
      <c r="D911" s="11">
        <f>IF(C911="","",IFERROR(INDEX(Levels!$A$2:$A$30,MATCH(C911,Levels!$B$2:$B$30,0)),""))</f>
        <v/>
      </c>
      <c r="E911" s="10">
        <f>IF(B911="","",IFERROR(INDEX(Roster!$A$2:$A$600,MATCH(B911,Roster!$E$2:$E$600,0)),""))</f>
        <v/>
      </c>
      <c r="F911" s="10">
        <f>IF(C911="","",IFERROR(INDEX(Levels!$C$2:$C$30,MATCH(C911,Levels!$B$2:$B$30,0)),""))</f>
        <v/>
      </c>
      <c r="G911" s="6" t="n"/>
      <c r="H911" s="10">
        <f>IF(AND(B911="",C911=""),"",IF(G911&lt;&gt;"","Void",IF(OR(B911="",E911=""),"Needs child",IF(D911="","Needs level","OK"))))</f>
        <v/>
      </c>
    </row>
    <row r="912">
      <c r="A912" s="6" t="n"/>
      <c r="B912" s="6" t="n"/>
      <c r="C912" s="6" t="n"/>
      <c r="D912" s="11">
        <f>IF(C912="","",IFERROR(INDEX(Levels!$A$2:$A$30,MATCH(C912,Levels!$B$2:$B$30,0)),""))</f>
        <v/>
      </c>
      <c r="E912" s="10">
        <f>IF(B912="","",IFERROR(INDEX(Roster!$A$2:$A$600,MATCH(B912,Roster!$E$2:$E$600,0)),""))</f>
        <v/>
      </c>
      <c r="F912" s="10">
        <f>IF(C912="","",IFERROR(INDEX(Levels!$C$2:$C$30,MATCH(C912,Levels!$B$2:$B$30,0)),""))</f>
        <v/>
      </c>
      <c r="G912" s="6" t="n"/>
      <c r="H912" s="10">
        <f>IF(AND(B912="",C912=""),"",IF(G912&lt;&gt;"","Void",IF(OR(B912="",E912=""),"Needs child",IF(D912="","Needs level","OK"))))</f>
        <v/>
      </c>
    </row>
    <row r="913">
      <c r="A913" s="6" t="n"/>
      <c r="B913" s="6" t="n"/>
      <c r="C913" s="6" t="n"/>
      <c r="D913" s="11">
        <f>IF(C913="","",IFERROR(INDEX(Levels!$A$2:$A$30,MATCH(C913,Levels!$B$2:$B$30,0)),""))</f>
        <v/>
      </c>
      <c r="E913" s="10">
        <f>IF(B913="","",IFERROR(INDEX(Roster!$A$2:$A$600,MATCH(B913,Roster!$E$2:$E$600,0)),""))</f>
        <v/>
      </c>
      <c r="F913" s="10">
        <f>IF(C913="","",IFERROR(INDEX(Levels!$C$2:$C$30,MATCH(C913,Levels!$B$2:$B$30,0)),""))</f>
        <v/>
      </c>
      <c r="G913" s="6" t="n"/>
      <c r="H913" s="10">
        <f>IF(AND(B913="",C913=""),"",IF(G913&lt;&gt;"","Void",IF(OR(B913="",E913=""),"Needs child",IF(D913="","Needs level","OK"))))</f>
        <v/>
      </c>
    </row>
    <row r="914">
      <c r="A914" s="6" t="n"/>
      <c r="B914" s="6" t="n"/>
      <c r="C914" s="6" t="n"/>
      <c r="D914" s="11">
        <f>IF(C914="","",IFERROR(INDEX(Levels!$A$2:$A$30,MATCH(C914,Levels!$B$2:$B$30,0)),""))</f>
        <v/>
      </c>
      <c r="E914" s="10">
        <f>IF(B914="","",IFERROR(INDEX(Roster!$A$2:$A$600,MATCH(B914,Roster!$E$2:$E$600,0)),""))</f>
        <v/>
      </c>
      <c r="F914" s="10">
        <f>IF(C914="","",IFERROR(INDEX(Levels!$C$2:$C$30,MATCH(C914,Levels!$B$2:$B$30,0)),""))</f>
        <v/>
      </c>
      <c r="G914" s="6" t="n"/>
      <c r="H914" s="10">
        <f>IF(AND(B914="",C914=""),"",IF(G914&lt;&gt;"","Void",IF(OR(B914="",E914=""),"Needs child",IF(D914="","Needs level","OK"))))</f>
        <v/>
      </c>
    </row>
    <row r="915">
      <c r="A915" s="6" t="n"/>
      <c r="B915" s="6" t="n"/>
      <c r="C915" s="6" t="n"/>
      <c r="D915" s="11">
        <f>IF(C915="","",IFERROR(INDEX(Levels!$A$2:$A$30,MATCH(C915,Levels!$B$2:$B$30,0)),""))</f>
        <v/>
      </c>
      <c r="E915" s="10">
        <f>IF(B915="","",IFERROR(INDEX(Roster!$A$2:$A$600,MATCH(B915,Roster!$E$2:$E$600,0)),""))</f>
        <v/>
      </c>
      <c r="F915" s="10">
        <f>IF(C915="","",IFERROR(INDEX(Levels!$C$2:$C$30,MATCH(C915,Levels!$B$2:$B$30,0)),""))</f>
        <v/>
      </c>
      <c r="G915" s="6" t="n"/>
      <c r="H915" s="10">
        <f>IF(AND(B915="",C915=""),"",IF(G915&lt;&gt;"","Void",IF(OR(B915="",E915=""),"Needs child",IF(D915="","Needs level","OK"))))</f>
        <v/>
      </c>
    </row>
    <row r="916">
      <c r="A916" s="6" t="n"/>
      <c r="B916" s="6" t="n"/>
      <c r="C916" s="6" t="n"/>
      <c r="D916" s="11">
        <f>IF(C916="","",IFERROR(INDEX(Levels!$A$2:$A$30,MATCH(C916,Levels!$B$2:$B$30,0)),""))</f>
        <v/>
      </c>
      <c r="E916" s="10">
        <f>IF(B916="","",IFERROR(INDEX(Roster!$A$2:$A$600,MATCH(B916,Roster!$E$2:$E$600,0)),""))</f>
        <v/>
      </c>
      <c r="F916" s="10">
        <f>IF(C916="","",IFERROR(INDEX(Levels!$C$2:$C$30,MATCH(C916,Levels!$B$2:$B$30,0)),""))</f>
        <v/>
      </c>
      <c r="G916" s="6" t="n"/>
      <c r="H916" s="10">
        <f>IF(AND(B916="",C916=""),"",IF(G916&lt;&gt;"","Void",IF(OR(B916="",E916=""),"Needs child",IF(D916="","Needs level","OK"))))</f>
        <v/>
      </c>
    </row>
    <row r="917">
      <c r="A917" s="6" t="n"/>
      <c r="B917" s="6" t="n"/>
      <c r="C917" s="6" t="n"/>
      <c r="D917" s="11">
        <f>IF(C917="","",IFERROR(INDEX(Levels!$A$2:$A$30,MATCH(C917,Levels!$B$2:$B$30,0)),""))</f>
        <v/>
      </c>
      <c r="E917" s="10">
        <f>IF(B917="","",IFERROR(INDEX(Roster!$A$2:$A$600,MATCH(B917,Roster!$E$2:$E$600,0)),""))</f>
        <v/>
      </c>
      <c r="F917" s="10">
        <f>IF(C917="","",IFERROR(INDEX(Levels!$C$2:$C$30,MATCH(C917,Levels!$B$2:$B$30,0)),""))</f>
        <v/>
      </c>
      <c r="G917" s="6" t="n"/>
      <c r="H917" s="10">
        <f>IF(AND(B917="",C917=""),"",IF(G917&lt;&gt;"","Void",IF(OR(B917="",E917=""),"Needs child",IF(D917="","Needs level","OK"))))</f>
        <v/>
      </c>
    </row>
    <row r="918">
      <c r="A918" s="6" t="n"/>
      <c r="B918" s="6" t="n"/>
      <c r="C918" s="6" t="n"/>
      <c r="D918" s="11">
        <f>IF(C918="","",IFERROR(INDEX(Levels!$A$2:$A$30,MATCH(C918,Levels!$B$2:$B$30,0)),""))</f>
        <v/>
      </c>
      <c r="E918" s="10">
        <f>IF(B918="","",IFERROR(INDEX(Roster!$A$2:$A$600,MATCH(B918,Roster!$E$2:$E$600,0)),""))</f>
        <v/>
      </c>
      <c r="F918" s="10">
        <f>IF(C918="","",IFERROR(INDEX(Levels!$C$2:$C$30,MATCH(C918,Levels!$B$2:$B$30,0)),""))</f>
        <v/>
      </c>
      <c r="G918" s="6" t="n"/>
      <c r="H918" s="10">
        <f>IF(AND(B918="",C918=""),"",IF(G918&lt;&gt;"","Void",IF(OR(B918="",E918=""),"Needs child",IF(D918="","Needs level","OK"))))</f>
        <v/>
      </c>
    </row>
    <row r="919">
      <c r="A919" s="6" t="n"/>
      <c r="B919" s="6" t="n"/>
      <c r="C919" s="6" t="n"/>
      <c r="D919" s="11">
        <f>IF(C919="","",IFERROR(INDEX(Levels!$A$2:$A$30,MATCH(C919,Levels!$B$2:$B$30,0)),""))</f>
        <v/>
      </c>
      <c r="E919" s="10">
        <f>IF(B919="","",IFERROR(INDEX(Roster!$A$2:$A$600,MATCH(B919,Roster!$E$2:$E$600,0)),""))</f>
        <v/>
      </c>
      <c r="F919" s="10">
        <f>IF(C919="","",IFERROR(INDEX(Levels!$C$2:$C$30,MATCH(C919,Levels!$B$2:$B$30,0)),""))</f>
        <v/>
      </c>
      <c r="G919" s="6" t="n"/>
      <c r="H919" s="10">
        <f>IF(AND(B919="",C919=""),"",IF(G919&lt;&gt;"","Void",IF(OR(B919="",E919=""),"Needs child",IF(D919="","Needs level","OK"))))</f>
        <v/>
      </c>
    </row>
    <row r="920">
      <c r="A920" s="6" t="n"/>
      <c r="B920" s="6" t="n"/>
      <c r="C920" s="6" t="n"/>
      <c r="D920" s="11">
        <f>IF(C920="","",IFERROR(INDEX(Levels!$A$2:$A$30,MATCH(C920,Levels!$B$2:$B$30,0)),""))</f>
        <v/>
      </c>
      <c r="E920" s="10">
        <f>IF(B920="","",IFERROR(INDEX(Roster!$A$2:$A$600,MATCH(B920,Roster!$E$2:$E$600,0)),""))</f>
        <v/>
      </c>
      <c r="F920" s="10">
        <f>IF(C920="","",IFERROR(INDEX(Levels!$C$2:$C$30,MATCH(C920,Levels!$B$2:$B$30,0)),""))</f>
        <v/>
      </c>
      <c r="G920" s="6" t="n"/>
      <c r="H920" s="10">
        <f>IF(AND(B920="",C920=""),"",IF(G920&lt;&gt;"","Void",IF(OR(B920="",E920=""),"Needs child",IF(D920="","Needs level","OK"))))</f>
        <v/>
      </c>
    </row>
    <row r="921">
      <c r="A921" s="6" t="n"/>
      <c r="B921" s="6" t="n"/>
      <c r="C921" s="6" t="n"/>
      <c r="D921" s="11">
        <f>IF(C921="","",IFERROR(INDEX(Levels!$A$2:$A$30,MATCH(C921,Levels!$B$2:$B$30,0)),""))</f>
        <v/>
      </c>
      <c r="E921" s="10">
        <f>IF(B921="","",IFERROR(INDEX(Roster!$A$2:$A$600,MATCH(B921,Roster!$E$2:$E$600,0)),""))</f>
        <v/>
      </c>
      <c r="F921" s="10">
        <f>IF(C921="","",IFERROR(INDEX(Levels!$C$2:$C$30,MATCH(C921,Levels!$B$2:$B$30,0)),""))</f>
        <v/>
      </c>
      <c r="G921" s="6" t="n"/>
      <c r="H921" s="10">
        <f>IF(AND(B921="",C921=""),"",IF(G921&lt;&gt;"","Void",IF(OR(B921="",E921=""),"Needs child",IF(D921="","Needs level","OK"))))</f>
        <v/>
      </c>
    </row>
    <row r="922">
      <c r="A922" s="6" t="n"/>
      <c r="B922" s="6" t="n"/>
      <c r="C922" s="6" t="n"/>
      <c r="D922" s="11">
        <f>IF(C922="","",IFERROR(INDEX(Levels!$A$2:$A$30,MATCH(C922,Levels!$B$2:$B$30,0)),""))</f>
        <v/>
      </c>
      <c r="E922" s="10">
        <f>IF(B922="","",IFERROR(INDEX(Roster!$A$2:$A$600,MATCH(B922,Roster!$E$2:$E$600,0)),""))</f>
        <v/>
      </c>
      <c r="F922" s="10">
        <f>IF(C922="","",IFERROR(INDEX(Levels!$C$2:$C$30,MATCH(C922,Levels!$B$2:$B$30,0)),""))</f>
        <v/>
      </c>
      <c r="G922" s="6" t="n"/>
      <c r="H922" s="10">
        <f>IF(AND(B922="",C922=""),"",IF(G922&lt;&gt;"","Void",IF(OR(B922="",E922=""),"Needs child",IF(D922="","Needs level","OK"))))</f>
        <v/>
      </c>
    </row>
    <row r="923">
      <c r="A923" s="6" t="n"/>
      <c r="B923" s="6" t="n"/>
      <c r="C923" s="6" t="n"/>
      <c r="D923" s="11">
        <f>IF(C923="","",IFERROR(INDEX(Levels!$A$2:$A$30,MATCH(C923,Levels!$B$2:$B$30,0)),""))</f>
        <v/>
      </c>
      <c r="E923" s="10">
        <f>IF(B923="","",IFERROR(INDEX(Roster!$A$2:$A$600,MATCH(B923,Roster!$E$2:$E$600,0)),""))</f>
        <v/>
      </c>
      <c r="F923" s="10">
        <f>IF(C923="","",IFERROR(INDEX(Levels!$C$2:$C$30,MATCH(C923,Levels!$B$2:$B$30,0)),""))</f>
        <v/>
      </c>
      <c r="G923" s="6" t="n"/>
      <c r="H923" s="10">
        <f>IF(AND(B923="",C923=""),"",IF(G923&lt;&gt;"","Void",IF(OR(B923="",E923=""),"Needs child",IF(D923="","Needs level","OK"))))</f>
        <v/>
      </c>
    </row>
    <row r="924">
      <c r="A924" s="6" t="n"/>
      <c r="B924" s="6" t="n"/>
      <c r="C924" s="6" t="n"/>
      <c r="D924" s="11">
        <f>IF(C924="","",IFERROR(INDEX(Levels!$A$2:$A$30,MATCH(C924,Levels!$B$2:$B$30,0)),""))</f>
        <v/>
      </c>
      <c r="E924" s="10">
        <f>IF(B924="","",IFERROR(INDEX(Roster!$A$2:$A$600,MATCH(B924,Roster!$E$2:$E$600,0)),""))</f>
        <v/>
      </c>
      <c r="F924" s="10">
        <f>IF(C924="","",IFERROR(INDEX(Levels!$C$2:$C$30,MATCH(C924,Levels!$B$2:$B$30,0)),""))</f>
        <v/>
      </c>
      <c r="G924" s="6" t="n"/>
      <c r="H924" s="10">
        <f>IF(AND(B924="",C924=""),"",IF(G924&lt;&gt;"","Void",IF(OR(B924="",E924=""),"Needs child",IF(D924="","Needs level","OK"))))</f>
        <v/>
      </c>
    </row>
    <row r="925">
      <c r="A925" s="6" t="n"/>
      <c r="B925" s="6" t="n"/>
      <c r="C925" s="6" t="n"/>
      <c r="D925" s="11">
        <f>IF(C925="","",IFERROR(INDEX(Levels!$A$2:$A$30,MATCH(C925,Levels!$B$2:$B$30,0)),""))</f>
        <v/>
      </c>
      <c r="E925" s="10">
        <f>IF(B925="","",IFERROR(INDEX(Roster!$A$2:$A$600,MATCH(B925,Roster!$E$2:$E$600,0)),""))</f>
        <v/>
      </c>
      <c r="F925" s="10">
        <f>IF(C925="","",IFERROR(INDEX(Levels!$C$2:$C$30,MATCH(C925,Levels!$B$2:$B$30,0)),""))</f>
        <v/>
      </c>
      <c r="G925" s="6" t="n"/>
      <c r="H925" s="10">
        <f>IF(AND(B925="",C925=""),"",IF(G925&lt;&gt;"","Void",IF(OR(B925="",E925=""),"Needs child",IF(D925="","Needs level","OK"))))</f>
        <v/>
      </c>
    </row>
    <row r="926">
      <c r="A926" s="6" t="n"/>
      <c r="B926" s="6" t="n"/>
      <c r="C926" s="6" t="n"/>
      <c r="D926" s="11">
        <f>IF(C926="","",IFERROR(INDEX(Levels!$A$2:$A$30,MATCH(C926,Levels!$B$2:$B$30,0)),""))</f>
        <v/>
      </c>
      <c r="E926" s="10">
        <f>IF(B926="","",IFERROR(INDEX(Roster!$A$2:$A$600,MATCH(B926,Roster!$E$2:$E$600,0)),""))</f>
        <v/>
      </c>
      <c r="F926" s="10">
        <f>IF(C926="","",IFERROR(INDEX(Levels!$C$2:$C$30,MATCH(C926,Levels!$B$2:$B$30,0)),""))</f>
        <v/>
      </c>
      <c r="G926" s="6" t="n"/>
      <c r="H926" s="10">
        <f>IF(AND(B926="",C926=""),"",IF(G926&lt;&gt;"","Void",IF(OR(B926="",E926=""),"Needs child",IF(D926="","Needs level","OK"))))</f>
        <v/>
      </c>
    </row>
    <row r="927">
      <c r="A927" s="6" t="n"/>
      <c r="B927" s="6" t="n"/>
      <c r="C927" s="6" t="n"/>
      <c r="D927" s="11">
        <f>IF(C927="","",IFERROR(INDEX(Levels!$A$2:$A$30,MATCH(C927,Levels!$B$2:$B$30,0)),""))</f>
        <v/>
      </c>
      <c r="E927" s="10">
        <f>IF(B927="","",IFERROR(INDEX(Roster!$A$2:$A$600,MATCH(B927,Roster!$E$2:$E$600,0)),""))</f>
        <v/>
      </c>
      <c r="F927" s="10">
        <f>IF(C927="","",IFERROR(INDEX(Levels!$C$2:$C$30,MATCH(C927,Levels!$B$2:$B$30,0)),""))</f>
        <v/>
      </c>
      <c r="G927" s="6" t="n"/>
      <c r="H927" s="10">
        <f>IF(AND(B927="",C927=""),"",IF(G927&lt;&gt;"","Void",IF(OR(B927="",E927=""),"Needs child",IF(D927="","Needs level","OK"))))</f>
        <v/>
      </c>
    </row>
    <row r="928">
      <c r="A928" s="6" t="n"/>
      <c r="B928" s="6" t="n"/>
      <c r="C928" s="6" t="n"/>
      <c r="D928" s="11">
        <f>IF(C928="","",IFERROR(INDEX(Levels!$A$2:$A$30,MATCH(C928,Levels!$B$2:$B$30,0)),""))</f>
        <v/>
      </c>
      <c r="E928" s="10">
        <f>IF(B928="","",IFERROR(INDEX(Roster!$A$2:$A$600,MATCH(B928,Roster!$E$2:$E$600,0)),""))</f>
        <v/>
      </c>
      <c r="F928" s="10">
        <f>IF(C928="","",IFERROR(INDEX(Levels!$C$2:$C$30,MATCH(C928,Levels!$B$2:$B$30,0)),""))</f>
        <v/>
      </c>
      <c r="G928" s="6" t="n"/>
      <c r="H928" s="10">
        <f>IF(AND(B928="",C928=""),"",IF(G928&lt;&gt;"","Void",IF(OR(B928="",E928=""),"Needs child",IF(D928="","Needs level","OK"))))</f>
        <v/>
      </c>
    </row>
    <row r="929">
      <c r="A929" s="6" t="n"/>
      <c r="B929" s="6" t="n"/>
      <c r="C929" s="6" t="n"/>
      <c r="D929" s="11">
        <f>IF(C929="","",IFERROR(INDEX(Levels!$A$2:$A$30,MATCH(C929,Levels!$B$2:$B$30,0)),""))</f>
        <v/>
      </c>
      <c r="E929" s="10">
        <f>IF(B929="","",IFERROR(INDEX(Roster!$A$2:$A$600,MATCH(B929,Roster!$E$2:$E$600,0)),""))</f>
        <v/>
      </c>
      <c r="F929" s="10">
        <f>IF(C929="","",IFERROR(INDEX(Levels!$C$2:$C$30,MATCH(C929,Levels!$B$2:$B$30,0)),""))</f>
        <v/>
      </c>
      <c r="G929" s="6" t="n"/>
      <c r="H929" s="10">
        <f>IF(AND(B929="",C929=""),"",IF(G929&lt;&gt;"","Void",IF(OR(B929="",E929=""),"Needs child",IF(D929="","Needs level","OK"))))</f>
        <v/>
      </c>
    </row>
    <row r="930">
      <c r="A930" s="6" t="n"/>
      <c r="B930" s="6" t="n"/>
      <c r="C930" s="6" t="n"/>
      <c r="D930" s="11">
        <f>IF(C930="","",IFERROR(INDEX(Levels!$A$2:$A$30,MATCH(C930,Levels!$B$2:$B$30,0)),""))</f>
        <v/>
      </c>
      <c r="E930" s="10">
        <f>IF(B930="","",IFERROR(INDEX(Roster!$A$2:$A$600,MATCH(B930,Roster!$E$2:$E$600,0)),""))</f>
        <v/>
      </c>
      <c r="F930" s="10">
        <f>IF(C930="","",IFERROR(INDEX(Levels!$C$2:$C$30,MATCH(C930,Levels!$B$2:$B$30,0)),""))</f>
        <v/>
      </c>
      <c r="G930" s="6" t="n"/>
      <c r="H930" s="10">
        <f>IF(AND(B930="",C930=""),"",IF(G930&lt;&gt;"","Void",IF(OR(B930="",E930=""),"Needs child",IF(D930="","Needs level","OK"))))</f>
        <v/>
      </c>
    </row>
    <row r="931">
      <c r="A931" s="6" t="n"/>
      <c r="B931" s="6" t="n"/>
      <c r="C931" s="6" t="n"/>
      <c r="D931" s="11">
        <f>IF(C931="","",IFERROR(INDEX(Levels!$A$2:$A$30,MATCH(C931,Levels!$B$2:$B$30,0)),""))</f>
        <v/>
      </c>
      <c r="E931" s="10">
        <f>IF(B931="","",IFERROR(INDEX(Roster!$A$2:$A$600,MATCH(B931,Roster!$E$2:$E$600,0)),""))</f>
        <v/>
      </c>
      <c r="F931" s="10">
        <f>IF(C931="","",IFERROR(INDEX(Levels!$C$2:$C$30,MATCH(C931,Levels!$B$2:$B$30,0)),""))</f>
        <v/>
      </c>
      <c r="G931" s="6" t="n"/>
      <c r="H931" s="10">
        <f>IF(AND(B931="",C931=""),"",IF(G931&lt;&gt;"","Void",IF(OR(B931="",E931=""),"Needs child",IF(D931="","Needs level","OK"))))</f>
        <v/>
      </c>
    </row>
    <row r="932">
      <c r="A932" s="6" t="n"/>
      <c r="B932" s="6" t="n"/>
      <c r="C932" s="6" t="n"/>
      <c r="D932" s="11">
        <f>IF(C932="","",IFERROR(INDEX(Levels!$A$2:$A$30,MATCH(C932,Levels!$B$2:$B$30,0)),""))</f>
        <v/>
      </c>
      <c r="E932" s="10">
        <f>IF(B932="","",IFERROR(INDEX(Roster!$A$2:$A$600,MATCH(B932,Roster!$E$2:$E$600,0)),""))</f>
        <v/>
      </c>
      <c r="F932" s="10">
        <f>IF(C932="","",IFERROR(INDEX(Levels!$C$2:$C$30,MATCH(C932,Levels!$B$2:$B$30,0)),""))</f>
        <v/>
      </c>
      <c r="G932" s="6" t="n"/>
      <c r="H932" s="10">
        <f>IF(AND(B932="",C932=""),"",IF(G932&lt;&gt;"","Void",IF(OR(B932="",E932=""),"Needs child",IF(D932="","Needs level","OK"))))</f>
        <v/>
      </c>
    </row>
    <row r="933">
      <c r="A933" s="6" t="n"/>
      <c r="B933" s="6" t="n"/>
      <c r="C933" s="6" t="n"/>
      <c r="D933" s="11">
        <f>IF(C933="","",IFERROR(INDEX(Levels!$A$2:$A$30,MATCH(C933,Levels!$B$2:$B$30,0)),""))</f>
        <v/>
      </c>
      <c r="E933" s="10">
        <f>IF(B933="","",IFERROR(INDEX(Roster!$A$2:$A$600,MATCH(B933,Roster!$E$2:$E$600,0)),""))</f>
        <v/>
      </c>
      <c r="F933" s="10">
        <f>IF(C933="","",IFERROR(INDEX(Levels!$C$2:$C$30,MATCH(C933,Levels!$B$2:$B$30,0)),""))</f>
        <v/>
      </c>
      <c r="G933" s="6" t="n"/>
      <c r="H933" s="10">
        <f>IF(AND(B933="",C933=""),"",IF(G933&lt;&gt;"","Void",IF(OR(B933="",E933=""),"Needs child",IF(D933="","Needs level","OK"))))</f>
        <v/>
      </c>
    </row>
    <row r="934">
      <c r="A934" s="6" t="n"/>
      <c r="B934" s="6" t="n"/>
      <c r="C934" s="6" t="n"/>
      <c r="D934" s="11">
        <f>IF(C934="","",IFERROR(INDEX(Levels!$A$2:$A$30,MATCH(C934,Levels!$B$2:$B$30,0)),""))</f>
        <v/>
      </c>
      <c r="E934" s="10">
        <f>IF(B934="","",IFERROR(INDEX(Roster!$A$2:$A$600,MATCH(B934,Roster!$E$2:$E$600,0)),""))</f>
        <v/>
      </c>
      <c r="F934" s="10">
        <f>IF(C934="","",IFERROR(INDEX(Levels!$C$2:$C$30,MATCH(C934,Levels!$B$2:$B$30,0)),""))</f>
        <v/>
      </c>
      <c r="G934" s="6" t="n"/>
      <c r="H934" s="10">
        <f>IF(AND(B934="",C934=""),"",IF(G934&lt;&gt;"","Void",IF(OR(B934="",E934=""),"Needs child",IF(D934="","Needs level","OK"))))</f>
        <v/>
      </c>
    </row>
    <row r="935">
      <c r="A935" s="6" t="n"/>
      <c r="B935" s="6" t="n"/>
      <c r="C935" s="6" t="n"/>
      <c r="D935" s="11">
        <f>IF(C935="","",IFERROR(INDEX(Levels!$A$2:$A$30,MATCH(C935,Levels!$B$2:$B$30,0)),""))</f>
        <v/>
      </c>
      <c r="E935" s="10">
        <f>IF(B935="","",IFERROR(INDEX(Roster!$A$2:$A$600,MATCH(B935,Roster!$E$2:$E$600,0)),""))</f>
        <v/>
      </c>
      <c r="F935" s="10">
        <f>IF(C935="","",IFERROR(INDEX(Levels!$C$2:$C$30,MATCH(C935,Levels!$B$2:$B$30,0)),""))</f>
        <v/>
      </c>
      <c r="G935" s="6" t="n"/>
      <c r="H935" s="10">
        <f>IF(AND(B935="",C935=""),"",IF(G935&lt;&gt;"","Void",IF(OR(B935="",E935=""),"Needs child",IF(D935="","Needs level","OK"))))</f>
        <v/>
      </c>
    </row>
    <row r="936">
      <c r="A936" s="6" t="n"/>
      <c r="B936" s="6" t="n"/>
      <c r="C936" s="6" t="n"/>
      <c r="D936" s="11">
        <f>IF(C936="","",IFERROR(INDEX(Levels!$A$2:$A$30,MATCH(C936,Levels!$B$2:$B$30,0)),""))</f>
        <v/>
      </c>
      <c r="E936" s="10">
        <f>IF(B936="","",IFERROR(INDEX(Roster!$A$2:$A$600,MATCH(B936,Roster!$E$2:$E$600,0)),""))</f>
        <v/>
      </c>
      <c r="F936" s="10">
        <f>IF(C936="","",IFERROR(INDEX(Levels!$C$2:$C$30,MATCH(C936,Levels!$B$2:$B$30,0)),""))</f>
        <v/>
      </c>
      <c r="G936" s="6" t="n"/>
      <c r="H936" s="10">
        <f>IF(AND(B936="",C936=""),"",IF(G936&lt;&gt;"","Void",IF(OR(B936="",E936=""),"Needs child",IF(D936="","Needs level","OK"))))</f>
        <v/>
      </c>
    </row>
    <row r="937">
      <c r="A937" s="6" t="n"/>
      <c r="B937" s="6" t="n"/>
      <c r="C937" s="6" t="n"/>
      <c r="D937" s="11">
        <f>IF(C937="","",IFERROR(INDEX(Levels!$A$2:$A$30,MATCH(C937,Levels!$B$2:$B$30,0)),""))</f>
        <v/>
      </c>
      <c r="E937" s="10">
        <f>IF(B937="","",IFERROR(INDEX(Roster!$A$2:$A$600,MATCH(B937,Roster!$E$2:$E$600,0)),""))</f>
        <v/>
      </c>
      <c r="F937" s="10">
        <f>IF(C937="","",IFERROR(INDEX(Levels!$C$2:$C$30,MATCH(C937,Levels!$B$2:$B$30,0)),""))</f>
        <v/>
      </c>
      <c r="G937" s="6" t="n"/>
      <c r="H937" s="10">
        <f>IF(AND(B937="",C937=""),"",IF(G937&lt;&gt;"","Void",IF(OR(B937="",E937=""),"Needs child",IF(D937="","Needs level","OK"))))</f>
        <v/>
      </c>
    </row>
    <row r="938">
      <c r="A938" s="6" t="n"/>
      <c r="B938" s="6" t="n"/>
      <c r="C938" s="6" t="n"/>
      <c r="D938" s="11">
        <f>IF(C938="","",IFERROR(INDEX(Levels!$A$2:$A$30,MATCH(C938,Levels!$B$2:$B$30,0)),""))</f>
        <v/>
      </c>
      <c r="E938" s="10">
        <f>IF(B938="","",IFERROR(INDEX(Roster!$A$2:$A$600,MATCH(B938,Roster!$E$2:$E$600,0)),""))</f>
        <v/>
      </c>
      <c r="F938" s="10">
        <f>IF(C938="","",IFERROR(INDEX(Levels!$C$2:$C$30,MATCH(C938,Levels!$B$2:$B$30,0)),""))</f>
        <v/>
      </c>
      <c r="G938" s="6" t="n"/>
      <c r="H938" s="10">
        <f>IF(AND(B938="",C938=""),"",IF(G938&lt;&gt;"","Void",IF(OR(B938="",E938=""),"Needs child",IF(D938="","Needs level","OK"))))</f>
        <v/>
      </c>
    </row>
    <row r="939">
      <c r="A939" s="6" t="n"/>
      <c r="B939" s="6" t="n"/>
      <c r="C939" s="6" t="n"/>
      <c r="D939" s="11">
        <f>IF(C939="","",IFERROR(INDEX(Levels!$A$2:$A$30,MATCH(C939,Levels!$B$2:$B$30,0)),""))</f>
        <v/>
      </c>
      <c r="E939" s="10">
        <f>IF(B939="","",IFERROR(INDEX(Roster!$A$2:$A$600,MATCH(B939,Roster!$E$2:$E$600,0)),""))</f>
        <v/>
      </c>
      <c r="F939" s="10">
        <f>IF(C939="","",IFERROR(INDEX(Levels!$C$2:$C$30,MATCH(C939,Levels!$B$2:$B$30,0)),""))</f>
        <v/>
      </c>
      <c r="G939" s="6" t="n"/>
      <c r="H939" s="10">
        <f>IF(AND(B939="",C939=""),"",IF(G939&lt;&gt;"","Void",IF(OR(B939="",E939=""),"Needs child",IF(D939="","Needs level","OK"))))</f>
        <v/>
      </c>
    </row>
    <row r="940">
      <c r="A940" s="6" t="n"/>
      <c r="B940" s="6" t="n"/>
      <c r="C940" s="6" t="n"/>
      <c r="D940" s="11">
        <f>IF(C940="","",IFERROR(INDEX(Levels!$A$2:$A$30,MATCH(C940,Levels!$B$2:$B$30,0)),""))</f>
        <v/>
      </c>
      <c r="E940" s="10">
        <f>IF(B940="","",IFERROR(INDEX(Roster!$A$2:$A$600,MATCH(B940,Roster!$E$2:$E$600,0)),""))</f>
        <v/>
      </c>
      <c r="F940" s="10">
        <f>IF(C940="","",IFERROR(INDEX(Levels!$C$2:$C$30,MATCH(C940,Levels!$B$2:$B$30,0)),""))</f>
        <v/>
      </c>
      <c r="G940" s="6" t="n"/>
      <c r="H940" s="10">
        <f>IF(AND(B940="",C940=""),"",IF(G940&lt;&gt;"","Void",IF(OR(B940="",E940=""),"Needs child",IF(D940="","Needs level","OK"))))</f>
        <v/>
      </c>
    </row>
    <row r="941">
      <c r="A941" s="6" t="n"/>
      <c r="B941" s="6" t="n"/>
      <c r="C941" s="6" t="n"/>
      <c r="D941" s="11">
        <f>IF(C941="","",IFERROR(INDEX(Levels!$A$2:$A$30,MATCH(C941,Levels!$B$2:$B$30,0)),""))</f>
        <v/>
      </c>
      <c r="E941" s="10">
        <f>IF(B941="","",IFERROR(INDEX(Roster!$A$2:$A$600,MATCH(B941,Roster!$E$2:$E$600,0)),""))</f>
        <v/>
      </c>
      <c r="F941" s="10">
        <f>IF(C941="","",IFERROR(INDEX(Levels!$C$2:$C$30,MATCH(C941,Levels!$B$2:$B$30,0)),""))</f>
        <v/>
      </c>
      <c r="G941" s="6" t="n"/>
      <c r="H941" s="10">
        <f>IF(AND(B941="",C941=""),"",IF(G941&lt;&gt;"","Void",IF(OR(B941="",E941=""),"Needs child",IF(D941="","Needs level","OK"))))</f>
        <v/>
      </c>
    </row>
    <row r="942">
      <c r="A942" s="6" t="n"/>
      <c r="B942" s="6" t="n"/>
      <c r="C942" s="6" t="n"/>
      <c r="D942" s="11">
        <f>IF(C942="","",IFERROR(INDEX(Levels!$A$2:$A$30,MATCH(C942,Levels!$B$2:$B$30,0)),""))</f>
        <v/>
      </c>
      <c r="E942" s="10">
        <f>IF(B942="","",IFERROR(INDEX(Roster!$A$2:$A$600,MATCH(B942,Roster!$E$2:$E$600,0)),""))</f>
        <v/>
      </c>
      <c r="F942" s="10">
        <f>IF(C942="","",IFERROR(INDEX(Levels!$C$2:$C$30,MATCH(C942,Levels!$B$2:$B$30,0)),""))</f>
        <v/>
      </c>
      <c r="G942" s="6" t="n"/>
      <c r="H942" s="10">
        <f>IF(AND(B942="",C942=""),"",IF(G942&lt;&gt;"","Void",IF(OR(B942="",E942=""),"Needs child",IF(D942="","Needs level","OK"))))</f>
        <v/>
      </c>
    </row>
    <row r="943">
      <c r="A943" s="6" t="n"/>
      <c r="B943" s="6" t="n"/>
      <c r="C943" s="6" t="n"/>
      <c r="D943" s="11">
        <f>IF(C943="","",IFERROR(INDEX(Levels!$A$2:$A$30,MATCH(C943,Levels!$B$2:$B$30,0)),""))</f>
        <v/>
      </c>
      <c r="E943" s="10">
        <f>IF(B943="","",IFERROR(INDEX(Roster!$A$2:$A$600,MATCH(B943,Roster!$E$2:$E$600,0)),""))</f>
        <v/>
      </c>
      <c r="F943" s="10">
        <f>IF(C943="","",IFERROR(INDEX(Levels!$C$2:$C$30,MATCH(C943,Levels!$B$2:$B$30,0)),""))</f>
        <v/>
      </c>
      <c r="G943" s="6" t="n"/>
      <c r="H943" s="10">
        <f>IF(AND(B943="",C943=""),"",IF(G943&lt;&gt;"","Void",IF(OR(B943="",E943=""),"Needs child",IF(D943="","Needs level","OK"))))</f>
        <v/>
      </c>
    </row>
    <row r="944">
      <c r="A944" s="6" t="n"/>
      <c r="B944" s="6" t="n"/>
      <c r="C944" s="6" t="n"/>
      <c r="D944" s="11">
        <f>IF(C944="","",IFERROR(INDEX(Levels!$A$2:$A$30,MATCH(C944,Levels!$B$2:$B$30,0)),""))</f>
        <v/>
      </c>
      <c r="E944" s="10">
        <f>IF(B944="","",IFERROR(INDEX(Roster!$A$2:$A$600,MATCH(B944,Roster!$E$2:$E$600,0)),""))</f>
        <v/>
      </c>
      <c r="F944" s="10">
        <f>IF(C944="","",IFERROR(INDEX(Levels!$C$2:$C$30,MATCH(C944,Levels!$B$2:$B$30,0)),""))</f>
        <v/>
      </c>
      <c r="G944" s="6" t="n"/>
      <c r="H944" s="10">
        <f>IF(AND(B944="",C944=""),"",IF(G944&lt;&gt;"","Void",IF(OR(B944="",E944=""),"Needs child",IF(D944="","Needs level","OK"))))</f>
        <v/>
      </c>
    </row>
    <row r="945">
      <c r="A945" s="6" t="n"/>
      <c r="B945" s="6" t="n"/>
      <c r="C945" s="6" t="n"/>
      <c r="D945" s="11">
        <f>IF(C945="","",IFERROR(INDEX(Levels!$A$2:$A$30,MATCH(C945,Levels!$B$2:$B$30,0)),""))</f>
        <v/>
      </c>
      <c r="E945" s="10">
        <f>IF(B945="","",IFERROR(INDEX(Roster!$A$2:$A$600,MATCH(B945,Roster!$E$2:$E$600,0)),""))</f>
        <v/>
      </c>
      <c r="F945" s="10">
        <f>IF(C945="","",IFERROR(INDEX(Levels!$C$2:$C$30,MATCH(C945,Levels!$B$2:$B$30,0)),""))</f>
        <v/>
      </c>
      <c r="G945" s="6" t="n"/>
      <c r="H945" s="10">
        <f>IF(AND(B945="",C945=""),"",IF(G945&lt;&gt;"","Void",IF(OR(B945="",E945=""),"Needs child",IF(D945="","Needs level","OK"))))</f>
        <v/>
      </c>
    </row>
    <row r="946">
      <c r="A946" s="6" t="n"/>
      <c r="B946" s="6" t="n"/>
      <c r="C946" s="6" t="n"/>
      <c r="D946" s="11">
        <f>IF(C946="","",IFERROR(INDEX(Levels!$A$2:$A$30,MATCH(C946,Levels!$B$2:$B$30,0)),""))</f>
        <v/>
      </c>
      <c r="E946" s="10">
        <f>IF(B946="","",IFERROR(INDEX(Roster!$A$2:$A$600,MATCH(B946,Roster!$E$2:$E$600,0)),""))</f>
        <v/>
      </c>
      <c r="F946" s="10">
        <f>IF(C946="","",IFERROR(INDEX(Levels!$C$2:$C$30,MATCH(C946,Levels!$B$2:$B$30,0)),""))</f>
        <v/>
      </c>
      <c r="G946" s="6" t="n"/>
      <c r="H946" s="10">
        <f>IF(AND(B946="",C946=""),"",IF(G946&lt;&gt;"","Void",IF(OR(B946="",E946=""),"Needs child",IF(D946="","Needs level","OK"))))</f>
        <v/>
      </c>
    </row>
    <row r="947">
      <c r="A947" s="6" t="n"/>
      <c r="B947" s="6" t="n"/>
      <c r="C947" s="6" t="n"/>
      <c r="D947" s="11">
        <f>IF(C947="","",IFERROR(INDEX(Levels!$A$2:$A$30,MATCH(C947,Levels!$B$2:$B$30,0)),""))</f>
        <v/>
      </c>
      <c r="E947" s="10">
        <f>IF(B947="","",IFERROR(INDEX(Roster!$A$2:$A$600,MATCH(B947,Roster!$E$2:$E$600,0)),""))</f>
        <v/>
      </c>
      <c r="F947" s="10">
        <f>IF(C947="","",IFERROR(INDEX(Levels!$C$2:$C$30,MATCH(C947,Levels!$B$2:$B$30,0)),""))</f>
        <v/>
      </c>
      <c r="G947" s="6" t="n"/>
      <c r="H947" s="10">
        <f>IF(AND(B947="",C947=""),"",IF(G947&lt;&gt;"","Void",IF(OR(B947="",E947=""),"Needs child",IF(D947="","Needs level","OK"))))</f>
        <v/>
      </c>
    </row>
    <row r="948">
      <c r="A948" s="6" t="n"/>
      <c r="B948" s="6" t="n"/>
      <c r="C948" s="6" t="n"/>
      <c r="D948" s="11">
        <f>IF(C948="","",IFERROR(INDEX(Levels!$A$2:$A$30,MATCH(C948,Levels!$B$2:$B$30,0)),""))</f>
        <v/>
      </c>
      <c r="E948" s="10">
        <f>IF(B948="","",IFERROR(INDEX(Roster!$A$2:$A$600,MATCH(B948,Roster!$E$2:$E$600,0)),""))</f>
        <v/>
      </c>
      <c r="F948" s="10">
        <f>IF(C948="","",IFERROR(INDEX(Levels!$C$2:$C$30,MATCH(C948,Levels!$B$2:$B$30,0)),""))</f>
        <v/>
      </c>
      <c r="G948" s="6" t="n"/>
      <c r="H948" s="10">
        <f>IF(AND(B948="",C948=""),"",IF(G948&lt;&gt;"","Void",IF(OR(B948="",E948=""),"Needs child",IF(D948="","Needs level","OK"))))</f>
        <v/>
      </c>
    </row>
    <row r="949">
      <c r="A949" s="6" t="n"/>
      <c r="B949" s="6" t="n"/>
      <c r="C949" s="6" t="n"/>
      <c r="D949" s="11">
        <f>IF(C949="","",IFERROR(INDEX(Levels!$A$2:$A$30,MATCH(C949,Levels!$B$2:$B$30,0)),""))</f>
        <v/>
      </c>
      <c r="E949" s="10">
        <f>IF(B949="","",IFERROR(INDEX(Roster!$A$2:$A$600,MATCH(B949,Roster!$E$2:$E$600,0)),""))</f>
        <v/>
      </c>
      <c r="F949" s="10">
        <f>IF(C949="","",IFERROR(INDEX(Levels!$C$2:$C$30,MATCH(C949,Levels!$B$2:$B$30,0)),""))</f>
        <v/>
      </c>
      <c r="G949" s="6" t="n"/>
      <c r="H949" s="10">
        <f>IF(AND(B949="",C949=""),"",IF(G949&lt;&gt;"","Void",IF(OR(B949="",E949=""),"Needs child",IF(D949="","Needs level","OK"))))</f>
        <v/>
      </c>
    </row>
    <row r="950">
      <c r="A950" s="6" t="n"/>
      <c r="B950" s="6" t="n"/>
      <c r="C950" s="6" t="n"/>
      <c r="D950" s="11">
        <f>IF(C950="","",IFERROR(INDEX(Levels!$A$2:$A$30,MATCH(C950,Levels!$B$2:$B$30,0)),""))</f>
        <v/>
      </c>
      <c r="E950" s="10">
        <f>IF(B950="","",IFERROR(INDEX(Roster!$A$2:$A$600,MATCH(B950,Roster!$E$2:$E$600,0)),""))</f>
        <v/>
      </c>
      <c r="F950" s="10">
        <f>IF(C950="","",IFERROR(INDEX(Levels!$C$2:$C$30,MATCH(C950,Levels!$B$2:$B$30,0)),""))</f>
        <v/>
      </c>
      <c r="G950" s="6" t="n"/>
      <c r="H950" s="10">
        <f>IF(AND(B950="",C950=""),"",IF(G950&lt;&gt;"","Void",IF(OR(B950="",E950=""),"Needs child",IF(D950="","Needs level","OK"))))</f>
        <v/>
      </c>
    </row>
    <row r="951">
      <c r="A951" s="6" t="n"/>
      <c r="B951" s="6" t="n"/>
      <c r="C951" s="6" t="n"/>
      <c r="D951" s="11">
        <f>IF(C951="","",IFERROR(INDEX(Levels!$A$2:$A$30,MATCH(C951,Levels!$B$2:$B$30,0)),""))</f>
        <v/>
      </c>
      <c r="E951" s="10">
        <f>IF(B951="","",IFERROR(INDEX(Roster!$A$2:$A$600,MATCH(B951,Roster!$E$2:$E$600,0)),""))</f>
        <v/>
      </c>
      <c r="F951" s="10">
        <f>IF(C951="","",IFERROR(INDEX(Levels!$C$2:$C$30,MATCH(C951,Levels!$B$2:$B$30,0)),""))</f>
        <v/>
      </c>
      <c r="G951" s="6" t="n"/>
      <c r="H951" s="10">
        <f>IF(AND(B951="",C951=""),"",IF(G951&lt;&gt;"","Void",IF(OR(B951="",E951=""),"Needs child",IF(D951="","Needs level","OK"))))</f>
        <v/>
      </c>
    </row>
    <row r="952">
      <c r="A952" s="6" t="n"/>
      <c r="B952" s="6" t="n"/>
      <c r="C952" s="6" t="n"/>
      <c r="D952" s="11">
        <f>IF(C952="","",IFERROR(INDEX(Levels!$A$2:$A$30,MATCH(C952,Levels!$B$2:$B$30,0)),""))</f>
        <v/>
      </c>
      <c r="E952" s="10">
        <f>IF(B952="","",IFERROR(INDEX(Roster!$A$2:$A$600,MATCH(B952,Roster!$E$2:$E$600,0)),""))</f>
        <v/>
      </c>
      <c r="F952" s="10">
        <f>IF(C952="","",IFERROR(INDEX(Levels!$C$2:$C$30,MATCH(C952,Levels!$B$2:$B$30,0)),""))</f>
        <v/>
      </c>
      <c r="G952" s="6" t="n"/>
      <c r="H952" s="10">
        <f>IF(AND(B952="",C952=""),"",IF(G952&lt;&gt;"","Void",IF(OR(B952="",E952=""),"Needs child",IF(D952="","Needs level","OK"))))</f>
        <v/>
      </c>
    </row>
    <row r="953">
      <c r="A953" s="6" t="n"/>
      <c r="B953" s="6" t="n"/>
      <c r="C953" s="6" t="n"/>
      <c r="D953" s="11">
        <f>IF(C953="","",IFERROR(INDEX(Levels!$A$2:$A$30,MATCH(C953,Levels!$B$2:$B$30,0)),""))</f>
        <v/>
      </c>
      <c r="E953" s="10">
        <f>IF(B953="","",IFERROR(INDEX(Roster!$A$2:$A$600,MATCH(B953,Roster!$E$2:$E$600,0)),""))</f>
        <v/>
      </c>
      <c r="F953" s="10">
        <f>IF(C953="","",IFERROR(INDEX(Levels!$C$2:$C$30,MATCH(C953,Levels!$B$2:$B$30,0)),""))</f>
        <v/>
      </c>
      <c r="G953" s="6" t="n"/>
      <c r="H953" s="10">
        <f>IF(AND(B953="",C953=""),"",IF(G953&lt;&gt;"","Void",IF(OR(B953="",E953=""),"Needs child",IF(D953="","Needs level","OK"))))</f>
        <v/>
      </c>
    </row>
    <row r="954">
      <c r="A954" s="6" t="n"/>
      <c r="B954" s="6" t="n"/>
      <c r="C954" s="6" t="n"/>
      <c r="D954" s="11">
        <f>IF(C954="","",IFERROR(INDEX(Levels!$A$2:$A$30,MATCH(C954,Levels!$B$2:$B$30,0)),""))</f>
        <v/>
      </c>
      <c r="E954" s="10">
        <f>IF(B954="","",IFERROR(INDEX(Roster!$A$2:$A$600,MATCH(B954,Roster!$E$2:$E$600,0)),""))</f>
        <v/>
      </c>
      <c r="F954" s="10">
        <f>IF(C954="","",IFERROR(INDEX(Levels!$C$2:$C$30,MATCH(C954,Levels!$B$2:$B$30,0)),""))</f>
        <v/>
      </c>
      <c r="G954" s="6" t="n"/>
      <c r="H954" s="10">
        <f>IF(AND(B954="",C954=""),"",IF(G954&lt;&gt;"","Void",IF(OR(B954="",E954=""),"Needs child",IF(D954="","Needs level","OK"))))</f>
        <v/>
      </c>
    </row>
    <row r="955">
      <c r="A955" s="6" t="n"/>
      <c r="B955" s="6" t="n"/>
      <c r="C955" s="6" t="n"/>
      <c r="D955" s="11">
        <f>IF(C955="","",IFERROR(INDEX(Levels!$A$2:$A$30,MATCH(C955,Levels!$B$2:$B$30,0)),""))</f>
        <v/>
      </c>
      <c r="E955" s="10">
        <f>IF(B955="","",IFERROR(INDEX(Roster!$A$2:$A$600,MATCH(B955,Roster!$E$2:$E$600,0)),""))</f>
        <v/>
      </c>
      <c r="F955" s="10">
        <f>IF(C955="","",IFERROR(INDEX(Levels!$C$2:$C$30,MATCH(C955,Levels!$B$2:$B$30,0)),""))</f>
        <v/>
      </c>
      <c r="G955" s="6" t="n"/>
      <c r="H955" s="10">
        <f>IF(AND(B955="",C955=""),"",IF(G955&lt;&gt;"","Void",IF(OR(B955="",E955=""),"Needs child",IF(D955="","Needs level","OK"))))</f>
        <v/>
      </c>
    </row>
    <row r="956">
      <c r="A956" s="6" t="n"/>
      <c r="B956" s="6" t="n"/>
      <c r="C956" s="6" t="n"/>
      <c r="D956" s="11">
        <f>IF(C956="","",IFERROR(INDEX(Levels!$A$2:$A$30,MATCH(C956,Levels!$B$2:$B$30,0)),""))</f>
        <v/>
      </c>
      <c r="E956" s="10">
        <f>IF(B956="","",IFERROR(INDEX(Roster!$A$2:$A$600,MATCH(B956,Roster!$E$2:$E$600,0)),""))</f>
        <v/>
      </c>
      <c r="F956" s="10">
        <f>IF(C956="","",IFERROR(INDEX(Levels!$C$2:$C$30,MATCH(C956,Levels!$B$2:$B$30,0)),""))</f>
        <v/>
      </c>
      <c r="G956" s="6" t="n"/>
      <c r="H956" s="10">
        <f>IF(AND(B956="",C956=""),"",IF(G956&lt;&gt;"","Void",IF(OR(B956="",E956=""),"Needs child",IF(D956="","Needs level","OK"))))</f>
        <v/>
      </c>
    </row>
    <row r="957">
      <c r="A957" s="6" t="n"/>
      <c r="B957" s="6" t="n"/>
      <c r="C957" s="6" t="n"/>
      <c r="D957" s="11">
        <f>IF(C957="","",IFERROR(INDEX(Levels!$A$2:$A$30,MATCH(C957,Levels!$B$2:$B$30,0)),""))</f>
        <v/>
      </c>
      <c r="E957" s="10">
        <f>IF(B957="","",IFERROR(INDEX(Roster!$A$2:$A$600,MATCH(B957,Roster!$E$2:$E$600,0)),""))</f>
        <v/>
      </c>
      <c r="F957" s="10">
        <f>IF(C957="","",IFERROR(INDEX(Levels!$C$2:$C$30,MATCH(C957,Levels!$B$2:$B$30,0)),""))</f>
        <v/>
      </c>
      <c r="G957" s="6" t="n"/>
      <c r="H957" s="10">
        <f>IF(AND(B957="",C957=""),"",IF(G957&lt;&gt;"","Void",IF(OR(B957="",E957=""),"Needs child",IF(D957="","Needs level","OK"))))</f>
        <v/>
      </c>
    </row>
    <row r="958">
      <c r="A958" s="6" t="n"/>
      <c r="B958" s="6" t="n"/>
      <c r="C958" s="6" t="n"/>
      <c r="D958" s="11">
        <f>IF(C958="","",IFERROR(INDEX(Levels!$A$2:$A$30,MATCH(C958,Levels!$B$2:$B$30,0)),""))</f>
        <v/>
      </c>
      <c r="E958" s="10">
        <f>IF(B958="","",IFERROR(INDEX(Roster!$A$2:$A$600,MATCH(B958,Roster!$E$2:$E$600,0)),""))</f>
        <v/>
      </c>
      <c r="F958" s="10">
        <f>IF(C958="","",IFERROR(INDEX(Levels!$C$2:$C$30,MATCH(C958,Levels!$B$2:$B$30,0)),""))</f>
        <v/>
      </c>
      <c r="G958" s="6" t="n"/>
      <c r="H958" s="10">
        <f>IF(AND(B958="",C958=""),"",IF(G958&lt;&gt;"","Void",IF(OR(B958="",E958=""),"Needs child",IF(D958="","Needs level","OK"))))</f>
        <v/>
      </c>
    </row>
    <row r="959">
      <c r="A959" s="6" t="n"/>
      <c r="B959" s="6" t="n"/>
      <c r="C959" s="6" t="n"/>
      <c r="D959" s="11">
        <f>IF(C959="","",IFERROR(INDEX(Levels!$A$2:$A$30,MATCH(C959,Levels!$B$2:$B$30,0)),""))</f>
        <v/>
      </c>
      <c r="E959" s="10">
        <f>IF(B959="","",IFERROR(INDEX(Roster!$A$2:$A$600,MATCH(B959,Roster!$E$2:$E$600,0)),""))</f>
        <v/>
      </c>
      <c r="F959" s="10">
        <f>IF(C959="","",IFERROR(INDEX(Levels!$C$2:$C$30,MATCH(C959,Levels!$B$2:$B$30,0)),""))</f>
        <v/>
      </c>
      <c r="G959" s="6" t="n"/>
      <c r="H959" s="10">
        <f>IF(AND(B959="",C959=""),"",IF(G959&lt;&gt;"","Void",IF(OR(B959="",E959=""),"Needs child",IF(D959="","Needs level","OK"))))</f>
        <v/>
      </c>
    </row>
    <row r="960">
      <c r="A960" s="6" t="n"/>
      <c r="B960" s="6" t="n"/>
      <c r="C960" s="6" t="n"/>
      <c r="D960" s="11">
        <f>IF(C960="","",IFERROR(INDEX(Levels!$A$2:$A$30,MATCH(C960,Levels!$B$2:$B$30,0)),""))</f>
        <v/>
      </c>
      <c r="E960" s="10">
        <f>IF(B960="","",IFERROR(INDEX(Roster!$A$2:$A$600,MATCH(B960,Roster!$E$2:$E$600,0)),""))</f>
        <v/>
      </c>
      <c r="F960" s="10">
        <f>IF(C960="","",IFERROR(INDEX(Levels!$C$2:$C$30,MATCH(C960,Levels!$B$2:$B$30,0)),""))</f>
        <v/>
      </c>
      <c r="G960" s="6" t="n"/>
      <c r="H960" s="10">
        <f>IF(AND(B960="",C960=""),"",IF(G960&lt;&gt;"","Void",IF(OR(B960="",E960=""),"Needs child",IF(D960="","Needs level","OK"))))</f>
        <v/>
      </c>
    </row>
    <row r="961">
      <c r="A961" s="6" t="n"/>
      <c r="B961" s="6" t="n"/>
      <c r="C961" s="6" t="n"/>
      <c r="D961" s="11">
        <f>IF(C961="","",IFERROR(INDEX(Levels!$A$2:$A$30,MATCH(C961,Levels!$B$2:$B$30,0)),""))</f>
        <v/>
      </c>
      <c r="E961" s="10">
        <f>IF(B961="","",IFERROR(INDEX(Roster!$A$2:$A$600,MATCH(B961,Roster!$E$2:$E$600,0)),""))</f>
        <v/>
      </c>
      <c r="F961" s="10">
        <f>IF(C961="","",IFERROR(INDEX(Levels!$C$2:$C$30,MATCH(C961,Levels!$B$2:$B$30,0)),""))</f>
        <v/>
      </c>
      <c r="G961" s="6" t="n"/>
      <c r="H961" s="10">
        <f>IF(AND(B961="",C961=""),"",IF(G961&lt;&gt;"","Void",IF(OR(B961="",E961=""),"Needs child",IF(D961="","Needs level","OK"))))</f>
        <v/>
      </c>
    </row>
    <row r="962">
      <c r="A962" s="6" t="n"/>
      <c r="B962" s="6" t="n"/>
      <c r="C962" s="6" t="n"/>
      <c r="D962" s="11">
        <f>IF(C962="","",IFERROR(INDEX(Levels!$A$2:$A$30,MATCH(C962,Levels!$B$2:$B$30,0)),""))</f>
        <v/>
      </c>
      <c r="E962" s="10">
        <f>IF(B962="","",IFERROR(INDEX(Roster!$A$2:$A$600,MATCH(B962,Roster!$E$2:$E$600,0)),""))</f>
        <v/>
      </c>
      <c r="F962" s="10">
        <f>IF(C962="","",IFERROR(INDEX(Levels!$C$2:$C$30,MATCH(C962,Levels!$B$2:$B$30,0)),""))</f>
        <v/>
      </c>
      <c r="G962" s="6" t="n"/>
      <c r="H962" s="10">
        <f>IF(AND(B962="",C962=""),"",IF(G962&lt;&gt;"","Void",IF(OR(B962="",E962=""),"Needs child",IF(D962="","Needs level","OK"))))</f>
        <v/>
      </c>
    </row>
    <row r="963">
      <c r="A963" s="6" t="n"/>
      <c r="B963" s="6" t="n"/>
      <c r="C963" s="6" t="n"/>
      <c r="D963" s="11">
        <f>IF(C963="","",IFERROR(INDEX(Levels!$A$2:$A$30,MATCH(C963,Levels!$B$2:$B$30,0)),""))</f>
        <v/>
      </c>
      <c r="E963" s="10">
        <f>IF(B963="","",IFERROR(INDEX(Roster!$A$2:$A$600,MATCH(B963,Roster!$E$2:$E$600,0)),""))</f>
        <v/>
      </c>
      <c r="F963" s="10">
        <f>IF(C963="","",IFERROR(INDEX(Levels!$C$2:$C$30,MATCH(C963,Levels!$B$2:$B$30,0)),""))</f>
        <v/>
      </c>
      <c r="G963" s="6" t="n"/>
      <c r="H963" s="10">
        <f>IF(AND(B963="",C963=""),"",IF(G963&lt;&gt;"","Void",IF(OR(B963="",E963=""),"Needs child",IF(D963="","Needs level","OK"))))</f>
        <v/>
      </c>
    </row>
    <row r="964">
      <c r="A964" s="6" t="n"/>
      <c r="B964" s="6" t="n"/>
      <c r="C964" s="6" t="n"/>
      <c r="D964" s="11">
        <f>IF(C964="","",IFERROR(INDEX(Levels!$A$2:$A$30,MATCH(C964,Levels!$B$2:$B$30,0)),""))</f>
        <v/>
      </c>
      <c r="E964" s="10">
        <f>IF(B964="","",IFERROR(INDEX(Roster!$A$2:$A$600,MATCH(B964,Roster!$E$2:$E$600,0)),""))</f>
        <v/>
      </c>
      <c r="F964" s="10">
        <f>IF(C964="","",IFERROR(INDEX(Levels!$C$2:$C$30,MATCH(C964,Levels!$B$2:$B$30,0)),""))</f>
        <v/>
      </c>
      <c r="G964" s="6" t="n"/>
      <c r="H964" s="10">
        <f>IF(AND(B964="",C964=""),"",IF(G964&lt;&gt;"","Void",IF(OR(B964="",E964=""),"Needs child",IF(D964="","Needs level","OK"))))</f>
        <v/>
      </c>
    </row>
    <row r="965">
      <c r="A965" s="6" t="n"/>
      <c r="B965" s="6" t="n"/>
      <c r="C965" s="6" t="n"/>
      <c r="D965" s="11">
        <f>IF(C965="","",IFERROR(INDEX(Levels!$A$2:$A$30,MATCH(C965,Levels!$B$2:$B$30,0)),""))</f>
        <v/>
      </c>
      <c r="E965" s="10">
        <f>IF(B965="","",IFERROR(INDEX(Roster!$A$2:$A$600,MATCH(B965,Roster!$E$2:$E$600,0)),""))</f>
        <v/>
      </c>
      <c r="F965" s="10">
        <f>IF(C965="","",IFERROR(INDEX(Levels!$C$2:$C$30,MATCH(C965,Levels!$B$2:$B$30,0)),""))</f>
        <v/>
      </c>
      <c r="G965" s="6" t="n"/>
      <c r="H965" s="10">
        <f>IF(AND(B965="",C965=""),"",IF(G965&lt;&gt;"","Void",IF(OR(B965="",E965=""),"Needs child",IF(D965="","Needs level","OK"))))</f>
        <v/>
      </c>
    </row>
    <row r="966">
      <c r="A966" s="6" t="n"/>
      <c r="B966" s="6" t="n"/>
      <c r="C966" s="6" t="n"/>
      <c r="D966" s="11">
        <f>IF(C966="","",IFERROR(INDEX(Levels!$A$2:$A$30,MATCH(C966,Levels!$B$2:$B$30,0)),""))</f>
        <v/>
      </c>
      <c r="E966" s="10">
        <f>IF(B966="","",IFERROR(INDEX(Roster!$A$2:$A$600,MATCH(B966,Roster!$E$2:$E$600,0)),""))</f>
        <v/>
      </c>
      <c r="F966" s="10">
        <f>IF(C966="","",IFERROR(INDEX(Levels!$C$2:$C$30,MATCH(C966,Levels!$B$2:$B$30,0)),""))</f>
        <v/>
      </c>
      <c r="G966" s="6" t="n"/>
      <c r="H966" s="10">
        <f>IF(AND(B966="",C966=""),"",IF(G966&lt;&gt;"","Void",IF(OR(B966="",E966=""),"Needs child",IF(D966="","Needs level","OK"))))</f>
        <v/>
      </c>
    </row>
    <row r="967">
      <c r="A967" s="6" t="n"/>
      <c r="B967" s="6" t="n"/>
      <c r="C967" s="6" t="n"/>
      <c r="D967" s="11">
        <f>IF(C967="","",IFERROR(INDEX(Levels!$A$2:$A$30,MATCH(C967,Levels!$B$2:$B$30,0)),""))</f>
        <v/>
      </c>
      <c r="E967" s="10">
        <f>IF(B967="","",IFERROR(INDEX(Roster!$A$2:$A$600,MATCH(B967,Roster!$E$2:$E$600,0)),""))</f>
        <v/>
      </c>
      <c r="F967" s="10">
        <f>IF(C967="","",IFERROR(INDEX(Levels!$C$2:$C$30,MATCH(C967,Levels!$B$2:$B$30,0)),""))</f>
        <v/>
      </c>
      <c r="G967" s="6" t="n"/>
      <c r="H967" s="10">
        <f>IF(AND(B967="",C967=""),"",IF(G967&lt;&gt;"","Void",IF(OR(B967="",E967=""),"Needs child",IF(D967="","Needs level","OK"))))</f>
        <v/>
      </c>
    </row>
    <row r="968">
      <c r="A968" s="6" t="n"/>
      <c r="B968" s="6" t="n"/>
      <c r="C968" s="6" t="n"/>
      <c r="D968" s="11">
        <f>IF(C968="","",IFERROR(INDEX(Levels!$A$2:$A$30,MATCH(C968,Levels!$B$2:$B$30,0)),""))</f>
        <v/>
      </c>
      <c r="E968" s="10">
        <f>IF(B968="","",IFERROR(INDEX(Roster!$A$2:$A$600,MATCH(B968,Roster!$E$2:$E$600,0)),""))</f>
        <v/>
      </c>
      <c r="F968" s="10">
        <f>IF(C968="","",IFERROR(INDEX(Levels!$C$2:$C$30,MATCH(C968,Levels!$B$2:$B$30,0)),""))</f>
        <v/>
      </c>
      <c r="G968" s="6" t="n"/>
      <c r="H968" s="10">
        <f>IF(AND(B968="",C968=""),"",IF(G968&lt;&gt;"","Void",IF(OR(B968="",E968=""),"Needs child",IF(D968="","Needs level","OK"))))</f>
        <v/>
      </c>
    </row>
    <row r="969">
      <c r="A969" s="6" t="n"/>
      <c r="B969" s="6" t="n"/>
      <c r="C969" s="6" t="n"/>
      <c r="D969" s="11">
        <f>IF(C969="","",IFERROR(INDEX(Levels!$A$2:$A$30,MATCH(C969,Levels!$B$2:$B$30,0)),""))</f>
        <v/>
      </c>
      <c r="E969" s="10">
        <f>IF(B969="","",IFERROR(INDEX(Roster!$A$2:$A$600,MATCH(B969,Roster!$E$2:$E$600,0)),""))</f>
        <v/>
      </c>
      <c r="F969" s="10">
        <f>IF(C969="","",IFERROR(INDEX(Levels!$C$2:$C$30,MATCH(C969,Levels!$B$2:$B$30,0)),""))</f>
        <v/>
      </c>
      <c r="G969" s="6" t="n"/>
      <c r="H969" s="10">
        <f>IF(AND(B969="",C969=""),"",IF(G969&lt;&gt;"","Void",IF(OR(B969="",E969=""),"Needs child",IF(D969="","Needs level","OK"))))</f>
        <v/>
      </c>
    </row>
    <row r="970">
      <c r="A970" s="6" t="n"/>
      <c r="B970" s="6" t="n"/>
      <c r="C970" s="6" t="n"/>
      <c r="D970" s="11">
        <f>IF(C970="","",IFERROR(INDEX(Levels!$A$2:$A$30,MATCH(C970,Levels!$B$2:$B$30,0)),""))</f>
        <v/>
      </c>
      <c r="E970" s="10">
        <f>IF(B970="","",IFERROR(INDEX(Roster!$A$2:$A$600,MATCH(B970,Roster!$E$2:$E$600,0)),""))</f>
        <v/>
      </c>
      <c r="F970" s="10">
        <f>IF(C970="","",IFERROR(INDEX(Levels!$C$2:$C$30,MATCH(C970,Levels!$B$2:$B$30,0)),""))</f>
        <v/>
      </c>
      <c r="G970" s="6" t="n"/>
      <c r="H970" s="10">
        <f>IF(AND(B970="",C970=""),"",IF(G970&lt;&gt;"","Void",IF(OR(B970="",E970=""),"Needs child",IF(D970="","Needs level","OK"))))</f>
        <v/>
      </c>
    </row>
    <row r="971">
      <c r="A971" s="6" t="n"/>
      <c r="B971" s="6" t="n"/>
      <c r="C971" s="6" t="n"/>
      <c r="D971" s="11">
        <f>IF(C971="","",IFERROR(INDEX(Levels!$A$2:$A$30,MATCH(C971,Levels!$B$2:$B$30,0)),""))</f>
        <v/>
      </c>
      <c r="E971" s="10">
        <f>IF(B971="","",IFERROR(INDEX(Roster!$A$2:$A$600,MATCH(B971,Roster!$E$2:$E$600,0)),""))</f>
        <v/>
      </c>
      <c r="F971" s="10">
        <f>IF(C971="","",IFERROR(INDEX(Levels!$C$2:$C$30,MATCH(C971,Levels!$B$2:$B$30,0)),""))</f>
        <v/>
      </c>
      <c r="G971" s="6" t="n"/>
      <c r="H971" s="10">
        <f>IF(AND(B971="",C971=""),"",IF(G971&lt;&gt;"","Void",IF(OR(B971="",E971=""),"Needs child",IF(D971="","Needs level","OK"))))</f>
        <v/>
      </c>
    </row>
    <row r="972">
      <c r="A972" s="6" t="n"/>
      <c r="B972" s="6" t="n"/>
      <c r="C972" s="6" t="n"/>
      <c r="D972" s="11">
        <f>IF(C972="","",IFERROR(INDEX(Levels!$A$2:$A$30,MATCH(C972,Levels!$B$2:$B$30,0)),""))</f>
        <v/>
      </c>
      <c r="E972" s="10">
        <f>IF(B972="","",IFERROR(INDEX(Roster!$A$2:$A$600,MATCH(B972,Roster!$E$2:$E$600,0)),""))</f>
        <v/>
      </c>
      <c r="F972" s="10">
        <f>IF(C972="","",IFERROR(INDEX(Levels!$C$2:$C$30,MATCH(C972,Levels!$B$2:$B$30,0)),""))</f>
        <v/>
      </c>
      <c r="G972" s="6" t="n"/>
      <c r="H972" s="10">
        <f>IF(AND(B972="",C972=""),"",IF(G972&lt;&gt;"","Void",IF(OR(B972="",E972=""),"Needs child",IF(D972="","Needs level","OK"))))</f>
        <v/>
      </c>
    </row>
    <row r="973">
      <c r="A973" s="6" t="n"/>
      <c r="B973" s="6" t="n"/>
      <c r="C973" s="6" t="n"/>
      <c r="D973" s="11">
        <f>IF(C973="","",IFERROR(INDEX(Levels!$A$2:$A$30,MATCH(C973,Levels!$B$2:$B$30,0)),""))</f>
        <v/>
      </c>
      <c r="E973" s="10">
        <f>IF(B973="","",IFERROR(INDEX(Roster!$A$2:$A$600,MATCH(B973,Roster!$E$2:$E$600,0)),""))</f>
        <v/>
      </c>
      <c r="F973" s="10">
        <f>IF(C973="","",IFERROR(INDEX(Levels!$C$2:$C$30,MATCH(C973,Levels!$B$2:$B$30,0)),""))</f>
        <v/>
      </c>
      <c r="G973" s="6" t="n"/>
      <c r="H973" s="10">
        <f>IF(AND(B973="",C973=""),"",IF(G973&lt;&gt;"","Void",IF(OR(B973="",E973=""),"Needs child",IF(D973="","Needs level","OK"))))</f>
        <v/>
      </c>
    </row>
    <row r="974">
      <c r="A974" s="6" t="n"/>
      <c r="B974" s="6" t="n"/>
      <c r="C974" s="6" t="n"/>
      <c r="D974" s="11">
        <f>IF(C974="","",IFERROR(INDEX(Levels!$A$2:$A$30,MATCH(C974,Levels!$B$2:$B$30,0)),""))</f>
        <v/>
      </c>
      <c r="E974" s="10">
        <f>IF(B974="","",IFERROR(INDEX(Roster!$A$2:$A$600,MATCH(B974,Roster!$E$2:$E$600,0)),""))</f>
        <v/>
      </c>
      <c r="F974" s="10">
        <f>IF(C974="","",IFERROR(INDEX(Levels!$C$2:$C$30,MATCH(C974,Levels!$B$2:$B$30,0)),""))</f>
        <v/>
      </c>
      <c r="G974" s="6" t="n"/>
      <c r="H974" s="10">
        <f>IF(AND(B974="",C974=""),"",IF(G974&lt;&gt;"","Void",IF(OR(B974="",E974=""),"Needs child",IF(D974="","Needs level","OK"))))</f>
        <v/>
      </c>
    </row>
    <row r="975">
      <c r="A975" s="6" t="n"/>
      <c r="B975" s="6" t="n"/>
      <c r="C975" s="6" t="n"/>
      <c r="D975" s="11">
        <f>IF(C975="","",IFERROR(INDEX(Levels!$A$2:$A$30,MATCH(C975,Levels!$B$2:$B$30,0)),""))</f>
        <v/>
      </c>
      <c r="E975" s="10">
        <f>IF(B975="","",IFERROR(INDEX(Roster!$A$2:$A$600,MATCH(B975,Roster!$E$2:$E$600,0)),""))</f>
        <v/>
      </c>
      <c r="F975" s="10">
        <f>IF(C975="","",IFERROR(INDEX(Levels!$C$2:$C$30,MATCH(C975,Levels!$B$2:$B$30,0)),""))</f>
        <v/>
      </c>
      <c r="G975" s="6" t="n"/>
      <c r="H975" s="10">
        <f>IF(AND(B975="",C975=""),"",IF(G975&lt;&gt;"","Void",IF(OR(B975="",E975=""),"Needs child",IF(D975="","Needs level","OK"))))</f>
        <v/>
      </c>
    </row>
    <row r="976">
      <c r="A976" s="6" t="n"/>
      <c r="B976" s="6" t="n"/>
      <c r="C976" s="6" t="n"/>
      <c r="D976" s="11">
        <f>IF(C976="","",IFERROR(INDEX(Levels!$A$2:$A$30,MATCH(C976,Levels!$B$2:$B$30,0)),""))</f>
        <v/>
      </c>
      <c r="E976" s="10">
        <f>IF(B976="","",IFERROR(INDEX(Roster!$A$2:$A$600,MATCH(B976,Roster!$E$2:$E$600,0)),""))</f>
        <v/>
      </c>
      <c r="F976" s="10">
        <f>IF(C976="","",IFERROR(INDEX(Levels!$C$2:$C$30,MATCH(C976,Levels!$B$2:$B$30,0)),""))</f>
        <v/>
      </c>
      <c r="G976" s="6" t="n"/>
      <c r="H976" s="10">
        <f>IF(AND(B976="",C976=""),"",IF(G976&lt;&gt;"","Void",IF(OR(B976="",E976=""),"Needs child",IF(D976="","Needs level","OK"))))</f>
        <v/>
      </c>
    </row>
    <row r="977">
      <c r="A977" s="6" t="n"/>
      <c r="B977" s="6" t="n"/>
      <c r="C977" s="6" t="n"/>
      <c r="D977" s="11">
        <f>IF(C977="","",IFERROR(INDEX(Levels!$A$2:$A$30,MATCH(C977,Levels!$B$2:$B$30,0)),""))</f>
        <v/>
      </c>
      <c r="E977" s="10">
        <f>IF(B977="","",IFERROR(INDEX(Roster!$A$2:$A$600,MATCH(B977,Roster!$E$2:$E$600,0)),""))</f>
        <v/>
      </c>
      <c r="F977" s="10">
        <f>IF(C977="","",IFERROR(INDEX(Levels!$C$2:$C$30,MATCH(C977,Levels!$B$2:$B$30,0)),""))</f>
        <v/>
      </c>
      <c r="G977" s="6" t="n"/>
      <c r="H977" s="10">
        <f>IF(AND(B977="",C977=""),"",IF(G977&lt;&gt;"","Void",IF(OR(B977="",E977=""),"Needs child",IF(D977="","Needs level","OK"))))</f>
        <v/>
      </c>
    </row>
    <row r="978">
      <c r="A978" s="6" t="n"/>
      <c r="B978" s="6" t="n"/>
      <c r="C978" s="6" t="n"/>
      <c r="D978" s="11">
        <f>IF(C978="","",IFERROR(INDEX(Levels!$A$2:$A$30,MATCH(C978,Levels!$B$2:$B$30,0)),""))</f>
        <v/>
      </c>
      <c r="E978" s="10">
        <f>IF(B978="","",IFERROR(INDEX(Roster!$A$2:$A$600,MATCH(B978,Roster!$E$2:$E$600,0)),""))</f>
        <v/>
      </c>
      <c r="F978" s="10">
        <f>IF(C978="","",IFERROR(INDEX(Levels!$C$2:$C$30,MATCH(C978,Levels!$B$2:$B$30,0)),""))</f>
        <v/>
      </c>
      <c r="G978" s="6" t="n"/>
      <c r="H978" s="10">
        <f>IF(AND(B978="",C978=""),"",IF(G978&lt;&gt;"","Void",IF(OR(B978="",E978=""),"Needs child",IF(D978="","Needs level","OK"))))</f>
        <v/>
      </c>
    </row>
    <row r="979">
      <c r="A979" s="6" t="n"/>
      <c r="B979" s="6" t="n"/>
      <c r="C979" s="6" t="n"/>
      <c r="D979" s="11">
        <f>IF(C979="","",IFERROR(INDEX(Levels!$A$2:$A$30,MATCH(C979,Levels!$B$2:$B$30,0)),""))</f>
        <v/>
      </c>
      <c r="E979" s="10">
        <f>IF(B979="","",IFERROR(INDEX(Roster!$A$2:$A$600,MATCH(B979,Roster!$E$2:$E$600,0)),""))</f>
        <v/>
      </c>
      <c r="F979" s="10">
        <f>IF(C979="","",IFERROR(INDEX(Levels!$C$2:$C$30,MATCH(C979,Levels!$B$2:$B$30,0)),""))</f>
        <v/>
      </c>
      <c r="G979" s="6" t="n"/>
      <c r="H979" s="10">
        <f>IF(AND(B979="",C979=""),"",IF(G979&lt;&gt;"","Void",IF(OR(B979="",E979=""),"Needs child",IF(D979="","Needs level","OK"))))</f>
        <v/>
      </c>
    </row>
    <row r="980">
      <c r="A980" s="6" t="n"/>
      <c r="B980" s="6" t="n"/>
      <c r="C980" s="6" t="n"/>
      <c r="D980" s="11">
        <f>IF(C980="","",IFERROR(INDEX(Levels!$A$2:$A$30,MATCH(C980,Levels!$B$2:$B$30,0)),""))</f>
        <v/>
      </c>
      <c r="E980" s="10">
        <f>IF(B980="","",IFERROR(INDEX(Roster!$A$2:$A$600,MATCH(B980,Roster!$E$2:$E$600,0)),""))</f>
        <v/>
      </c>
      <c r="F980" s="10">
        <f>IF(C980="","",IFERROR(INDEX(Levels!$C$2:$C$30,MATCH(C980,Levels!$B$2:$B$30,0)),""))</f>
        <v/>
      </c>
      <c r="G980" s="6" t="n"/>
      <c r="H980" s="10">
        <f>IF(AND(B980="",C980=""),"",IF(G980&lt;&gt;"","Void",IF(OR(B980="",E980=""),"Needs child",IF(D980="","Needs level","OK"))))</f>
        <v/>
      </c>
    </row>
    <row r="981">
      <c r="A981" s="6" t="n"/>
      <c r="B981" s="6" t="n"/>
      <c r="C981" s="6" t="n"/>
      <c r="D981" s="11">
        <f>IF(C981="","",IFERROR(INDEX(Levels!$A$2:$A$30,MATCH(C981,Levels!$B$2:$B$30,0)),""))</f>
        <v/>
      </c>
      <c r="E981" s="10">
        <f>IF(B981="","",IFERROR(INDEX(Roster!$A$2:$A$600,MATCH(B981,Roster!$E$2:$E$600,0)),""))</f>
        <v/>
      </c>
      <c r="F981" s="10">
        <f>IF(C981="","",IFERROR(INDEX(Levels!$C$2:$C$30,MATCH(C981,Levels!$B$2:$B$30,0)),""))</f>
        <v/>
      </c>
      <c r="G981" s="6" t="n"/>
      <c r="H981" s="10">
        <f>IF(AND(B981="",C981=""),"",IF(G981&lt;&gt;"","Void",IF(OR(B981="",E981=""),"Needs child",IF(D981="","Needs level","OK"))))</f>
        <v/>
      </c>
    </row>
    <row r="982">
      <c r="A982" s="6" t="n"/>
      <c r="B982" s="6" t="n"/>
      <c r="C982" s="6" t="n"/>
      <c r="D982" s="11">
        <f>IF(C982="","",IFERROR(INDEX(Levels!$A$2:$A$30,MATCH(C982,Levels!$B$2:$B$30,0)),""))</f>
        <v/>
      </c>
      <c r="E982" s="10">
        <f>IF(B982="","",IFERROR(INDEX(Roster!$A$2:$A$600,MATCH(B982,Roster!$E$2:$E$600,0)),""))</f>
        <v/>
      </c>
      <c r="F982" s="10">
        <f>IF(C982="","",IFERROR(INDEX(Levels!$C$2:$C$30,MATCH(C982,Levels!$B$2:$B$30,0)),""))</f>
        <v/>
      </c>
      <c r="G982" s="6" t="n"/>
      <c r="H982" s="10">
        <f>IF(AND(B982="",C982=""),"",IF(G982&lt;&gt;"","Void",IF(OR(B982="",E982=""),"Needs child",IF(D982="","Needs level","OK"))))</f>
        <v/>
      </c>
    </row>
    <row r="983">
      <c r="A983" s="6" t="n"/>
      <c r="B983" s="6" t="n"/>
      <c r="C983" s="6" t="n"/>
      <c r="D983" s="11">
        <f>IF(C983="","",IFERROR(INDEX(Levels!$A$2:$A$30,MATCH(C983,Levels!$B$2:$B$30,0)),""))</f>
        <v/>
      </c>
      <c r="E983" s="10">
        <f>IF(B983="","",IFERROR(INDEX(Roster!$A$2:$A$600,MATCH(B983,Roster!$E$2:$E$600,0)),""))</f>
        <v/>
      </c>
      <c r="F983" s="10">
        <f>IF(C983="","",IFERROR(INDEX(Levels!$C$2:$C$30,MATCH(C983,Levels!$B$2:$B$30,0)),""))</f>
        <v/>
      </c>
      <c r="G983" s="6" t="n"/>
      <c r="H983" s="10">
        <f>IF(AND(B983="",C983=""),"",IF(G983&lt;&gt;"","Void",IF(OR(B983="",E983=""),"Needs child",IF(D983="","Needs level","OK"))))</f>
        <v/>
      </c>
    </row>
    <row r="984">
      <c r="A984" s="6" t="n"/>
      <c r="B984" s="6" t="n"/>
      <c r="C984" s="6" t="n"/>
      <c r="D984" s="11">
        <f>IF(C984="","",IFERROR(INDEX(Levels!$A$2:$A$30,MATCH(C984,Levels!$B$2:$B$30,0)),""))</f>
        <v/>
      </c>
      <c r="E984" s="10">
        <f>IF(B984="","",IFERROR(INDEX(Roster!$A$2:$A$600,MATCH(B984,Roster!$E$2:$E$600,0)),""))</f>
        <v/>
      </c>
      <c r="F984" s="10">
        <f>IF(C984="","",IFERROR(INDEX(Levels!$C$2:$C$30,MATCH(C984,Levels!$B$2:$B$30,0)),""))</f>
        <v/>
      </c>
      <c r="G984" s="6" t="n"/>
      <c r="H984" s="10">
        <f>IF(AND(B984="",C984=""),"",IF(G984&lt;&gt;"","Void",IF(OR(B984="",E984=""),"Needs child",IF(D984="","Needs level","OK"))))</f>
        <v/>
      </c>
    </row>
    <row r="985">
      <c r="A985" s="6" t="n"/>
      <c r="B985" s="6" t="n"/>
      <c r="C985" s="6" t="n"/>
      <c r="D985" s="11">
        <f>IF(C985="","",IFERROR(INDEX(Levels!$A$2:$A$30,MATCH(C985,Levels!$B$2:$B$30,0)),""))</f>
        <v/>
      </c>
      <c r="E985" s="10">
        <f>IF(B985="","",IFERROR(INDEX(Roster!$A$2:$A$600,MATCH(B985,Roster!$E$2:$E$600,0)),""))</f>
        <v/>
      </c>
      <c r="F985" s="10">
        <f>IF(C985="","",IFERROR(INDEX(Levels!$C$2:$C$30,MATCH(C985,Levels!$B$2:$B$30,0)),""))</f>
        <v/>
      </c>
      <c r="G985" s="6" t="n"/>
      <c r="H985" s="10">
        <f>IF(AND(B985="",C985=""),"",IF(G985&lt;&gt;"","Void",IF(OR(B985="",E985=""),"Needs child",IF(D985="","Needs level","OK"))))</f>
        <v/>
      </c>
    </row>
    <row r="986">
      <c r="A986" s="6" t="n"/>
      <c r="B986" s="6" t="n"/>
      <c r="C986" s="6" t="n"/>
      <c r="D986" s="11">
        <f>IF(C986="","",IFERROR(INDEX(Levels!$A$2:$A$30,MATCH(C986,Levels!$B$2:$B$30,0)),""))</f>
        <v/>
      </c>
      <c r="E986" s="10">
        <f>IF(B986="","",IFERROR(INDEX(Roster!$A$2:$A$600,MATCH(B986,Roster!$E$2:$E$600,0)),""))</f>
        <v/>
      </c>
      <c r="F986" s="10">
        <f>IF(C986="","",IFERROR(INDEX(Levels!$C$2:$C$30,MATCH(C986,Levels!$B$2:$B$30,0)),""))</f>
        <v/>
      </c>
      <c r="G986" s="6" t="n"/>
      <c r="H986" s="10">
        <f>IF(AND(B986="",C986=""),"",IF(G986&lt;&gt;"","Void",IF(OR(B986="",E986=""),"Needs child",IF(D986="","Needs level","OK"))))</f>
        <v/>
      </c>
    </row>
    <row r="987">
      <c r="A987" s="6" t="n"/>
      <c r="B987" s="6" t="n"/>
      <c r="C987" s="6" t="n"/>
      <c r="D987" s="11">
        <f>IF(C987="","",IFERROR(INDEX(Levels!$A$2:$A$30,MATCH(C987,Levels!$B$2:$B$30,0)),""))</f>
        <v/>
      </c>
      <c r="E987" s="10">
        <f>IF(B987="","",IFERROR(INDEX(Roster!$A$2:$A$600,MATCH(B987,Roster!$E$2:$E$600,0)),""))</f>
        <v/>
      </c>
      <c r="F987" s="10">
        <f>IF(C987="","",IFERROR(INDEX(Levels!$C$2:$C$30,MATCH(C987,Levels!$B$2:$B$30,0)),""))</f>
        <v/>
      </c>
      <c r="G987" s="6" t="n"/>
      <c r="H987" s="10">
        <f>IF(AND(B987="",C987=""),"",IF(G987&lt;&gt;"","Void",IF(OR(B987="",E987=""),"Needs child",IF(D987="","Needs level","OK"))))</f>
        <v/>
      </c>
    </row>
    <row r="988">
      <c r="A988" s="6" t="n"/>
      <c r="B988" s="6" t="n"/>
      <c r="C988" s="6" t="n"/>
      <c r="D988" s="11">
        <f>IF(C988="","",IFERROR(INDEX(Levels!$A$2:$A$30,MATCH(C988,Levels!$B$2:$B$30,0)),""))</f>
        <v/>
      </c>
      <c r="E988" s="10">
        <f>IF(B988="","",IFERROR(INDEX(Roster!$A$2:$A$600,MATCH(B988,Roster!$E$2:$E$600,0)),""))</f>
        <v/>
      </c>
      <c r="F988" s="10">
        <f>IF(C988="","",IFERROR(INDEX(Levels!$C$2:$C$30,MATCH(C988,Levels!$B$2:$B$30,0)),""))</f>
        <v/>
      </c>
      <c r="G988" s="6" t="n"/>
      <c r="H988" s="10">
        <f>IF(AND(B988="",C988=""),"",IF(G988&lt;&gt;"","Void",IF(OR(B988="",E988=""),"Needs child",IF(D988="","Needs level","OK"))))</f>
        <v/>
      </c>
    </row>
    <row r="989">
      <c r="A989" s="6" t="n"/>
      <c r="B989" s="6" t="n"/>
      <c r="C989" s="6" t="n"/>
      <c r="D989" s="11">
        <f>IF(C989="","",IFERROR(INDEX(Levels!$A$2:$A$30,MATCH(C989,Levels!$B$2:$B$30,0)),""))</f>
        <v/>
      </c>
      <c r="E989" s="10">
        <f>IF(B989="","",IFERROR(INDEX(Roster!$A$2:$A$600,MATCH(B989,Roster!$E$2:$E$600,0)),""))</f>
        <v/>
      </c>
      <c r="F989" s="10">
        <f>IF(C989="","",IFERROR(INDEX(Levels!$C$2:$C$30,MATCH(C989,Levels!$B$2:$B$30,0)),""))</f>
        <v/>
      </c>
      <c r="G989" s="6" t="n"/>
      <c r="H989" s="10">
        <f>IF(AND(B989="",C989=""),"",IF(G989&lt;&gt;"","Void",IF(OR(B989="",E989=""),"Needs child",IF(D989="","Needs level","OK"))))</f>
        <v/>
      </c>
    </row>
    <row r="990">
      <c r="A990" s="6" t="n"/>
      <c r="B990" s="6" t="n"/>
      <c r="C990" s="6" t="n"/>
      <c r="D990" s="11">
        <f>IF(C990="","",IFERROR(INDEX(Levels!$A$2:$A$30,MATCH(C990,Levels!$B$2:$B$30,0)),""))</f>
        <v/>
      </c>
      <c r="E990" s="10">
        <f>IF(B990="","",IFERROR(INDEX(Roster!$A$2:$A$600,MATCH(B990,Roster!$E$2:$E$600,0)),""))</f>
        <v/>
      </c>
      <c r="F990" s="10">
        <f>IF(C990="","",IFERROR(INDEX(Levels!$C$2:$C$30,MATCH(C990,Levels!$B$2:$B$30,0)),""))</f>
        <v/>
      </c>
      <c r="G990" s="6" t="n"/>
      <c r="H990" s="10">
        <f>IF(AND(B990="",C990=""),"",IF(G990&lt;&gt;"","Void",IF(OR(B990="",E990=""),"Needs child",IF(D990="","Needs level","OK"))))</f>
        <v/>
      </c>
    </row>
    <row r="991">
      <c r="A991" s="6" t="n"/>
      <c r="B991" s="6" t="n"/>
      <c r="C991" s="6" t="n"/>
      <c r="D991" s="11">
        <f>IF(C991="","",IFERROR(INDEX(Levels!$A$2:$A$30,MATCH(C991,Levels!$B$2:$B$30,0)),""))</f>
        <v/>
      </c>
      <c r="E991" s="10">
        <f>IF(B991="","",IFERROR(INDEX(Roster!$A$2:$A$600,MATCH(B991,Roster!$E$2:$E$600,0)),""))</f>
        <v/>
      </c>
      <c r="F991" s="10">
        <f>IF(C991="","",IFERROR(INDEX(Levels!$C$2:$C$30,MATCH(C991,Levels!$B$2:$B$30,0)),""))</f>
        <v/>
      </c>
      <c r="G991" s="6" t="n"/>
      <c r="H991" s="10">
        <f>IF(AND(B991="",C991=""),"",IF(G991&lt;&gt;"","Void",IF(OR(B991="",E991=""),"Needs child",IF(D991="","Needs level","OK"))))</f>
        <v/>
      </c>
    </row>
    <row r="992">
      <c r="A992" s="6" t="n"/>
      <c r="B992" s="6" t="n"/>
      <c r="C992" s="6" t="n"/>
      <c r="D992" s="11">
        <f>IF(C992="","",IFERROR(INDEX(Levels!$A$2:$A$30,MATCH(C992,Levels!$B$2:$B$30,0)),""))</f>
        <v/>
      </c>
      <c r="E992" s="10">
        <f>IF(B992="","",IFERROR(INDEX(Roster!$A$2:$A$600,MATCH(B992,Roster!$E$2:$E$600,0)),""))</f>
        <v/>
      </c>
      <c r="F992" s="10">
        <f>IF(C992="","",IFERROR(INDEX(Levels!$C$2:$C$30,MATCH(C992,Levels!$B$2:$B$30,0)),""))</f>
        <v/>
      </c>
      <c r="G992" s="6" t="n"/>
      <c r="H992" s="10">
        <f>IF(AND(B992="",C992=""),"",IF(G992&lt;&gt;"","Void",IF(OR(B992="",E992=""),"Needs child",IF(D992="","Needs level","OK"))))</f>
        <v/>
      </c>
    </row>
    <row r="993">
      <c r="A993" s="6" t="n"/>
      <c r="B993" s="6" t="n"/>
      <c r="C993" s="6" t="n"/>
      <c r="D993" s="11">
        <f>IF(C993="","",IFERROR(INDEX(Levels!$A$2:$A$30,MATCH(C993,Levels!$B$2:$B$30,0)),""))</f>
        <v/>
      </c>
      <c r="E993" s="10">
        <f>IF(B993="","",IFERROR(INDEX(Roster!$A$2:$A$600,MATCH(B993,Roster!$E$2:$E$600,0)),""))</f>
        <v/>
      </c>
      <c r="F993" s="10">
        <f>IF(C993="","",IFERROR(INDEX(Levels!$C$2:$C$30,MATCH(C993,Levels!$B$2:$B$30,0)),""))</f>
        <v/>
      </c>
      <c r="G993" s="6" t="n"/>
      <c r="H993" s="10">
        <f>IF(AND(B993="",C993=""),"",IF(G993&lt;&gt;"","Void",IF(OR(B993="",E993=""),"Needs child",IF(D993="","Needs level","OK"))))</f>
        <v/>
      </c>
    </row>
    <row r="994">
      <c r="A994" s="6" t="n"/>
      <c r="B994" s="6" t="n"/>
      <c r="C994" s="6" t="n"/>
      <c r="D994" s="11">
        <f>IF(C994="","",IFERROR(INDEX(Levels!$A$2:$A$30,MATCH(C994,Levels!$B$2:$B$30,0)),""))</f>
        <v/>
      </c>
      <c r="E994" s="10">
        <f>IF(B994="","",IFERROR(INDEX(Roster!$A$2:$A$600,MATCH(B994,Roster!$E$2:$E$600,0)),""))</f>
        <v/>
      </c>
      <c r="F994" s="10">
        <f>IF(C994="","",IFERROR(INDEX(Levels!$C$2:$C$30,MATCH(C994,Levels!$B$2:$B$30,0)),""))</f>
        <v/>
      </c>
      <c r="G994" s="6" t="n"/>
      <c r="H994" s="10">
        <f>IF(AND(B994="",C994=""),"",IF(G994&lt;&gt;"","Void",IF(OR(B994="",E994=""),"Needs child",IF(D994="","Needs level","OK"))))</f>
        <v/>
      </c>
    </row>
    <row r="995">
      <c r="A995" s="6" t="n"/>
      <c r="B995" s="6" t="n"/>
      <c r="C995" s="6" t="n"/>
      <c r="D995" s="11">
        <f>IF(C995="","",IFERROR(INDEX(Levels!$A$2:$A$30,MATCH(C995,Levels!$B$2:$B$30,0)),""))</f>
        <v/>
      </c>
      <c r="E995" s="10">
        <f>IF(B995="","",IFERROR(INDEX(Roster!$A$2:$A$600,MATCH(B995,Roster!$E$2:$E$600,0)),""))</f>
        <v/>
      </c>
      <c r="F995" s="10">
        <f>IF(C995="","",IFERROR(INDEX(Levels!$C$2:$C$30,MATCH(C995,Levels!$B$2:$B$30,0)),""))</f>
        <v/>
      </c>
      <c r="G995" s="6" t="n"/>
      <c r="H995" s="10">
        <f>IF(AND(B995="",C995=""),"",IF(G995&lt;&gt;"","Void",IF(OR(B995="",E995=""),"Needs child",IF(D995="","Needs level","OK"))))</f>
        <v/>
      </c>
    </row>
    <row r="996">
      <c r="A996" s="6" t="n"/>
      <c r="B996" s="6" t="n"/>
      <c r="C996" s="6" t="n"/>
      <c r="D996" s="11">
        <f>IF(C996="","",IFERROR(INDEX(Levels!$A$2:$A$30,MATCH(C996,Levels!$B$2:$B$30,0)),""))</f>
        <v/>
      </c>
      <c r="E996" s="10">
        <f>IF(B996="","",IFERROR(INDEX(Roster!$A$2:$A$600,MATCH(B996,Roster!$E$2:$E$600,0)),""))</f>
        <v/>
      </c>
      <c r="F996" s="10">
        <f>IF(C996="","",IFERROR(INDEX(Levels!$C$2:$C$30,MATCH(C996,Levels!$B$2:$B$30,0)),""))</f>
        <v/>
      </c>
      <c r="G996" s="6" t="n"/>
      <c r="H996" s="10">
        <f>IF(AND(B996="",C996=""),"",IF(G996&lt;&gt;"","Void",IF(OR(B996="",E996=""),"Needs child",IF(D996="","Needs level","OK"))))</f>
        <v/>
      </c>
    </row>
    <row r="997">
      <c r="A997" s="6" t="n"/>
      <c r="B997" s="6" t="n"/>
      <c r="C997" s="6" t="n"/>
      <c r="D997" s="11">
        <f>IF(C997="","",IFERROR(INDEX(Levels!$A$2:$A$30,MATCH(C997,Levels!$B$2:$B$30,0)),""))</f>
        <v/>
      </c>
      <c r="E997" s="10">
        <f>IF(B997="","",IFERROR(INDEX(Roster!$A$2:$A$600,MATCH(B997,Roster!$E$2:$E$600,0)),""))</f>
        <v/>
      </c>
      <c r="F997" s="10">
        <f>IF(C997="","",IFERROR(INDEX(Levels!$C$2:$C$30,MATCH(C997,Levels!$B$2:$B$30,0)),""))</f>
        <v/>
      </c>
      <c r="G997" s="6" t="n"/>
      <c r="H997" s="10">
        <f>IF(AND(B997="",C997=""),"",IF(G997&lt;&gt;"","Void",IF(OR(B997="",E997=""),"Needs child",IF(D997="","Needs level","OK"))))</f>
        <v/>
      </c>
    </row>
    <row r="998">
      <c r="A998" s="6" t="n"/>
      <c r="B998" s="6" t="n"/>
      <c r="C998" s="6" t="n"/>
      <c r="D998" s="11">
        <f>IF(C998="","",IFERROR(INDEX(Levels!$A$2:$A$30,MATCH(C998,Levels!$B$2:$B$30,0)),""))</f>
        <v/>
      </c>
      <c r="E998" s="10">
        <f>IF(B998="","",IFERROR(INDEX(Roster!$A$2:$A$600,MATCH(B998,Roster!$E$2:$E$600,0)),""))</f>
        <v/>
      </c>
      <c r="F998" s="10">
        <f>IF(C998="","",IFERROR(INDEX(Levels!$C$2:$C$30,MATCH(C998,Levels!$B$2:$B$30,0)),""))</f>
        <v/>
      </c>
      <c r="G998" s="6" t="n"/>
      <c r="H998" s="10">
        <f>IF(AND(B998="",C998=""),"",IF(G998&lt;&gt;"","Void",IF(OR(B998="",E998=""),"Needs child",IF(D998="","Needs level","OK"))))</f>
        <v/>
      </c>
    </row>
    <row r="999">
      <c r="A999" s="6" t="n"/>
      <c r="B999" s="6" t="n"/>
      <c r="C999" s="6" t="n"/>
      <c r="D999" s="11">
        <f>IF(C999="","",IFERROR(INDEX(Levels!$A$2:$A$30,MATCH(C999,Levels!$B$2:$B$30,0)),""))</f>
        <v/>
      </c>
      <c r="E999" s="10">
        <f>IF(B999="","",IFERROR(INDEX(Roster!$A$2:$A$600,MATCH(B999,Roster!$E$2:$E$600,0)),""))</f>
        <v/>
      </c>
      <c r="F999" s="10">
        <f>IF(C999="","",IFERROR(INDEX(Levels!$C$2:$C$30,MATCH(C999,Levels!$B$2:$B$30,0)),""))</f>
        <v/>
      </c>
      <c r="G999" s="6" t="n"/>
      <c r="H999" s="10">
        <f>IF(AND(B999="",C999=""),"",IF(G999&lt;&gt;"","Void",IF(OR(B999="",E999=""),"Needs child",IF(D999="","Needs level","OK"))))</f>
        <v/>
      </c>
    </row>
    <row r="1000">
      <c r="A1000" s="6" t="n"/>
      <c r="B1000" s="6" t="n"/>
      <c r="C1000" s="6" t="n"/>
      <c r="D1000" s="11">
        <f>IF(C1000="","",IFERROR(INDEX(Levels!$A$2:$A$30,MATCH(C1000,Levels!$B$2:$B$30,0)),""))</f>
        <v/>
      </c>
      <c r="E1000" s="10">
        <f>IF(B1000="","",IFERROR(INDEX(Roster!$A$2:$A$600,MATCH(B1000,Roster!$E$2:$E$600,0)),""))</f>
        <v/>
      </c>
      <c r="F1000" s="10">
        <f>IF(C1000="","",IFERROR(INDEX(Levels!$C$2:$C$30,MATCH(C1000,Levels!$B$2:$B$30,0)),""))</f>
        <v/>
      </c>
      <c r="G1000" s="6" t="n"/>
      <c r="H1000" s="10">
        <f>IF(AND(B1000="",C1000=""),"",IF(G1000&lt;&gt;"","Void",IF(OR(B1000="",E1000=""),"Needs child",IF(D1000="","Needs level","OK"))))</f>
        <v/>
      </c>
    </row>
    <row r="1001">
      <c r="A1001" s="6" t="n"/>
      <c r="B1001" s="6" t="n"/>
      <c r="C1001" s="6" t="n"/>
      <c r="D1001" s="11">
        <f>IF(C1001="","",IFERROR(INDEX(Levels!$A$2:$A$30,MATCH(C1001,Levels!$B$2:$B$30,0)),""))</f>
        <v/>
      </c>
      <c r="E1001" s="10">
        <f>IF(B1001="","",IFERROR(INDEX(Roster!$A$2:$A$600,MATCH(B1001,Roster!$E$2:$E$600,0)),""))</f>
        <v/>
      </c>
      <c r="F1001" s="10">
        <f>IF(C1001="","",IFERROR(INDEX(Levels!$C$2:$C$30,MATCH(C1001,Levels!$B$2:$B$30,0)),""))</f>
        <v/>
      </c>
      <c r="G1001" s="6" t="n"/>
      <c r="H1001" s="10">
        <f>IF(AND(B1001="",C1001=""),"",IF(G1001&lt;&gt;"","Void",IF(OR(B1001="",E1001=""),"Needs child",IF(D1001="","Needs level","OK"))))</f>
        <v/>
      </c>
    </row>
    <row r="1002">
      <c r="A1002" s="6" t="n"/>
      <c r="B1002" s="6" t="n"/>
      <c r="C1002" s="6" t="n"/>
      <c r="D1002" s="11">
        <f>IF(C1002="","",IFERROR(INDEX(Levels!$A$2:$A$30,MATCH(C1002,Levels!$B$2:$B$30,0)),""))</f>
        <v/>
      </c>
      <c r="E1002" s="10">
        <f>IF(B1002="","",IFERROR(INDEX(Roster!$A$2:$A$600,MATCH(B1002,Roster!$E$2:$E$600,0)),""))</f>
        <v/>
      </c>
      <c r="F1002" s="10">
        <f>IF(C1002="","",IFERROR(INDEX(Levels!$C$2:$C$30,MATCH(C1002,Levels!$B$2:$B$30,0)),""))</f>
        <v/>
      </c>
      <c r="G1002" s="6" t="n"/>
      <c r="H1002" s="10">
        <f>IF(AND(B1002="",C1002=""),"",IF(G1002&lt;&gt;"","Void",IF(OR(B1002="",E1002=""),"Needs child",IF(D1002="","Needs level","OK"))))</f>
        <v/>
      </c>
    </row>
    <row r="1003">
      <c r="A1003" s="6" t="n"/>
      <c r="B1003" s="6" t="n"/>
      <c r="C1003" s="6" t="n"/>
      <c r="D1003" s="11">
        <f>IF(C1003="","",IFERROR(INDEX(Levels!$A$2:$A$30,MATCH(C1003,Levels!$B$2:$B$30,0)),""))</f>
        <v/>
      </c>
      <c r="E1003" s="10">
        <f>IF(B1003="","",IFERROR(INDEX(Roster!$A$2:$A$600,MATCH(B1003,Roster!$E$2:$E$600,0)),""))</f>
        <v/>
      </c>
      <c r="F1003" s="10">
        <f>IF(C1003="","",IFERROR(INDEX(Levels!$C$2:$C$30,MATCH(C1003,Levels!$B$2:$B$30,0)),""))</f>
        <v/>
      </c>
      <c r="G1003" s="6" t="n"/>
      <c r="H1003" s="10">
        <f>IF(AND(B1003="",C1003=""),"",IF(G1003&lt;&gt;"","Void",IF(OR(B1003="",E1003=""),"Needs child",IF(D1003="","Needs level","OK"))))</f>
        <v/>
      </c>
    </row>
    <row r="1004">
      <c r="A1004" s="6" t="n"/>
      <c r="B1004" s="6" t="n"/>
      <c r="C1004" s="6" t="n"/>
      <c r="D1004" s="11">
        <f>IF(C1004="","",IFERROR(INDEX(Levels!$A$2:$A$30,MATCH(C1004,Levels!$B$2:$B$30,0)),""))</f>
        <v/>
      </c>
      <c r="E1004" s="10">
        <f>IF(B1004="","",IFERROR(INDEX(Roster!$A$2:$A$600,MATCH(B1004,Roster!$E$2:$E$600,0)),""))</f>
        <v/>
      </c>
      <c r="F1004" s="10">
        <f>IF(C1004="","",IFERROR(INDEX(Levels!$C$2:$C$30,MATCH(C1004,Levels!$B$2:$B$30,0)),""))</f>
        <v/>
      </c>
      <c r="G1004" s="6" t="n"/>
      <c r="H1004" s="10">
        <f>IF(AND(B1004="",C1004=""),"",IF(G1004&lt;&gt;"","Void",IF(OR(B1004="",E1004=""),"Needs child",IF(D1004="","Needs level","OK"))))</f>
        <v/>
      </c>
    </row>
    <row r="1005">
      <c r="A1005" s="6" t="n"/>
      <c r="B1005" s="6" t="n"/>
      <c r="C1005" s="6" t="n"/>
      <c r="D1005" s="11">
        <f>IF(C1005="","",IFERROR(INDEX(Levels!$A$2:$A$30,MATCH(C1005,Levels!$B$2:$B$30,0)),""))</f>
        <v/>
      </c>
      <c r="E1005" s="10">
        <f>IF(B1005="","",IFERROR(INDEX(Roster!$A$2:$A$600,MATCH(B1005,Roster!$E$2:$E$600,0)),""))</f>
        <v/>
      </c>
      <c r="F1005" s="10">
        <f>IF(C1005="","",IFERROR(INDEX(Levels!$C$2:$C$30,MATCH(C1005,Levels!$B$2:$B$30,0)),""))</f>
        <v/>
      </c>
      <c r="G1005" s="6" t="n"/>
      <c r="H1005" s="10">
        <f>IF(AND(B1005="",C1005=""),"",IF(G1005&lt;&gt;"","Void",IF(OR(B1005="",E1005=""),"Needs child",IF(D1005="","Needs level","OK"))))</f>
        <v/>
      </c>
    </row>
    <row r="1006">
      <c r="A1006" s="6" t="n"/>
      <c r="B1006" s="6" t="n"/>
      <c r="C1006" s="6" t="n"/>
      <c r="D1006" s="11">
        <f>IF(C1006="","",IFERROR(INDEX(Levels!$A$2:$A$30,MATCH(C1006,Levels!$B$2:$B$30,0)),""))</f>
        <v/>
      </c>
      <c r="E1006" s="10">
        <f>IF(B1006="","",IFERROR(INDEX(Roster!$A$2:$A$600,MATCH(B1006,Roster!$E$2:$E$600,0)),""))</f>
        <v/>
      </c>
      <c r="F1006" s="10">
        <f>IF(C1006="","",IFERROR(INDEX(Levels!$C$2:$C$30,MATCH(C1006,Levels!$B$2:$B$30,0)),""))</f>
        <v/>
      </c>
      <c r="G1006" s="6" t="n"/>
      <c r="H1006" s="10">
        <f>IF(AND(B1006="",C1006=""),"",IF(G1006&lt;&gt;"","Void",IF(OR(B1006="",E1006=""),"Needs child",IF(D1006="","Needs level","OK"))))</f>
        <v/>
      </c>
    </row>
    <row r="1007">
      <c r="A1007" s="6" t="n"/>
      <c r="B1007" s="6" t="n"/>
      <c r="C1007" s="6" t="n"/>
      <c r="D1007" s="11">
        <f>IF(C1007="","",IFERROR(INDEX(Levels!$A$2:$A$30,MATCH(C1007,Levels!$B$2:$B$30,0)),""))</f>
        <v/>
      </c>
      <c r="E1007" s="10">
        <f>IF(B1007="","",IFERROR(INDEX(Roster!$A$2:$A$600,MATCH(B1007,Roster!$E$2:$E$600,0)),""))</f>
        <v/>
      </c>
      <c r="F1007" s="10">
        <f>IF(C1007="","",IFERROR(INDEX(Levels!$C$2:$C$30,MATCH(C1007,Levels!$B$2:$B$30,0)),""))</f>
        <v/>
      </c>
      <c r="G1007" s="6" t="n"/>
      <c r="H1007" s="10">
        <f>IF(AND(B1007="",C1007=""),"",IF(G1007&lt;&gt;"","Void",IF(OR(B1007="",E1007=""),"Needs child",IF(D1007="","Needs level","OK"))))</f>
        <v/>
      </c>
    </row>
    <row r="1008">
      <c r="A1008" s="6" t="n"/>
      <c r="B1008" s="6" t="n"/>
      <c r="C1008" s="6" t="n"/>
      <c r="D1008" s="11">
        <f>IF(C1008="","",IFERROR(INDEX(Levels!$A$2:$A$30,MATCH(C1008,Levels!$B$2:$B$30,0)),""))</f>
        <v/>
      </c>
      <c r="E1008" s="10">
        <f>IF(B1008="","",IFERROR(INDEX(Roster!$A$2:$A$600,MATCH(B1008,Roster!$E$2:$E$600,0)),""))</f>
        <v/>
      </c>
      <c r="F1008" s="10">
        <f>IF(C1008="","",IFERROR(INDEX(Levels!$C$2:$C$30,MATCH(C1008,Levels!$B$2:$B$30,0)),""))</f>
        <v/>
      </c>
      <c r="G1008" s="6" t="n"/>
      <c r="H1008" s="10">
        <f>IF(AND(B1008="",C1008=""),"",IF(G1008&lt;&gt;"","Void",IF(OR(B1008="",E1008=""),"Needs child",IF(D1008="","Needs level","OK"))))</f>
        <v/>
      </c>
    </row>
    <row r="1009">
      <c r="A1009" s="6" t="n"/>
      <c r="B1009" s="6" t="n"/>
      <c r="C1009" s="6" t="n"/>
      <c r="D1009" s="11">
        <f>IF(C1009="","",IFERROR(INDEX(Levels!$A$2:$A$30,MATCH(C1009,Levels!$B$2:$B$30,0)),""))</f>
        <v/>
      </c>
      <c r="E1009" s="10">
        <f>IF(B1009="","",IFERROR(INDEX(Roster!$A$2:$A$600,MATCH(B1009,Roster!$E$2:$E$600,0)),""))</f>
        <v/>
      </c>
      <c r="F1009" s="10">
        <f>IF(C1009="","",IFERROR(INDEX(Levels!$C$2:$C$30,MATCH(C1009,Levels!$B$2:$B$30,0)),""))</f>
        <v/>
      </c>
      <c r="G1009" s="6" t="n"/>
      <c r="H1009" s="10">
        <f>IF(AND(B1009="",C1009=""),"",IF(G1009&lt;&gt;"","Void",IF(OR(B1009="",E1009=""),"Needs child",IF(D1009="","Needs level","OK"))))</f>
        <v/>
      </c>
    </row>
    <row r="1010">
      <c r="A1010" s="6" t="n"/>
      <c r="B1010" s="6" t="n"/>
      <c r="C1010" s="6" t="n"/>
      <c r="D1010" s="11">
        <f>IF(C1010="","",IFERROR(INDEX(Levels!$A$2:$A$30,MATCH(C1010,Levels!$B$2:$B$30,0)),""))</f>
        <v/>
      </c>
      <c r="E1010" s="10">
        <f>IF(B1010="","",IFERROR(INDEX(Roster!$A$2:$A$600,MATCH(B1010,Roster!$E$2:$E$600,0)),""))</f>
        <v/>
      </c>
      <c r="F1010" s="10">
        <f>IF(C1010="","",IFERROR(INDEX(Levels!$C$2:$C$30,MATCH(C1010,Levels!$B$2:$B$30,0)),""))</f>
        <v/>
      </c>
      <c r="G1010" s="6" t="n"/>
      <c r="H1010" s="10">
        <f>IF(AND(B1010="",C1010=""),"",IF(G1010&lt;&gt;"","Void",IF(OR(B1010="",E1010=""),"Needs child",IF(D1010="","Needs level","OK"))))</f>
        <v/>
      </c>
    </row>
    <row r="1011">
      <c r="A1011" s="6" t="n"/>
      <c r="B1011" s="6" t="n"/>
      <c r="C1011" s="6" t="n"/>
      <c r="D1011" s="11">
        <f>IF(C1011="","",IFERROR(INDEX(Levels!$A$2:$A$30,MATCH(C1011,Levels!$B$2:$B$30,0)),""))</f>
        <v/>
      </c>
      <c r="E1011" s="10">
        <f>IF(B1011="","",IFERROR(INDEX(Roster!$A$2:$A$600,MATCH(B1011,Roster!$E$2:$E$600,0)),""))</f>
        <v/>
      </c>
      <c r="F1011" s="10">
        <f>IF(C1011="","",IFERROR(INDEX(Levels!$C$2:$C$30,MATCH(C1011,Levels!$B$2:$B$30,0)),""))</f>
        <v/>
      </c>
      <c r="G1011" s="6" t="n"/>
      <c r="H1011" s="10">
        <f>IF(AND(B1011="",C1011=""),"",IF(G1011&lt;&gt;"","Void",IF(OR(B1011="",E1011=""),"Needs child",IF(D1011="","Needs level","OK"))))</f>
        <v/>
      </c>
    </row>
    <row r="1012">
      <c r="A1012" s="6" t="n"/>
      <c r="B1012" s="6" t="n"/>
      <c r="C1012" s="6" t="n"/>
      <c r="D1012" s="11">
        <f>IF(C1012="","",IFERROR(INDEX(Levels!$A$2:$A$30,MATCH(C1012,Levels!$B$2:$B$30,0)),""))</f>
        <v/>
      </c>
      <c r="E1012" s="10">
        <f>IF(B1012="","",IFERROR(INDEX(Roster!$A$2:$A$600,MATCH(B1012,Roster!$E$2:$E$600,0)),""))</f>
        <v/>
      </c>
      <c r="F1012" s="10">
        <f>IF(C1012="","",IFERROR(INDEX(Levels!$C$2:$C$30,MATCH(C1012,Levels!$B$2:$B$30,0)),""))</f>
        <v/>
      </c>
      <c r="G1012" s="6" t="n"/>
      <c r="H1012" s="10">
        <f>IF(AND(B1012="",C1012=""),"",IF(G1012&lt;&gt;"","Void",IF(OR(B1012="",E1012=""),"Needs child",IF(D1012="","Needs level","OK"))))</f>
        <v/>
      </c>
    </row>
    <row r="1013">
      <c r="A1013" s="6" t="n"/>
      <c r="B1013" s="6" t="n"/>
      <c r="C1013" s="6" t="n"/>
      <c r="D1013" s="11">
        <f>IF(C1013="","",IFERROR(INDEX(Levels!$A$2:$A$30,MATCH(C1013,Levels!$B$2:$B$30,0)),""))</f>
        <v/>
      </c>
      <c r="E1013" s="10">
        <f>IF(B1013="","",IFERROR(INDEX(Roster!$A$2:$A$600,MATCH(B1013,Roster!$E$2:$E$600,0)),""))</f>
        <v/>
      </c>
      <c r="F1013" s="10">
        <f>IF(C1013="","",IFERROR(INDEX(Levels!$C$2:$C$30,MATCH(C1013,Levels!$B$2:$B$30,0)),""))</f>
        <v/>
      </c>
      <c r="G1013" s="6" t="n"/>
      <c r="H1013" s="10">
        <f>IF(AND(B1013="",C1013=""),"",IF(G1013&lt;&gt;"","Void",IF(OR(B1013="",E1013=""),"Needs child",IF(D1013="","Needs level","OK"))))</f>
        <v/>
      </c>
    </row>
    <row r="1014">
      <c r="A1014" s="6" t="n"/>
      <c r="B1014" s="6" t="n"/>
      <c r="C1014" s="6" t="n"/>
      <c r="D1014" s="11">
        <f>IF(C1014="","",IFERROR(INDEX(Levels!$A$2:$A$30,MATCH(C1014,Levels!$B$2:$B$30,0)),""))</f>
        <v/>
      </c>
      <c r="E1014" s="10">
        <f>IF(B1014="","",IFERROR(INDEX(Roster!$A$2:$A$600,MATCH(B1014,Roster!$E$2:$E$600,0)),""))</f>
        <v/>
      </c>
      <c r="F1014" s="10">
        <f>IF(C1014="","",IFERROR(INDEX(Levels!$C$2:$C$30,MATCH(C1014,Levels!$B$2:$B$30,0)),""))</f>
        <v/>
      </c>
      <c r="G1014" s="6" t="n"/>
      <c r="H1014" s="10">
        <f>IF(AND(B1014="",C1014=""),"",IF(G1014&lt;&gt;"","Void",IF(OR(B1014="",E1014=""),"Needs child",IF(D1014="","Needs level","OK"))))</f>
        <v/>
      </c>
    </row>
    <row r="1015">
      <c r="A1015" s="6" t="n"/>
      <c r="B1015" s="6" t="n"/>
      <c r="C1015" s="6" t="n"/>
      <c r="D1015" s="11">
        <f>IF(C1015="","",IFERROR(INDEX(Levels!$A$2:$A$30,MATCH(C1015,Levels!$B$2:$B$30,0)),""))</f>
        <v/>
      </c>
      <c r="E1015" s="10">
        <f>IF(B1015="","",IFERROR(INDEX(Roster!$A$2:$A$600,MATCH(B1015,Roster!$E$2:$E$600,0)),""))</f>
        <v/>
      </c>
      <c r="F1015" s="10">
        <f>IF(C1015="","",IFERROR(INDEX(Levels!$C$2:$C$30,MATCH(C1015,Levels!$B$2:$B$30,0)),""))</f>
        <v/>
      </c>
      <c r="G1015" s="6" t="n"/>
      <c r="H1015" s="10">
        <f>IF(AND(B1015="",C1015=""),"",IF(G1015&lt;&gt;"","Void",IF(OR(B1015="",E1015=""),"Needs child",IF(D1015="","Needs level","OK"))))</f>
        <v/>
      </c>
    </row>
    <row r="1016">
      <c r="A1016" s="6" t="n"/>
      <c r="B1016" s="6" t="n"/>
      <c r="C1016" s="6" t="n"/>
      <c r="D1016" s="11">
        <f>IF(C1016="","",IFERROR(INDEX(Levels!$A$2:$A$30,MATCH(C1016,Levels!$B$2:$B$30,0)),""))</f>
        <v/>
      </c>
      <c r="E1016" s="10">
        <f>IF(B1016="","",IFERROR(INDEX(Roster!$A$2:$A$600,MATCH(B1016,Roster!$E$2:$E$600,0)),""))</f>
        <v/>
      </c>
      <c r="F1016" s="10">
        <f>IF(C1016="","",IFERROR(INDEX(Levels!$C$2:$C$30,MATCH(C1016,Levels!$B$2:$B$30,0)),""))</f>
        <v/>
      </c>
      <c r="G1016" s="6" t="n"/>
      <c r="H1016" s="10">
        <f>IF(AND(B1016="",C1016=""),"",IF(G1016&lt;&gt;"","Void",IF(OR(B1016="",E1016=""),"Needs child",IF(D1016="","Needs level","OK"))))</f>
        <v/>
      </c>
    </row>
    <row r="1017">
      <c r="A1017" s="6" t="n"/>
      <c r="B1017" s="6" t="n"/>
      <c r="C1017" s="6" t="n"/>
      <c r="D1017" s="11">
        <f>IF(C1017="","",IFERROR(INDEX(Levels!$A$2:$A$30,MATCH(C1017,Levels!$B$2:$B$30,0)),""))</f>
        <v/>
      </c>
      <c r="E1017" s="10">
        <f>IF(B1017="","",IFERROR(INDEX(Roster!$A$2:$A$600,MATCH(B1017,Roster!$E$2:$E$600,0)),""))</f>
        <v/>
      </c>
      <c r="F1017" s="10">
        <f>IF(C1017="","",IFERROR(INDEX(Levels!$C$2:$C$30,MATCH(C1017,Levels!$B$2:$B$30,0)),""))</f>
        <v/>
      </c>
      <c r="G1017" s="6" t="n"/>
      <c r="H1017" s="10">
        <f>IF(AND(B1017="",C1017=""),"",IF(G1017&lt;&gt;"","Void",IF(OR(B1017="",E1017=""),"Needs child",IF(D1017="","Needs level","OK"))))</f>
        <v/>
      </c>
    </row>
    <row r="1018">
      <c r="A1018" s="6" t="n"/>
      <c r="B1018" s="6" t="n"/>
      <c r="C1018" s="6" t="n"/>
      <c r="D1018" s="11">
        <f>IF(C1018="","",IFERROR(INDEX(Levels!$A$2:$A$30,MATCH(C1018,Levels!$B$2:$B$30,0)),""))</f>
        <v/>
      </c>
      <c r="E1018" s="10">
        <f>IF(B1018="","",IFERROR(INDEX(Roster!$A$2:$A$600,MATCH(B1018,Roster!$E$2:$E$600,0)),""))</f>
        <v/>
      </c>
      <c r="F1018" s="10">
        <f>IF(C1018="","",IFERROR(INDEX(Levels!$C$2:$C$30,MATCH(C1018,Levels!$B$2:$B$30,0)),""))</f>
        <v/>
      </c>
      <c r="G1018" s="6" t="n"/>
      <c r="H1018" s="10">
        <f>IF(AND(B1018="",C1018=""),"",IF(G1018&lt;&gt;"","Void",IF(OR(B1018="",E1018=""),"Needs child",IF(D1018="","Needs level","OK"))))</f>
        <v/>
      </c>
    </row>
    <row r="1019">
      <c r="A1019" s="6" t="n"/>
      <c r="B1019" s="6" t="n"/>
      <c r="C1019" s="6" t="n"/>
      <c r="D1019" s="11">
        <f>IF(C1019="","",IFERROR(INDEX(Levels!$A$2:$A$30,MATCH(C1019,Levels!$B$2:$B$30,0)),""))</f>
        <v/>
      </c>
      <c r="E1019" s="10">
        <f>IF(B1019="","",IFERROR(INDEX(Roster!$A$2:$A$600,MATCH(B1019,Roster!$E$2:$E$600,0)),""))</f>
        <v/>
      </c>
      <c r="F1019" s="10">
        <f>IF(C1019="","",IFERROR(INDEX(Levels!$C$2:$C$30,MATCH(C1019,Levels!$B$2:$B$30,0)),""))</f>
        <v/>
      </c>
      <c r="G1019" s="6" t="n"/>
      <c r="H1019" s="10">
        <f>IF(AND(B1019="",C1019=""),"",IF(G1019&lt;&gt;"","Void",IF(OR(B1019="",E1019=""),"Needs child",IF(D1019="","Needs level","OK"))))</f>
        <v/>
      </c>
    </row>
    <row r="1020">
      <c r="A1020" s="6" t="n"/>
      <c r="B1020" s="6" t="n"/>
      <c r="C1020" s="6" t="n"/>
      <c r="D1020" s="11">
        <f>IF(C1020="","",IFERROR(INDEX(Levels!$A$2:$A$30,MATCH(C1020,Levels!$B$2:$B$30,0)),""))</f>
        <v/>
      </c>
      <c r="E1020" s="10">
        <f>IF(B1020="","",IFERROR(INDEX(Roster!$A$2:$A$600,MATCH(B1020,Roster!$E$2:$E$600,0)),""))</f>
        <v/>
      </c>
      <c r="F1020" s="10">
        <f>IF(C1020="","",IFERROR(INDEX(Levels!$C$2:$C$30,MATCH(C1020,Levels!$B$2:$B$30,0)),""))</f>
        <v/>
      </c>
      <c r="G1020" s="6" t="n"/>
      <c r="H1020" s="10">
        <f>IF(AND(B1020="",C1020=""),"",IF(G1020&lt;&gt;"","Void",IF(OR(B1020="",E1020=""),"Needs child",IF(D1020="","Needs level","OK"))))</f>
        <v/>
      </c>
    </row>
    <row r="1021">
      <c r="A1021" s="6" t="n"/>
      <c r="B1021" s="6" t="n"/>
      <c r="C1021" s="6" t="n"/>
      <c r="D1021" s="11">
        <f>IF(C1021="","",IFERROR(INDEX(Levels!$A$2:$A$30,MATCH(C1021,Levels!$B$2:$B$30,0)),""))</f>
        <v/>
      </c>
      <c r="E1021" s="10">
        <f>IF(B1021="","",IFERROR(INDEX(Roster!$A$2:$A$600,MATCH(B1021,Roster!$E$2:$E$600,0)),""))</f>
        <v/>
      </c>
      <c r="F1021" s="10">
        <f>IF(C1021="","",IFERROR(INDEX(Levels!$C$2:$C$30,MATCH(C1021,Levels!$B$2:$B$30,0)),""))</f>
        <v/>
      </c>
      <c r="G1021" s="6" t="n"/>
      <c r="H1021" s="10">
        <f>IF(AND(B1021="",C1021=""),"",IF(G1021&lt;&gt;"","Void",IF(OR(B1021="",E1021=""),"Needs child",IF(D1021="","Needs level","OK"))))</f>
        <v/>
      </c>
    </row>
    <row r="1022">
      <c r="A1022" s="6" t="n"/>
      <c r="B1022" s="6" t="n"/>
      <c r="C1022" s="6" t="n"/>
      <c r="D1022" s="11">
        <f>IF(C1022="","",IFERROR(INDEX(Levels!$A$2:$A$30,MATCH(C1022,Levels!$B$2:$B$30,0)),""))</f>
        <v/>
      </c>
      <c r="E1022" s="10">
        <f>IF(B1022="","",IFERROR(INDEX(Roster!$A$2:$A$600,MATCH(B1022,Roster!$E$2:$E$600,0)),""))</f>
        <v/>
      </c>
      <c r="F1022" s="10">
        <f>IF(C1022="","",IFERROR(INDEX(Levels!$C$2:$C$30,MATCH(C1022,Levels!$B$2:$B$30,0)),""))</f>
        <v/>
      </c>
      <c r="G1022" s="6" t="n"/>
      <c r="H1022" s="10">
        <f>IF(AND(B1022="",C1022=""),"",IF(G1022&lt;&gt;"","Void",IF(OR(B1022="",E1022=""),"Needs child",IF(D1022="","Needs level","OK"))))</f>
        <v/>
      </c>
    </row>
    <row r="1023">
      <c r="A1023" s="6" t="n"/>
      <c r="B1023" s="6" t="n"/>
      <c r="C1023" s="6" t="n"/>
      <c r="D1023" s="11">
        <f>IF(C1023="","",IFERROR(INDEX(Levels!$A$2:$A$30,MATCH(C1023,Levels!$B$2:$B$30,0)),""))</f>
        <v/>
      </c>
      <c r="E1023" s="10">
        <f>IF(B1023="","",IFERROR(INDEX(Roster!$A$2:$A$600,MATCH(B1023,Roster!$E$2:$E$600,0)),""))</f>
        <v/>
      </c>
      <c r="F1023" s="10">
        <f>IF(C1023="","",IFERROR(INDEX(Levels!$C$2:$C$30,MATCH(C1023,Levels!$B$2:$B$30,0)),""))</f>
        <v/>
      </c>
      <c r="G1023" s="6" t="n"/>
      <c r="H1023" s="10">
        <f>IF(AND(B1023="",C1023=""),"",IF(G1023&lt;&gt;"","Void",IF(OR(B1023="",E1023=""),"Needs child",IF(D1023="","Needs level","OK"))))</f>
        <v/>
      </c>
    </row>
    <row r="1024">
      <c r="A1024" s="6" t="n"/>
      <c r="B1024" s="6" t="n"/>
      <c r="C1024" s="6" t="n"/>
      <c r="D1024" s="11">
        <f>IF(C1024="","",IFERROR(INDEX(Levels!$A$2:$A$30,MATCH(C1024,Levels!$B$2:$B$30,0)),""))</f>
        <v/>
      </c>
      <c r="E1024" s="10">
        <f>IF(B1024="","",IFERROR(INDEX(Roster!$A$2:$A$600,MATCH(B1024,Roster!$E$2:$E$600,0)),""))</f>
        <v/>
      </c>
      <c r="F1024" s="10">
        <f>IF(C1024="","",IFERROR(INDEX(Levels!$C$2:$C$30,MATCH(C1024,Levels!$B$2:$B$30,0)),""))</f>
        <v/>
      </c>
      <c r="G1024" s="6" t="n"/>
      <c r="H1024" s="10">
        <f>IF(AND(B1024="",C1024=""),"",IF(G1024&lt;&gt;"","Void",IF(OR(B1024="",E1024=""),"Needs child",IF(D1024="","Needs level","OK"))))</f>
        <v/>
      </c>
    </row>
    <row r="1025">
      <c r="A1025" s="6" t="n"/>
      <c r="B1025" s="6" t="n"/>
      <c r="C1025" s="6" t="n"/>
      <c r="D1025" s="11">
        <f>IF(C1025="","",IFERROR(INDEX(Levels!$A$2:$A$30,MATCH(C1025,Levels!$B$2:$B$30,0)),""))</f>
        <v/>
      </c>
      <c r="E1025" s="10">
        <f>IF(B1025="","",IFERROR(INDEX(Roster!$A$2:$A$600,MATCH(B1025,Roster!$E$2:$E$600,0)),""))</f>
        <v/>
      </c>
      <c r="F1025" s="10">
        <f>IF(C1025="","",IFERROR(INDEX(Levels!$C$2:$C$30,MATCH(C1025,Levels!$B$2:$B$30,0)),""))</f>
        <v/>
      </c>
      <c r="G1025" s="6" t="n"/>
      <c r="H1025" s="10">
        <f>IF(AND(B1025="",C1025=""),"",IF(G1025&lt;&gt;"","Void",IF(OR(B1025="",E1025=""),"Needs child",IF(D1025="","Needs level","OK"))))</f>
        <v/>
      </c>
    </row>
    <row r="1026">
      <c r="A1026" s="6" t="n"/>
      <c r="B1026" s="6" t="n"/>
      <c r="C1026" s="6" t="n"/>
      <c r="D1026" s="11">
        <f>IF(C1026="","",IFERROR(INDEX(Levels!$A$2:$A$30,MATCH(C1026,Levels!$B$2:$B$30,0)),""))</f>
        <v/>
      </c>
      <c r="E1026" s="10">
        <f>IF(B1026="","",IFERROR(INDEX(Roster!$A$2:$A$600,MATCH(B1026,Roster!$E$2:$E$600,0)),""))</f>
        <v/>
      </c>
      <c r="F1026" s="10">
        <f>IF(C1026="","",IFERROR(INDEX(Levels!$C$2:$C$30,MATCH(C1026,Levels!$B$2:$B$30,0)),""))</f>
        <v/>
      </c>
      <c r="G1026" s="6" t="n"/>
      <c r="H1026" s="10">
        <f>IF(AND(B1026="",C1026=""),"",IF(G1026&lt;&gt;"","Void",IF(OR(B1026="",E1026=""),"Needs child",IF(D1026="","Needs level","OK"))))</f>
        <v/>
      </c>
    </row>
    <row r="1027">
      <c r="A1027" s="6" t="n"/>
      <c r="B1027" s="6" t="n"/>
      <c r="C1027" s="6" t="n"/>
      <c r="D1027" s="11">
        <f>IF(C1027="","",IFERROR(INDEX(Levels!$A$2:$A$30,MATCH(C1027,Levels!$B$2:$B$30,0)),""))</f>
        <v/>
      </c>
      <c r="E1027" s="10">
        <f>IF(B1027="","",IFERROR(INDEX(Roster!$A$2:$A$600,MATCH(B1027,Roster!$E$2:$E$600,0)),""))</f>
        <v/>
      </c>
      <c r="F1027" s="10">
        <f>IF(C1027="","",IFERROR(INDEX(Levels!$C$2:$C$30,MATCH(C1027,Levels!$B$2:$B$30,0)),""))</f>
        <v/>
      </c>
      <c r="G1027" s="6" t="n"/>
      <c r="H1027" s="10">
        <f>IF(AND(B1027="",C1027=""),"",IF(G1027&lt;&gt;"","Void",IF(OR(B1027="",E1027=""),"Needs child",IF(D1027="","Needs level","OK"))))</f>
        <v/>
      </c>
    </row>
    <row r="1028">
      <c r="A1028" s="6" t="n"/>
      <c r="B1028" s="6" t="n"/>
      <c r="C1028" s="6" t="n"/>
      <c r="D1028" s="11">
        <f>IF(C1028="","",IFERROR(INDEX(Levels!$A$2:$A$30,MATCH(C1028,Levels!$B$2:$B$30,0)),""))</f>
        <v/>
      </c>
      <c r="E1028" s="10">
        <f>IF(B1028="","",IFERROR(INDEX(Roster!$A$2:$A$600,MATCH(B1028,Roster!$E$2:$E$600,0)),""))</f>
        <v/>
      </c>
      <c r="F1028" s="10">
        <f>IF(C1028="","",IFERROR(INDEX(Levels!$C$2:$C$30,MATCH(C1028,Levels!$B$2:$B$30,0)),""))</f>
        <v/>
      </c>
      <c r="G1028" s="6" t="n"/>
      <c r="H1028" s="10">
        <f>IF(AND(B1028="",C1028=""),"",IF(G1028&lt;&gt;"","Void",IF(OR(B1028="",E1028=""),"Needs child",IF(D1028="","Needs level","OK"))))</f>
        <v/>
      </c>
    </row>
    <row r="1029">
      <c r="A1029" s="6" t="n"/>
      <c r="B1029" s="6" t="n"/>
      <c r="C1029" s="6" t="n"/>
      <c r="D1029" s="11">
        <f>IF(C1029="","",IFERROR(INDEX(Levels!$A$2:$A$30,MATCH(C1029,Levels!$B$2:$B$30,0)),""))</f>
        <v/>
      </c>
      <c r="E1029" s="10">
        <f>IF(B1029="","",IFERROR(INDEX(Roster!$A$2:$A$600,MATCH(B1029,Roster!$E$2:$E$600,0)),""))</f>
        <v/>
      </c>
      <c r="F1029" s="10">
        <f>IF(C1029="","",IFERROR(INDEX(Levels!$C$2:$C$30,MATCH(C1029,Levels!$B$2:$B$30,0)),""))</f>
        <v/>
      </c>
      <c r="G1029" s="6" t="n"/>
      <c r="H1029" s="10">
        <f>IF(AND(B1029="",C1029=""),"",IF(G1029&lt;&gt;"","Void",IF(OR(B1029="",E1029=""),"Needs child",IF(D1029="","Needs level","OK"))))</f>
        <v/>
      </c>
    </row>
    <row r="1030">
      <c r="A1030" s="6" t="n"/>
      <c r="B1030" s="6" t="n"/>
      <c r="C1030" s="6" t="n"/>
      <c r="D1030" s="11">
        <f>IF(C1030="","",IFERROR(INDEX(Levels!$A$2:$A$30,MATCH(C1030,Levels!$B$2:$B$30,0)),""))</f>
        <v/>
      </c>
      <c r="E1030" s="10">
        <f>IF(B1030="","",IFERROR(INDEX(Roster!$A$2:$A$600,MATCH(B1030,Roster!$E$2:$E$600,0)),""))</f>
        <v/>
      </c>
      <c r="F1030" s="10">
        <f>IF(C1030="","",IFERROR(INDEX(Levels!$C$2:$C$30,MATCH(C1030,Levels!$B$2:$B$30,0)),""))</f>
        <v/>
      </c>
      <c r="G1030" s="6" t="n"/>
      <c r="H1030" s="10">
        <f>IF(AND(B1030="",C1030=""),"",IF(G1030&lt;&gt;"","Void",IF(OR(B1030="",E1030=""),"Needs child",IF(D1030="","Needs level","OK"))))</f>
        <v/>
      </c>
    </row>
    <row r="1031">
      <c r="A1031" s="6" t="n"/>
      <c r="B1031" s="6" t="n"/>
      <c r="C1031" s="6" t="n"/>
      <c r="D1031" s="11">
        <f>IF(C1031="","",IFERROR(INDEX(Levels!$A$2:$A$30,MATCH(C1031,Levels!$B$2:$B$30,0)),""))</f>
        <v/>
      </c>
      <c r="E1031" s="10">
        <f>IF(B1031="","",IFERROR(INDEX(Roster!$A$2:$A$600,MATCH(B1031,Roster!$E$2:$E$600,0)),""))</f>
        <v/>
      </c>
      <c r="F1031" s="10">
        <f>IF(C1031="","",IFERROR(INDEX(Levels!$C$2:$C$30,MATCH(C1031,Levels!$B$2:$B$30,0)),""))</f>
        <v/>
      </c>
      <c r="G1031" s="6" t="n"/>
      <c r="H1031" s="10">
        <f>IF(AND(B1031="",C1031=""),"",IF(G1031&lt;&gt;"","Void",IF(OR(B1031="",E1031=""),"Needs child",IF(D1031="","Needs level","OK"))))</f>
        <v/>
      </c>
    </row>
    <row r="1032">
      <c r="A1032" s="6" t="n"/>
      <c r="B1032" s="6" t="n"/>
      <c r="C1032" s="6" t="n"/>
      <c r="D1032" s="11">
        <f>IF(C1032="","",IFERROR(INDEX(Levels!$A$2:$A$30,MATCH(C1032,Levels!$B$2:$B$30,0)),""))</f>
        <v/>
      </c>
      <c r="E1032" s="10">
        <f>IF(B1032="","",IFERROR(INDEX(Roster!$A$2:$A$600,MATCH(B1032,Roster!$E$2:$E$600,0)),""))</f>
        <v/>
      </c>
      <c r="F1032" s="10">
        <f>IF(C1032="","",IFERROR(INDEX(Levels!$C$2:$C$30,MATCH(C1032,Levels!$B$2:$B$30,0)),""))</f>
        <v/>
      </c>
      <c r="G1032" s="6" t="n"/>
      <c r="H1032" s="10">
        <f>IF(AND(B1032="",C1032=""),"",IF(G1032&lt;&gt;"","Void",IF(OR(B1032="",E1032=""),"Needs child",IF(D1032="","Needs level","OK"))))</f>
        <v/>
      </c>
    </row>
    <row r="1033">
      <c r="A1033" s="6" t="n"/>
      <c r="B1033" s="6" t="n"/>
      <c r="C1033" s="6" t="n"/>
      <c r="D1033" s="11">
        <f>IF(C1033="","",IFERROR(INDEX(Levels!$A$2:$A$30,MATCH(C1033,Levels!$B$2:$B$30,0)),""))</f>
        <v/>
      </c>
      <c r="E1033" s="10">
        <f>IF(B1033="","",IFERROR(INDEX(Roster!$A$2:$A$600,MATCH(B1033,Roster!$E$2:$E$600,0)),""))</f>
        <v/>
      </c>
      <c r="F1033" s="10">
        <f>IF(C1033="","",IFERROR(INDEX(Levels!$C$2:$C$30,MATCH(C1033,Levels!$B$2:$B$30,0)),""))</f>
        <v/>
      </c>
      <c r="G1033" s="6" t="n"/>
      <c r="H1033" s="10">
        <f>IF(AND(B1033="",C1033=""),"",IF(G1033&lt;&gt;"","Void",IF(OR(B1033="",E1033=""),"Needs child",IF(D1033="","Needs level","OK"))))</f>
        <v/>
      </c>
    </row>
    <row r="1034">
      <c r="A1034" s="6" t="n"/>
      <c r="B1034" s="6" t="n"/>
      <c r="C1034" s="6" t="n"/>
      <c r="D1034" s="11">
        <f>IF(C1034="","",IFERROR(INDEX(Levels!$A$2:$A$30,MATCH(C1034,Levels!$B$2:$B$30,0)),""))</f>
        <v/>
      </c>
      <c r="E1034" s="10">
        <f>IF(B1034="","",IFERROR(INDEX(Roster!$A$2:$A$600,MATCH(B1034,Roster!$E$2:$E$600,0)),""))</f>
        <v/>
      </c>
      <c r="F1034" s="10">
        <f>IF(C1034="","",IFERROR(INDEX(Levels!$C$2:$C$30,MATCH(C1034,Levels!$B$2:$B$30,0)),""))</f>
        <v/>
      </c>
      <c r="G1034" s="6" t="n"/>
      <c r="H1034" s="10">
        <f>IF(AND(B1034="",C1034=""),"",IF(G1034&lt;&gt;"","Void",IF(OR(B1034="",E1034=""),"Needs child",IF(D1034="","Needs level","OK"))))</f>
        <v/>
      </c>
    </row>
    <row r="1035">
      <c r="A1035" s="6" t="n"/>
      <c r="B1035" s="6" t="n"/>
      <c r="C1035" s="6" t="n"/>
      <c r="D1035" s="11">
        <f>IF(C1035="","",IFERROR(INDEX(Levels!$A$2:$A$30,MATCH(C1035,Levels!$B$2:$B$30,0)),""))</f>
        <v/>
      </c>
      <c r="E1035" s="10">
        <f>IF(B1035="","",IFERROR(INDEX(Roster!$A$2:$A$600,MATCH(B1035,Roster!$E$2:$E$600,0)),""))</f>
        <v/>
      </c>
      <c r="F1035" s="10">
        <f>IF(C1035="","",IFERROR(INDEX(Levels!$C$2:$C$30,MATCH(C1035,Levels!$B$2:$B$30,0)),""))</f>
        <v/>
      </c>
      <c r="G1035" s="6" t="n"/>
      <c r="H1035" s="10">
        <f>IF(AND(B1035="",C1035=""),"",IF(G1035&lt;&gt;"","Void",IF(OR(B1035="",E1035=""),"Needs child",IF(D1035="","Needs level","OK"))))</f>
        <v/>
      </c>
    </row>
    <row r="1036">
      <c r="A1036" s="6" t="n"/>
      <c r="B1036" s="6" t="n"/>
      <c r="C1036" s="6" t="n"/>
      <c r="D1036" s="11">
        <f>IF(C1036="","",IFERROR(INDEX(Levels!$A$2:$A$30,MATCH(C1036,Levels!$B$2:$B$30,0)),""))</f>
        <v/>
      </c>
      <c r="E1036" s="10">
        <f>IF(B1036="","",IFERROR(INDEX(Roster!$A$2:$A$600,MATCH(B1036,Roster!$E$2:$E$600,0)),""))</f>
        <v/>
      </c>
      <c r="F1036" s="10">
        <f>IF(C1036="","",IFERROR(INDEX(Levels!$C$2:$C$30,MATCH(C1036,Levels!$B$2:$B$30,0)),""))</f>
        <v/>
      </c>
      <c r="G1036" s="6" t="n"/>
      <c r="H1036" s="10">
        <f>IF(AND(B1036="",C1036=""),"",IF(G1036&lt;&gt;"","Void",IF(OR(B1036="",E1036=""),"Needs child",IF(D1036="","Needs level","OK"))))</f>
        <v/>
      </c>
    </row>
    <row r="1037">
      <c r="A1037" s="6" t="n"/>
      <c r="B1037" s="6" t="n"/>
      <c r="C1037" s="6" t="n"/>
      <c r="D1037" s="11">
        <f>IF(C1037="","",IFERROR(INDEX(Levels!$A$2:$A$30,MATCH(C1037,Levels!$B$2:$B$30,0)),""))</f>
        <v/>
      </c>
      <c r="E1037" s="10">
        <f>IF(B1037="","",IFERROR(INDEX(Roster!$A$2:$A$600,MATCH(B1037,Roster!$E$2:$E$600,0)),""))</f>
        <v/>
      </c>
      <c r="F1037" s="10">
        <f>IF(C1037="","",IFERROR(INDEX(Levels!$C$2:$C$30,MATCH(C1037,Levels!$B$2:$B$30,0)),""))</f>
        <v/>
      </c>
      <c r="G1037" s="6" t="n"/>
      <c r="H1037" s="10">
        <f>IF(AND(B1037="",C1037=""),"",IF(G1037&lt;&gt;"","Void",IF(OR(B1037="",E1037=""),"Needs child",IF(D1037="","Needs level","OK"))))</f>
        <v/>
      </c>
    </row>
    <row r="1038">
      <c r="A1038" s="6" t="n"/>
      <c r="B1038" s="6" t="n"/>
      <c r="C1038" s="6" t="n"/>
      <c r="D1038" s="11">
        <f>IF(C1038="","",IFERROR(INDEX(Levels!$A$2:$A$30,MATCH(C1038,Levels!$B$2:$B$30,0)),""))</f>
        <v/>
      </c>
      <c r="E1038" s="10">
        <f>IF(B1038="","",IFERROR(INDEX(Roster!$A$2:$A$600,MATCH(B1038,Roster!$E$2:$E$600,0)),""))</f>
        <v/>
      </c>
      <c r="F1038" s="10">
        <f>IF(C1038="","",IFERROR(INDEX(Levels!$C$2:$C$30,MATCH(C1038,Levels!$B$2:$B$30,0)),""))</f>
        <v/>
      </c>
      <c r="G1038" s="6" t="n"/>
      <c r="H1038" s="10">
        <f>IF(AND(B1038="",C1038=""),"",IF(G1038&lt;&gt;"","Void",IF(OR(B1038="",E1038=""),"Needs child",IF(D1038="","Needs level","OK"))))</f>
        <v/>
      </c>
    </row>
    <row r="1039">
      <c r="A1039" s="6" t="n"/>
      <c r="B1039" s="6" t="n"/>
      <c r="C1039" s="6" t="n"/>
      <c r="D1039" s="11">
        <f>IF(C1039="","",IFERROR(INDEX(Levels!$A$2:$A$30,MATCH(C1039,Levels!$B$2:$B$30,0)),""))</f>
        <v/>
      </c>
      <c r="E1039" s="10">
        <f>IF(B1039="","",IFERROR(INDEX(Roster!$A$2:$A$600,MATCH(B1039,Roster!$E$2:$E$600,0)),""))</f>
        <v/>
      </c>
      <c r="F1039" s="10">
        <f>IF(C1039="","",IFERROR(INDEX(Levels!$C$2:$C$30,MATCH(C1039,Levels!$B$2:$B$30,0)),""))</f>
        <v/>
      </c>
      <c r="G1039" s="6" t="n"/>
      <c r="H1039" s="10">
        <f>IF(AND(B1039="",C1039=""),"",IF(G1039&lt;&gt;"","Void",IF(OR(B1039="",E1039=""),"Needs child",IF(D1039="","Needs level","OK"))))</f>
        <v/>
      </c>
    </row>
    <row r="1040">
      <c r="A1040" s="6" t="n"/>
      <c r="B1040" s="6" t="n"/>
      <c r="C1040" s="6" t="n"/>
      <c r="D1040" s="11">
        <f>IF(C1040="","",IFERROR(INDEX(Levels!$A$2:$A$30,MATCH(C1040,Levels!$B$2:$B$30,0)),""))</f>
        <v/>
      </c>
      <c r="E1040" s="10">
        <f>IF(B1040="","",IFERROR(INDEX(Roster!$A$2:$A$600,MATCH(B1040,Roster!$E$2:$E$600,0)),""))</f>
        <v/>
      </c>
      <c r="F1040" s="10">
        <f>IF(C1040="","",IFERROR(INDEX(Levels!$C$2:$C$30,MATCH(C1040,Levels!$B$2:$B$30,0)),""))</f>
        <v/>
      </c>
      <c r="G1040" s="6" t="n"/>
      <c r="H1040" s="10">
        <f>IF(AND(B1040="",C1040=""),"",IF(G1040&lt;&gt;"","Void",IF(OR(B1040="",E1040=""),"Needs child",IF(D1040="","Needs level","OK"))))</f>
        <v/>
      </c>
    </row>
    <row r="1041">
      <c r="A1041" s="6" t="n"/>
      <c r="B1041" s="6" t="n"/>
      <c r="C1041" s="6" t="n"/>
      <c r="D1041" s="11">
        <f>IF(C1041="","",IFERROR(INDEX(Levels!$A$2:$A$30,MATCH(C1041,Levels!$B$2:$B$30,0)),""))</f>
        <v/>
      </c>
      <c r="E1041" s="10">
        <f>IF(B1041="","",IFERROR(INDEX(Roster!$A$2:$A$600,MATCH(B1041,Roster!$E$2:$E$600,0)),""))</f>
        <v/>
      </c>
      <c r="F1041" s="10">
        <f>IF(C1041="","",IFERROR(INDEX(Levels!$C$2:$C$30,MATCH(C1041,Levels!$B$2:$B$30,0)),""))</f>
        <v/>
      </c>
      <c r="G1041" s="6" t="n"/>
      <c r="H1041" s="10">
        <f>IF(AND(B1041="",C1041=""),"",IF(G1041&lt;&gt;"","Void",IF(OR(B1041="",E1041=""),"Needs child",IF(D1041="","Needs level","OK"))))</f>
        <v/>
      </c>
    </row>
    <row r="1042">
      <c r="A1042" s="6" t="n"/>
      <c r="B1042" s="6" t="n"/>
      <c r="C1042" s="6" t="n"/>
      <c r="D1042" s="11">
        <f>IF(C1042="","",IFERROR(INDEX(Levels!$A$2:$A$30,MATCH(C1042,Levels!$B$2:$B$30,0)),""))</f>
        <v/>
      </c>
      <c r="E1042" s="10">
        <f>IF(B1042="","",IFERROR(INDEX(Roster!$A$2:$A$600,MATCH(B1042,Roster!$E$2:$E$600,0)),""))</f>
        <v/>
      </c>
      <c r="F1042" s="10">
        <f>IF(C1042="","",IFERROR(INDEX(Levels!$C$2:$C$30,MATCH(C1042,Levels!$B$2:$B$30,0)),""))</f>
        <v/>
      </c>
      <c r="G1042" s="6" t="n"/>
      <c r="H1042" s="10">
        <f>IF(AND(B1042="",C1042=""),"",IF(G1042&lt;&gt;"","Void",IF(OR(B1042="",E1042=""),"Needs child",IF(D1042="","Needs level","OK"))))</f>
        <v/>
      </c>
    </row>
    <row r="1043">
      <c r="A1043" s="6" t="n"/>
      <c r="B1043" s="6" t="n"/>
      <c r="C1043" s="6" t="n"/>
      <c r="D1043" s="11">
        <f>IF(C1043="","",IFERROR(INDEX(Levels!$A$2:$A$30,MATCH(C1043,Levels!$B$2:$B$30,0)),""))</f>
        <v/>
      </c>
      <c r="E1043" s="10">
        <f>IF(B1043="","",IFERROR(INDEX(Roster!$A$2:$A$600,MATCH(B1043,Roster!$E$2:$E$600,0)),""))</f>
        <v/>
      </c>
      <c r="F1043" s="10">
        <f>IF(C1043="","",IFERROR(INDEX(Levels!$C$2:$C$30,MATCH(C1043,Levels!$B$2:$B$30,0)),""))</f>
        <v/>
      </c>
      <c r="G1043" s="6" t="n"/>
      <c r="H1043" s="10">
        <f>IF(AND(B1043="",C1043=""),"",IF(G1043&lt;&gt;"","Void",IF(OR(B1043="",E1043=""),"Needs child",IF(D1043="","Needs level","OK"))))</f>
        <v/>
      </c>
    </row>
    <row r="1044">
      <c r="A1044" s="6" t="n"/>
      <c r="B1044" s="6" t="n"/>
      <c r="C1044" s="6" t="n"/>
      <c r="D1044" s="11">
        <f>IF(C1044="","",IFERROR(INDEX(Levels!$A$2:$A$30,MATCH(C1044,Levels!$B$2:$B$30,0)),""))</f>
        <v/>
      </c>
      <c r="E1044" s="10">
        <f>IF(B1044="","",IFERROR(INDEX(Roster!$A$2:$A$600,MATCH(B1044,Roster!$E$2:$E$600,0)),""))</f>
        <v/>
      </c>
      <c r="F1044" s="10">
        <f>IF(C1044="","",IFERROR(INDEX(Levels!$C$2:$C$30,MATCH(C1044,Levels!$B$2:$B$30,0)),""))</f>
        <v/>
      </c>
      <c r="G1044" s="6" t="n"/>
      <c r="H1044" s="10">
        <f>IF(AND(B1044="",C1044=""),"",IF(G1044&lt;&gt;"","Void",IF(OR(B1044="",E1044=""),"Needs child",IF(D1044="","Needs level","OK"))))</f>
        <v/>
      </c>
    </row>
    <row r="1045">
      <c r="A1045" s="6" t="n"/>
      <c r="B1045" s="6" t="n"/>
      <c r="C1045" s="6" t="n"/>
      <c r="D1045" s="11">
        <f>IF(C1045="","",IFERROR(INDEX(Levels!$A$2:$A$30,MATCH(C1045,Levels!$B$2:$B$30,0)),""))</f>
        <v/>
      </c>
      <c r="E1045" s="10">
        <f>IF(B1045="","",IFERROR(INDEX(Roster!$A$2:$A$600,MATCH(B1045,Roster!$E$2:$E$600,0)),""))</f>
        <v/>
      </c>
      <c r="F1045" s="10">
        <f>IF(C1045="","",IFERROR(INDEX(Levels!$C$2:$C$30,MATCH(C1045,Levels!$B$2:$B$30,0)),""))</f>
        <v/>
      </c>
      <c r="G1045" s="6" t="n"/>
      <c r="H1045" s="10">
        <f>IF(AND(B1045="",C1045=""),"",IF(G1045&lt;&gt;"","Void",IF(OR(B1045="",E1045=""),"Needs child",IF(D1045="","Needs level","OK"))))</f>
        <v/>
      </c>
    </row>
    <row r="1046">
      <c r="A1046" s="6" t="n"/>
      <c r="B1046" s="6" t="n"/>
      <c r="C1046" s="6" t="n"/>
      <c r="D1046" s="11">
        <f>IF(C1046="","",IFERROR(INDEX(Levels!$A$2:$A$30,MATCH(C1046,Levels!$B$2:$B$30,0)),""))</f>
        <v/>
      </c>
      <c r="E1046" s="10">
        <f>IF(B1046="","",IFERROR(INDEX(Roster!$A$2:$A$600,MATCH(B1046,Roster!$E$2:$E$600,0)),""))</f>
        <v/>
      </c>
      <c r="F1046" s="10">
        <f>IF(C1046="","",IFERROR(INDEX(Levels!$C$2:$C$30,MATCH(C1046,Levels!$B$2:$B$30,0)),""))</f>
        <v/>
      </c>
      <c r="G1046" s="6" t="n"/>
      <c r="H1046" s="10">
        <f>IF(AND(B1046="",C1046=""),"",IF(G1046&lt;&gt;"","Void",IF(OR(B1046="",E1046=""),"Needs child",IF(D1046="","Needs level","OK"))))</f>
        <v/>
      </c>
    </row>
    <row r="1047">
      <c r="A1047" s="6" t="n"/>
      <c r="B1047" s="6" t="n"/>
      <c r="C1047" s="6" t="n"/>
      <c r="D1047" s="11">
        <f>IF(C1047="","",IFERROR(INDEX(Levels!$A$2:$A$30,MATCH(C1047,Levels!$B$2:$B$30,0)),""))</f>
        <v/>
      </c>
      <c r="E1047" s="10">
        <f>IF(B1047="","",IFERROR(INDEX(Roster!$A$2:$A$600,MATCH(B1047,Roster!$E$2:$E$600,0)),""))</f>
        <v/>
      </c>
      <c r="F1047" s="10">
        <f>IF(C1047="","",IFERROR(INDEX(Levels!$C$2:$C$30,MATCH(C1047,Levels!$B$2:$B$30,0)),""))</f>
        <v/>
      </c>
      <c r="G1047" s="6" t="n"/>
      <c r="H1047" s="10">
        <f>IF(AND(B1047="",C1047=""),"",IF(G1047&lt;&gt;"","Void",IF(OR(B1047="",E1047=""),"Needs child",IF(D1047="","Needs level","OK"))))</f>
        <v/>
      </c>
    </row>
    <row r="1048">
      <c r="A1048" s="6" t="n"/>
      <c r="B1048" s="6" t="n"/>
      <c r="C1048" s="6" t="n"/>
      <c r="D1048" s="11">
        <f>IF(C1048="","",IFERROR(INDEX(Levels!$A$2:$A$30,MATCH(C1048,Levels!$B$2:$B$30,0)),""))</f>
        <v/>
      </c>
      <c r="E1048" s="10">
        <f>IF(B1048="","",IFERROR(INDEX(Roster!$A$2:$A$600,MATCH(B1048,Roster!$E$2:$E$600,0)),""))</f>
        <v/>
      </c>
      <c r="F1048" s="10">
        <f>IF(C1048="","",IFERROR(INDEX(Levels!$C$2:$C$30,MATCH(C1048,Levels!$B$2:$B$30,0)),""))</f>
        <v/>
      </c>
      <c r="G1048" s="6" t="n"/>
      <c r="H1048" s="10">
        <f>IF(AND(B1048="",C1048=""),"",IF(G1048&lt;&gt;"","Void",IF(OR(B1048="",E1048=""),"Needs child",IF(D1048="","Needs level","OK"))))</f>
        <v/>
      </c>
    </row>
    <row r="1049">
      <c r="A1049" s="6" t="n"/>
      <c r="B1049" s="6" t="n"/>
      <c r="C1049" s="6" t="n"/>
      <c r="D1049" s="11">
        <f>IF(C1049="","",IFERROR(INDEX(Levels!$A$2:$A$30,MATCH(C1049,Levels!$B$2:$B$30,0)),""))</f>
        <v/>
      </c>
      <c r="E1049" s="10">
        <f>IF(B1049="","",IFERROR(INDEX(Roster!$A$2:$A$600,MATCH(B1049,Roster!$E$2:$E$600,0)),""))</f>
        <v/>
      </c>
      <c r="F1049" s="10">
        <f>IF(C1049="","",IFERROR(INDEX(Levels!$C$2:$C$30,MATCH(C1049,Levels!$B$2:$B$30,0)),""))</f>
        <v/>
      </c>
      <c r="G1049" s="6" t="n"/>
      <c r="H1049" s="10">
        <f>IF(AND(B1049="",C1049=""),"",IF(G1049&lt;&gt;"","Void",IF(OR(B1049="",E1049=""),"Needs child",IF(D1049="","Needs level","OK"))))</f>
        <v/>
      </c>
    </row>
    <row r="1050">
      <c r="A1050" s="6" t="n"/>
      <c r="B1050" s="6" t="n"/>
      <c r="C1050" s="6" t="n"/>
      <c r="D1050" s="11">
        <f>IF(C1050="","",IFERROR(INDEX(Levels!$A$2:$A$30,MATCH(C1050,Levels!$B$2:$B$30,0)),""))</f>
        <v/>
      </c>
      <c r="E1050" s="10">
        <f>IF(B1050="","",IFERROR(INDEX(Roster!$A$2:$A$600,MATCH(B1050,Roster!$E$2:$E$600,0)),""))</f>
        <v/>
      </c>
      <c r="F1050" s="10">
        <f>IF(C1050="","",IFERROR(INDEX(Levels!$C$2:$C$30,MATCH(C1050,Levels!$B$2:$B$30,0)),""))</f>
        <v/>
      </c>
      <c r="G1050" s="6" t="n"/>
      <c r="H1050" s="10">
        <f>IF(AND(B1050="",C1050=""),"",IF(G1050&lt;&gt;"","Void",IF(OR(B1050="",E1050=""),"Needs child",IF(D1050="","Needs level","OK"))))</f>
        <v/>
      </c>
    </row>
    <row r="1051">
      <c r="A1051" s="6" t="n"/>
      <c r="B1051" s="6" t="n"/>
      <c r="C1051" s="6" t="n"/>
      <c r="D1051" s="11">
        <f>IF(C1051="","",IFERROR(INDEX(Levels!$A$2:$A$30,MATCH(C1051,Levels!$B$2:$B$30,0)),""))</f>
        <v/>
      </c>
      <c r="E1051" s="10">
        <f>IF(B1051="","",IFERROR(INDEX(Roster!$A$2:$A$600,MATCH(B1051,Roster!$E$2:$E$600,0)),""))</f>
        <v/>
      </c>
      <c r="F1051" s="10">
        <f>IF(C1051="","",IFERROR(INDEX(Levels!$C$2:$C$30,MATCH(C1051,Levels!$B$2:$B$30,0)),""))</f>
        <v/>
      </c>
      <c r="G1051" s="6" t="n"/>
      <c r="H1051" s="10">
        <f>IF(AND(B1051="",C1051=""),"",IF(G1051&lt;&gt;"","Void",IF(OR(B1051="",E1051=""),"Needs child",IF(D1051="","Needs level","OK"))))</f>
        <v/>
      </c>
    </row>
    <row r="1052">
      <c r="A1052" s="6" t="n"/>
      <c r="B1052" s="6" t="n"/>
      <c r="C1052" s="6" t="n"/>
      <c r="D1052" s="11">
        <f>IF(C1052="","",IFERROR(INDEX(Levels!$A$2:$A$30,MATCH(C1052,Levels!$B$2:$B$30,0)),""))</f>
        <v/>
      </c>
      <c r="E1052" s="10">
        <f>IF(B1052="","",IFERROR(INDEX(Roster!$A$2:$A$600,MATCH(B1052,Roster!$E$2:$E$600,0)),""))</f>
        <v/>
      </c>
      <c r="F1052" s="10">
        <f>IF(C1052="","",IFERROR(INDEX(Levels!$C$2:$C$30,MATCH(C1052,Levels!$B$2:$B$30,0)),""))</f>
        <v/>
      </c>
      <c r="G1052" s="6" t="n"/>
      <c r="H1052" s="10">
        <f>IF(AND(B1052="",C1052=""),"",IF(G1052&lt;&gt;"","Void",IF(OR(B1052="",E1052=""),"Needs child",IF(D1052="","Needs level","OK"))))</f>
        <v/>
      </c>
    </row>
    <row r="1053">
      <c r="A1053" s="6" t="n"/>
      <c r="B1053" s="6" t="n"/>
      <c r="C1053" s="6" t="n"/>
      <c r="D1053" s="11">
        <f>IF(C1053="","",IFERROR(INDEX(Levels!$A$2:$A$30,MATCH(C1053,Levels!$B$2:$B$30,0)),""))</f>
        <v/>
      </c>
      <c r="E1053" s="10">
        <f>IF(B1053="","",IFERROR(INDEX(Roster!$A$2:$A$600,MATCH(B1053,Roster!$E$2:$E$600,0)),""))</f>
        <v/>
      </c>
      <c r="F1053" s="10">
        <f>IF(C1053="","",IFERROR(INDEX(Levels!$C$2:$C$30,MATCH(C1053,Levels!$B$2:$B$30,0)),""))</f>
        <v/>
      </c>
      <c r="G1053" s="6" t="n"/>
      <c r="H1053" s="10">
        <f>IF(AND(B1053="",C1053=""),"",IF(G1053&lt;&gt;"","Void",IF(OR(B1053="",E1053=""),"Needs child",IF(D1053="","Needs level","OK"))))</f>
        <v/>
      </c>
    </row>
    <row r="1054">
      <c r="A1054" s="6" t="n"/>
      <c r="B1054" s="6" t="n"/>
      <c r="C1054" s="6" t="n"/>
      <c r="D1054" s="11">
        <f>IF(C1054="","",IFERROR(INDEX(Levels!$A$2:$A$30,MATCH(C1054,Levels!$B$2:$B$30,0)),""))</f>
        <v/>
      </c>
      <c r="E1054" s="10">
        <f>IF(B1054="","",IFERROR(INDEX(Roster!$A$2:$A$600,MATCH(B1054,Roster!$E$2:$E$600,0)),""))</f>
        <v/>
      </c>
      <c r="F1054" s="10">
        <f>IF(C1054="","",IFERROR(INDEX(Levels!$C$2:$C$30,MATCH(C1054,Levels!$B$2:$B$30,0)),""))</f>
        <v/>
      </c>
      <c r="G1054" s="6" t="n"/>
      <c r="H1054" s="10">
        <f>IF(AND(B1054="",C1054=""),"",IF(G1054&lt;&gt;"","Void",IF(OR(B1054="",E1054=""),"Needs child",IF(D1054="","Needs level","OK"))))</f>
        <v/>
      </c>
    </row>
    <row r="1055">
      <c r="A1055" s="6" t="n"/>
      <c r="B1055" s="6" t="n"/>
      <c r="C1055" s="6" t="n"/>
      <c r="D1055" s="11">
        <f>IF(C1055="","",IFERROR(INDEX(Levels!$A$2:$A$30,MATCH(C1055,Levels!$B$2:$B$30,0)),""))</f>
        <v/>
      </c>
      <c r="E1055" s="10">
        <f>IF(B1055="","",IFERROR(INDEX(Roster!$A$2:$A$600,MATCH(B1055,Roster!$E$2:$E$600,0)),""))</f>
        <v/>
      </c>
      <c r="F1055" s="10">
        <f>IF(C1055="","",IFERROR(INDEX(Levels!$C$2:$C$30,MATCH(C1055,Levels!$B$2:$B$30,0)),""))</f>
        <v/>
      </c>
      <c r="G1055" s="6" t="n"/>
      <c r="H1055" s="10">
        <f>IF(AND(B1055="",C1055=""),"",IF(G1055&lt;&gt;"","Void",IF(OR(B1055="",E1055=""),"Needs child",IF(D1055="","Needs level","OK"))))</f>
        <v/>
      </c>
    </row>
    <row r="1056">
      <c r="A1056" s="6" t="n"/>
      <c r="B1056" s="6" t="n"/>
      <c r="C1056" s="6" t="n"/>
      <c r="D1056" s="11">
        <f>IF(C1056="","",IFERROR(INDEX(Levels!$A$2:$A$30,MATCH(C1056,Levels!$B$2:$B$30,0)),""))</f>
        <v/>
      </c>
      <c r="E1056" s="10">
        <f>IF(B1056="","",IFERROR(INDEX(Roster!$A$2:$A$600,MATCH(B1056,Roster!$E$2:$E$600,0)),""))</f>
        <v/>
      </c>
      <c r="F1056" s="10">
        <f>IF(C1056="","",IFERROR(INDEX(Levels!$C$2:$C$30,MATCH(C1056,Levels!$B$2:$B$30,0)),""))</f>
        <v/>
      </c>
      <c r="G1056" s="6" t="n"/>
      <c r="H1056" s="10">
        <f>IF(AND(B1056="",C1056=""),"",IF(G1056&lt;&gt;"","Void",IF(OR(B1056="",E1056=""),"Needs child",IF(D1056="","Needs level","OK"))))</f>
        <v/>
      </c>
    </row>
    <row r="1057">
      <c r="A1057" s="6" t="n"/>
      <c r="B1057" s="6" t="n"/>
      <c r="C1057" s="6" t="n"/>
      <c r="D1057" s="11">
        <f>IF(C1057="","",IFERROR(INDEX(Levels!$A$2:$A$30,MATCH(C1057,Levels!$B$2:$B$30,0)),""))</f>
        <v/>
      </c>
      <c r="E1057" s="10">
        <f>IF(B1057="","",IFERROR(INDEX(Roster!$A$2:$A$600,MATCH(B1057,Roster!$E$2:$E$600,0)),""))</f>
        <v/>
      </c>
      <c r="F1057" s="10">
        <f>IF(C1057="","",IFERROR(INDEX(Levels!$C$2:$C$30,MATCH(C1057,Levels!$B$2:$B$30,0)),""))</f>
        <v/>
      </c>
      <c r="G1057" s="6" t="n"/>
      <c r="H1057" s="10">
        <f>IF(AND(B1057="",C1057=""),"",IF(G1057&lt;&gt;"","Void",IF(OR(B1057="",E1057=""),"Needs child",IF(D1057="","Needs level","OK"))))</f>
        <v/>
      </c>
    </row>
    <row r="1058">
      <c r="A1058" s="6" t="n"/>
      <c r="B1058" s="6" t="n"/>
      <c r="C1058" s="6" t="n"/>
      <c r="D1058" s="11">
        <f>IF(C1058="","",IFERROR(INDEX(Levels!$A$2:$A$30,MATCH(C1058,Levels!$B$2:$B$30,0)),""))</f>
        <v/>
      </c>
      <c r="E1058" s="10">
        <f>IF(B1058="","",IFERROR(INDEX(Roster!$A$2:$A$600,MATCH(B1058,Roster!$E$2:$E$600,0)),""))</f>
        <v/>
      </c>
      <c r="F1058" s="10">
        <f>IF(C1058="","",IFERROR(INDEX(Levels!$C$2:$C$30,MATCH(C1058,Levels!$B$2:$B$30,0)),""))</f>
        <v/>
      </c>
      <c r="G1058" s="6" t="n"/>
      <c r="H1058" s="10">
        <f>IF(AND(B1058="",C1058=""),"",IF(G1058&lt;&gt;"","Void",IF(OR(B1058="",E1058=""),"Needs child",IF(D1058="","Needs level","OK"))))</f>
        <v/>
      </c>
    </row>
    <row r="1059">
      <c r="A1059" s="6" t="n"/>
      <c r="B1059" s="6" t="n"/>
      <c r="C1059" s="6" t="n"/>
      <c r="D1059" s="11">
        <f>IF(C1059="","",IFERROR(INDEX(Levels!$A$2:$A$30,MATCH(C1059,Levels!$B$2:$B$30,0)),""))</f>
        <v/>
      </c>
      <c r="E1059" s="10">
        <f>IF(B1059="","",IFERROR(INDEX(Roster!$A$2:$A$600,MATCH(B1059,Roster!$E$2:$E$600,0)),""))</f>
        <v/>
      </c>
      <c r="F1059" s="10">
        <f>IF(C1059="","",IFERROR(INDEX(Levels!$C$2:$C$30,MATCH(C1059,Levels!$B$2:$B$30,0)),""))</f>
        <v/>
      </c>
      <c r="G1059" s="6" t="n"/>
      <c r="H1059" s="10">
        <f>IF(AND(B1059="",C1059=""),"",IF(G1059&lt;&gt;"","Void",IF(OR(B1059="",E1059=""),"Needs child",IF(D1059="","Needs level","OK"))))</f>
        <v/>
      </c>
    </row>
    <row r="1060">
      <c r="A1060" s="6" t="n"/>
      <c r="B1060" s="6" t="n"/>
      <c r="C1060" s="6" t="n"/>
      <c r="D1060" s="11">
        <f>IF(C1060="","",IFERROR(INDEX(Levels!$A$2:$A$30,MATCH(C1060,Levels!$B$2:$B$30,0)),""))</f>
        <v/>
      </c>
      <c r="E1060" s="10">
        <f>IF(B1060="","",IFERROR(INDEX(Roster!$A$2:$A$600,MATCH(B1060,Roster!$E$2:$E$600,0)),""))</f>
        <v/>
      </c>
      <c r="F1060" s="10">
        <f>IF(C1060="","",IFERROR(INDEX(Levels!$C$2:$C$30,MATCH(C1060,Levels!$B$2:$B$30,0)),""))</f>
        <v/>
      </c>
      <c r="G1060" s="6" t="n"/>
      <c r="H1060" s="10">
        <f>IF(AND(B1060="",C1060=""),"",IF(G1060&lt;&gt;"","Void",IF(OR(B1060="",E1060=""),"Needs child",IF(D1060="","Needs level","OK"))))</f>
        <v/>
      </c>
    </row>
    <row r="1061">
      <c r="A1061" s="6" t="n"/>
      <c r="B1061" s="6" t="n"/>
      <c r="C1061" s="6" t="n"/>
      <c r="D1061" s="11">
        <f>IF(C1061="","",IFERROR(INDEX(Levels!$A$2:$A$30,MATCH(C1061,Levels!$B$2:$B$30,0)),""))</f>
        <v/>
      </c>
      <c r="E1061" s="10">
        <f>IF(B1061="","",IFERROR(INDEX(Roster!$A$2:$A$600,MATCH(B1061,Roster!$E$2:$E$600,0)),""))</f>
        <v/>
      </c>
      <c r="F1061" s="10">
        <f>IF(C1061="","",IFERROR(INDEX(Levels!$C$2:$C$30,MATCH(C1061,Levels!$B$2:$B$30,0)),""))</f>
        <v/>
      </c>
      <c r="G1061" s="6" t="n"/>
      <c r="H1061" s="10">
        <f>IF(AND(B1061="",C1061=""),"",IF(G1061&lt;&gt;"","Void",IF(OR(B1061="",E1061=""),"Needs child",IF(D1061="","Needs level","OK"))))</f>
        <v/>
      </c>
    </row>
    <row r="1062">
      <c r="A1062" s="6" t="n"/>
      <c r="B1062" s="6" t="n"/>
      <c r="C1062" s="6" t="n"/>
      <c r="D1062" s="11">
        <f>IF(C1062="","",IFERROR(INDEX(Levels!$A$2:$A$30,MATCH(C1062,Levels!$B$2:$B$30,0)),""))</f>
        <v/>
      </c>
      <c r="E1062" s="10">
        <f>IF(B1062="","",IFERROR(INDEX(Roster!$A$2:$A$600,MATCH(B1062,Roster!$E$2:$E$600,0)),""))</f>
        <v/>
      </c>
      <c r="F1062" s="10">
        <f>IF(C1062="","",IFERROR(INDEX(Levels!$C$2:$C$30,MATCH(C1062,Levels!$B$2:$B$30,0)),""))</f>
        <v/>
      </c>
      <c r="G1062" s="6" t="n"/>
      <c r="H1062" s="10">
        <f>IF(AND(B1062="",C1062=""),"",IF(G1062&lt;&gt;"","Void",IF(OR(B1062="",E1062=""),"Needs child",IF(D1062="","Needs level","OK"))))</f>
        <v/>
      </c>
    </row>
    <row r="1063">
      <c r="A1063" s="6" t="n"/>
      <c r="B1063" s="6" t="n"/>
      <c r="C1063" s="6" t="n"/>
      <c r="D1063" s="11">
        <f>IF(C1063="","",IFERROR(INDEX(Levels!$A$2:$A$30,MATCH(C1063,Levels!$B$2:$B$30,0)),""))</f>
        <v/>
      </c>
      <c r="E1063" s="10">
        <f>IF(B1063="","",IFERROR(INDEX(Roster!$A$2:$A$600,MATCH(B1063,Roster!$E$2:$E$600,0)),""))</f>
        <v/>
      </c>
      <c r="F1063" s="10">
        <f>IF(C1063="","",IFERROR(INDEX(Levels!$C$2:$C$30,MATCH(C1063,Levels!$B$2:$B$30,0)),""))</f>
        <v/>
      </c>
      <c r="G1063" s="6" t="n"/>
      <c r="H1063" s="10">
        <f>IF(AND(B1063="",C1063=""),"",IF(G1063&lt;&gt;"","Void",IF(OR(B1063="",E1063=""),"Needs child",IF(D1063="","Needs level","OK"))))</f>
        <v/>
      </c>
    </row>
    <row r="1064">
      <c r="A1064" s="6" t="n"/>
      <c r="B1064" s="6" t="n"/>
      <c r="C1064" s="6" t="n"/>
      <c r="D1064" s="11">
        <f>IF(C1064="","",IFERROR(INDEX(Levels!$A$2:$A$30,MATCH(C1064,Levels!$B$2:$B$30,0)),""))</f>
        <v/>
      </c>
      <c r="E1064" s="10">
        <f>IF(B1064="","",IFERROR(INDEX(Roster!$A$2:$A$600,MATCH(B1064,Roster!$E$2:$E$600,0)),""))</f>
        <v/>
      </c>
      <c r="F1064" s="10">
        <f>IF(C1064="","",IFERROR(INDEX(Levels!$C$2:$C$30,MATCH(C1064,Levels!$B$2:$B$30,0)),""))</f>
        <v/>
      </c>
      <c r="G1064" s="6" t="n"/>
      <c r="H1064" s="10">
        <f>IF(AND(B1064="",C1064=""),"",IF(G1064&lt;&gt;"","Void",IF(OR(B1064="",E1064=""),"Needs child",IF(D1064="","Needs level","OK"))))</f>
        <v/>
      </c>
    </row>
    <row r="1065">
      <c r="A1065" s="6" t="n"/>
      <c r="B1065" s="6" t="n"/>
      <c r="C1065" s="6" t="n"/>
      <c r="D1065" s="11">
        <f>IF(C1065="","",IFERROR(INDEX(Levels!$A$2:$A$30,MATCH(C1065,Levels!$B$2:$B$30,0)),""))</f>
        <v/>
      </c>
      <c r="E1065" s="10">
        <f>IF(B1065="","",IFERROR(INDEX(Roster!$A$2:$A$600,MATCH(B1065,Roster!$E$2:$E$600,0)),""))</f>
        <v/>
      </c>
      <c r="F1065" s="10">
        <f>IF(C1065="","",IFERROR(INDEX(Levels!$C$2:$C$30,MATCH(C1065,Levels!$B$2:$B$30,0)),""))</f>
        <v/>
      </c>
      <c r="G1065" s="6" t="n"/>
      <c r="H1065" s="10">
        <f>IF(AND(B1065="",C1065=""),"",IF(G1065&lt;&gt;"","Void",IF(OR(B1065="",E1065=""),"Needs child",IF(D1065="","Needs level","OK"))))</f>
        <v/>
      </c>
    </row>
    <row r="1066">
      <c r="A1066" s="6" t="n"/>
      <c r="B1066" s="6" t="n"/>
      <c r="C1066" s="6" t="n"/>
      <c r="D1066" s="11">
        <f>IF(C1066="","",IFERROR(INDEX(Levels!$A$2:$A$30,MATCH(C1066,Levels!$B$2:$B$30,0)),""))</f>
        <v/>
      </c>
      <c r="E1066" s="10">
        <f>IF(B1066="","",IFERROR(INDEX(Roster!$A$2:$A$600,MATCH(B1066,Roster!$E$2:$E$600,0)),""))</f>
        <v/>
      </c>
      <c r="F1066" s="10">
        <f>IF(C1066="","",IFERROR(INDEX(Levels!$C$2:$C$30,MATCH(C1066,Levels!$B$2:$B$30,0)),""))</f>
        <v/>
      </c>
      <c r="G1066" s="6" t="n"/>
      <c r="H1066" s="10">
        <f>IF(AND(B1066="",C1066=""),"",IF(G1066&lt;&gt;"","Void",IF(OR(B1066="",E1066=""),"Needs child",IF(D1066="","Needs level","OK"))))</f>
        <v/>
      </c>
    </row>
    <row r="1067">
      <c r="A1067" s="6" t="n"/>
      <c r="B1067" s="6" t="n"/>
      <c r="C1067" s="6" t="n"/>
      <c r="D1067" s="11">
        <f>IF(C1067="","",IFERROR(INDEX(Levels!$A$2:$A$30,MATCH(C1067,Levels!$B$2:$B$30,0)),""))</f>
        <v/>
      </c>
      <c r="E1067" s="10">
        <f>IF(B1067="","",IFERROR(INDEX(Roster!$A$2:$A$600,MATCH(B1067,Roster!$E$2:$E$600,0)),""))</f>
        <v/>
      </c>
      <c r="F1067" s="10">
        <f>IF(C1067="","",IFERROR(INDEX(Levels!$C$2:$C$30,MATCH(C1067,Levels!$B$2:$B$30,0)),""))</f>
        <v/>
      </c>
      <c r="G1067" s="6" t="n"/>
      <c r="H1067" s="10">
        <f>IF(AND(B1067="",C1067=""),"",IF(G1067&lt;&gt;"","Void",IF(OR(B1067="",E1067=""),"Needs child",IF(D1067="","Needs level","OK"))))</f>
        <v/>
      </c>
    </row>
    <row r="1068">
      <c r="A1068" s="6" t="n"/>
      <c r="B1068" s="6" t="n"/>
      <c r="C1068" s="6" t="n"/>
      <c r="D1068" s="11">
        <f>IF(C1068="","",IFERROR(INDEX(Levels!$A$2:$A$30,MATCH(C1068,Levels!$B$2:$B$30,0)),""))</f>
        <v/>
      </c>
      <c r="E1068" s="10">
        <f>IF(B1068="","",IFERROR(INDEX(Roster!$A$2:$A$600,MATCH(B1068,Roster!$E$2:$E$600,0)),""))</f>
        <v/>
      </c>
      <c r="F1068" s="10">
        <f>IF(C1068="","",IFERROR(INDEX(Levels!$C$2:$C$30,MATCH(C1068,Levels!$B$2:$B$30,0)),""))</f>
        <v/>
      </c>
      <c r="G1068" s="6" t="n"/>
      <c r="H1068" s="10">
        <f>IF(AND(B1068="",C1068=""),"",IF(G1068&lt;&gt;"","Void",IF(OR(B1068="",E1068=""),"Needs child",IF(D1068="","Needs level","OK"))))</f>
        <v/>
      </c>
    </row>
    <row r="1069">
      <c r="A1069" s="6" t="n"/>
      <c r="B1069" s="6" t="n"/>
      <c r="C1069" s="6" t="n"/>
      <c r="D1069" s="11">
        <f>IF(C1069="","",IFERROR(INDEX(Levels!$A$2:$A$30,MATCH(C1069,Levels!$B$2:$B$30,0)),""))</f>
        <v/>
      </c>
      <c r="E1069" s="10">
        <f>IF(B1069="","",IFERROR(INDEX(Roster!$A$2:$A$600,MATCH(B1069,Roster!$E$2:$E$600,0)),""))</f>
        <v/>
      </c>
      <c r="F1069" s="10">
        <f>IF(C1069="","",IFERROR(INDEX(Levels!$C$2:$C$30,MATCH(C1069,Levels!$B$2:$B$30,0)),""))</f>
        <v/>
      </c>
      <c r="G1069" s="6" t="n"/>
      <c r="H1069" s="10">
        <f>IF(AND(B1069="",C1069=""),"",IF(G1069&lt;&gt;"","Void",IF(OR(B1069="",E1069=""),"Needs child",IF(D1069="","Needs level","OK"))))</f>
        <v/>
      </c>
    </row>
    <row r="1070">
      <c r="A1070" s="6" t="n"/>
      <c r="B1070" s="6" t="n"/>
      <c r="C1070" s="6" t="n"/>
      <c r="D1070" s="11">
        <f>IF(C1070="","",IFERROR(INDEX(Levels!$A$2:$A$30,MATCH(C1070,Levels!$B$2:$B$30,0)),""))</f>
        <v/>
      </c>
      <c r="E1070" s="10">
        <f>IF(B1070="","",IFERROR(INDEX(Roster!$A$2:$A$600,MATCH(B1070,Roster!$E$2:$E$600,0)),""))</f>
        <v/>
      </c>
      <c r="F1070" s="10">
        <f>IF(C1070="","",IFERROR(INDEX(Levels!$C$2:$C$30,MATCH(C1070,Levels!$B$2:$B$30,0)),""))</f>
        <v/>
      </c>
      <c r="G1070" s="6" t="n"/>
      <c r="H1070" s="10">
        <f>IF(AND(B1070="",C1070=""),"",IF(G1070&lt;&gt;"","Void",IF(OR(B1070="",E1070=""),"Needs child",IF(D1070="","Needs level","OK"))))</f>
        <v/>
      </c>
    </row>
    <row r="1071">
      <c r="A1071" s="6" t="n"/>
      <c r="B1071" s="6" t="n"/>
      <c r="C1071" s="6" t="n"/>
      <c r="D1071" s="11">
        <f>IF(C1071="","",IFERROR(INDEX(Levels!$A$2:$A$30,MATCH(C1071,Levels!$B$2:$B$30,0)),""))</f>
        <v/>
      </c>
      <c r="E1071" s="10">
        <f>IF(B1071="","",IFERROR(INDEX(Roster!$A$2:$A$600,MATCH(B1071,Roster!$E$2:$E$600,0)),""))</f>
        <v/>
      </c>
      <c r="F1071" s="10">
        <f>IF(C1071="","",IFERROR(INDEX(Levels!$C$2:$C$30,MATCH(C1071,Levels!$B$2:$B$30,0)),""))</f>
        <v/>
      </c>
      <c r="G1071" s="6" t="n"/>
      <c r="H1071" s="10">
        <f>IF(AND(B1071="",C1071=""),"",IF(G1071&lt;&gt;"","Void",IF(OR(B1071="",E1071=""),"Needs child",IF(D1071="","Needs level","OK"))))</f>
        <v/>
      </c>
    </row>
    <row r="1072">
      <c r="A1072" s="6" t="n"/>
      <c r="B1072" s="6" t="n"/>
      <c r="C1072" s="6" t="n"/>
      <c r="D1072" s="11">
        <f>IF(C1072="","",IFERROR(INDEX(Levels!$A$2:$A$30,MATCH(C1072,Levels!$B$2:$B$30,0)),""))</f>
        <v/>
      </c>
      <c r="E1072" s="10">
        <f>IF(B1072="","",IFERROR(INDEX(Roster!$A$2:$A$600,MATCH(B1072,Roster!$E$2:$E$600,0)),""))</f>
        <v/>
      </c>
      <c r="F1072" s="10">
        <f>IF(C1072="","",IFERROR(INDEX(Levels!$C$2:$C$30,MATCH(C1072,Levels!$B$2:$B$30,0)),""))</f>
        <v/>
      </c>
      <c r="G1072" s="6" t="n"/>
      <c r="H1072" s="10">
        <f>IF(AND(B1072="",C1072=""),"",IF(G1072&lt;&gt;"","Void",IF(OR(B1072="",E1072=""),"Needs child",IF(D1072="","Needs level","OK"))))</f>
        <v/>
      </c>
    </row>
    <row r="1073">
      <c r="A1073" s="6" t="n"/>
      <c r="B1073" s="6" t="n"/>
      <c r="C1073" s="6" t="n"/>
      <c r="D1073" s="11">
        <f>IF(C1073="","",IFERROR(INDEX(Levels!$A$2:$A$30,MATCH(C1073,Levels!$B$2:$B$30,0)),""))</f>
        <v/>
      </c>
      <c r="E1073" s="10">
        <f>IF(B1073="","",IFERROR(INDEX(Roster!$A$2:$A$600,MATCH(B1073,Roster!$E$2:$E$600,0)),""))</f>
        <v/>
      </c>
      <c r="F1073" s="10">
        <f>IF(C1073="","",IFERROR(INDEX(Levels!$C$2:$C$30,MATCH(C1073,Levels!$B$2:$B$30,0)),""))</f>
        <v/>
      </c>
      <c r="G1073" s="6" t="n"/>
      <c r="H1073" s="10">
        <f>IF(AND(B1073="",C1073=""),"",IF(G1073&lt;&gt;"","Void",IF(OR(B1073="",E1073=""),"Needs child",IF(D1073="","Needs level","OK"))))</f>
        <v/>
      </c>
    </row>
    <row r="1074">
      <c r="A1074" s="6" t="n"/>
      <c r="B1074" s="6" t="n"/>
      <c r="C1074" s="6" t="n"/>
      <c r="D1074" s="11">
        <f>IF(C1074="","",IFERROR(INDEX(Levels!$A$2:$A$30,MATCH(C1074,Levels!$B$2:$B$30,0)),""))</f>
        <v/>
      </c>
      <c r="E1074" s="10">
        <f>IF(B1074="","",IFERROR(INDEX(Roster!$A$2:$A$600,MATCH(B1074,Roster!$E$2:$E$600,0)),""))</f>
        <v/>
      </c>
      <c r="F1074" s="10">
        <f>IF(C1074="","",IFERROR(INDEX(Levels!$C$2:$C$30,MATCH(C1074,Levels!$B$2:$B$30,0)),""))</f>
        <v/>
      </c>
      <c r="G1074" s="6" t="n"/>
      <c r="H1074" s="10">
        <f>IF(AND(B1074="",C1074=""),"",IF(G1074&lt;&gt;"","Void",IF(OR(B1074="",E1074=""),"Needs child",IF(D1074="","Needs level","OK"))))</f>
        <v/>
      </c>
    </row>
    <row r="1075">
      <c r="A1075" s="6" t="n"/>
      <c r="B1075" s="6" t="n"/>
      <c r="C1075" s="6" t="n"/>
      <c r="D1075" s="11">
        <f>IF(C1075="","",IFERROR(INDEX(Levels!$A$2:$A$30,MATCH(C1075,Levels!$B$2:$B$30,0)),""))</f>
        <v/>
      </c>
      <c r="E1075" s="10">
        <f>IF(B1075="","",IFERROR(INDEX(Roster!$A$2:$A$600,MATCH(B1075,Roster!$E$2:$E$600,0)),""))</f>
        <v/>
      </c>
      <c r="F1075" s="10">
        <f>IF(C1075="","",IFERROR(INDEX(Levels!$C$2:$C$30,MATCH(C1075,Levels!$B$2:$B$30,0)),""))</f>
        <v/>
      </c>
      <c r="G1075" s="6" t="n"/>
      <c r="H1075" s="10">
        <f>IF(AND(B1075="",C1075=""),"",IF(G1075&lt;&gt;"","Void",IF(OR(B1075="",E1075=""),"Needs child",IF(D1075="","Needs level","OK"))))</f>
        <v/>
      </c>
    </row>
    <row r="1076">
      <c r="A1076" s="6" t="n"/>
      <c r="B1076" s="6" t="n"/>
      <c r="C1076" s="6" t="n"/>
      <c r="D1076" s="11">
        <f>IF(C1076="","",IFERROR(INDEX(Levels!$A$2:$A$30,MATCH(C1076,Levels!$B$2:$B$30,0)),""))</f>
        <v/>
      </c>
      <c r="E1076" s="10">
        <f>IF(B1076="","",IFERROR(INDEX(Roster!$A$2:$A$600,MATCH(B1076,Roster!$E$2:$E$600,0)),""))</f>
        <v/>
      </c>
      <c r="F1076" s="10">
        <f>IF(C1076="","",IFERROR(INDEX(Levels!$C$2:$C$30,MATCH(C1076,Levels!$B$2:$B$30,0)),""))</f>
        <v/>
      </c>
      <c r="G1076" s="6" t="n"/>
      <c r="H1076" s="10">
        <f>IF(AND(B1076="",C1076=""),"",IF(G1076&lt;&gt;"","Void",IF(OR(B1076="",E1076=""),"Needs child",IF(D1076="","Needs level","OK"))))</f>
        <v/>
      </c>
    </row>
    <row r="1077">
      <c r="A1077" s="6" t="n"/>
      <c r="B1077" s="6" t="n"/>
      <c r="C1077" s="6" t="n"/>
      <c r="D1077" s="11">
        <f>IF(C1077="","",IFERROR(INDEX(Levels!$A$2:$A$30,MATCH(C1077,Levels!$B$2:$B$30,0)),""))</f>
        <v/>
      </c>
      <c r="E1077" s="10">
        <f>IF(B1077="","",IFERROR(INDEX(Roster!$A$2:$A$600,MATCH(B1077,Roster!$E$2:$E$600,0)),""))</f>
        <v/>
      </c>
      <c r="F1077" s="10">
        <f>IF(C1077="","",IFERROR(INDEX(Levels!$C$2:$C$30,MATCH(C1077,Levels!$B$2:$B$30,0)),""))</f>
        <v/>
      </c>
      <c r="G1077" s="6" t="n"/>
      <c r="H1077" s="10">
        <f>IF(AND(B1077="",C1077=""),"",IF(G1077&lt;&gt;"","Void",IF(OR(B1077="",E1077=""),"Needs child",IF(D1077="","Needs level","OK"))))</f>
        <v/>
      </c>
    </row>
    <row r="1078">
      <c r="A1078" s="6" t="n"/>
      <c r="B1078" s="6" t="n"/>
      <c r="C1078" s="6" t="n"/>
      <c r="D1078" s="11">
        <f>IF(C1078="","",IFERROR(INDEX(Levels!$A$2:$A$30,MATCH(C1078,Levels!$B$2:$B$30,0)),""))</f>
        <v/>
      </c>
      <c r="E1078" s="10">
        <f>IF(B1078="","",IFERROR(INDEX(Roster!$A$2:$A$600,MATCH(B1078,Roster!$E$2:$E$600,0)),""))</f>
        <v/>
      </c>
      <c r="F1078" s="10">
        <f>IF(C1078="","",IFERROR(INDEX(Levels!$C$2:$C$30,MATCH(C1078,Levels!$B$2:$B$30,0)),""))</f>
        <v/>
      </c>
      <c r="G1078" s="6" t="n"/>
      <c r="H1078" s="10">
        <f>IF(AND(B1078="",C1078=""),"",IF(G1078&lt;&gt;"","Void",IF(OR(B1078="",E1078=""),"Needs child",IF(D1078="","Needs level","OK"))))</f>
        <v/>
      </c>
    </row>
    <row r="1079">
      <c r="A1079" s="6" t="n"/>
      <c r="B1079" s="6" t="n"/>
      <c r="C1079" s="6" t="n"/>
      <c r="D1079" s="11">
        <f>IF(C1079="","",IFERROR(INDEX(Levels!$A$2:$A$30,MATCH(C1079,Levels!$B$2:$B$30,0)),""))</f>
        <v/>
      </c>
      <c r="E1079" s="10">
        <f>IF(B1079="","",IFERROR(INDEX(Roster!$A$2:$A$600,MATCH(B1079,Roster!$E$2:$E$600,0)),""))</f>
        <v/>
      </c>
      <c r="F1079" s="10">
        <f>IF(C1079="","",IFERROR(INDEX(Levels!$C$2:$C$30,MATCH(C1079,Levels!$B$2:$B$30,0)),""))</f>
        <v/>
      </c>
      <c r="G1079" s="6" t="n"/>
      <c r="H1079" s="10">
        <f>IF(AND(B1079="",C1079=""),"",IF(G1079&lt;&gt;"","Void",IF(OR(B1079="",E1079=""),"Needs child",IF(D1079="","Needs level","OK"))))</f>
        <v/>
      </c>
    </row>
    <row r="1080">
      <c r="A1080" s="6" t="n"/>
      <c r="B1080" s="6" t="n"/>
      <c r="C1080" s="6" t="n"/>
      <c r="D1080" s="11">
        <f>IF(C1080="","",IFERROR(INDEX(Levels!$A$2:$A$30,MATCH(C1080,Levels!$B$2:$B$30,0)),""))</f>
        <v/>
      </c>
      <c r="E1080" s="10">
        <f>IF(B1080="","",IFERROR(INDEX(Roster!$A$2:$A$600,MATCH(B1080,Roster!$E$2:$E$600,0)),""))</f>
        <v/>
      </c>
      <c r="F1080" s="10">
        <f>IF(C1080="","",IFERROR(INDEX(Levels!$C$2:$C$30,MATCH(C1080,Levels!$B$2:$B$30,0)),""))</f>
        <v/>
      </c>
      <c r="G1080" s="6" t="n"/>
      <c r="H1080" s="10">
        <f>IF(AND(B1080="",C1080=""),"",IF(G1080&lt;&gt;"","Void",IF(OR(B1080="",E1080=""),"Needs child",IF(D1080="","Needs level","OK"))))</f>
        <v/>
      </c>
    </row>
    <row r="1081">
      <c r="A1081" s="6" t="n"/>
      <c r="B1081" s="6" t="n"/>
      <c r="C1081" s="6" t="n"/>
      <c r="D1081" s="11">
        <f>IF(C1081="","",IFERROR(INDEX(Levels!$A$2:$A$30,MATCH(C1081,Levels!$B$2:$B$30,0)),""))</f>
        <v/>
      </c>
      <c r="E1081" s="10">
        <f>IF(B1081="","",IFERROR(INDEX(Roster!$A$2:$A$600,MATCH(B1081,Roster!$E$2:$E$600,0)),""))</f>
        <v/>
      </c>
      <c r="F1081" s="10">
        <f>IF(C1081="","",IFERROR(INDEX(Levels!$C$2:$C$30,MATCH(C1081,Levels!$B$2:$B$30,0)),""))</f>
        <v/>
      </c>
      <c r="G1081" s="6" t="n"/>
      <c r="H1081" s="10">
        <f>IF(AND(B1081="",C1081=""),"",IF(G1081&lt;&gt;"","Void",IF(OR(B1081="",E1081=""),"Needs child",IF(D1081="","Needs level","OK"))))</f>
        <v/>
      </c>
    </row>
    <row r="1082">
      <c r="A1082" s="6" t="n"/>
      <c r="B1082" s="6" t="n"/>
      <c r="C1082" s="6" t="n"/>
      <c r="D1082" s="11">
        <f>IF(C1082="","",IFERROR(INDEX(Levels!$A$2:$A$30,MATCH(C1082,Levels!$B$2:$B$30,0)),""))</f>
        <v/>
      </c>
      <c r="E1082" s="10">
        <f>IF(B1082="","",IFERROR(INDEX(Roster!$A$2:$A$600,MATCH(B1082,Roster!$E$2:$E$600,0)),""))</f>
        <v/>
      </c>
      <c r="F1082" s="10">
        <f>IF(C1082="","",IFERROR(INDEX(Levels!$C$2:$C$30,MATCH(C1082,Levels!$B$2:$B$30,0)),""))</f>
        <v/>
      </c>
      <c r="G1082" s="6" t="n"/>
      <c r="H1082" s="10">
        <f>IF(AND(B1082="",C1082=""),"",IF(G1082&lt;&gt;"","Void",IF(OR(B1082="",E1082=""),"Needs child",IF(D1082="","Needs level","OK"))))</f>
        <v/>
      </c>
    </row>
    <row r="1083">
      <c r="A1083" s="6" t="n"/>
      <c r="B1083" s="6" t="n"/>
      <c r="C1083" s="6" t="n"/>
      <c r="D1083" s="11">
        <f>IF(C1083="","",IFERROR(INDEX(Levels!$A$2:$A$30,MATCH(C1083,Levels!$B$2:$B$30,0)),""))</f>
        <v/>
      </c>
      <c r="E1083" s="10">
        <f>IF(B1083="","",IFERROR(INDEX(Roster!$A$2:$A$600,MATCH(B1083,Roster!$E$2:$E$600,0)),""))</f>
        <v/>
      </c>
      <c r="F1083" s="10">
        <f>IF(C1083="","",IFERROR(INDEX(Levels!$C$2:$C$30,MATCH(C1083,Levels!$B$2:$B$30,0)),""))</f>
        <v/>
      </c>
      <c r="G1083" s="6" t="n"/>
      <c r="H1083" s="10">
        <f>IF(AND(B1083="",C1083=""),"",IF(G1083&lt;&gt;"","Void",IF(OR(B1083="",E1083=""),"Needs child",IF(D1083="","Needs level","OK"))))</f>
        <v/>
      </c>
    </row>
    <row r="1084">
      <c r="A1084" s="6" t="n"/>
      <c r="B1084" s="6" t="n"/>
      <c r="C1084" s="6" t="n"/>
      <c r="D1084" s="11">
        <f>IF(C1084="","",IFERROR(INDEX(Levels!$A$2:$A$30,MATCH(C1084,Levels!$B$2:$B$30,0)),""))</f>
        <v/>
      </c>
      <c r="E1084" s="10">
        <f>IF(B1084="","",IFERROR(INDEX(Roster!$A$2:$A$600,MATCH(B1084,Roster!$E$2:$E$600,0)),""))</f>
        <v/>
      </c>
      <c r="F1084" s="10">
        <f>IF(C1084="","",IFERROR(INDEX(Levels!$C$2:$C$30,MATCH(C1084,Levels!$B$2:$B$30,0)),""))</f>
        <v/>
      </c>
      <c r="G1084" s="6" t="n"/>
      <c r="H1084" s="10">
        <f>IF(AND(B1084="",C1084=""),"",IF(G1084&lt;&gt;"","Void",IF(OR(B1084="",E1084=""),"Needs child",IF(D1084="","Needs level","OK"))))</f>
        <v/>
      </c>
    </row>
    <row r="1085">
      <c r="A1085" s="6" t="n"/>
      <c r="B1085" s="6" t="n"/>
      <c r="C1085" s="6" t="n"/>
      <c r="D1085" s="11">
        <f>IF(C1085="","",IFERROR(INDEX(Levels!$A$2:$A$30,MATCH(C1085,Levels!$B$2:$B$30,0)),""))</f>
        <v/>
      </c>
      <c r="E1085" s="10">
        <f>IF(B1085="","",IFERROR(INDEX(Roster!$A$2:$A$600,MATCH(B1085,Roster!$E$2:$E$600,0)),""))</f>
        <v/>
      </c>
      <c r="F1085" s="10">
        <f>IF(C1085="","",IFERROR(INDEX(Levels!$C$2:$C$30,MATCH(C1085,Levels!$B$2:$B$30,0)),""))</f>
        <v/>
      </c>
      <c r="G1085" s="6" t="n"/>
      <c r="H1085" s="10">
        <f>IF(AND(B1085="",C1085=""),"",IF(G1085&lt;&gt;"","Void",IF(OR(B1085="",E1085=""),"Needs child",IF(D1085="","Needs level","OK"))))</f>
        <v/>
      </c>
    </row>
    <row r="1086">
      <c r="A1086" s="6" t="n"/>
      <c r="B1086" s="6" t="n"/>
      <c r="C1086" s="6" t="n"/>
      <c r="D1086" s="11">
        <f>IF(C1086="","",IFERROR(INDEX(Levels!$A$2:$A$30,MATCH(C1086,Levels!$B$2:$B$30,0)),""))</f>
        <v/>
      </c>
      <c r="E1086" s="10">
        <f>IF(B1086="","",IFERROR(INDEX(Roster!$A$2:$A$600,MATCH(B1086,Roster!$E$2:$E$600,0)),""))</f>
        <v/>
      </c>
      <c r="F1086" s="10">
        <f>IF(C1086="","",IFERROR(INDEX(Levels!$C$2:$C$30,MATCH(C1086,Levels!$B$2:$B$30,0)),""))</f>
        <v/>
      </c>
      <c r="G1086" s="6" t="n"/>
      <c r="H1086" s="10">
        <f>IF(AND(B1086="",C1086=""),"",IF(G1086&lt;&gt;"","Void",IF(OR(B1086="",E1086=""),"Needs child",IF(D1086="","Needs level","OK"))))</f>
        <v/>
      </c>
    </row>
    <row r="1087">
      <c r="A1087" s="6" t="n"/>
      <c r="B1087" s="6" t="n"/>
      <c r="C1087" s="6" t="n"/>
      <c r="D1087" s="11">
        <f>IF(C1087="","",IFERROR(INDEX(Levels!$A$2:$A$30,MATCH(C1087,Levels!$B$2:$B$30,0)),""))</f>
        <v/>
      </c>
      <c r="E1087" s="10">
        <f>IF(B1087="","",IFERROR(INDEX(Roster!$A$2:$A$600,MATCH(B1087,Roster!$E$2:$E$600,0)),""))</f>
        <v/>
      </c>
      <c r="F1087" s="10">
        <f>IF(C1087="","",IFERROR(INDEX(Levels!$C$2:$C$30,MATCH(C1087,Levels!$B$2:$B$30,0)),""))</f>
        <v/>
      </c>
      <c r="G1087" s="6" t="n"/>
      <c r="H1087" s="10">
        <f>IF(AND(B1087="",C1087=""),"",IF(G1087&lt;&gt;"","Void",IF(OR(B1087="",E1087=""),"Needs child",IF(D1087="","Needs level","OK"))))</f>
        <v/>
      </c>
    </row>
    <row r="1088">
      <c r="A1088" s="6" t="n"/>
      <c r="B1088" s="6" t="n"/>
      <c r="C1088" s="6" t="n"/>
      <c r="D1088" s="11">
        <f>IF(C1088="","",IFERROR(INDEX(Levels!$A$2:$A$30,MATCH(C1088,Levels!$B$2:$B$30,0)),""))</f>
        <v/>
      </c>
      <c r="E1088" s="10">
        <f>IF(B1088="","",IFERROR(INDEX(Roster!$A$2:$A$600,MATCH(B1088,Roster!$E$2:$E$600,0)),""))</f>
        <v/>
      </c>
      <c r="F1088" s="10">
        <f>IF(C1088="","",IFERROR(INDEX(Levels!$C$2:$C$30,MATCH(C1088,Levels!$B$2:$B$30,0)),""))</f>
        <v/>
      </c>
      <c r="G1088" s="6" t="n"/>
      <c r="H1088" s="10">
        <f>IF(AND(B1088="",C1088=""),"",IF(G1088&lt;&gt;"","Void",IF(OR(B1088="",E1088=""),"Needs child",IF(D1088="","Needs level","OK"))))</f>
        <v/>
      </c>
    </row>
    <row r="1089">
      <c r="A1089" s="6" t="n"/>
      <c r="B1089" s="6" t="n"/>
      <c r="C1089" s="6" t="n"/>
      <c r="D1089" s="11">
        <f>IF(C1089="","",IFERROR(INDEX(Levels!$A$2:$A$30,MATCH(C1089,Levels!$B$2:$B$30,0)),""))</f>
        <v/>
      </c>
      <c r="E1089" s="10">
        <f>IF(B1089="","",IFERROR(INDEX(Roster!$A$2:$A$600,MATCH(B1089,Roster!$E$2:$E$600,0)),""))</f>
        <v/>
      </c>
      <c r="F1089" s="10">
        <f>IF(C1089="","",IFERROR(INDEX(Levels!$C$2:$C$30,MATCH(C1089,Levels!$B$2:$B$30,0)),""))</f>
        <v/>
      </c>
      <c r="G1089" s="6" t="n"/>
      <c r="H1089" s="10">
        <f>IF(AND(B1089="",C1089=""),"",IF(G1089&lt;&gt;"","Void",IF(OR(B1089="",E1089=""),"Needs child",IF(D1089="","Needs level","OK"))))</f>
        <v/>
      </c>
    </row>
    <row r="1090">
      <c r="A1090" s="6" t="n"/>
      <c r="B1090" s="6" t="n"/>
      <c r="C1090" s="6" t="n"/>
      <c r="D1090" s="11">
        <f>IF(C1090="","",IFERROR(INDEX(Levels!$A$2:$A$30,MATCH(C1090,Levels!$B$2:$B$30,0)),""))</f>
        <v/>
      </c>
      <c r="E1090" s="10">
        <f>IF(B1090="","",IFERROR(INDEX(Roster!$A$2:$A$600,MATCH(B1090,Roster!$E$2:$E$600,0)),""))</f>
        <v/>
      </c>
      <c r="F1090" s="10">
        <f>IF(C1090="","",IFERROR(INDEX(Levels!$C$2:$C$30,MATCH(C1090,Levels!$B$2:$B$30,0)),""))</f>
        <v/>
      </c>
      <c r="G1090" s="6" t="n"/>
      <c r="H1090" s="10">
        <f>IF(AND(B1090="",C1090=""),"",IF(G1090&lt;&gt;"","Void",IF(OR(B1090="",E1090=""),"Needs child",IF(D1090="","Needs level","OK"))))</f>
        <v/>
      </c>
    </row>
    <row r="1091">
      <c r="A1091" s="6" t="n"/>
      <c r="B1091" s="6" t="n"/>
      <c r="C1091" s="6" t="n"/>
      <c r="D1091" s="11">
        <f>IF(C1091="","",IFERROR(INDEX(Levels!$A$2:$A$30,MATCH(C1091,Levels!$B$2:$B$30,0)),""))</f>
        <v/>
      </c>
      <c r="E1091" s="10">
        <f>IF(B1091="","",IFERROR(INDEX(Roster!$A$2:$A$600,MATCH(B1091,Roster!$E$2:$E$600,0)),""))</f>
        <v/>
      </c>
      <c r="F1091" s="10">
        <f>IF(C1091="","",IFERROR(INDEX(Levels!$C$2:$C$30,MATCH(C1091,Levels!$B$2:$B$30,0)),""))</f>
        <v/>
      </c>
      <c r="G1091" s="6" t="n"/>
      <c r="H1091" s="10">
        <f>IF(AND(B1091="",C1091=""),"",IF(G1091&lt;&gt;"","Void",IF(OR(B1091="",E1091=""),"Needs child",IF(D1091="","Needs level","OK"))))</f>
        <v/>
      </c>
    </row>
    <row r="1092">
      <c r="A1092" s="6" t="n"/>
      <c r="B1092" s="6" t="n"/>
      <c r="C1092" s="6" t="n"/>
      <c r="D1092" s="11">
        <f>IF(C1092="","",IFERROR(INDEX(Levels!$A$2:$A$30,MATCH(C1092,Levels!$B$2:$B$30,0)),""))</f>
        <v/>
      </c>
      <c r="E1092" s="10">
        <f>IF(B1092="","",IFERROR(INDEX(Roster!$A$2:$A$600,MATCH(B1092,Roster!$E$2:$E$600,0)),""))</f>
        <v/>
      </c>
      <c r="F1092" s="10">
        <f>IF(C1092="","",IFERROR(INDEX(Levels!$C$2:$C$30,MATCH(C1092,Levels!$B$2:$B$30,0)),""))</f>
        <v/>
      </c>
      <c r="G1092" s="6" t="n"/>
      <c r="H1092" s="10">
        <f>IF(AND(B1092="",C1092=""),"",IF(G1092&lt;&gt;"","Void",IF(OR(B1092="",E1092=""),"Needs child",IF(D1092="","Needs level","OK"))))</f>
        <v/>
      </c>
    </row>
    <row r="1093">
      <c r="A1093" s="6" t="n"/>
      <c r="B1093" s="6" t="n"/>
      <c r="C1093" s="6" t="n"/>
      <c r="D1093" s="11">
        <f>IF(C1093="","",IFERROR(INDEX(Levels!$A$2:$A$30,MATCH(C1093,Levels!$B$2:$B$30,0)),""))</f>
        <v/>
      </c>
      <c r="E1093" s="10">
        <f>IF(B1093="","",IFERROR(INDEX(Roster!$A$2:$A$600,MATCH(B1093,Roster!$E$2:$E$600,0)),""))</f>
        <v/>
      </c>
      <c r="F1093" s="10">
        <f>IF(C1093="","",IFERROR(INDEX(Levels!$C$2:$C$30,MATCH(C1093,Levels!$B$2:$B$30,0)),""))</f>
        <v/>
      </c>
      <c r="G1093" s="6" t="n"/>
      <c r="H1093" s="10">
        <f>IF(AND(B1093="",C1093=""),"",IF(G1093&lt;&gt;"","Void",IF(OR(B1093="",E1093=""),"Needs child",IF(D1093="","Needs level","OK"))))</f>
        <v/>
      </c>
    </row>
    <row r="1094">
      <c r="A1094" s="6" t="n"/>
      <c r="B1094" s="6" t="n"/>
      <c r="C1094" s="6" t="n"/>
      <c r="D1094" s="11">
        <f>IF(C1094="","",IFERROR(INDEX(Levels!$A$2:$A$30,MATCH(C1094,Levels!$B$2:$B$30,0)),""))</f>
        <v/>
      </c>
      <c r="E1094" s="10">
        <f>IF(B1094="","",IFERROR(INDEX(Roster!$A$2:$A$600,MATCH(B1094,Roster!$E$2:$E$600,0)),""))</f>
        <v/>
      </c>
      <c r="F1094" s="10">
        <f>IF(C1094="","",IFERROR(INDEX(Levels!$C$2:$C$30,MATCH(C1094,Levels!$B$2:$B$30,0)),""))</f>
        <v/>
      </c>
      <c r="G1094" s="6" t="n"/>
      <c r="H1094" s="10">
        <f>IF(AND(B1094="",C1094=""),"",IF(G1094&lt;&gt;"","Void",IF(OR(B1094="",E1094=""),"Needs child",IF(D1094="","Needs level","OK"))))</f>
        <v/>
      </c>
    </row>
    <row r="1095">
      <c r="A1095" s="6" t="n"/>
      <c r="B1095" s="6" t="n"/>
      <c r="C1095" s="6" t="n"/>
      <c r="D1095" s="11">
        <f>IF(C1095="","",IFERROR(INDEX(Levels!$A$2:$A$30,MATCH(C1095,Levels!$B$2:$B$30,0)),""))</f>
        <v/>
      </c>
      <c r="E1095" s="10">
        <f>IF(B1095="","",IFERROR(INDEX(Roster!$A$2:$A$600,MATCH(B1095,Roster!$E$2:$E$600,0)),""))</f>
        <v/>
      </c>
      <c r="F1095" s="10">
        <f>IF(C1095="","",IFERROR(INDEX(Levels!$C$2:$C$30,MATCH(C1095,Levels!$B$2:$B$30,0)),""))</f>
        <v/>
      </c>
      <c r="G1095" s="6" t="n"/>
      <c r="H1095" s="10">
        <f>IF(AND(B1095="",C1095=""),"",IF(G1095&lt;&gt;"","Void",IF(OR(B1095="",E1095=""),"Needs child",IF(D1095="","Needs level","OK"))))</f>
        <v/>
      </c>
    </row>
    <row r="1096">
      <c r="A1096" s="6" t="n"/>
      <c r="B1096" s="6" t="n"/>
      <c r="C1096" s="6" t="n"/>
      <c r="D1096" s="11">
        <f>IF(C1096="","",IFERROR(INDEX(Levels!$A$2:$A$30,MATCH(C1096,Levels!$B$2:$B$30,0)),""))</f>
        <v/>
      </c>
      <c r="E1096" s="10">
        <f>IF(B1096="","",IFERROR(INDEX(Roster!$A$2:$A$600,MATCH(B1096,Roster!$E$2:$E$600,0)),""))</f>
        <v/>
      </c>
      <c r="F1096" s="10">
        <f>IF(C1096="","",IFERROR(INDEX(Levels!$C$2:$C$30,MATCH(C1096,Levels!$B$2:$B$30,0)),""))</f>
        <v/>
      </c>
      <c r="G1096" s="6" t="n"/>
      <c r="H1096" s="10">
        <f>IF(AND(B1096="",C1096=""),"",IF(G1096&lt;&gt;"","Void",IF(OR(B1096="",E1096=""),"Needs child",IF(D1096="","Needs level","OK"))))</f>
        <v/>
      </c>
    </row>
    <row r="1097">
      <c r="A1097" s="6" t="n"/>
      <c r="B1097" s="6" t="n"/>
      <c r="C1097" s="6" t="n"/>
      <c r="D1097" s="11">
        <f>IF(C1097="","",IFERROR(INDEX(Levels!$A$2:$A$30,MATCH(C1097,Levels!$B$2:$B$30,0)),""))</f>
        <v/>
      </c>
      <c r="E1097" s="10">
        <f>IF(B1097="","",IFERROR(INDEX(Roster!$A$2:$A$600,MATCH(B1097,Roster!$E$2:$E$600,0)),""))</f>
        <v/>
      </c>
      <c r="F1097" s="10">
        <f>IF(C1097="","",IFERROR(INDEX(Levels!$C$2:$C$30,MATCH(C1097,Levels!$B$2:$B$30,0)),""))</f>
        <v/>
      </c>
      <c r="G1097" s="6" t="n"/>
      <c r="H1097" s="10">
        <f>IF(AND(B1097="",C1097=""),"",IF(G1097&lt;&gt;"","Void",IF(OR(B1097="",E1097=""),"Needs child",IF(D1097="","Needs level","OK"))))</f>
        <v/>
      </c>
    </row>
    <row r="1098">
      <c r="A1098" s="6" t="n"/>
      <c r="B1098" s="6" t="n"/>
      <c r="C1098" s="6" t="n"/>
      <c r="D1098" s="11">
        <f>IF(C1098="","",IFERROR(INDEX(Levels!$A$2:$A$30,MATCH(C1098,Levels!$B$2:$B$30,0)),""))</f>
        <v/>
      </c>
      <c r="E1098" s="10">
        <f>IF(B1098="","",IFERROR(INDEX(Roster!$A$2:$A$600,MATCH(B1098,Roster!$E$2:$E$600,0)),""))</f>
        <v/>
      </c>
      <c r="F1098" s="10">
        <f>IF(C1098="","",IFERROR(INDEX(Levels!$C$2:$C$30,MATCH(C1098,Levels!$B$2:$B$30,0)),""))</f>
        <v/>
      </c>
      <c r="G1098" s="6" t="n"/>
      <c r="H1098" s="10">
        <f>IF(AND(B1098="",C1098=""),"",IF(G1098&lt;&gt;"","Void",IF(OR(B1098="",E1098=""),"Needs child",IF(D1098="","Needs level","OK"))))</f>
        <v/>
      </c>
    </row>
    <row r="1099">
      <c r="A1099" s="6" t="n"/>
      <c r="B1099" s="6" t="n"/>
      <c r="C1099" s="6" t="n"/>
      <c r="D1099" s="11">
        <f>IF(C1099="","",IFERROR(INDEX(Levels!$A$2:$A$30,MATCH(C1099,Levels!$B$2:$B$30,0)),""))</f>
        <v/>
      </c>
      <c r="E1099" s="10">
        <f>IF(B1099="","",IFERROR(INDEX(Roster!$A$2:$A$600,MATCH(B1099,Roster!$E$2:$E$600,0)),""))</f>
        <v/>
      </c>
      <c r="F1099" s="10">
        <f>IF(C1099="","",IFERROR(INDEX(Levels!$C$2:$C$30,MATCH(C1099,Levels!$B$2:$B$30,0)),""))</f>
        <v/>
      </c>
      <c r="G1099" s="6" t="n"/>
      <c r="H1099" s="10">
        <f>IF(AND(B1099="",C1099=""),"",IF(G1099&lt;&gt;"","Void",IF(OR(B1099="",E1099=""),"Needs child",IF(D1099="","Needs level","OK"))))</f>
        <v/>
      </c>
    </row>
    <row r="1100">
      <c r="A1100" s="6" t="n"/>
      <c r="B1100" s="6" t="n"/>
      <c r="C1100" s="6" t="n"/>
      <c r="D1100" s="11">
        <f>IF(C1100="","",IFERROR(INDEX(Levels!$A$2:$A$30,MATCH(C1100,Levels!$B$2:$B$30,0)),""))</f>
        <v/>
      </c>
      <c r="E1100" s="10">
        <f>IF(B1100="","",IFERROR(INDEX(Roster!$A$2:$A$600,MATCH(B1100,Roster!$E$2:$E$600,0)),""))</f>
        <v/>
      </c>
      <c r="F1100" s="10">
        <f>IF(C1100="","",IFERROR(INDEX(Levels!$C$2:$C$30,MATCH(C1100,Levels!$B$2:$B$30,0)),""))</f>
        <v/>
      </c>
      <c r="G1100" s="6" t="n"/>
      <c r="H1100" s="10">
        <f>IF(AND(B1100="",C1100=""),"",IF(G1100&lt;&gt;"","Void",IF(OR(B1100="",E1100=""),"Needs child",IF(D1100="","Needs level","OK"))))</f>
        <v/>
      </c>
    </row>
    <row r="1101">
      <c r="A1101" s="6" t="n"/>
      <c r="B1101" s="6" t="n"/>
      <c r="C1101" s="6" t="n"/>
      <c r="D1101" s="11">
        <f>IF(C1101="","",IFERROR(INDEX(Levels!$A$2:$A$30,MATCH(C1101,Levels!$B$2:$B$30,0)),""))</f>
        <v/>
      </c>
      <c r="E1101" s="10">
        <f>IF(B1101="","",IFERROR(INDEX(Roster!$A$2:$A$600,MATCH(B1101,Roster!$E$2:$E$600,0)),""))</f>
        <v/>
      </c>
      <c r="F1101" s="10">
        <f>IF(C1101="","",IFERROR(INDEX(Levels!$C$2:$C$30,MATCH(C1101,Levels!$B$2:$B$30,0)),""))</f>
        <v/>
      </c>
      <c r="G1101" s="6" t="n"/>
      <c r="H1101" s="10">
        <f>IF(AND(B1101="",C1101=""),"",IF(G1101&lt;&gt;"","Void",IF(OR(B1101="",E1101=""),"Needs child",IF(D1101="","Needs level","OK"))))</f>
        <v/>
      </c>
    </row>
    <row r="1102">
      <c r="A1102" s="6" t="n"/>
      <c r="B1102" s="6" t="n"/>
      <c r="C1102" s="6" t="n"/>
      <c r="D1102" s="11">
        <f>IF(C1102="","",IFERROR(INDEX(Levels!$A$2:$A$30,MATCH(C1102,Levels!$B$2:$B$30,0)),""))</f>
        <v/>
      </c>
      <c r="E1102" s="10">
        <f>IF(B1102="","",IFERROR(INDEX(Roster!$A$2:$A$600,MATCH(B1102,Roster!$E$2:$E$600,0)),""))</f>
        <v/>
      </c>
      <c r="F1102" s="10">
        <f>IF(C1102="","",IFERROR(INDEX(Levels!$C$2:$C$30,MATCH(C1102,Levels!$B$2:$B$30,0)),""))</f>
        <v/>
      </c>
      <c r="G1102" s="6" t="n"/>
      <c r="H1102" s="10">
        <f>IF(AND(B1102="",C1102=""),"",IF(G1102&lt;&gt;"","Void",IF(OR(B1102="",E1102=""),"Needs child",IF(D1102="","Needs level","OK"))))</f>
        <v/>
      </c>
    </row>
    <row r="1103">
      <c r="A1103" s="6" t="n"/>
      <c r="B1103" s="6" t="n"/>
      <c r="C1103" s="6" t="n"/>
      <c r="D1103" s="11">
        <f>IF(C1103="","",IFERROR(INDEX(Levels!$A$2:$A$30,MATCH(C1103,Levels!$B$2:$B$30,0)),""))</f>
        <v/>
      </c>
      <c r="E1103" s="10">
        <f>IF(B1103="","",IFERROR(INDEX(Roster!$A$2:$A$600,MATCH(B1103,Roster!$E$2:$E$600,0)),""))</f>
        <v/>
      </c>
      <c r="F1103" s="10">
        <f>IF(C1103="","",IFERROR(INDEX(Levels!$C$2:$C$30,MATCH(C1103,Levels!$B$2:$B$30,0)),""))</f>
        <v/>
      </c>
      <c r="G1103" s="6" t="n"/>
      <c r="H1103" s="10">
        <f>IF(AND(B1103="",C1103=""),"",IF(G1103&lt;&gt;"","Void",IF(OR(B1103="",E1103=""),"Needs child",IF(D1103="","Needs level","OK"))))</f>
        <v/>
      </c>
    </row>
    <row r="1104">
      <c r="A1104" s="6" t="n"/>
      <c r="B1104" s="6" t="n"/>
      <c r="C1104" s="6" t="n"/>
      <c r="D1104" s="11">
        <f>IF(C1104="","",IFERROR(INDEX(Levels!$A$2:$A$30,MATCH(C1104,Levels!$B$2:$B$30,0)),""))</f>
        <v/>
      </c>
      <c r="E1104" s="10">
        <f>IF(B1104="","",IFERROR(INDEX(Roster!$A$2:$A$600,MATCH(B1104,Roster!$E$2:$E$600,0)),""))</f>
        <v/>
      </c>
      <c r="F1104" s="10">
        <f>IF(C1104="","",IFERROR(INDEX(Levels!$C$2:$C$30,MATCH(C1104,Levels!$B$2:$B$30,0)),""))</f>
        <v/>
      </c>
      <c r="G1104" s="6" t="n"/>
      <c r="H1104" s="10">
        <f>IF(AND(B1104="",C1104=""),"",IF(G1104&lt;&gt;"","Void",IF(OR(B1104="",E1104=""),"Needs child",IF(D1104="","Needs level","OK"))))</f>
        <v/>
      </c>
    </row>
    <row r="1105">
      <c r="A1105" s="6" t="n"/>
      <c r="B1105" s="6" t="n"/>
      <c r="C1105" s="6" t="n"/>
      <c r="D1105" s="11">
        <f>IF(C1105="","",IFERROR(INDEX(Levels!$A$2:$A$30,MATCH(C1105,Levels!$B$2:$B$30,0)),""))</f>
        <v/>
      </c>
      <c r="E1105" s="10">
        <f>IF(B1105="","",IFERROR(INDEX(Roster!$A$2:$A$600,MATCH(B1105,Roster!$E$2:$E$600,0)),""))</f>
        <v/>
      </c>
      <c r="F1105" s="10">
        <f>IF(C1105="","",IFERROR(INDEX(Levels!$C$2:$C$30,MATCH(C1105,Levels!$B$2:$B$30,0)),""))</f>
        <v/>
      </c>
      <c r="G1105" s="6" t="n"/>
      <c r="H1105" s="10">
        <f>IF(AND(B1105="",C1105=""),"",IF(G1105&lt;&gt;"","Void",IF(OR(B1105="",E1105=""),"Needs child",IF(D1105="","Needs level","OK"))))</f>
        <v/>
      </c>
    </row>
    <row r="1106">
      <c r="A1106" s="6" t="n"/>
      <c r="B1106" s="6" t="n"/>
      <c r="C1106" s="6" t="n"/>
      <c r="D1106" s="11">
        <f>IF(C1106="","",IFERROR(INDEX(Levels!$A$2:$A$30,MATCH(C1106,Levels!$B$2:$B$30,0)),""))</f>
        <v/>
      </c>
      <c r="E1106" s="10">
        <f>IF(B1106="","",IFERROR(INDEX(Roster!$A$2:$A$600,MATCH(B1106,Roster!$E$2:$E$600,0)),""))</f>
        <v/>
      </c>
      <c r="F1106" s="10">
        <f>IF(C1106="","",IFERROR(INDEX(Levels!$C$2:$C$30,MATCH(C1106,Levels!$B$2:$B$30,0)),""))</f>
        <v/>
      </c>
      <c r="G1106" s="6" t="n"/>
      <c r="H1106" s="10">
        <f>IF(AND(B1106="",C1106=""),"",IF(G1106&lt;&gt;"","Void",IF(OR(B1106="",E1106=""),"Needs child",IF(D1106="","Needs level","OK"))))</f>
        <v/>
      </c>
    </row>
    <row r="1107">
      <c r="A1107" s="6" t="n"/>
      <c r="B1107" s="6" t="n"/>
      <c r="C1107" s="6" t="n"/>
      <c r="D1107" s="11">
        <f>IF(C1107="","",IFERROR(INDEX(Levels!$A$2:$A$30,MATCH(C1107,Levels!$B$2:$B$30,0)),""))</f>
        <v/>
      </c>
      <c r="E1107" s="10">
        <f>IF(B1107="","",IFERROR(INDEX(Roster!$A$2:$A$600,MATCH(B1107,Roster!$E$2:$E$600,0)),""))</f>
        <v/>
      </c>
      <c r="F1107" s="10">
        <f>IF(C1107="","",IFERROR(INDEX(Levels!$C$2:$C$30,MATCH(C1107,Levels!$B$2:$B$30,0)),""))</f>
        <v/>
      </c>
      <c r="G1107" s="6" t="n"/>
      <c r="H1107" s="10">
        <f>IF(AND(B1107="",C1107=""),"",IF(G1107&lt;&gt;"","Void",IF(OR(B1107="",E1107=""),"Needs child",IF(D1107="","Needs level","OK"))))</f>
        <v/>
      </c>
    </row>
    <row r="1108">
      <c r="A1108" s="6" t="n"/>
      <c r="B1108" s="6" t="n"/>
      <c r="C1108" s="6" t="n"/>
      <c r="D1108" s="11">
        <f>IF(C1108="","",IFERROR(INDEX(Levels!$A$2:$A$30,MATCH(C1108,Levels!$B$2:$B$30,0)),""))</f>
        <v/>
      </c>
      <c r="E1108" s="10">
        <f>IF(B1108="","",IFERROR(INDEX(Roster!$A$2:$A$600,MATCH(B1108,Roster!$E$2:$E$600,0)),""))</f>
        <v/>
      </c>
      <c r="F1108" s="10">
        <f>IF(C1108="","",IFERROR(INDEX(Levels!$C$2:$C$30,MATCH(C1108,Levels!$B$2:$B$30,0)),""))</f>
        <v/>
      </c>
      <c r="G1108" s="6" t="n"/>
      <c r="H1108" s="10">
        <f>IF(AND(B1108="",C1108=""),"",IF(G1108&lt;&gt;"","Void",IF(OR(B1108="",E1108=""),"Needs child",IF(D1108="","Needs level","OK"))))</f>
        <v/>
      </c>
    </row>
    <row r="1109">
      <c r="A1109" s="6" t="n"/>
      <c r="B1109" s="6" t="n"/>
      <c r="C1109" s="6" t="n"/>
      <c r="D1109" s="11">
        <f>IF(C1109="","",IFERROR(INDEX(Levels!$A$2:$A$30,MATCH(C1109,Levels!$B$2:$B$30,0)),""))</f>
        <v/>
      </c>
      <c r="E1109" s="10">
        <f>IF(B1109="","",IFERROR(INDEX(Roster!$A$2:$A$600,MATCH(B1109,Roster!$E$2:$E$600,0)),""))</f>
        <v/>
      </c>
      <c r="F1109" s="10">
        <f>IF(C1109="","",IFERROR(INDEX(Levels!$C$2:$C$30,MATCH(C1109,Levels!$B$2:$B$30,0)),""))</f>
        <v/>
      </c>
      <c r="G1109" s="6" t="n"/>
      <c r="H1109" s="10">
        <f>IF(AND(B1109="",C1109=""),"",IF(G1109&lt;&gt;"","Void",IF(OR(B1109="",E1109=""),"Needs child",IF(D1109="","Needs level","OK"))))</f>
        <v/>
      </c>
    </row>
    <row r="1110">
      <c r="A1110" s="6" t="n"/>
      <c r="B1110" s="6" t="n"/>
      <c r="C1110" s="6" t="n"/>
      <c r="D1110" s="11">
        <f>IF(C1110="","",IFERROR(INDEX(Levels!$A$2:$A$30,MATCH(C1110,Levels!$B$2:$B$30,0)),""))</f>
        <v/>
      </c>
      <c r="E1110" s="10">
        <f>IF(B1110="","",IFERROR(INDEX(Roster!$A$2:$A$600,MATCH(B1110,Roster!$E$2:$E$600,0)),""))</f>
        <v/>
      </c>
      <c r="F1110" s="10">
        <f>IF(C1110="","",IFERROR(INDEX(Levels!$C$2:$C$30,MATCH(C1110,Levels!$B$2:$B$30,0)),""))</f>
        <v/>
      </c>
      <c r="G1110" s="6" t="n"/>
      <c r="H1110" s="10">
        <f>IF(AND(B1110="",C1110=""),"",IF(G1110&lt;&gt;"","Void",IF(OR(B1110="",E1110=""),"Needs child",IF(D1110="","Needs level","OK"))))</f>
        <v/>
      </c>
    </row>
    <row r="1111">
      <c r="A1111" s="6" t="n"/>
      <c r="B1111" s="6" t="n"/>
      <c r="C1111" s="6" t="n"/>
      <c r="D1111" s="11">
        <f>IF(C1111="","",IFERROR(INDEX(Levels!$A$2:$A$30,MATCH(C1111,Levels!$B$2:$B$30,0)),""))</f>
        <v/>
      </c>
      <c r="E1111" s="10">
        <f>IF(B1111="","",IFERROR(INDEX(Roster!$A$2:$A$600,MATCH(B1111,Roster!$E$2:$E$600,0)),""))</f>
        <v/>
      </c>
      <c r="F1111" s="10">
        <f>IF(C1111="","",IFERROR(INDEX(Levels!$C$2:$C$30,MATCH(C1111,Levels!$B$2:$B$30,0)),""))</f>
        <v/>
      </c>
      <c r="G1111" s="6" t="n"/>
      <c r="H1111" s="10">
        <f>IF(AND(B1111="",C1111=""),"",IF(G1111&lt;&gt;"","Void",IF(OR(B1111="",E1111=""),"Needs child",IF(D1111="","Needs level","OK"))))</f>
        <v/>
      </c>
    </row>
    <row r="1112">
      <c r="A1112" s="6" t="n"/>
      <c r="B1112" s="6" t="n"/>
      <c r="C1112" s="6" t="n"/>
      <c r="D1112" s="11">
        <f>IF(C1112="","",IFERROR(INDEX(Levels!$A$2:$A$30,MATCH(C1112,Levels!$B$2:$B$30,0)),""))</f>
        <v/>
      </c>
      <c r="E1112" s="10">
        <f>IF(B1112="","",IFERROR(INDEX(Roster!$A$2:$A$600,MATCH(B1112,Roster!$E$2:$E$600,0)),""))</f>
        <v/>
      </c>
      <c r="F1112" s="10">
        <f>IF(C1112="","",IFERROR(INDEX(Levels!$C$2:$C$30,MATCH(C1112,Levels!$B$2:$B$30,0)),""))</f>
        <v/>
      </c>
      <c r="G1112" s="6" t="n"/>
      <c r="H1112" s="10">
        <f>IF(AND(B1112="",C1112=""),"",IF(G1112&lt;&gt;"","Void",IF(OR(B1112="",E1112=""),"Needs child",IF(D1112="","Needs level","OK"))))</f>
        <v/>
      </c>
    </row>
    <row r="1113">
      <c r="A1113" s="6" t="n"/>
      <c r="B1113" s="6" t="n"/>
      <c r="C1113" s="6" t="n"/>
      <c r="D1113" s="11">
        <f>IF(C1113="","",IFERROR(INDEX(Levels!$A$2:$A$30,MATCH(C1113,Levels!$B$2:$B$30,0)),""))</f>
        <v/>
      </c>
      <c r="E1113" s="10">
        <f>IF(B1113="","",IFERROR(INDEX(Roster!$A$2:$A$600,MATCH(B1113,Roster!$E$2:$E$600,0)),""))</f>
        <v/>
      </c>
      <c r="F1113" s="10">
        <f>IF(C1113="","",IFERROR(INDEX(Levels!$C$2:$C$30,MATCH(C1113,Levels!$B$2:$B$30,0)),""))</f>
        <v/>
      </c>
      <c r="G1113" s="6" t="n"/>
      <c r="H1113" s="10">
        <f>IF(AND(B1113="",C1113=""),"",IF(G1113&lt;&gt;"","Void",IF(OR(B1113="",E1113=""),"Needs child",IF(D1113="","Needs level","OK"))))</f>
        <v/>
      </c>
    </row>
    <row r="1114">
      <c r="A1114" s="6" t="n"/>
      <c r="B1114" s="6" t="n"/>
      <c r="C1114" s="6" t="n"/>
      <c r="D1114" s="11">
        <f>IF(C1114="","",IFERROR(INDEX(Levels!$A$2:$A$30,MATCH(C1114,Levels!$B$2:$B$30,0)),""))</f>
        <v/>
      </c>
      <c r="E1114" s="10">
        <f>IF(B1114="","",IFERROR(INDEX(Roster!$A$2:$A$600,MATCH(B1114,Roster!$E$2:$E$600,0)),""))</f>
        <v/>
      </c>
      <c r="F1114" s="10">
        <f>IF(C1114="","",IFERROR(INDEX(Levels!$C$2:$C$30,MATCH(C1114,Levels!$B$2:$B$30,0)),""))</f>
        <v/>
      </c>
      <c r="G1114" s="6" t="n"/>
      <c r="H1114" s="10">
        <f>IF(AND(B1114="",C1114=""),"",IF(G1114&lt;&gt;"","Void",IF(OR(B1114="",E1114=""),"Needs child",IF(D1114="","Needs level","OK"))))</f>
        <v/>
      </c>
    </row>
    <row r="1115">
      <c r="A1115" s="6" t="n"/>
      <c r="B1115" s="6" t="n"/>
      <c r="C1115" s="6" t="n"/>
      <c r="D1115" s="11">
        <f>IF(C1115="","",IFERROR(INDEX(Levels!$A$2:$A$30,MATCH(C1115,Levels!$B$2:$B$30,0)),""))</f>
        <v/>
      </c>
      <c r="E1115" s="10">
        <f>IF(B1115="","",IFERROR(INDEX(Roster!$A$2:$A$600,MATCH(B1115,Roster!$E$2:$E$600,0)),""))</f>
        <v/>
      </c>
      <c r="F1115" s="10">
        <f>IF(C1115="","",IFERROR(INDEX(Levels!$C$2:$C$30,MATCH(C1115,Levels!$B$2:$B$30,0)),""))</f>
        <v/>
      </c>
      <c r="G1115" s="6" t="n"/>
      <c r="H1115" s="10">
        <f>IF(AND(B1115="",C1115=""),"",IF(G1115&lt;&gt;"","Void",IF(OR(B1115="",E1115=""),"Needs child",IF(D1115="","Needs level","OK"))))</f>
        <v/>
      </c>
    </row>
    <row r="1116">
      <c r="A1116" s="6" t="n"/>
      <c r="B1116" s="6" t="n"/>
      <c r="C1116" s="6" t="n"/>
      <c r="D1116" s="11">
        <f>IF(C1116="","",IFERROR(INDEX(Levels!$A$2:$A$30,MATCH(C1116,Levels!$B$2:$B$30,0)),""))</f>
        <v/>
      </c>
      <c r="E1116" s="10">
        <f>IF(B1116="","",IFERROR(INDEX(Roster!$A$2:$A$600,MATCH(B1116,Roster!$E$2:$E$600,0)),""))</f>
        <v/>
      </c>
      <c r="F1116" s="10">
        <f>IF(C1116="","",IFERROR(INDEX(Levels!$C$2:$C$30,MATCH(C1116,Levels!$B$2:$B$30,0)),""))</f>
        <v/>
      </c>
      <c r="G1116" s="6" t="n"/>
      <c r="H1116" s="10">
        <f>IF(AND(B1116="",C1116=""),"",IF(G1116&lt;&gt;"","Void",IF(OR(B1116="",E1116=""),"Needs child",IF(D1116="","Needs level","OK"))))</f>
        <v/>
      </c>
    </row>
    <row r="1117">
      <c r="A1117" s="6" t="n"/>
      <c r="B1117" s="6" t="n"/>
      <c r="C1117" s="6" t="n"/>
      <c r="D1117" s="11">
        <f>IF(C1117="","",IFERROR(INDEX(Levels!$A$2:$A$30,MATCH(C1117,Levels!$B$2:$B$30,0)),""))</f>
        <v/>
      </c>
      <c r="E1117" s="10">
        <f>IF(B1117="","",IFERROR(INDEX(Roster!$A$2:$A$600,MATCH(B1117,Roster!$E$2:$E$600,0)),""))</f>
        <v/>
      </c>
      <c r="F1117" s="10">
        <f>IF(C1117="","",IFERROR(INDEX(Levels!$C$2:$C$30,MATCH(C1117,Levels!$B$2:$B$30,0)),""))</f>
        <v/>
      </c>
      <c r="G1117" s="6" t="n"/>
      <c r="H1117" s="10">
        <f>IF(AND(B1117="",C1117=""),"",IF(G1117&lt;&gt;"","Void",IF(OR(B1117="",E1117=""),"Needs child",IF(D1117="","Needs level","OK"))))</f>
        <v/>
      </c>
    </row>
    <row r="1118">
      <c r="A1118" s="6" t="n"/>
      <c r="B1118" s="6" t="n"/>
      <c r="C1118" s="6" t="n"/>
      <c r="D1118" s="11">
        <f>IF(C1118="","",IFERROR(INDEX(Levels!$A$2:$A$30,MATCH(C1118,Levels!$B$2:$B$30,0)),""))</f>
        <v/>
      </c>
      <c r="E1118" s="10">
        <f>IF(B1118="","",IFERROR(INDEX(Roster!$A$2:$A$600,MATCH(B1118,Roster!$E$2:$E$600,0)),""))</f>
        <v/>
      </c>
      <c r="F1118" s="10">
        <f>IF(C1118="","",IFERROR(INDEX(Levels!$C$2:$C$30,MATCH(C1118,Levels!$B$2:$B$30,0)),""))</f>
        <v/>
      </c>
      <c r="G1118" s="6" t="n"/>
      <c r="H1118" s="10">
        <f>IF(AND(B1118="",C1118=""),"",IF(G1118&lt;&gt;"","Void",IF(OR(B1118="",E1118=""),"Needs child",IF(D1118="","Needs level","OK"))))</f>
        <v/>
      </c>
    </row>
    <row r="1119">
      <c r="A1119" s="6" t="n"/>
      <c r="B1119" s="6" t="n"/>
      <c r="C1119" s="6" t="n"/>
      <c r="D1119" s="11">
        <f>IF(C1119="","",IFERROR(INDEX(Levels!$A$2:$A$30,MATCH(C1119,Levels!$B$2:$B$30,0)),""))</f>
        <v/>
      </c>
      <c r="E1119" s="10">
        <f>IF(B1119="","",IFERROR(INDEX(Roster!$A$2:$A$600,MATCH(B1119,Roster!$E$2:$E$600,0)),""))</f>
        <v/>
      </c>
      <c r="F1119" s="10">
        <f>IF(C1119="","",IFERROR(INDEX(Levels!$C$2:$C$30,MATCH(C1119,Levels!$B$2:$B$30,0)),""))</f>
        <v/>
      </c>
      <c r="G1119" s="6" t="n"/>
      <c r="H1119" s="10">
        <f>IF(AND(B1119="",C1119=""),"",IF(G1119&lt;&gt;"","Void",IF(OR(B1119="",E1119=""),"Needs child",IF(D1119="","Needs level","OK"))))</f>
        <v/>
      </c>
    </row>
    <row r="1120">
      <c r="A1120" s="6" t="n"/>
      <c r="B1120" s="6" t="n"/>
      <c r="C1120" s="6" t="n"/>
      <c r="D1120" s="11">
        <f>IF(C1120="","",IFERROR(INDEX(Levels!$A$2:$A$30,MATCH(C1120,Levels!$B$2:$B$30,0)),""))</f>
        <v/>
      </c>
      <c r="E1120" s="10">
        <f>IF(B1120="","",IFERROR(INDEX(Roster!$A$2:$A$600,MATCH(B1120,Roster!$E$2:$E$600,0)),""))</f>
        <v/>
      </c>
      <c r="F1120" s="10">
        <f>IF(C1120="","",IFERROR(INDEX(Levels!$C$2:$C$30,MATCH(C1120,Levels!$B$2:$B$30,0)),""))</f>
        <v/>
      </c>
      <c r="G1120" s="6" t="n"/>
      <c r="H1120" s="10">
        <f>IF(AND(B1120="",C1120=""),"",IF(G1120&lt;&gt;"","Void",IF(OR(B1120="",E1120=""),"Needs child",IF(D1120="","Needs level","OK"))))</f>
        <v/>
      </c>
    </row>
    <row r="1121">
      <c r="A1121" s="6" t="n"/>
      <c r="B1121" s="6" t="n"/>
      <c r="C1121" s="6" t="n"/>
      <c r="D1121" s="11">
        <f>IF(C1121="","",IFERROR(INDEX(Levels!$A$2:$A$30,MATCH(C1121,Levels!$B$2:$B$30,0)),""))</f>
        <v/>
      </c>
      <c r="E1121" s="10">
        <f>IF(B1121="","",IFERROR(INDEX(Roster!$A$2:$A$600,MATCH(B1121,Roster!$E$2:$E$600,0)),""))</f>
        <v/>
      </c>
      <c r="F1121" s="10">
        <f>IF(C1121="","",IFERROR(INDEX(Levels!$C$2:$C$30,MATCH(C1121,Levels!$B$2:$B$30,0)),""))</f>
        <v/>
      </c>
      <c r="G1121" s="6" t="n"/>
      <c r="H1121" s="10">
        <f>IF(AND(B1121="",C1121=""),"",IF(G1121&lt;&gt;"","Void",IF(OR(B1121="",E1121=""),"Needs child",IF(D1121="","Needs level","OK"))))</f>
        <v/>
      </c>
    </row>
    <row r="1122">
      <c r="A1122" s="6" t="n"/>
      <c r="B1122" s="6" t="n"/>
      <c r="C1122" s="6" t="n"/>
      <c r="D1122" s="11">
        <f>IF(C1122="","",IFERROR(INDEX(Levels!$A$2:$A$30,MATCH(C1122,Levels!$B$2:$B$30,0)),""))</f>
        <v/>
      </c>
      <c r="E1122" s="10">
        <f>IF(B1122="","",IFERROR(INDEX(Roster!$A$2:$A$600,MATCH(B1122,Roster!$E$2:$E$600,0)),""))</f>
        <v/>
      </c>
      <c r="F1122" s="10">
        <f>IF(C1122="","",IFERROR(INDEX(Levels!$C$2:$C$30,MATCH(C1122,Levels!$B$2:$B$30,0)),""))</f>
        <v/>
      </c>
      <c r="G1122" s="6" t="n"/>
      <c r="H1122" s="10">
        <f>IF(AND(B1122="",C1122=""),"",IF(G1122&lt;&gt;"","Void",IF(OR(B1122="",E1122=""),"Needs child",IF(D1122="","Needs level","OK"))))</f>
        <v/>
      </c>
    </row>
    <row r="1123">
      <c r="A1123" s="6" t="n"/>
      <c r="B1123" s="6" t="n"/>
      <c r="C1123" s="6" t="n"/>
      <c r="D1123" s="11">
        <f>IF(C1123="","",IFERROR(INDEX(Levels!$A$2:$A$30,MATCH(C1123,Levels!$B$2:$B$30,0)),""))</f>
        <v/>
      </c>
      <c r="E1123" s="10">
        <f>IF(B1123="","",IFERROR(INDEX(Roster!$A$2:$A$600,MATCH(B1123,Roster!$E$2:$E$600,0)),""))</f>
        <v/>
      </c>
      <c r="F1123" s="10">
        <f>IF(C1123="","",IFERROR(INDEX(Levels!$C$2:$C$30,MATCH(C1123,Levels!$B$2:$B$30,0)),""))</f>
        <v/>
      </c>
      <c r="G1123" s="6" t="n"/>
      <c r="H1123" s="10">
        <f>IF(AND(B1123="",C1123=""),"",IF(G1123&lt;&gt;"","Void",IF(OR(B1123="",E1123=""),"Needs child",IF(D1123="","Needs level","OK"))))</f>
        <v/>
      </c>
    </row>
    <row r="1124">
      <c r="A1124" s="6" t="n"/>
      <c r="B1124" s="6" t="n"/>
      <c r="C1124" s="6" t="n"/>
      <c r="D1124" s="11">
        <f>IF(C1124="","",IFERROR(INDEX(Levels!$A$2:$A$30,MATCH(C1124,Levels!$B$2:$B$30,0)),""))</f>
        <v/>
      </c>
      <c r="E1124" s="10">
        <f>IF(B1124="","",IFERROR(INDEX(Roster!$A$2:$A$600,MATCH(B1124,Roster!$E$2:$E$600,0)),""))</f>
        <v/>
      </c>
      <c r="F1124" s="10">
        <f>IF(C1124="","",IFERROR(INDEX(Levels!$C$2:$C$30,MATCH(C1124,Levels!$B$2:$B$30,0)),""))</f>
        <v/>
      </c>
      <c r="G1124" s="6" t="n"/>
      <c r="H1124" s="10">
        <f>IF(AND(B1124="",C1124=""),"",IF(G1124&lt;&gt;"","Void",IF(OR(B1124="",E1124=""),"Needs child",IF(D1124="","Needs level","OK"))))</f>
        <v/>
      </c>
    </row>
    <row r="1125">
      <c r="A1125" s="6" t="n"/>
      <c r="B1125" s="6" t="n"/>
      <c r="C1125" s="6" t="n"/>
      <c r="D1125" s="11">
        <f>IF(C1125="","",IFERROR(INDEX(Levels!$A$2:$A$30,MATCH(C1125,Levels!$B$2:$B$30,0)),""))</f>
        <v/>
      </c>
      <c r="E1125" s="10">
        <f>IF(B1125="","",IFERROR(INDEX(Roster!$A$2:$A$600,MATCH(B1125,Roster!$E$2:$E$600,0)),""))</f>
        <v/>
      </c>
      <c r="F1125" s="10">
        <f>IF(C1125="","",IFERROR(INDEX(Levels!$C$2:$C$30,MATCH(C1125,Levels!$B$2:$B$30,0)),""))</f>
        <v/>
      </c>
      <c r="G1125" s="6" t="n"/>
      <c r="H1125" s="10">
        <f>IF(AND(B1125="",C1125=""),"",IF(G1125&lt;&gt;"","Void",IF(OR(B1125="",E1125=""),"Needs child",IF(D1125="","Needs level","OK"))))</f>
        <v/>
      </c>
    </row>
    <row r="1126">
      <c r="A1126" s="6" t="n"/>
      <c r="B1126" s="6" t="n"/>
      <c r="C1126" s="6" t="n"/>
      <c r="D1126" s="11">
        <f>IF(C1126="","",IFERROR(INDEX(Levels!$A$2:$A$30,MATCH(C1126,Levels!$B$2:$B$30,0)),""))</f>
        <v/>
      </c>
      <c r="E1126" s="10">
        <f>IF(B1126="","",IFERROR(INDEX(Roster!$A$2:$A$600,MATCH(B1126,Roster!$E$2:$E$600,0)),""))</f>
        <v/>
      </c>
      <c r="F1126" s="10">
        <f>IF(C1126="","",IFERROR(INDEX(Levels!$C$2:$C$30,MATCH(C1126,Levels!$B$2:$B$30,0)),""))</f>
        <v/>
      </c>
      <c r="G1126" s="6" t="n"/>
      <c r="H1126" s="10">
        <f>IF(AND(B1126="",C1126=""),"",IF(G1126&lt;&gt;"","Void",IF(OR(B1126="",E1126=""),"Needs child",IF(D1126="","Needs level","OK"))))</f>
        <v/>
      </c>
    </row>
    <row r="1127">
      <c r="A1127" s="6" t="n"/>
      <c r="B1127" s="6" t="n"/>
      <c r="C1127" s="6" t="n"/>
      <c r="D1127" s="11">
        <f>IF(C1127="","",IFERROR(INDEX(Levels!$A$2:$A$30,MATCH(C1127,Levels!$B$2:$B$30,0)),""))</f>
        <v/>
      </c>
      <c r="E1127" s="10">
        <f>IF(B1127="","",IFERROR(INDEX(Roster!$A$2:$A$600,MATCH(B1127,Roster!$E$2:$E$600,0)),""))</f>
        <v/>
      </c>
      <c r="F1127" s="10">
        <f>IF(C1127="","",IFERROR(INDEX(Levels!$C$2:$C$30,MATCH(C1127,Levels!$B$2:$B$30,0)),""))</f>
        <v/>
      </c>
      <c r="G1127" s="6" t="n"/>
      <c r="H1127" s="10">
        <f>IF(AND(B1127="",C1127=""),"",IF(G1127&lt;&gt;"","Void",IF(OR(B1127="",E1127=""),"Needs child",IF(D1127="","Needs level","OK"))))</f>
        <v/>
      </c>
    </row>
    <row r="1128">
      <c r="A1128" s="6" t="n"/>
      <c r="B1128" s="6" t="n"/>
      <c r="C1128" s="6" t="n"/>
      <c r="D1128" s="11">
        <f>IF(C1128="","",IFERROR(INDEX(Levels!$A$2:$A$30,MATCH(C1128,Levels!$B$2:$B$30,0)),""))</f>
        <v/>
      </c>
      <c r="E1128" s="10">
        <f>IF(B1128="","",IFERROR(INDEX(Roster!$A$2:$A$600,MATCH(B1128,Roster!$E$2:$E$600,0)),""))</f>
        <v/>
      </c>
      <c r="F1128" s="10">
        <f>IF(C1128="","",IFERROR(INDEX(Levels!$C$2:$C$30,MATCH(C1128,Levels!$B$2:$B$30,0)),""))</f>
        <v/>
      </c>
      <c r="G1128" s="6" t="n"/>
      <c r="H1128" s="10">
        <f>IF(AND(B1128="",C1128=""),"",IF(G1128&lt;&gt;"","Void",IF(OR(B1128="",E1128=""),"Needs child",IF(D1128="","Needs level","OK"))))</f>
        <v/>
      </c>
    </row>
    <row r="1129">
      <c r="A1129" s="6" t="n"/>
      <c r="B1129" s="6" t="n"/>
      <c r="C1129" s="6" t="n"/>
      <c r="D1129" s="11">
        <f>IF(C1129="","",IFERROR(INDEX(Levels!$A$2:$A$30,MATCH(C1129,Levels!$B$2:$B$30,0)),""))</f>
        <v/>
      </c>
      <c r="E1129" s="10">
        <f>IF(B1129="","",IFERROR(INDEX(Roster!$A$2:$A$600,MATCH(B1129,Roster!$E$2:$E$600,0)),""))</f>
        <v/>
      </c>
      <c r="F1129" s="10">
        <f>IF(C1129="","",IFERROR(INDEX(Levels!$C$2:$C$30,MATCH(C1129,Levels!$B$2:$B$30,0)),""))</f>
        <v/>
      </c>
      <c r="G1129" s="6" t="n"/>
      <c r="H1129" s="10">
        <f>IF(AND(B1129="",C1129=""),"",IF(G1129&lt;&gt;"","Void",IF(OR(B1129="",E1129=""),"Needs child",IF(D1129="","Needs level","OK"))))</f>
        <v/>
      </c>
    </row>
    <row r="1130">
      <c r="A1130" s="6" t="n"/>
      <c r="B1130" s="6" t="n"/>
      <c r="C1130" s="6" t="n"/>
      <c r="D1130" s="11">
        <f>IF(C1130="","",IFERROR(INDEX(Levels!$A$2:$A$30,MATCH(C1130,Levels!$B$2:$B$30,0)),""))</f>
        <v/>
      </c>
      <c r="E1130" s="10">
        <f>IF(B1130="","",IFERROR(INDEX(Roster!$A$2:$A$600,MATCH(B1130,Roster!$E$2:$E$600,0)),""))</f>
        <v/>
      </c>
      <c r="F1130" s="10">
        <f>IF(C1130="","",IFERROR(INDEX(Levels!$C$2:$C$30,MATCH(C1130,Levels!$B$2:$B$30,0)),""))</f>
        <v/>
      </c>
      <c r="G1130" s="6" t="n"/>
      <c r="H1130" s="10">
        <f>IF(AND(B1130="",C1130=""),"",IF(G1130&lt;&gt;"","Void",IF(OR(B1130="",E1130=""),"Needs child",IF(D1130="","Needs level","OK"))))</f>
        <v/>
      </c>
    </row>
    <row r="1131">
      <c r="A1131" s="6" t="n"/>
      <c r="B1131" s="6" t="n"/>
      <c r="C1131" s="6" t="n"/>
      <c r="D1131" s="11">
        <f>IF(C1131="","",IFERROR(INDEX(Levels!$A$2:$A$30,MATCH(C1131,Levels!$B$2:$B$30,0)),""))</f>
        <v/>
      </c>
      <c r="E1131" s="10">
        <f>IF(B1131="","",IFERROR(INDEX(Roster!$A$2:$A$600,MATCH(B1131,Roster!$E$2:$E$600,0)),""))</f>
        <v/>
      </c>
      <c r="F1131" s="10">
        <f>IF(C1131="","",IFERROR(INDEX(Levels!$C$2:$C$30,MATCH(C1131,Levels!$B$2:$B$30,0)),""))</f>
        <v/>
      </c>
      <c r="G1131" s="6" t="n"/>
      <c r="H1131" s="10">
        <f>IF(AND(B1131="",C1131=""),"",IF(G1131&lt;&gt;"","Void",IF(OR(B1131="",E1131=""),"Needs child",IF(D1131="","Needs level","OK"))))</f>
        <v/>
      </c>
    </row>
    <row r="1132">
      <c r="A1132" s="6" t="n"/>
      <c r="B1132" s="6" t="n"/>
      <c r="C1132" s="6" t="n"/>
      <c r="D1132" s="11">
        <f>IF(C1132="","",IFERROR(INDEX(Levels!$A$2:$A$30,MATCH(C1132,Levels!$B$2:$B$30,0)),""))</f>
        <v/>
      </c>
      <c r="E1132" s="10">
        <f>IF(B1132="","",IFERROR(INDEX(Roster!$A$2:$A$600,MATCH(B1132,Roster!$E$2:$E$600,0)),""))</f>
        <v/>
      </c>
      <c r="F1132" s="10">
        <f>IF(C1132="","",IFERROR(INDEX(Levels!$C$2:$C$30,MATCH(C1132,Levels!$B$2:$B$30,0)),""))</f>
        <v/>
      </c>
      <c r="G1132" s="6" t="n"/>
      <c r="H1132" s="10">
        <f>IF(AND(B1132="",C1132=""),"",IF(G1132&lt;&gt;"","Void",IF(OR(B1132="",E1132=""),"Needs child",IF(D1132="","Needs level","OK"))))</f>
        <v/>
      </c>
    </row>
    <row r="1133">
      <c r="A1133" s="6" t="n"/>
      <c r="B1133" s="6" t="n"/>
      <c r="C1133" s="6" t="n"/>
      <c r="D1133" s="11">
        <f>IF(C1133="","",IFERROR(INDEX(Levels!$A$2:$A$30,MATCH(C1133,Levels!$B$2:$B$30,0)),""))</f>
        <v/>
      </c>
      <c r="E1133" s="10">
        <f>IF(B1133="","",IFERROR(INDEX(Roster!$A$2:$A$600,MATCH(B1133,Roster!$E$2:$E$600,0)),""))</f>
        <v/>
      </c>
      <c r="F1133" s="10">
        <f>IF(C1133="","",IFERROR(INDEX(Levels!$C$2:$C$30,MATCH(C1133,Levels!$B$2:$B$30,0)),""))</f>
        <v/>
      </c>
      <c r="G1133" s="6" t="n"/>
      <c r="H1133" s="10">
        <f>IF(AND(B1133="",C1133=""),"",IF(G1133&lt;&gt;"","Void",IF(OR(B1133="",E1133=""),"Needs child",IF(D1133="","Needs level","OK"))))</f>
        <v/>
      </c>
    </row>
    <row r="1134">
      <c r="A1134" s="6" t="n"/>
      <c r="B1134" s="6" t="n"/>
      <c r="C1134" s="6" t="n"/>
      <c r="D1134" s="11">
        <f>IF(C1134="","",IFERROR(INDEX(Levels!$A$2:$A$30,MATCH(C1134,Levels!$B$2:$B$30,0)),""))</f>
        <v/>
      </c>
      <c r="E1134" s="10">
        <f>IF(B1134="","",IFERROR(INDEX(Roster!$A$2:$A$600,MATCH(B1134,Roster!$E$2:$E$600,0)),""))</f>
        <v/>
      </c>
      <c r="F1134" s="10">
        <f>IF(C1134="","",IFERROR(INDEX(Levels!$C$2:$C$30,MATCH(C1134,Levels!$B$2:$B$30,0)),""))</f>
        <v/>
      </c>
      <c r="G1134" s="6" t="n"/>
      <c r="H1134" s="10">
        <f>IF(AND(B1134="",C1134=""),"",IF(G1134&lt;&gt;"","Void",IF(OR(B1134="",E1134=""),"Needs child",IF(D1134="","Needs level","OK"))))</f>
        <v/>
      </c>
    </row>
    <row r="1135">
      <c r="A1135" s="6" t="n"/>
      <c r="B1135" s="6" t="n"/>
      <c r="C1135" s="6" t="n"/>
      <c r="D1135" s="11">
        <f>IF(C1135="","",IFERROR(INDEX(Levels!$A$2:$A$30,MATCH(C1135,Levels!$B$2:$B$30,0)),""))</f>
        <v/>
      </c>
      <c r="E1135" s="10">
        <f>IF(B1135="","",IFERROR(INDEX(Roster!$A$2:$A$600,MATCH(B1135,Roster!$E$2:$E$600,0)),""))</f>
        <v/>
      </c>
      <c r="F1135" s="10">
        <f>IF(C1135="","",IFERROR(INDEX(Levels!$C$2:$C$30,MATCH(C1135,Levels!$B$2:$B$30,0)),""))</f>
        <v/>
      </c>
      <c r="G1135" s="6" t="n"/>
      <c r="H1135" s="10">
        <f>IF(AND(B1135="",C1135=""),"",IF(G1135&lt;&gt;"","Void",IF(OR(B1135="",E1135=""),"Needs child",IF(D1135="","Needs level","OK"))))</f>
        <v/>
      </c>
    </row>
    <row r="1136">
      <c r="A1136" s="6" t="n"/>
      <c r="B1136" s="6" t="n"/>
      <c r="C1136" s="6" t="n"/>
      <c r="D1136" s="11">
        <f>IF(C1136="","",IFERROR(INDEX(Levels!$A$2:$A$30,MATCH(C1136,Levels!$B$2:$B$30,0)),""))</f>
        <v/>
      </c>
      <c r="E1136" s="10">
        <f>IF(B1136="","",IFERROR(INDEX(Roster!$A$2:$A$600,MATCH(B1136,Roster!$E$2:$E$600,0)),""))</f>
        <v/>
      </c>
      <c r="F1136" s="10">
        <f>IF(C1136="","",IFERROR(INDEX(Levels!$C$2:$C$30,MATCH(C1136,Levels!$B$2:$B$30,0)),""))</f>
        <v/>
      </c>
      <c r="G1136" s="6" t="n"/>
      <c r="H1136" s="10">
        <f>IF(AND(B1136="",C1136=""),"",IF(G1136&lt;&gt;"","Void",IF(OR(B1136="",E1136=""),"Needs child",IF(D1136="","Needs level","OK"))))</f>
        <v/>
      </c>
    </row>
    <row r="1137">
      <c r="A1137" s="6" t="n"/>
      <c r="B1137" s="6" t="n"/>
      <c r="C1137" s="6" t="n"/>
      <c r="D1137" s="11">
        <f>IF(C1137="","",IFERROR(INDEX(Levels!$A$2:$A$30,MATCH(C1137,Levels!$B$2:$B$30,0)),""))</f>
        <v/>
      </c>
      <c r="E1137" s="10">
        <f>IF(B1137="","",IFERROR(INDEX(Roster!$A$2:$A$600,MATCH(B1137,Roster!$E$2:$E$600,0)),""))</f>
        <v/>
      </c>
      <c r="F1137" s="10">
        <f>IF(C1137="","",IFERROR(INDEX(Levels!$C$2:$C$30,MATCH(C1137,Levels!$B$2:$B$30,0)),""))</f>
        <v/>
      </c>
      <c r="G1137" s="6" t="n"/>
      <c r="H1137" s="10">
        <f>IF(AND(B1137="",C1137=""),"",IF(G1137&lt;&gt;"","Void",IF(OR(B1137="",E1137=""),"Needs child",IF(D1137="","Needs level","OK"))))</f>
        <v/>
      </c>
    </row>
    <row r="1138">
      <c r="A1138" s="6" t="n"/>
      <c r="B1138" s="6" t="n"/>
      <c r="C1138" s="6" t="n"/>
      <c r="D1138" s="11">
        <f>IF(C1138="","",IFERROR(INDEX(Levels!$A$2:$A$30,MATCH(C1138,Levels!$B$2:$B$30,0)),""))</f>
        <v/>
      </c>
      <c r="E1138" s="10">
        <f>IF(B1138="","",IFERROR(INDEX(Roster!$A$2:$A$600,MATCH(B1138,Roster!$E$2:$E$600,0)),""))</f>
        <v/>
      </c>
      <c r="F1138" s="10">
        <f>IF(C1138="","",IFERROR(INDEX(Levels!$C$2:$C$30,MATCH(C1138,Levels!$B$2:$B$30,0)),""))</f>
        <v/>
      </c>
      <c r="G1138" s="6" t="n"/>
      <c r="H1138" s="10">
        <f>IF(AND(B1138="",C1138=""),"",IF(G1138&lt;&gt;"","Void",IF(OR(B1138="",E1138=""),"Needs child",IF(D1138="","Needs level","OK"))))</f>
        <v/>
      </c>
    </row>
    <row r="1139">
      <c r="A1139" s="6" t="n"/>
      <c r="B1139" s="6" t="n"/>
      <c r="C1139" s="6" t="n"/>
      <c r="D1139" s="11">
        <f>IF(C1139="","",IFERROR(INDEX(Levels!$A$2:$A$30,MATCH(C1139,Levels!$B$2:$B$30,0)),""))</f>
        <v/>
      </c>
      <c r="E1139" s="10">
        <f>IF(B1139="","",IFERROR(INDEX(Roster!$A$2:$A$600,MATCH(B1139,Roster!$E$2:$E$600,0)),""))</f>
        <v/>
      </c>
      <c r="F1139" s="10">
        <f>IF(C1139="","",IFERROR(INDEX(Levels!$C$2:$C$30,MATCH(C1139,Levels!$B$2:$B$30,0)),""))</f>
        <v/>
      </c>
      <c r="G1139" s="6" t="n"/>
      <c r="H1139" s="10">
        <f>IF(AND(B1139="",C1139=""),"",IF(G1139&lt;&gt;"","Void",IF(OR(B1139="",E1139=""),"Needs child",IF(D1139="","Needs level","OK"))))</f>
        <v/>
      </c>
    </row>
    <row r="1140">
      <c r="A1140" s="6" t="n"/>
      <c r="B1140" s="6" t="n"/>
      <c r="C1140" s="6" t="n"/>
      <c r="D1140" s="11">
        <f>IF(C1140="","",IFERROR(INDEX(Levels!$A$2:$A$30,MATCH(C1140,Levels!$B$2:$B$30,0)),""))</f>
        <v/>
      </c>
      <c r="E1140" s="10">
        <f>IF(B1140="","",IFERROR(INDEX(Roster!$A$2:$A$600,MATCH(B1140,Roster!$E$2:$E$600,0)),""))</f>
        <v/>
      </c>
      <c r="F1140" s="10">
        <f>IF(C1140="","",IFERROR(INDEX(Levels!$C$2:$C$30,MATCH(C1140,Levels!$B$2:$B$30,0)),""))</f>
        <v/>
      </c>
      <c r="G1140" s="6" t="n"/>
      <c r="H1140" s="10">
        <f>IF(AND(B1140="",C1140=""),"",IF(G1140&lt;&gt;"","Void",IF(OR(B1140="",E1140=""),"Needs child",IF(D1140="","Needs level","OK"))))</f>
        <v/>
      </c>
    </row>
    <row r="1141">
      <c r="A1141" s="6" t="n"/>
      <c r="B1141" s="6" t="n"/>
      <c r="C1141" s="6" t="n"/>
      <c r="D1141" s="11">
        <f>IF(C1141="","",IFERROR(INDEX(Levels!$A$2:$A$30,MATCH(C1141,Levels!$B$2:$B$30,0)),""))</f>
        <v/>
      </c>
      <c r="E1141" s="10">
        <f>IF(B1141="","",IFERROR(INDEX(Roster!$A$2:$A$600,MATCH(B1141,Roster!$E$2:$E$600,0)),""))</f>
        <v/>
      </c>
      <c r="F1141" s="10">
        <f>IF(C1141="","",IFERROR(INDEX(Levels!$C$2:$C$30,MATCH(C1141,Levels!$B$2:$B$30,0)),""))</f>
        <v/>
      </c>
      <c r="G1141" s="6" t="n"/>
      <c r="H1141" s="10">
        <f>IF(AND(B1141="",C1141=""),"",IF(G1141&lt;&gt;"","Void",IF(OR(B1141="",E1141=""),"Needs child",IF(D1141="","Needs level","OK"))))</f>
        <v/>
      </c>
    </row>
    <row r="1142">
      <c r="A1142" s="6" t="n"/>
      <c r="B1142" s="6" t="n"/>
      <c r="C1142" s="6" t="n"/>
      <c r="D1142" s="11">
        <f>IF(C1142="","",IFERROR(INDEX(Levels!$A$2:$A$30,MATCH(C1142,Levels!$B$2:$B$30,0)),""))</f>
        <v/>
      </c>
      <c r="E1142" s="10">
        <f>IF(B1142="","",IFERROR(INDEX(Roster!$A$2:$A$600,MATCH(B1142,Roster!$E$2:$E$600,0)),""))</f>
        <v/>
      </c>
      <c r="F1142" s="10">
        <f>IF(C1142="","",IFERROR(INDEX(Levels!$C$2:$C$30,MATCH(C1142,Levels!$B$2:$B$30,0)),""))</f>
        <v/>
      </c>
      <c r="G1142" s="6" t="n"/>
      <c r="H1142" s="10">
        <f>IF(AND(B1142="",C1142=""),"",IF(G1142&lt;&gt;"","Void",IF(OR(B1142="",E1142=""),"Needs child",IF(D1142="","Needs level","OK"))))</f>
        <v/>
      </c>
    </row>
    <row r="1143">
      <c r="A1143" s="6" t="n"/>
      <c r="B1143" s="6" t="n"/>
      <c r="C1143" s="6" t="n"/>
      <c r="D1143" s="11">
        <f>IF(C1143="","",IFERROR(INDEX(Levels!$A$2:$A$30,MATCH(C1143,Levels!$B$2:$B$30,0)),""))</f>
        <v/>
      </c>
      <c r="E1143" s="10">
        <f>IF(B1143="","",IFERROR(INDEX(Roster!$A$2:$A$600,MATCH(B1143,Roster!$E$2:$E$600,0)),""))</f>
        <v/>
      </c>
      <c r="F1143" s="10">
        <f>IF(C1143="","",IFERROR(INDEX(Levels!$C$2:$C$30,MATCH(C1143,Levels!$B$2:$B$30,0)),""))</f>
        <v/>
      </c>
      <c r="G1143" s="6" t="n"/>
      <c r="H1143" s="10">
        <f>IF(AND(B1143="",C1143=""),"",IF(G1143&lt;&gt;"","Void",IF(OR(B1143="",E1143=""),"Needs child",IF(D1143="","Needs level","OK"))))</f>
        <v/>
      </c>
    </row>
    <row r="1144">
      <c r="A1144" s="6" t="n"/>
      <c r="B1144" s="6" t="n"/>
      <c r="C1144" s="6" t="n"/>
      <c r="D1144" s="11">
        <f>IF(C1144="","",IFERROR(INDEX(Levels!$A$2:$A$30,MATCH(C1144,Levels!$B$2:$B$30,0)),""))</f>
        <v/>
      </c>
      <c r="E1144" s="10">
        <f>IF(B1144="","",IFERROR(INDEX(Roster!$A$2:$A$600,MATCH(B1144,Roster!$E$2:$E$600,0)),""))</f>
        <v/>
      </c>
      <c r="F1144" s="10">
        <f>IF(C1144="","",IFERROR(INDEX(Levels!$C$2:$C$30,MATCH(C1144,Levels!$B$2:$B$30,0)),""))</f>
        <v/>
      </c>
      <c r="G1144" s="6" t="n"/>
      <c r="H1144" s="10">
        <f>IF(AND(B1144="",C1144=""),"",IF(G1144&lt;&gt;"","Void",IF(OR(B1144="",E1144=""),"Needs child",IF(D1144="","Needs level","OK"))))</f>
        <v/>
      </c>
    </row>
    <row r="1145">
      <c r="A1145" s="6" t="n"/>
      <c r="B1145" s="6" t="n"/>
      <c r="C1145" s="6" t="n"/>
      <c r="D1145" s="11">
        <f>IF(C1145="","",IFERROR(INDEX(Levels!$A$2:$A$30,MATCH(C1145,Levels!$B$2:$B$30,0)),""))</f>
        <v/>
      </c>
      <c r="E1145" s="10">
        <f>IF(B1145="","",IFERROR(INDEX(Roster!$A$2:$A$600,MATCH(B1145,Roster!$E$2:$E$600,0)),""))</f>
        <v/>
      </c>
      <c r="F1145" s="10">
        <f>IF(C1145="","",IFERROR(INDEX(Levels!$C$2:$C$30,MATCH(C1145,Levels!$B$2:$B$30,0)),""))</f>
        <v/>
      </c>
      <c r="G1145" s="6" t="n"/>
      <c r="H1145" s="10">
        <f>IF(AND(B1145="",C1145=""),"",IF(G1145&lt;&gt;"","Void",IF(OR(B1145="",E1145=""),"Needs child",IF(D1145="","Needs level","OK"))))</f>
        <v/>
      </c>
    </row>
    <row r="1146">
      <c r="A1146" s="6" t="n"/>
      <c r="B1146" s="6" t="n"/>
      <c r="C1146" s="6" t="n"/>
      <c r="D1146" s="11">
        <f>IF(C1146="","",IFERROR(INDEX(Levels!$A$2:$A$30,MATCH(C1146,Levels!$B$2:$B$30,0)),""))</f>
        <v/>
      </c>
      <c r="E1146" s="10">
        <f>IF(B1146="","",IFERROR(INDEX(Roster!$A$2:$A$600,MATCH(B1146,Roster!$E$2:$E$600,0)),""))</f>
        <v/>
      </c>
      <c r="F1146" s="10">
        <f>IF(C1146="","",IFERROR(INDEX(Levels!$C$2:$C$30,MATCH(C1146,Levels!$B$2:$B$30,0)),""))</f>
        <v/>
      </c>
      <c r="G1146" s="6" t="n"/>
      <c r="H1146" s="10">
        <f>IF(AND(B1146="",C1146=""),"",IF(G1146&lt;&gt;"","Void",IF(OR(B1146="",E1146=""),"Needs child",IF(D1146="","Needs level","OK"))))</f>
        <v/>
      </c>
    </row>
    <row r="1147">
      <c r="A1147" s="6" t="n"/>
      <c r="B1147" s="6" t="n"/>
      <c r="C1147" s="6" t="n"/>
      <c r="D1147" s="11">
        <f>IF(C1147="","",IFERROR(INDEX(Levels!$A$2:$A$30,MATCH(C1147,Levels!$B$2:$B$30,0)),""))</f>
        <v/>
      </c>
      <c r="E1147" s="10">
        <f>IF(B1147="","",IFERROR(INDEX(Roster!$A$2:$A$600,MATCH(B1147,Roster!$E$2:$E$600,0)),""))</f>
        <v/>
      </c>
      <c r="F1147" s="10">
        <f>IF(C1147="","",IFERROR(INDEX(Levels!$C$2:$C$30,MATCH(C1147,Levels!$B$2:$B$30,0)),""))</f>
        <v/>
      </c>
      <c r="G1147" s="6" t="n"/>
      <c r="H1147" s="10">
        <f>IF(AND(B1147="",C1147=""),"",IF(G1147&lt;&gt;"","Void",IF(OR(B1147="",E1147=""),"Needs child",IF(D1147="","Needs level","OK"))))</f>
        <v/>
      </c>
    </row>
    <row r="1148">
      <c r="A1148" s="6" t="n"/>
      <c r="B1148" s="6" t="n"/>
      <c r="C1148" s="6" t="n"/>
      <c r="D1148" s="11">
        <f>IF(C1148="","",IFERROR(INDEX(Levels!$A$2:$A$30,MATCH(C1148,Levels!$B$2:$B$30,0)),""))</f>
        <v/>
      </c>
      <c r="E1148" s="10">
        <f>IF(B1148="","",IFERROR(INDEX(Roster!$A$2:$A$600,MATCH(B1148,Roster!$E$2:$E$600,0)),""))</f>
        <v/>
      </c>
      <c r="F1148" s="10">
        <f>IF(C1148="","",IFERROR(INDEX(Levels!$C$2:$C$30,MATCH(C1148,Levels!$B$2:$B$30,0)),""))</f>
        <v/>
      </c>
      <c r="G1148" s="6" t="n"/>
      <c r="H1148" s="10">
        <f>IF(AND(B1148="",C1148=""),"",IF(G1148&lt;&gt;"","Void",IF(OR(B1148="",E1148=""),"Needs child",IF(D1148="","Needs level","OK"))))</f>
        <v/>
      </c>
    </row>
    <row r="1149">
      <c r="A1149" s="6" t="n"/>
      <c r="B1149" s="6" t="n"/>
      <c r="C1149" s="6" t="n"/>
      <c r="D1149" s="11">
        <f>IF(C1149="","",IFERROR(INDEX(Levels!$A$2:$A$30,MATCH(C1149,Levels!$B$2:$B$30,0)),""))</f>
        <v/>
      </c>
      <c r="E1149" s="10">
        <f>IF(B1149="","",IFERROR(INDEX(Roster!$A$2:$A$600,MATCH(B1149,Roster!$E$2:$E$600,0)),""))</f>
        <v/>
      </c>
      <c r="F1149" s="10">
        <f>IF(C1149="","",IFERROR(INDEX(Levels!$C$2:$C$30,MATCH(C1149,Levels!$B$2:$B$30,0)),""))</f>
        <v/>
      </c>
      <c r="G1149" s="6" t="n"/>
      <c r="H1149" s="10">
        <f>IF(AND(B1149="",C1149=""),"",IF(G1149&lt;&gt;"","Void",IF(OR(B1149="",E1149=""),"Needs child",IF(D1149="","Needs level","OK"))))</f>
        <v/>
      </c>
    </row>
    <row r="1150">
      <c r="A1150" s="6" t="n"/>
      <c r="B1150" s="6" t="n"/>
      <c r="C1150" s="6" t="n"/>
      <c r="D1150" s="11">
        <f>IF(C1150="","",IFERROR(INDEX(Levels!$A$2:$A$30,MATCH(C1150,Levels!$B$2:$B$30,0)),""))</f>
        <v/>
      </c>
      <c r="E1150" s="10">
        <f>IF(B1150="","",IFERROR(INDEX(Roster!$A$2:$A$600,MATCH(B1150,Roster!$E$2:$E$600,0)),""))</f>
        <v/>
      </c>
      <c r="F1150" s="10">
        <f>IF(C1150="","",IFERROR(INDEX(Levels!$C$2:$C$30,MATCH(C1150,Levels!$B$2:$B$30,0)),""))</f>
        <v/>
      </c>
      <c r="G1150" s="6" t="n"/>
      <c r="H1150" s="10">
        <f>IF(AND(B1150="",C1150=""),"",IF(G1150&lt;&gt;"","Void",IF(OR(B1150="",E1150=""),"Needs child",IF(D1150="","Needs level","OK"))))</f>
        <v/>
      </c>
    </row>
    <row r="1151">
      <c r="A1151" s="6" t="n"/>
      <c r="B1151" s="6" t="n"/>
      <c r="C1151" s="6" t="n"/>
      <c r="D1151" s="11">
        <f>IF(C1151="","",IFERROR(INDEX(Levels!$A$2:$A$30,MATCH(C1151,Levels!$B$2:$B$30,0)),""))</f>
        <v/>
      </c>
      <c r="E1151" s="10">
        <f>IF(B1151="","",IFERROR(INDEX(Roster!$A$2:$A$600,MATCH(B1151,Roster!$E$2:$E$600,0)),""))</f>
        <v/>
      </c>
      <c r="F1151" s="10">
        <f>IF(C1151="","",IFERROR(INDEX(Levels!$C$2:$C$30,MATCH(C1151,Levels!$B$2:$B$30,0)),""))</f>
        <v/>
      </c>
      <c r="G1151" s="6" t="n"/>
      <c r="H1151" s="10">
        <f>IF(AND(B1151="",C1151=""),"",IF(G1151&lt;&gt;"","Void",IF(OR(B1151="",E1151=""),"Needs child",IF(D1151="","Needs level","OK"))))</f>
        <v/>
      </c>
    </row>
    <row r="1152">
      <c r="A1152" s="6" t="n"/>
      <c r="B1152" s="6" t="n"/>
      <c r="C1152" s="6" t="n"/>
      <c r="D1152" s="11">
        <f>IF(C1152="","",IFERROR(INDEX(Levels!$A$2:$A$30,MATCH(C1152,Levels!$B$2:$B$30,0)),""))</f>
        <v/>
      </c>
      <c r="E1152" s="10">
        <f>IF(B1152="","",IFERROR(INDEX(Roster!$A$2:$A$600,MATCH(B1152,Roster!$E$2:$E$600,0)),""))</f>
        <v/>
      </c>
      <c r="F1152" s="10">
        <f>IF(C1152="","",IFERROR(INDEX(Levels!$C$2:$C$30,MATCH(C1152,Levels!$B$2:$B$30,0)),""))</f>
        <v/>
      </c>
      <c r="G1152" s="6" t="n"/>
      <c r="H1152" s="10">
        <f>IF(AND(B1152="",C1152=""),"",IF(G1152&lt;&gt;"","Void",IF(OR(B1152="",E1152=""),"Needs child",IF(D1152="","Needs level","OK"))))</f>
        <v/>
      </c>
    </row>
    <row r="1153">
      <c r="A1153" s="6" t="n"/>
      <c r="B1153" s="6" t="n"/>
      <c r="C1153" s="6" t="n"/>
      <c r="D1153" s="11">
        <f>IF(C1153="","",IFERROR(INDEX(Levels!$A$2:$A$30,MATCH(C1153,Levels!$B$2:$B$30,0)),""))</f>
        <v/>
      </c>
      <c r="E1153" s="10">
        <f>IF(B1153="","",IFERROR(INDEX(Roster!$A$2:$A$600,MATCH(B1153,Roster!$E$2:$E$600,0)),""))</f>
        <v/>
      </c>
      <c r="F1153" s="10">
        <f>IF(C1153="","",IFERROR(INDEX(Levels!$C$2:$C$30,MATCH(C1153,Levels!$B$2:$B$30,0)),""))</f>
        <v/>
      </c>
      <c r="G1153" s="6" t="n"/>
      <c r="H1153" s="10">
        <f>IF(AND(B1153="",C1153=""),"",IF(G1153&lt;&gt;"","Void",IF(OR(B1153="",E1153=""),"Needs child",IF(D1153="","Needs level","OK"))))</f>
        <v/>
      </c>
    </row>
    <row r="1154">
      <c r="A1154" s="6" t="n"/>
      <c r="B1154" s="6" t="n"/>
      <c r="C1154" s="6" t="n"/>
      <c r="D1154" s="11">
        <f>IF(C1154="","",IFERROR(INDEX(Levels!$A$2:$A$30,MATCH(C1154,Levels!$B$2:$B$30,0)),""))</f>
        <v/>
      </c>
      <c r="E1154" s="10">
        <f>IF(B1154="","",IFERROR(INDEX(Roster!$A$2:$A$600,MATCH(B1154,Roster!$E$2:$E$600,0)),""))</f>
        <v/>
      </c>
      <c r="F1154" s="10">
        <f>IF(C1154="","",IFERROR(INDEX(Levels!$C$2:$C$30,MATCH(C1154,Levels!$B$2:$B$30,0)),""))</f>
        <v/>
      </c>
      <c r="G1154" s="6" t="n"/>
      <c r="H1154" s="10">
        <f>IF(AND(B1154="",C1154=""),"",IF(G1154&lt;&gt;"","Void",IF(OR(B1154="",E1154=""),"Needs child",IF(D1154="","Needs level","OK"))))</f>
        <v/>
      </c>
    </row>
    <row r="1155">
      <c r="A1155" s="6" t="n"/>
      <c r="B1155" s="6" t="n"/>
      <c r="C1155" s="6" t="n"/>
      <c r="D1155" s="11">
        <f>IF(C1155="","",IFERROR(INDEX(Levels!$A$2:$A$30,MATCH(C1155,Levels!$B$2:$B$30,0)),""))</f>
        <v/>
      </c>
      <c r="E1155" s="10">
        <f>IF(B1155="","",IFERROR(INDEX(Roster!$A$2:$A$600,MATCH(B1155,Roster!$E$2:$E$600,0)),""))</f>
        <v/>
      </c>
      <c r="F1155" s="10">
        <f>IF(C1155="","",IFERROR(INDEX(Levels!$C$2:$C$30,MATCH(C1155,Levels!$B$2:$B$30,0)),""))</f>
        <v/>
      </c>
      <c r="G1155" s="6" t="n"/>
      <c r="H1155" s="10">
        <f>IF(AND(B1155="",C1155=""),"",IF(G1155&lt;&gt;"","Void",IF(OR(B1155="",E1155=""),"Needs child",IF(D1155="","Needs level","OK"))))</f>
        <v/>
      </c>
    </row>
    <row r="1156">
      <c r="A1156" s="6" t="n"/>
      <c r="B1156" s="6" t="n"/>
      <c r="C1156" s="6" t="n"/>
      <c r="D1156" s="11">
        <f>IF(C1156="","",IFERROR(INDEX(Levels!$A$2:$A$30,MATCH(C1156,Levels!$B$2:$B$30,0)),""))</f>
        <v/>
      </c>
      <c r="E1156" s="10">
        <f>IF(B1156="","",IFERROR(INDEX(Roster!$A$2:$A$600,MATCH(B1156,Roster!$E$2:$E$600,0)),""))</f>
        <v/>
      </c>
      <c r="F1156" s="10">
        <f>IF(C1156="","",IFERROR(INDEX(Levels!$C$2:$C$30,MATCH(C1156,Levels!$B$2:$B$30,0)),""))</f>
        <v/>
      </c>
      <c r="G1156" s="6" t="n"/>
      <c r="H1156" s="10">
        <f>IF(AND(B1156="",C1156=""),"",IF(G1156&lt;&gt;"","Void",IF(OR(B1156="",E1156=""),"Needs child",IF(D1156="","Needs level","OK"))))</f>
        <v/>
      </c>
    </row>
    <row r="1157">
      <c r="A1157" s="6" t="n"/>
      <c r="B1157" s="6" t="n"/>
      <c r="C1157" s="6" t="n"/>
      <c r="D1157" s="11">
        <f>IF(C1157="","",IFERROR(INDEX(Levels!$A$2:$A$30,MATCH(C1157,Levels!$B$2:$B$30,0)),""))</f>
        <v/>
      </c>
      <c r="E1157" s="10">
        <f>IF(B1157="","",IFERROR(INDEX(Roster!$A$2:$A$600,MATCH(B1157,Roster!$E$2:$E$600,0)),""))</f>
        <v/>
      </c>
      <c r="F1157" s="10">
        <f>IF(C1157="","",IFERROR(INDEX(Levels!$C$2:$C$30,MATCH(C1157,Levels!$B$2:$B$30,0)),""))</f>
        <v/>
      </c>
      <c r="G1157" s="6" t="n"/>
      <c r="H1157" s="10">
        <f>IF(AND(B1157="",C1157=""),"",IF(G1157&lt;&gt;"","Void",IF(OR(B1157="",E1157=""),"Needs child",IF(D1157="","Needs level","OK"))))</f>
        <v/>
      </c>
    </row>
    <row r="1158">
      <c r="A1158" s="6" t="n"/>
      <c r="B1158" s="6" t="n"/>
      <c r="C1158" s="6" t="n"/>
      <c r="D1158" s="11">
        <f>IF(C1158="","",IFERROR(INDEX(Levels!$A$2:$A$30,MATCH(C1158,Levels!$B$2:$B$30,0)),""))</f>
        <v/>
      </c>
      <c r="E1158" s="10">
        <f>IF(B1158="","",IFERROR(INDEX(Roster!$A$2:$A$600,MATCH(B1158,Roster!$E$2:$E$600,0)),""))</f>
        <v/>
      </c>
      <c r="F1158" s="10">
        <f>IF(C1158="","",IFERROR(INDEX(Levels!$C$2:$C$30,MATCH(C1158,Levels!$B$2:$B$30,0)),""))</f>
        <v/>
      </c>
      <c r="G1158" s="6" t="n"/>
      <c r="H1158" s="10">
        <f>IF(AND(B1158="",C1158=""),"",IF(G1158&lt;&gt;"","Void",IF(OR(B1158="",E1158=""),"Needs child",IF(D1158="","Needs level","OK"))))</f>
        <v/>
      </c>
    </row>
    <row r="1159">
      <c r="A1159" s="6" t="n"/>
      <c r="B1159" s="6" t="n"/>
      <c r="C1159" s="6" t="n"/>
      <c r="D1159" s="11">
        <f>IF(C1159="","",IFERROR(INDEX(Levels!$A$2:$A$30,MATCH(C1159,Levels!$B$2:$B$30,0)),""))</f>
        <v/>
      </c>
      <c r="E1159" s="10">
        <f>IF(B1159="","",IFERROR(INDEX(Roster!$A$2:$A$600,MATCH(B1159,Roster!$E$2:$E$600,0)),""))</f>
        <v/>
      </c>
      <c r="F1159" s="10">
        <f>IF(C1159="","",IFERROR(INDEX(Levels!$C$2:$C$30,MATCH(C1159,Levels!$B$2:$B$30,0)),""))</f>
        <v/>
      </c>
      <c r="G1159" s="6" t="n"/>
      <c r="H1159" s="10">
        <f>IF(AND(B1159="",C1159=""),"",IF(G1159&lt;&gt;"","Void",IF(OR(B1159="",E1159=""),"Needs child",IF(D1159="","Needs level","OK"))))</f>
        <v/>
      </c>
    </row>
    <row r="1160">
      <c r="A1160" s="6" t="n"/>
      <c r="B1160" s="6" t="n"/>
      <c r="C1160" s="6" t="n"/>
      <c r="D1160" s="11">
        <f>IF(C1160="","",IFERROR(INDEX(Levels!$A$2:$A$30,MATCH(C1160,Levels!$B$2:$B$30,0)),""))</f>
        <v/>
      </c>
      <c r="E1160" s="10">
        <f>IF(B1160="","",IFERROR(INDEX(Roster!$A$2:$A$600,MATCH(B1160,Roster!$E$2:$E$600,0)),""))</f>
        <v/>
      </c>
      <c r="F1160" s="10">
        <f>IF(C1160="","",IFERROR(INDEX(Levels!$C$2:$C$30,MATCH(C1160,Levels!$B$2:$B$30,0)),""))</f>
        <v/>
      </c>
      <c r="G1160" s="6" t="n"/>
      <c r="H1160" s="10">
        <f>IF(AND(B1160="",C1160=""),"",IF(G1160&lt;&gt;"","Void",IF(OR(B1160="",E1160=""),"Needs child",IF(D1160="","Needs level","OK"))))</f>
        <v/>
      </c>
    </row>
    <row r="1161">
      <c r="A1161" s="6" t="n"/>
      <c r="B1161" s="6" t="n"/>
      <c r="C1161" s="6" t="n"/>
      <c r="D1161" s="11">
        <f>IF(C1161="","",IFERROR(INDEX(Levels!$A$2:$A$30,MATCH(C1161,Levels!$B$2:$B$30,0)),""))</f>
        <v/>
      </c>
      <c r="E1161" s="10">
        <f>IF(B1161="","",IFERROR(INDEX(Roster!$A$2:$A$600,MATCH(B1161,Roster!$E$2:$E$600,0)),""))</f>
        <v/>
      </c>
      <c r="F1161" s="10">
        <f>IF(C1161="","",IFERROR(INDEX(Levels!$C$2:$C$30,MATCH(C1161,Levels!$B$2:$B$30,0)),""))</f>
        <v/>
      </c>
      <c r="G1161" s="6" t="n"/>
      <c r="H1161" s="10">
        <f>IF(AND(B1161="",C1161=""),"",IF(G1161&lt;&gt;"","Void",IF(OR(B1161="",E1161=""),"Needs child",IF(D1161="","Needs level","OK"))))</f>
        <v/>
      </c>
    </row>
    <row r="1162">
      <c r="A1162" s="6" t="n"/>
      <c r="B1162" s="6" t="n"/>
      <c r="C1162" s="6" t="n"/>
      <c r="D1162" s="11">
        <f>IF(C1162="","",IFERROR(INDEX(Levels!$A$2:$A$30,MATCH(C1162,Levels!$B$2:$B$30,0)),""))</f>
        <v/>
      </c>
      <c r="E1162" s="10">
        <f>IF(B1162="","",IFERROR(INDEX(Roster!$A$2:$A$600,MATCH(B1162,Roster!$E$2:$E$600,0)),""))</f>
        <v/>
      </c>
      <c r="F1162" s="10">
        <f>IF(C1162="","",IFERROR(INDEX(Levels!$C$2:$C$30,MATCH(C1162,Levels!$B$2:$B$30,0)),""))</f>
        <v/>
      </c>
      <c r="G1162" s="6" t="n"/>
      <c r="H1162" s="10">
        <f>IF(AND(B1162="",C1162=""),"",IF(G1162&lt;&gt;"","Void",IF(OR(B1162="",E1162=""),"Needs child",IF(D1162="","Needs level","OK"))))</f>
        <v/>
      </c>
    </row>
    <row r="1163">
      <c r="A1163" s="6" t="n"/>
      <c r="B1163" s="6" t="n"/>
      <c r="C1163" s="6" t="n"/>
      <c r="D1163" s="11">
        <f>IF(C1163="","",IFERROR(INDEX(Levels!$A$2:$A$30,MATCH(C1163,Levels!$B$2:$B$30,0)),""))</f>
        <v/>
      </c>
      <c r="E1163" s="10">
        <f>IF(B1163="","",IFERROR(INDEX(Roster!$A$2:$A$600,MATCH(B1163,Roster!$E$2:$E$600,0)),""))</f>
        <v/>
      </c>
      <c r="F1163" s="10">
        <f>IF(C1163="","",IFERROR(INDEX(Levels!$C$2:$C$30,MATCH(C1163,Levels!$B$2:$B$30,0)),""))</f>
        <v/>
      </c>
      <c r="G1163" s="6" t="n"/>
      <c r="H1163" s="10">
        <f>IF(AND(B1163="",C1163=""),"",IF(G1163&lt;&gt;"","Void",IF(OR(B1163="",E1163=""),"Needs child",IF(D1163="","Needs level","OK"))))</f>
        <v/>
      </c>
    </row>
    <row r="1164">
      <c r="A1164" s="6" t="n"/>
      <c r="B1164" s="6" t="n"/>
      <c r="C1164" s="6" t="n"/>
      <c r="D1164" s="11">
        <f>IF(C1164="","",IFERROR(INDEX(Levels!$A$2:$A$30,MATCH(C1164,Levels!$B$2:$B$30,0)),""))</f>
        <v/>
      </c>
      <c r="E1164" s="10">
        <f>IF(B1164="","",IFERROR(INDEX(Roster!$A$2:$A$600,MATCH(B1164,Roster!$E$2:$E$600,0)),""))</f>
        <v/>
      </c>
      <c r="F1164" s="10">
        <f>IF(C1164="","",IFERROR(INDEX(Levels!$C$2:$C$30,MATCH(C1164,Levels!$B$2:$B$30,0)),""))</f>
        <v/>
      </c>
      <c r="G1164" s="6" t="n"/>
      <c r="H1164" s="10">
        <f>IF(AND(B1164="",C1164=""),"",IF(G1164&lt;&gt;"","Void",IF(OR(B1164="",E1164=""),"Needs child",IF(D1164="","Needs level","OK"))))</f>
        <v/>
      </c>
    </row>
    <row r="1165">
      <c r="A1165" s="6" t="n"/>
      <c r="B1165" s="6" t="n"/>
      <c r="C1165" s="6" t="n"/>
      <c r="D1165" s="11">
        <f>IF(C1165="","",IFERROR(INDEX(Levels!$A$2:$A$30,MATCH(C1165,Levels!$B$2:$B$30,0)),""))</f>
        <v/>
      </c>
      <c r="E1165" s="10">
        <f>IF(B1165="","",IFERROR(INDEX(Roster!$A$2:$A$600,MATCH(B1165,Roster!$E$2:$E$600,0)),""))</f>
        <v/>
      </c>
      <c r="F1165" s="10">
        <f>IF(C1165="","",IFERROR(INDEX(Levels!$C$2:$C$30,MATCH(C1165,Levels!$B$2:$B$30,0)),""))</f>
        <v/>
      </c>
      <c r="G1165" s="6" t="n"/>
      <c r="H1165" s="10">
        <f>IF(AND(B1165="",C1165=""),"",IF(G1165&lt;&gt;"","Void",IF(OR(B1165="",E1165=""),"Needs child",IF(D1165="","Needs level","OK"))))</f>
        <v/>
      </c>
    </row>
    <row r="1166">
      <c r="A1166" s="6" t="n"/>
      <c r="B1166" s="6" t="n"/>
      <c r="C1166" s="6" t="n"/>
      <c r="D1166" s="11">
        <f>IF(C1166="","",IFERROR(INDEX(Levels!$A$2:$A$30,MATCH(C1166,Levels!$B$2:$B$30,0)),""))</f>
        <v/>
      </c>
      <c r="E1166" s="10">
        <f>IF(B1166="","",IFERROR(INDEX(Roster!$A$2:$A$600,MATCH(B1166,Roster!$E$2:$E$600,0)),""))</f>
        <v/>
      </c>
      <c r="F1166" s="10">
        <f>IF(C1166="","",IFERROR(INDEX(Levels!$C$2:$C$30,MATCH(C1166,Levels!$B$2:$B$30,0)),""))</f>
        <v/>
      </c>
      <c r="G1166" s="6" t="n"/>
      <c r="H1166" s="10">
        <f>IF(AND(B1166="",C1166=""),"",IF(G1166&lt;&gt;"","Void",IF(OR(B1166="",E1166=""),"Needs child",IF(D1166="","Needs level","OK"))))</f>
        <v/>
      </c>
    </row>
    <row r="1167">
      <c r="A1167" s="6" t="n"/>
      <c r="B1167" s="6" t="n"/>
      <c r="C1167" s="6" t="n"/>
      <c r="D1167" s="11">
        <f>IF(C1167="","",IFERROR(INDEX(Levels!$A$2:$A$30,MATCH(C1167,Levels!$B$2:$B$30,0)),""))</f>
        <v/>
      </c>
      <c r="E1167" s="10">
        <f>IF(B1167="","",IFERROR(INDEX(Roster!$A$2:$A$600,MATCH(B1167,Roster!$E$2:$E$600,0)),""))</f>
        <v/>
      </c>
      <c r="F1167" s="10">
        <f>IF(C1167="","",IFERROR(INDEX(Levels!$C$2:$C$30,MATCH(C1167,Levels!$B$2:$B$30,0)),""))</f>
        <v/>
      </c>
      <c r="G1167" s="6" t="n"/>
      <c r="H1167" s="10">
        <f>IF(AND(B1167="",C1167=""),"",IF(G1167&lt;&gt;"","Void",IF(OR(B1167="",E1167=""),"Needs child",IF(D1167="","Needs level","OK"))))</f>
        <v/>
      </c>
    </row>
    <row r="1168">
      <c r="A1168" s="6" t="n"/>
      <c r="B1168" s="6" t="n"/>
      <c r="C1168" s="6" t="n"/>
      <c r="D1168" s="11">
        <f>IF(C1168="","",IFERROR(INDEX(Levels!$A$2:$A$30,MATCH(C1168,Levels!$B$2:$B$30,0)),""))</f>
        <v/>
      </c>
      <c r="E1168" s="10">
        <f>IF(B1168="","",IFERROR(INDEX(Roster!$A$2:$A$600,MATCH(B1168,Roster!$E$2:$E$600,0)),""))</f>
        <v/>
      </c>
      <c r="F1168" s="10">
        <f>IF(C1168="","",IFERROR(INDEX(Levels!$C$2:$C$30,MATCH(C1168,Levels!$B$2:$B$30,0)),""))</f>
        <v/>
      </c>
      <c r="G1168" s="6" t="n"/>
      <c r="H1168" s="10">
        <f>IF(AND(B1168="",C1168=""),"",IF(G1168&lt;&gt;"","Void",IF(OR(B1168="",E1168=""),"Needs child",IF(D1168="","Needs level","OK"))))</f>
        <v/>
      </c>
    </row>
    <row r="1169">
      <c r="A1169" s="6" t="n"/>
      <c r="B1169" s="6" t="n"/>
      <c r="C1169" s="6" t="n"/>
      <c r="D1169" s="11">
        <f>IF(C1169="","",IFERROR(INDEX(Levels!$A$2:$A$30,MATCH(C1169,Levels!$B$2:$B$30,0)),""))</f>
        <v/>
      </c>
      <c r="E1169" s="10">
        <f>IF(B1169="","",IFERROR(INDEX(Roster!$A$2:$A$600,MATCH(B1169,Roster!$E$2:$E$600,0)),""))</f>
        <v/>
      </c>
      <c r="F1169" s="10">
        <f>IF(C1169="","",IFERROR(INDEX(Levels!$C$2:$C$30,MATCH(C1169,Levels!$B$2:$B$30,0)),""))</f>
        <v/>
      </c>
      <c r="G1169" s="6" t="n"/>
      <c r="H1169" s="10">
        <f>IF(AND(B1169="",C1169=""),"",IF(G1169&lt;&gt;"","Void",IF(OR(B1169="",E1169=""),"Needs child",IF(D1169="","Needs level","OK"))))</f>
        <v/>
      </c>
    </row>
    <row r="1170">
      <c r="A1170" s="6" t="n"/>
      <c r="B1170" s="6" t="n"/>
      <c r="C1170" s="6" t="n"/>
      <c r="D1170" s="11">
        <f>IF(C1170="","",IFERROR(INDEX(Levels!$A$2:$A$30,MATCH(C1170,Levels!$B$2:$B$30,0)),""))</f>
        <v/>
      </c>
      <c r="E1170" s="10">
        <f>IF(B1170="","",IFERROR(INDEX(Roster!$A$2:$A$600,MATCH(B1170,Roster!$E$2:$E$600,0)),""))</f>
        <v/>
      </c>
      <c r="F1170" s="10">
        <f>IF(C1170="","",IFERROR(INDEX(Levels!$C$2:$C$30,MATCH(C1170,Levels!$B$2:$B$30,0)),""))</f>
        <v/>
      </c>
      <c r="G1170" s="6" t="n"/>
      <c r="H1170" s="10">
        <f>IF(AND(B1170="",C1170=""),"",IF(G1170&lt;&gt;"","Void",IF(OR(B1170="",E1170=""),"Needs child",IF(D1170="","Needs level","OK"))))</f>
        <v/>
      </c>
    </row>
    <row r="1171">
      <c r="A1171" s="6" t="n"/>
      <c r="B1171" s="6" t="n"/>
      <c r="C1171" s="6" t="n"/>
      <c r="D1171" s="11">
        <f>IF(C1171="","",IFERROR(INDEX(Levels!$A$2:$A$30,MATCH(C1171,Levels!$B$2:$B$30,0)),""))</f>
        <v/>
      </c>
      <c r="E1171" s="10">
        <f>IF(B1171="","",IFERROR(INDEX(Roster!$A$2:$A$600,MATCH(B1171,Roster!$E$2:$E$600,0)),""))</f>
        <v/>
      </c>
      <c r="F1171" s="10">
        <f>IF(C1171="","",IFERROR(INDEX(Levels!$C$2:$C$30,MATCH(C1171,Levels!$B$2:$B$30,0)),""))</f>
        <v/>
      </c>
      <c r="G1171" s="6" t="n"/>
      <c r="H1171" s="10">
        <f>IF(AND(B1171="",C1171=""),"",IF(G1171&lt;&gt;"","Void",IF(OR(B1171="",E1171=""),"Needs child",IF(D1171="","Needs level","OK"))))</f>
        <v/>
      </c>
    </row>
    <row r="1172">
      <c r="A1172" s="6" t="n"/>
      <c r="B1172" s="6" t="n"/>
      <c r="C1172" s="6" t="n"/>
      <c r="D1172" s="11">
        <f>IF(C1172="","",IFERROR(INDEX(Levels!$A$2:$A$30,MATCH(C1172,Levels!$B$2:$B$30,0)),""))</f>
        <v/>
      </c>
      <c r="E1172" s="10">
        <f>IF(B1172="","",IFERROR(INDEX(Roster!$A$2:$A$600,MATCH(B1172,Roster!$E$2:$E$600,0)),""))</f>
        <v/>
      </c>
      <c r="F1172" s="10">
        <f>IF(C1172="","",IFERROR(INDEX(Levels!$C$2:$C$30,MATCH(C1172,Levels!$B$2:$B$30,0)),""))</f>
        <v/>
      </c>
      <c r="G1172" s="6" t="n"/>
      <c r="H1172" s="10">
        <f>IF(AND(B1172="",C1172=""),"",IF(G1172&lt;&gt;"","Void",IF(OR(B1172="",E1172=""),"Needs child",IF(D1172="","Needs level","OK"))))</f>
        <v/>
      </c>
    </row>
    <row r="1173">
      <c r="A1173" s="6" t="n"/>
      <c r="B1173" s="6" t="n"/>
      <c r="C1173" s="6" t="n"/>
      <c r="D1173" s="11">
        <f>IF(C1173="","",IFERROR(INDEX(Levels!$A$2:$A$30,MATCH(C1173,Levels!$B$2:$B$30,0)),""))</f>
        <v/>
      </c>
      <c r="E1173" s="10">
        <f>IF(B1173="","",IFERROR(INDEX(Roster!$A$2:$A$600,MATCH(B1173,Roster!$E$2:$E$600,0)),""))</f>
        <v/>
      </c>
      <c r="F1173" s="10">
        <f>IF(C1173="","",IFERROR(INDEX(Levels!$C$2:$C$30,MATCH(C1173,Levels!$B$2:$B$30,0)),""))</f>
        <v/>
      </c>
      <c r="G1173" s="6" t="n"/>
      <c r="H1173" s="10">
        <f>IF(AND(B1173="",C1173=""),"",IF(G1173&lt;&gt;"","Void",IF(OR(B1173="",E1173=""),"Needs child",IF(D1173="","Needs level","OK"))))</f>
        <v/>
      </c>
    </row>
    <row r="1174">
      <c r="A1174" s="6" t="n"/>
      <c r="B1174" s="6" t="n"/>
      <c r="C1174" s="6" t="n"/>
      <c r="D1174" s="11">
        <f>IF(C1174="","",IFERROR(INDEX(Levels!$A$2:$A$30,MATCH(C1174,Levels!$B$2:$B$30,0)),""))</f>
        <v/>
      </c>
      <c r="E1174" s="10">
        <f>IF(B1174="","",IFERROR(INDEX(Roster!$A$2:$A$600,MATCH(B1174,Roster!$E$2:$E$600,0)),""))</f>
        <v/>
      </c>
      <c r="F1174" s="10">
        <f>IF(C1174="","",IFERROR(INDEX(Levels!$C$2:$C$30,MATCH(C1174,Levels!$B$2:$B$30,0)),""))</f>
        <v/>
      </c>
      <c r="G1174" s="6" t="n"/>
      <c r="H1174" s="10">
        <f>IF(AND(B1174="",C1174=""),"",IF(G1174&lt;&gt;"","Void",IF(OR(B1174="",E1174=""),"Needs child",IF(D1174="","Needs level","OK"))))</f>
        <v/>
      </c>
    </row>
    <row r="1175">
      <c r="A1175" s="6" t="n"/>
      <c r="B1175" s="6" t="n"/>
      <c r="C1175" s="6" t="n"/>
      <c r="D1175" s="11">
        <f>IF(C1175="","",IFERROR(INDEX(Levels!$A$2:$A$30,MATCH(C1175,Levels!$B$2:$B$30,0)),""))</f>
        <v/>
      </c>
      <c r="E1175" s="10">
        <f>IF(B1175="","",IFERROR(INDEX(Roster!$A$2:$A$600,MATCH(B1175,Roster!$E$2:$E$600,0)),""))</f>
        <v/>
      </c>
      <c r="F1175" s="10">
        <f>IF(C1175="","",IFERROR(INDEX(Levels!$C$2:$C$30,MATCH(C1175,Levels!$B$2:$B$30,0)),""))</f>
        <v/>
      </c>
      <c r="G1175" s="6" t="n"/>
      <c r="H1175" s="10">
        <f>IF(AND(B1175="",C1175=""),"",IF(G1175&lt;&gt;"","Void",IF(OR(B1175="",E1175=""),"Needs child",IF(D1175="","Needs level","OK"))))</f>
        <v/>
      </c>
    </row>
    <row r="1176">
      <c r="A1176" s="6" t="n"/>
      <c r="B1176" s="6" t="n"/>
      <c r="C1176" s="6" t="n"/>
      <c r="D1176" s="11">
        <f>IF(C1176="","",IFERROR(INDEX(Levels!$A$2:$A$30,MATCH(C1176,Levels!$B$2:$B$30,0)),""))</f>
        <v/>
      </c>
      <c r="E1176" s="10">
        <f>IF(B1176="","",IFERROR(INDEX(Roster!$A$2:$A$600,MATCH(B1176,Roster!$E$2:$E$600,0)),""))</f>
        <v/>
      </c>
      <c r="F1176" s="10">
        <f>IF(C1176="","",IFERROR(INDEX(Levels!$C$2:$C$30,MATCH(C1176,Levels!$B$2:$B$30,0)),""))</f>
        <v/>
      </c>
      <c r="G1176" s="6" t="n"/>
      <c r="H1176" s="10">
        <f>IF(AND(B1176="",C1176=""),"",IF(G1176&lt;&gt;"","Void",IF(OR(B1176="",E1176=""),"Needs child",IF(D1176="","Needs level","OK"))))</f>
        <v/>
      </c>
    </row>
    <row r="1177">
      <c r="A1177" s="6" t="n"/>
      <c r="B1177" s="6" t="n"/>
      <c r="C1177" s="6" t="n"/>
      <c r="D1177" s="11">
        <f>IF(C1177="","",IFERROR(INDEX(Levels!$A$2:$A$30,MATCH(C1177,Levels!$B$2:$B$30,0)),""))</f>
        <v/>
      </c>
      <c r="E1177" s="10">
        <f>IF(B1177="","",IFERROR(INDEX(Roster!$A$2:$A$600,MATCH(B1177,Roster!$E$2:$E$600,0)),""))</f>
        <v/>
      </c>
      <c r="F1177" s="10">
        <f>IF(C1177="","",IFERROR(INDEX(Levels!$C$2:$C$30,MATCH(C1177,Levels!$B$2:$B$30,0)),""))</f>
        <v/>
      </c>
      <c r="G1177" s="6" t="n"/>
      <c r="H1177" s="10">
        <f>IF(AND(B1177="",C1177=""),"",IF(G1177&lt;&gt;"","Void",IF(OR(B1177="",E1177=""),"Needs child",IF(D1177="","Needs level","OK"))))</f>
        <v/>
      </c>
    </row>
    <row r="1178">
      <c r="A1178" s="6" t="n"/>
      <c r="B1178" s="6" t="n"/>
      <c r="C1178" s="6" t="n"/>
      <c r="D1178" s="11">
        <f>IF(C1178="","",IFERROR(INDEX(Levels!$A$2:$A$30,MATCH(C1178,Levels!$B$2:$B$30,0)),""))</f>
        <v/>
      </c>
      <c r="E1178" s="10">
        <f>IF(B1178="","",IFERROR(INDEX(Roster!$A$2:$A$600,MATCH(B1178,Roster!$E$2:$E$600,0)),""))</f>
        <v/>
      </c>
      <c r="F1178" s="10">
        <f>IF(C1178="","",IFERROR(INDEX(Levels!$C$2:$C$30,MATCH(C1178,Levels!$B$2:$B$30,0)),""))</f>
        <v/>
      </c>
      <c r="G1178" s="6" t="n"/>
      <c r="H1178" s="10">
        <f>IF(AND(B1178="",C1178=""),"",IF(G1178&lt;&gt;"","Void",IF(OR(B1178="",E1178=""),"Needs child",IF(D1178="","Needs level","OK"))))</f>
        <v/>
      </c>
    </row>
    <row r="1179">
      <c r="A1179" s="6" t="n"/>
      <c r="B1179" s="6" t="n"/>
      <c r="C1179" s="6" t="n"/>
      <c r="D1179" s="11">
        <f>IF(C1179="","",IFERROR(INDEX(Levels!$A$2:$A$30,MATCH(C1179,Levels!$B$2:$B$30,0)),""))</f>
        <v/>
      </c>
      <c r="E1179" s="10">
        <f>IF(B1179="","",IFERROR(INDEX(Roster!$A$2:$A$600,MATCH(B1179,Roster!$E$2:$E$600,0)),""))</f>
        <v/>
      </c>
      <c r="F1179" s="10">
        <f>IF(C1179="","",IFERROR(INDEX(Levels!$C$2:$C$30,MATCH(C1179,Levels!$B$2:$B$30,0)),""))</f>
        <v/>
      </c>
      <c r="G1179" s="6" t="n"/>
      <c r="H1179" s="10">
        <f>IF(AND(B1179="",C1179=""),"",IF(G1179&lt;&gt;"","Void",IF(OR(B1179="",E1179=""),"Needs child",IF(D1179="","Needs level","OK"))))</f>
        <v/>
      </c>
    </row>
    <row r="1180">
      <c r="A1180" s="6" t="n"/>
      <c r="B1180" s="6" t="n"/>
      <c r="C1180" s="6" t="n"/>
      <c r="D1180" s="11">
        <f>IF(C1180="","",IFERROR(INDEX(Levels!$A$2:$A$30,MATCH(C1180,Levels!$B$2:$B$30,0)),""))</f>
        <v/>
      </c>
      <c r="E1180" s="10">
        <f>IF(B1180="","",IFERROR(INDEX(Roster!$A$2:$A$600,MATCH(B1180,Roster!$E$2:$E$600,0)),""))</f>
        <v/>
      </c>
      <c r="F1180" s="10">
        <f>IF(C1180="","",IFERROR(INDEX(Levels!$C$2:$C$30,MATCH(C1180,Levels!$B$2:$B$30,0)),""))</f>
        <v/>
      </c>
      <c r="G1180" s="6" t="n"/>
      <c r="H1180" s="10">
        <f>IF(AND(B1180="",C1180=""),"",IF(G1180&lt;&gt;"","Void",IF(OR(B1180="",E1180=""),"Needs child",IF(D1180="","Needs level","OK"))))</f>
        <v/>
      </c>
    </row>
    <row r="1181">
      <c r="A1181" s="6" t="n"/>
      <c r="B1181" s="6" t="n"/>
      <c r="C1181" s="6" t="n"/>
      <c r="D1181" s="11">
        <f>IF(C1181="","",IFERROR(INDEX(Levels!$A$2:$A$30,MATCH(C1181,Levels!$B$2:$B$30,0)),""))</f>
        <v/>
      </c>
      <c r="E1181" s="10">
        <f>IF(B1181="","",IFERROR(INDEX(Roster!$A$2:$A$600,MATCH(B1181,Roster!$E$2:$E$600,0)),""))</f>
        <v/>
      </c>
      <c r="F1181" s="10">
        <f>IF(C1181="","",IFERROR(INDEX(Levels!$C$2:$C$30,MATCH(C1181,Levels!$B$2:$B$30,0)),""))</f>
        <v/>
      </c>
      <c r="G1181" s="6" t="n"/>
      <c r="H1181" s="10">
        <f>IF(AND(B1181="",C1181=""),"",IF(G1181&lt;&gt;"","Void",IF(OR(B1181="",E1181=""),"Needs child",IF(D1181="","Needs level","OK"))))</f>
        <v/>
      </c>
    </row>
    <row r="1182">
      <c r="A1182" s="6" t="n"/>
      <c r="B1182" s="6" t="n"/>
      <c r="C1182" s="6" t="n"/>
      <c r="D1182" s="11">
        <f>IF(C1182="","",IFERROR(INDEX(Levels!$A$2:$A$30,MATCH(C1182,Levels!$B$2:$B$30,0)),""))</f>
        <v/>
      </c>
      <c r="E1182" s="10">
        <f>IF(B1182="","",IFERROR(INDEX(Roster!$A$2:$A$600,MATCH(B1182,Roster!$E$2:$E$600,0)),""))</f>
        <v/>
      </c>
      <c r="F1182" s="10">
        <f>IF(C1182="","",IFERROR(INDEX(Levels!$C$2:$C$30,MATCH(C1182,Levels!$B$2:$B$30,0)),""))</f>
        <v/>
      </c>
      <c r="G1182" s="6" t="n"/>
      <c r="H1182" s="10">
        <f>IF(AND(B1182="",C1182=""),"",IF(G1182&lt;&gt;"","Void",IF(OR(B1182="",E1182=""),"Needs child",IF(D1182="","Needs level","OK"))))</f>
        <v/>
      </c>
    </row>
    <row r="1183">
      <c r="A1183" s="6" t="n"/>
      <c r="B1183" s="6" t="n"/>
      <c r="C1183" s="6" t="n"/>
      <c r="D1183" s="11">
        <f>IF(C1183="","",IFERROR(INDEX(Levels!$A$2:$A$30,MATCH(C1183,Levels!$B$2:$B$30,0)),""))</f>
        <v/>
      </c>
      <c r="E1183" s="10">
        <f>IF(B1183="","",IFERROR(INDEX(Roster!$A$2:$A$600,MATCH(B1183,Roster!$E$2:$E$600,0)),""))</f>
        <v/>
      </c>
      <c r="F1183" s="10">
        <f>IF(C1183="","",IFERROR(INDEX(Levels!$C$2:$C$30,MATCH(C1183,Levels!$B$2:$B$30,0)),""))</f>
        <v/>
      </c>
      <c r="G1183" s="6" t="n"/>
      <c r="H1183" s="10">
        <f>IF(AND(B1183="",C1183=""),"",IF(G1183&lt;&gt;"","Void",IF(OR(B1183="",E1183=""),"Needs child",IF(D1183="","Needs level","OK"))))</f>
        <v/>
      </c>
    </row>
    <row r="1184">
      <c r="A1184" s="6" t="n"/>
      <c r="B1184" s="6" t="n"/>
      <c r="C1184" s="6" t="n"/>
      <c r="D1184" s="11">
        <f>IF(C1184="","",IFERROR(INDEX(Levels!$A$2:$A$30,MATCH(C1184,Levels!$B$2:$B$30,0)),""))</f>
        <v/>
      </c>
      <c r="E1184" s="10">
        <f>IF(B1184="","",IFERROR(INDEX(Roster!$A$2:$A$600,MATCH(B1184,Roster!$E$2:$E$600,0)),""))</f>
        <v/>
      </c>
      <c r="F1184" s="10">
        <f>IF(C1184="","",IFERROR(INDEX(Levels!$C$2:$C$30,MATCH(C1184,Levels!$B$2:$B$30,0)),""))</f>
        <v/>
      </c>
      <c r="G1184" s="6" t="n"/>
      <c r="H1184" s="10">
        <f>IF(AND(B1184="",C1184=""),"",IF(G1184&lt;&gt;"","Void",IF(OR(B1184="",E1184=""),"Needs child",IF(D1184="","Needs level","OK"))))</f>
        <v/>
      </c>
    </row>
    <row r="1185">
      <c r="A1185" s="6" t="n"/>
      <c r="B1185" s="6" t="n"/>
      <c r="C1185" s="6" t="n"/>
      <c r="D1185" s="11">
        <f>IF(C1185="","",IFERROR(INDEX(Levels!$A$2:$A$30,MATCH(C1185,Levels!$B$2:$B$30,0)),""))</f>
        <v/>
      </c>
      <c r="E1185" s="10">
        <f>IF(B1185="","",IFERROR(INDEX(Roster!$A$2:$A$600,MATCH(B1185,Roster!$E$2:$E$600,0)),""))</f>
        <v/>
      </c>
      <c r="F1185" s="10">
        <f>IF(C1185="","",IFERROR(INDEX(Levels!$C$2:$C$30,MATCH(C1185,Levels!$B$2:$B$30,0)),""))</f>
        <v/>
      </c>
      <c r="G1185" s="6" t="n"/>
      <c r="H1185" s="10">
        <f>IF(AND(B1185="",C1185=""),"",IF(G1185&lt;&gt;"","Void",IF(OR(B1185="",E1185=""),"Needs child",IF(D1185="","Needs level","OK"))))</f>
        <v/>
      </c>
    </row>
    <row r="1186">
      <c r="A1186" s="6" t="n"/>
      <c r="B1186" s="6" t="n"/>
      <c r="C1186" s="6" t="n"/>
      <c r="D1186" s="11">
        <f>IF(C1186="","",IFERROR(INDEX(Levels!$A$2:$A$30,MATCH(C1186,Levels!$B$2:$B$30,0)),""))</f>
        <v/>
      </c>
      <c r="E1186" s="10">
        <f>IF(B1186="","",IFERROR(INDEX(Roster!$A$2:$A$600,MATCH(B1186,Roster!$E$2:$E$600,0)),""))</f>
        <v/>
      </c>
      <c r="F1186" s="10">
        <f>IF(C1186="","",IFERROR(INDEX(Levels!$C$2:$C$30,MATCH(C1186,Levels!$B$2:$B$30,0)),""))</f>
        <v/>
      </c>
      <c r="G1186" s="6" t="n"/>
      <c r="H1186" s="10">
        <f>IF(AND(B1186="",C1186=""),"",IF(G1186&lt;&gt;"","Void",IF(OR(B1186="",E1186=""),"Needs child",IF(D1186="","Needs level","OK"))))</f>
        <v/>
      </c>
    </row>
    <row r="1187">
      <c r="A1187" s="6" t="n"/>
      <c r="B1187" s="6" t="n"/>
      <c r="C1187" s="6" t="n"/>
      <c r="D1187" s="11">
        <f>IF(C1187="","",IFERROR(INDEX(Levels!$A$2:$A$30,MATCH(C1187,Levels!$B$2:$B$30,0)),""))</f>
        <v/>
      </c>
      <c r="E1187" s="10">
        <f>IF(B1187="","",IFERROR(INDEX(Roster!$A$2:$A$600,MATCH(B1187,Roster!$E$2:$E$600,0)),""))</f>
        <v/>
      </c>
      <c r="F1187" s="10">
        <f>IF(C1187="","",IFERROR(INDEX(Levels!$C$2:$C$30,MATCH(C1187,Levels!$B$2:$B$30,0)),""))</f>
        <v/>
      </c>
      <c r="G1187" s="6" t="n"/>
      <c r="H1187" s="10">
        <f>IF(AND(B1187="",C1187=""),"",IF(G1187&lt;&gt;"","Void",IF(OR(B1187="",E1187=""),"Needs child",IF(D1187="","Needs level","OK"))))</f>
        <v/>
      </c>
    </row>
    <row r="1188">
      <c r="A1188" s="6" t="n"/>
      <c r="B1188" s="6" t="n"/>
      <c r="C1188" s="6" t="n"/>
      <c r="D1188" s="11">
        <f>IF(C1188="","",IFERROR(INDEX(Levels!$A$2:$A$30,MATCH(C1188,Levels!$B$2:$B$30,0)),""))</f>
        <v/>
      </c>
      <c r="E1188" s="10">
        <f>IF(B1188="","",IFERROR(INDEX(Roster!$A$2:$A$600,MATCH(B1188,Roster!$E$2:$E$600,0)),""))</f>
        <v/>
      </c>
      <c r="F1188" s="10">
        <f>IF(C1188="","",IFERROR(INDEX(Levels!$C$2:$C$30,MATCH(C1188,Levels!$B$2:$B$30,0)),""))</f>
        <v/>
      </c>
      <c r="G1188" s="6" t="n"/>
      <c r="H1188" s="10">
        <f>IF(AND(B1188="",C1188=""),"",IF(G1188&lt;&gt;"","Void",IF(OR(B1188="",E1188=""),"Needs child",IF(D1188="","Needs level","OK"))))</f>
        <v/>
      </c>
    </row>
    <row r="1189">
      <c r="A1189" s="6" t="n"/>
      <c r="B1189" s="6" t="n"/>
      <c r="C1189" s="6" t="n"/>
      <c r="D1189" s="11">
        <f>IF(C1189="","",IFERROR(INDEX(Levels!$A$2:$A$30,MATCH(C1189,Levels!$B$2:$B$30,0)),""))</f>
        <v/>
      </c>
      <c r="E1189" s="10">
        <f>IF(B1189="","",IFERROR(INDEX(Roster!$A$2:$A$600,MATCH(B1189,Roster!$E$2:$E$600,0)),""))</f>
        <v/>
      </c>
      <c r="F1189" s="10">
        <f>IF(C1189="","",IFERROR(INDEX(Levels!$C$2:$C$30,MATCH(C1189,Levels!$B$2:$B$30,0)),""))</f>
        <v/>
      </c>
      <c r="G1189" s="6" t="n"/>
      <c r="H1189" s="10">
        <f>IF(AND(B1189="",C1189=""),"",IF(G1189&lt;&gt;"","Void",IF(OR(B1189="",E1189=""),"Needs child",IF(D1189="","Needs level","OK"))))</f>
        <v/>
      </c>
    </row>
    <row r="1190">
      <c r="A1190" s="6" t="n"/>
      <c r="B1190" s="6" t="n"/>
      <c r="C1190" s="6" t="n"/>
      <c r="D1190" s="11">
        <f>IF(C1190="","",IFERROR(INDEX(Levels!$A$2:$A$30,MATCH(C1190,Levels!$B$2:$B$30,0)),""))</f>
        <v/>
      </c>
      <c r="E1190" s="10">
        <f>IF(B1190="","",IFERROR(INDEX(Roster!$A$2:$A$600,MATCH(B1190,Roster!$E$2:$E$600,0)),""))</f>
        <v/>
      </c>
      <c r="F1190" s="10">
        <f>IF(C1190="","",IFERROR(INDEX(Levels!$C$2:$C$30,MATCH(C1190,Levels!$B$2:$B$30,0)),""))</f>
        <v/>
      </c>
      <c r="G1190" s="6" t="n"/>
      <c r="H1190" s="10">
        <f>IF(AND(B1190="",C1190=""),"",IF(G1190&lt;&gt;"","Void",IF(OR(B1190="",E1190=""),"Needs child",IF(D1190="","Needs level","OK"))))</f>
        <v/>
      </c>
    </row>
    <row r="1191">
      <c r="A1191" s="6" t="n"/>
      <c r="B1191" s="6" t="n"/>
      <c r="C1191" s="6" t="n"/>
      <c r="D1191" s="11">
        <f>IF(C1191="","",IFERROR(INDEX(Levels!$A$2:$A$30,MATCH(C1191,Levels!$B$2:$B$30,0)),""))</f>
        <v/>
      </c>
      <c r="E1191" s="10">
        <f>IF(B1191="","",IFERROR(INDEX(Roster!$A$2:$A$600,MATCH(B1191,Roster!$E$2:$E$600,0)),""))</f>
        <v/>
      </c>
      <c r="F1191" s="10">
        <f>IF(C1191="","",IFERROR(INDEX(Levels!$C$2:$C$30,MATCH(C1191,Levels!$B$2:$B$30,0)),""))</f>
        <v/>
      </c>
      <c r="G1191" s="6" t="n"/>
      <c r="H1191" s="10">
        <f>IF(AND(B1191="",C1191=""),"",IF(G1191&lt;&gt;"","Void",IF(OR(B1191="",E1191=""),"Needs child",IF(D1191="","Needs level","OK"))))</f>
        <v/>
      </c>
    </row>
    <row r="1192">
      <c r="A1192" s="6" t="n"/>
      <c r="B1192" s="6" t="n"/>
      <c r="C1192" s="6" t="n"/>
      <c r="D1192" s="11">
        <f>IF(C1192="","",IFERROR(INDEX(Levels!$A$2:$A$30,MATCH(C1192,Levels!$B$2:$B$30,0)),""))</f>
        <v/>
      </c>
      <c r="E1192" s="10">
        <f>IF(B1192="","",IFERROR(INDEX(Roster!$A$2:$A$600,MATCH(B1192,Roster!$E$2:$E$600,0)),""))</f>
        <v/>
      </c>
      <c r="F1192" s="10">
        <f>IF(C1192="","",IFERROR(INDEX(Levels!$C$2:$C$30,MATCH(C1192,Levels!$B$2:$B$30,0)),""))</f>
        <v/>
      </c>
      <c r="G1192" s="6" t="n"/>
      <c r="H1192" s="10">
        <f>IF(AND(B1192="",C1192=""),"",IF(G1192&lt;&gt;"","Void",IF(OR(B1192="",E1192=""),"Needs child",IF(D1192="","Needs level","OK"))))</f>
        <v/>
      </c>
    </row>
    <row r="1193">
      <c r="A1193" s="6" t="n"/>
      <c r="B1193" s="6" t="n"/>
      <c r="C1193" s="6" t="n"/>
      <c r="D1193" s="11">
        <f>IF(C1193="","",IFERROR(INDEX(Levels!$A$2:$A$30,MATCH(C1193,Levels!$B$2:$B$30,0)),""))</f>
        <v/>
      </c>
      <c r="E1193" s="10">
        <f>IF(B1193="","",IFERROR(INDEX(Roster!$A$2:$A$600,MATCH(B1193,Roster!$E$2:$E$600,0)),""))</f>
        <v/>
      </c>
      <c r="F1193" s="10">
        <f>IF(C1193="","",IFERROR(INDEX(Levels!$C$2:$C$30,MATCH(C1193,Levels!$B$2:$B$30,0)),""))</f>
        <v/>
      </c>
      <c r="G1193" s="6" t="n"/>
      <c r="H1193" s="10">
        <f>IF(AND(B1193="",C1193=""),"",IF(G1193&lt;&gt;"","Void",IF(OR(B1193="",E1193=""),"Needs child",IF(D1193="","Needs level","OK"))))</f>
        <v/>
      </c>
    </row>
    <row r="1194">
      <c r="A1194" s="6" t="n"/>
      <c r="B1194" s="6" t="n"/>
      <c r="C1194" s="6" t="n"/>
      <c r="D1194" s="11">
        <f>IF(C1194="","",IFERROR(INDEX(Levels!$A$2:$A$30,MATCH(C1194,Levels!$B$2:$B$30,0)),""))</f>
        <v/>
      </c>
      <c r="E1194" s="10">
        <f>IF(B1194="","",IFERROR(INDEX(Roster!$A$2:$A$600,MATCH(B1194,Roster!$E$2:$E$600,0)),""))</f>
        <v/>
      </c>
      <c r="F1194" s="10">
        <f>IF(C1194="","",IFERROR(INDEX(Levels!$C$2:$C$30,MATCH(C1194,Levels!$B$2:$B$30,0)),""))</f>
        <v/>
      </c>
      <c r="G1194" s="6" t="n"/>
      <c r="H1194" s="10">
        <f>IF(AND(B1194="",C1194=""),"",IF(G1194&lt;&gt;"","Void",IF(OR(B1194="",E1194=""),"Needs child",IF(D1194="","Needs level","OK"))))</f>
        <v/>
      </c>
    </row>
    <row r="1195">
      <c r="A1195" s="6" t="n"/>
      <c r="B1195" s="6" t="n"/>
      <c r="C1195" s="6" t="n"/>
      <c r="D1195" s="11">
        <f>IF(C1195="","",IFERROR(INDEX(Levels!$A$2:$A$30,MATCH(C1195,Levels!$B$2:$B$30,0)),""))</f>
        <v/>
      </c>
      <c r="E1195" s="10">
        <f>IF(B1195="","",IFERROR(INDEX(Roster!$A$2:$A$600,MATCH(B1195,Roster!$E$2:$E$600,0)),""))</f>
        <v/>
      </c>
      <c r="F1195" s="10">
        <f>IF(C1195="","",IFERROR(INDEX(Levels!$C$2:$C$30,MATCH(C1195,Levels!$B$2:$B$30,0)),""))</f>
        <v/>
      </c>
      <c r="G1195" s="6" t="n"/>
      <c r="H1195" s="10">
        <f>IF(AND(B1195="",C1195=""),"",IF(G1195&lt;&gt;"","Void",IF(OR(B1195="",E1195=""),"Needs child",IF(D1195="","Needs level","OK"))))</f>
        <v/>
      </c>
    </row>
    <row r="1196">
      <c r="A1196" s="6" t="n"/>
      <c r="B1196" s="6" t="n"/>
      <c r="C1196" s="6" t="n"/>
      <c r="D1196" s="11">
        <f>IF(C1196="","",IFERROR(INDEX(Levels!$A$2:$A$30,MATCH(C1196,Levels!$B$2:$B$30,0)),""))</f>
        <v/>
      </c>
      <c r="E1196" s="10">
        <f>IF(B1196="","",IFERROR(INDEX(Roster!$A$2:$A$600,MATCH(B1196,Roster!$E$2:$E$600,0)),""))</f>
        <v/>
      </c>
      <c r="F1196" s="10">
        <f>IF(C1196="","",IFERROR(INDEX(Levels!$C$2:$C$30,MATCH(C1196,Levels!$B$2:$B$30,0)),""))</f>
        <v/>
      </c>
      <c r="G1196" s="6" t="n"/>
      <c r="H1196" s="10">
        <f>IF(AND(B1196="",C1196=""),"",IF(G1196&lt;&gt;"","Void",IF(OR(B1196="",E1196=""),"Needs child",IF(D1196="","Needs level","OK"))))</f>
        <v/>
      </c>
    </row>
    <row r="1197">
      <c r="A1197" s="6" t="n"/>
      <c r="B1197" s="6" t="n"/>
      <c r="C1197" s="6" t="n"/>
      <c r="D1197" s="11">
        <f>IF(C1197="","",IFERROR(INDEX(Levels!$A$2:$A$30,MATCH(C1197,Levels!$B$2:$B$30,0)),""))</f>
        <v/>
      </c>
      <c r="E1197" s="10">
        <f>IF(B1197="","",IFERROR(INDEX(Roster!$A$2:$A$600,MATCH(B1197,Roster!$E$2:$E$600,0)),""))</f>
        <v/>
      </c>
      <c r="F1197" s="10">
        <f>IF(C1197="","",IFERROR(INDEX(Levels!$C$2:$C$30,MATCH(C1197,Levels!$B$2:$B$30,0)),""))</f>
        <v/>
      </c>
      <c r="G1197" s="6" t="n"/>
      <c r="H1197" s="10">
        <f>IF(AND(B1197="",C1197=""),"",IF(G1197&lt;&gt;"","Void",IF(OR(B1197="",E1197=""),"Needs child",IF(D1197="","Needs level","OK"))))</f>
        <v/>
      </c>
    </row>
    <row r="1198">
      <c r="A1198" s="6" t="n"/>
      <c r="B1198" s="6" t="n"/>
      <c r="C1198" s="6" t="n"/>
      <c r="D1198" s="11">
        <f>IF(C1198="","",IFERROR(INDEX(Levels!$A$2:$A$30,MATCH(C1198,Levels!$B$2:$B$30,0)),""))</f>
        <v/>
      </c>
      <c r="E1198" s="10">
        <f>IF(B1198="","",IFERROR(INDEX(Roster!$A$2:$A$600,MATCH(B1198,Roster!$E$2:$E$600,0)),""))</f>
        <v/>
      </c>
      <c r="F1198" s="10">
        <f>IF(C1198="","",IFERROR(INDEX(Levels!$C$2:$C$30,MATCH(C1198,Levels!$B$2:$B$30,0)),""))</f>
        <v/>
      </c>
      <c r="G1198" s="6" t="n"/>
      <c r="H1198" s="10">
        <f>IF(AND(B1198="",C1198=""),"",IF(G1198&lt;&gt;"","Void",IF(OR(B1198="",E1198=""),"Needs child",IF(D1198="","Needs level","OK"))))</f>
        <v/>
      </c>
    </row>
    <row r="1199">
      <c r="A1199" s="6" t="n"/>
      <c r="B1199" s="6" t="n"/>
      <c r="C1199" s="6" t="n"/>
      <c r="D1199" s="11">
        <f>IF(C1199="","",IFERROR(INDEX(Levels!$A$2:$A$30,MATCH(C1199,Levels!$B$2:$B$30,0)),""))</f>
        <v/>
      </c>
      <c r="E1199" s="10">
        <f>IF(B1199="","",IFERROR(INDEX(Roster!$A$2:$A$600,MATCH(B1199,Roster!$E$2:$E$600,0)),""))</f>
        <v/>
      </c>
      <c r="F1199" s="10">
        <f>IF(C1199="","",IFERROR(INDEX(Levels!$C$2:$C$30,MATCH(C1199,Levels!$B$2:$B$30,0)),""))</f>
        <v/>
      </c>
      <c r="G1199" s="6" t="n"/>
      <c r="H1199" s="10">
        <f>IF(AND(B1199="",C1199=""),"",IF(G1199&lt;&gt;"","Void",IF(OR(B1199="",E1199=""),"Needs child",IF(D1199="","Needs level","OK"))))</f>
        <v/>
      </c>
    </row>
    <row r="1200">
      <c r="A1200" s="6" t="n"/>
      <c r="B1200" s="6" t="n"/>
      <c r="C1200" s="6" t="n"/>
      <c r="D1200" s="11">
        <f>IF(C1200="","",IFERROR(INDEX(Levels!$A$2:$A$30,MATCH(C1200,Levels!$B$2:$B$30,0)),""))</f>
        <v/>
      </c>
      <c r="E1200" s="10">
        <f>IF(B1200="","",IFERROR(INDEX(Roster!$A$2:$A$600,MATCH(B1200,Roster!$E$2:$E$600,0)),""))</f>
        <v/>
      </c>
      <c r="F1200" s="10">
        <f>IF(C1200="","",IFERROR(INDEX(Levels!$C$2:$C$30,MATCH(C1200,Levels!$B$2:$B$30,0)),""))</f>
        <v/>
      </c>
      <c r="G1200" s="6" t="n"/>
      <c r="H1200" s="10">
        <f>IF(AND(B1200="",C1200=""),"",IF(G1200&lt;&gt;"","Void",IF(OR(B1200="",E1200=""),"Needs child",IF(D1200="","Needs level","OK"))))</f>
        <v/>
      </c>
    </row>
    <row r="1201">
      <c r="A1201" s="6" t="n"/>
      <c r="B1201" s="6" t="n"/>
      <c r="C1201" s="6" t="n"/>
      <c r="D1201" s="11">
        <f>IF(C1201="","",IFERROR(INDEX(Levels!$A$2:$A$30,MATCH(C1201,Levels!$B$2:$B$30,0)),""))</f>
        <v/>
      </c>
      <c r="E1201" s="10">
        <f>IF(B1201="","",IFERROR(INDEX(Roster!$A$2:$A$600,MATCH(B1201,Roster!$E$2:$E$600,0)),""))</f>
        <v/>
      </c>
      <c r="F1201" s="10">
        <f>IF(C1201="","",IFERROR(INDEX(Levels!$C$2:$C$30,MATCH(C1201,Levels!$B$2:$B$30,0)),""))</f>
        <v/>
      </c>
      <c r="G1201" s="6" t="n"/>
      <c r="H1201" s="10">
        <f>IF(AND(B1201="",C1201=""),"",IF(G1201&lt;&gt;"","Void",IF(OR(B1201="",E1201=""),"Needs child",IF(D1201="","Needs level","OK"))))</f>
        <v/>
      </c>
    </row>
    <row r="1202">
      <c r="A1202" s="6" t="n"/>
      <c r="B1202" s="6" t="n"/>
      <c r="C1202" s="6" t="n"/>
      <c r="D1202" s="11">
        <f>IF(C1202="","",IFERROR(INDEX(Levels!$A$2:$A$30,MATCH(C1202,Levels!$B$2:$B$30,0)),""))</f>
        <v/>
      </c>
      <c r="E1202" s="10">
        <f>IF(B1202="","",IFERROR(INDEX(Roster!$A$2:$A$600,MATCH(B1202,Roster!$E$2:$E$600,0)),""))</f>
        <v/>
      </c>
      <c r="F1202" s="10">
        <f>IF(C1202="","",IFERROR(INDEX(Levels!$C$2:$C$30,MATCH(C1202,Levels!$B$2:$B$30,0)),""))</f>
        <v/>
      </c>
      <c r="G1202" s="6" t="n"/>
      <c r="H1202" s="10">
        <f>IF(AND(B1202="",C1202=""),"",IF(G1202&lt;&gt;"","Void",IF(OR(B1202="",E1202=""),"Needs child",IF(D1202="","Needs level","OK"))))</f>
        <v/>
      </c>
    </row>
    <row r="1203">
      <c r="A1203" s="6" t="n"/>
      <c r="B1203" s="6" t="n"/>
      <c r="C1203" s="6" t="n"/>
      <c r="D1203" s="11">
        <f>IF(C1203="","",IFERROR(INDEX(Levels!$A$2:$A$30,MATCH(C1203,Levels!$B$2:$B$30,0)),""))</f>
        <v/>
      </c>
      <c r="E1203" s="10">
        <f>IF(B1203="","",IFERROR(INDEX(Roster!$A$2:$A$600,MATCH(B1203,Roster!$E$2:$E$600,0)),""))</f>
        <v/>
      </c>
      <c r="F1203" s="10">
        <f>IF(C1203="","",IFERROR(INDEX(Levels!$C$2:$C$30,MATCH(C1203,Levels!$B$2:$B$30,0)),""))</f>
        <v/>
      </c>
      <c r="G1203" s="6" t="n"/>
      <c r="H1203" s="10">
        <f>IF(AND(B1203="",C1203=""),"",IF(G1203&lt;&gt;"","Void",IF(OR(B1203="",E1203=""),"Needs child",IF(D1203="","Needs level","OK"))))</f>
        <v/>
      </c>
    </row>
    <row r="1204">
      <c r="A1204" s="6" t="n"/>
      <c r="B1204" s="6" t="n"/>
      <c r="C1204" s="6" t="n"/>
      <c r="D1204" s="11">
        <f>IF(C1204="","",IFERROR(INDEX(Levels!$A$2:$A$30,MATCH(C1204,Levels!$B$2:$B$30,0)),""))</f>
        <v/>
      </c>
      <c r="E1204" s="10">
        <f>IF(B1204="","",IFERROR(INDEX(Roster!$A$2:$A$600,MATCH(B1204,Roster!$E$2:$E$600,0)),""))</f>
        <v/>
      </c>
      <c r="F1204" s="10">
        <f>IF(C1204="","",IFERROR(INDEX(Levels!$C$2:$C$30,MATCH(C1204,Levels!$B$2:$B$30,0)),""))</f>
        <v/>
      </c>
      <c r="G1204" s="6" t="n"/>
      <c r="H1204" s="10">
        <f>IF(AND(B1204="",C1204=""),"",IF(G1204&lt;&gt;"","Void",IF(OR(B1204="",E1204=""),"Needs child",IF(D1204="","Needs level","OK"))))</f>
        <v/>
      </c>
    </row>
    <row r="1205">
      <c r="A1205" s="6" t="n"/>
      <c r="B1205" s="6" t="n"/>
      <c r="C1205" s="6" t="n"/>
      <c r="D1205" s="11">
        <f>IF(C1205="","",IFERROR(INDEX(Levels!$A$2:$A$30,MATCH(C1205,Levels!$B$2:$B$30,0)),""))</f>
        <v/>
      </c>
      <c r="E1205" s="10">
        <f>IF(B1205="","",IFERROR(INDEX(Roster!$A$2:$A$600,MATCH(B1205,Roster!$E$2:$E$600,0)),""))</f>
        <v/>
      </c>
      <c r="F1205" s="10">
        <f>IF(C1205="","",IFERROR(INDEX(Levels!$C$2:$C$30,MATCH(C1205,Levels!$B$2:$B$30,0)),""))</f>
        <v/>
      </c>
      <c r="G1205" s="6" t="n"/>
      <c r="H1205" s="10">
        <f>IF(AND(B1205="",C1205=""),"",IF(G1205&lt;&gt;"","Void",IF(OR(B1205="",E1205=""),"Needs child",IF(D1205="","Needs level","OK"))))</f>
        <v/>
      </c>
    </row>
    <row r="1206">
      <c r="A1206" s="6" t="n"/>
      <c r="B1206" s="6" t="n"/>
      <c r="C1206" s="6" t="n"/>
      <c r="D1206" s="11">
        <f>IF(C1206="","",IFERROR(INDEX(Levels!$A$2:$A$30,MATCH(C1206,Levels!$B$2:$B$30,0)),""))</f>
        <v/>
      </c>
      <c r="E1206" s="10">
        <f>IF(B1206="","",IFERROR(INDEX(Roster!$A$2:$A$600,MATCH(B1206,Roster!$E$2:$E$600,0)),""))</f>
        <v/>
      </c>
      <c r="F1206" s="10">
        <f>IF(C1206="","",IFERROR(INDEX(Levels!$C$2:$C$30,MATCH(C1206,Levels!$B$2:$B$30,0)),""))</f>
        <v/>
      </c>
      <c r="G1206" s="6" t="n"/>
      <c r="H1206" s="10">
        <f>IF(AND(B1206="",C1206=""),"",IF(G1206&lt;&gt;"","Void",IF(OR(B1206="",E1206=""),"Needs child",IF(D1206="","Needs level","OK"))))</f>
        <v/>
      </c>
    </row>
    <row r="1207">
      <c r="A1207" s="6" t="n"/>
      <c r="B1207" s="6" t="n"/>
      <c r="C1207" s="6" t="n"/>
      <c r="D1207" s="11">
        <f>IF(C1207="","",IFERROR(INDEX(Levels!$A$2:$A$30,MATCH(C1207,Levels!$B$2:$B$30,0)),""))</f>
        <v/>
      </c>
      <c r="E1207" s="10">
        <f>IF(B1207="","",IFERROR(INDEX(Roster!$A$2:$A$600,MATCH(B1207,Roster!$E$2:$E$600,0)),""))</f>
        <v/>
      </c>
      <c r="F1207" s="10">
        <f>IF(C1207="","",IFERROR(INDEX(Levels!$C$2:$C$30,MATCH(C1207,Levels!$B$2:$B$30,0)),""))</f>
        <v/>
      </c>
      <c r="G1207" s="6" t="n"/>
      <c r="H1207" s="10">
        <f>IF(AND(B1207="",C1207=""),"",IF(G1207&lt;&gt;"","Void",IF(OR(B1207="",E1207=""),"Needs child",IF(D1207="","Needs level","OK"))))</f>
        <v/>
      </c>
    </row>
    <row r="1208">
      <c r="A1208" s="6" t="n"/>
      <c r="B1208" s="6" t="n"/>
      <c r="C1208" s="6" t="n"/>
      <c r="D1208" s="11">
        <f>IF(C1208="","",IFERROR(INDEX(Levels!$A$2:$A$30,MATCH(C1208,Levels!$B$2:$B$30,0)),""))</f>
        <v/>
      </c>
      <c r="E1208" s="10">
        <f>IF(B1208="","",IFERROR(INDEX(Roster!$A$2:$A$600,MATCH(B1208,Roster!$E$2:$E$600,0)),""))</f>
        <v/>
      </c>
      <c r="F1208" s="10">
        <f>IF(C1208="","",IFERROR(INDEX(Levels!$C$2:$C$30,MATCH(C1208,Levels!$B$2:$B$30,0)),""))</f>
        <v/>
      </c>
      <c r="G1208" s="6" t="n"/>
      <c r="H1208" s="10">
        <f>IF(AND(B1208="",C1208=""),"",IF(G1208&lt;&gt;"","Void",IF(OR(B1208="",E1208=""),"Needs child",IF(D1208="","Needs level","OK"))))</f>
        <v/>
      </c>
    </row>
    <row r="1209">
      <c r="A1209" s="6" t="n"/>
      <c r="B1209" s="6" t="n"/>
      <c r="C1209" s="6" t="n"/>
      <c r="D1209" s="11">
        <f>IF(C1209="","",IFERROR(INDEX(Levels!$A$2:$A$30,MATCH(C1209,Levels!$B$2:$B$30,0)),""))</f>
        <v/>
      </c>
      <c r="E1209" s="10">
        <f>IF(B1209="","",IFERROR(INDEX(Roster!$A$2:$A$600,MATCH(B1209,Roster!$E$2:$E$600,0)),""))</f>
        <v/>
      </c>
      <c r="F1209" s="10">
        <f>IF(C1209="","",IFERROR(INDEX(Levels!$C$2:$C$30,MATCH(C1209,Levels!$B$2:$B$30,0)),""))</f>
        <v/>
      </c>
      <c r="G1209" s="6" t="n"/>
      <c r="H1209" s="10">
        <f>IF(AND(B1209="",C1209=""),"",IF(G1209&lt;&gt;"","Void",IF(OR(B1209="",E1209=""),"Needs child",IF(D1209="","Needs level","OK"))))</f>
        <v/>
      </c>
    </row>
    <row r="1210">
      <c r="A1210" s="6" t="n"/>
      <c r="B1210" s="6" t="n"/>
      <c r="C1210" s="6" t="n"/>
      <c r="D1210" s="11">
        <f>IF(C1210="","",IFERROR(INDEX(Levels!$A$2:$A$30,MATCH(C1210,Levels!$B$2:$B$30,0)),""))</f>
        <v/>
      </c>
      <c r="E1210" s="10">
        <f>IF(B1210="","",IFERROR(INDEX(Roster!$A$2:$A$600,MATCH(B1210,Roster!$E$2:$E$600,0)),""))</f>
        <v/>
      </c>
      <c r="F1210" s="10">
        <f>IF(C1210="","",IFERROR(INDEX(Levels!$C$2:$C$30,MATCH(C1210,Levels!$B$2:$B$30,0)),""))</f>
        <v/>
      </c>
      <c r="G1210" s="6" t="n"/>
      <c r="H1210" s="10">
        <f>IF(AND(B1210="",C1210=""),"",IF(G1210&lt;&gt;"","Void",IF(OR(B1210="",E1210=""),"Needs child",IF(D1210="","Needs level","OK"))))</f>
        <v/>
      </c>
    </row>
    <row r="1211">
      <c r="A1211" s="6" t="n"/>
      <c r="B1211" s="6" t="n"/>
      <c r="C1211" s="6" t="n"/>
      <c r="D1211" s="11">
        <f>IF(C1211="","",IFERROR(INDEX(Levels!$A$2:$A$30,MATCH(C1211,Levels!$B$2:$B$30,0)),""))</f>
        <v/>
      </c>
      <c r="E1211" s="10">
        <f>IF(B1211="","",IFERROR(INDEX(Roster!$A$2:$A$600,MATCH(B1211,Roster!$E$2:$E$600,0)),""))</f>
        <v/>
      </c>
      <c r="F1211" s="10">
        <f>IF(C1211="","",IFERROR(INDEX(Levels!$C$2:$C$30,MATCH(C1211,Levels!$B$2:$B$30,0)),""))</f>
        <v/>
      </c>
      <c r="G1211" s="6" t="n"/>
      <c r="H1211" s="10">
        <f>IF(AND(B1211="",C1211=""),"",IF(G1211&lt;&gt;"","Void",IF(OR(B1211="",E1211=""),"Needs child",IF(D1211="","Needs level","OK"))))</f>
        <v/>
      </c>
    </row>
    <row r="1212">
      <c r="A1212" s="6" t="n"/>
      <c r="B1212" s="6" t="n"/>
      <c r="C1212" s="6" t="n"/>
      <c r="D1212" s="11">
        <f>IF(C1212="","",IFERROR(INDEX(Levels!$A$2:$A$30,MATCH(C1212,Levels!$B$2:$B$30,0)),""))</f>
        <v/>
      </c>
      <c r="E1212" s="10">
        <f>IF(B1212="","",IFERROR(INDEX(Roster!$A$2:$A$600,MATCH(B1212,Roster!$E$2:$E$600,0)),""))</f>
        <v/>
      </c>
      <c r="F1212" s="10">
        <f>IF(C1212="","",IFERROR(INDEX(Levels!$C$2:$C$30,MATCH(C1212,Levels!$B$2:$B$30,0)),""))</f>
        <v/>
      </c>
      <c r="G1212" s="6" t="n"/>
      <c r="H1212" s="10">
        <f>IF(AND(B1212="",C1212=""),"",IF(G1212&lt;&gt;"","Void",IF(OR(B1212="",E1212=""),"Needs child",IF(D1212="","Needs level","OK"))))</f>
        <v/>
      </c>
    </row>
    <row r="1213">
      <c r="A1213" s="6" t="n"/>
      <c r="B1213" s="6" t="n"/>
      <c r="C1213" s="6" t="n"/>
      <c r="D1213" s="11">
        <f>IF(C1213="","",IFERROR(INDEX(Levels!$A$2:$A$30,MATCH(C1213,Levels!$B$2:$B$30,0)),""))</f>
        <v/>
      </c>
      <c r="E1213" s="10">
        <f>IF(B1213="","",IFERROR(INDEX(Roster!$A$2:$A$600,MATCH(B1213,Roster!$E$2:$E$600,0)),""))</f>
        <v/>
      </c>
      <c r="F1213" s="10">
        <f>IF(C1213="","",IFERROR(INDEX(Levels!$C$2:$C$30,MATCH(C1213,Levels!$B$2:$B$30,0)),""))</f>
        <v/>
      </c>
      <c r="G1213" s="6" t="n"/>
      <c r="H1213" s="10">
        <f>IF(AND(B1213="",C1213=""),"",IF(G1213&lt;&gt;"","Void",IF(OR(B1213="",E1213=""),"Needs child",IF(D1213="","Needs level","OK"))))</f>
        <v/>
      </c>
    </row>
    <row r="1214">
      <c r="A1214" s="6" t="n"/>
      <c r="B1214" s="6" t="n"/>
      <c r="C1214" s="6" t="n"/>
      <c r="D1214" s="11">
        <f>IF(C1214="","",IFERROR(INDEX(Levels!$A$2:$A$30,MATCH(C1214,Levels!$B$2:$B$30,0)),""))</f>
        <v/>
      </c>
      <c r="E1214" s="10">
        <f>IF(B1214="","",IFERROR(INDEX(Roster!$A$2:$A$600,MATCH(B1214,Roster!$E$2:$E$600,0)),""))</f>
        <v/>
      </c>
      <c r="F1214" s="10">
        <f>IF(C1214="","",IFERROR(INDEX(Levels!$C$2:$C$30,MATCH(C1214,Levels!$B$2:$B$30,0)),""))</f>
        <v/>
      </c>
      <c r="G1214" s="6" t="n"/>
      <c r="H1214" s="10">
        <f>IF(AND(B1214="",C1214=""),"",IF(G1214&lt;&gt;"","Void",IF(OR(B1214="",E1214=""),"Needs child",IF(D1214="","Needs level","OK"))))</f>
        <v/>
      </c>
    </row>
    <row r="1215">
      <c r="A1215" s="6" t="n"/>
      <c r="B1215" s="6" t="n"/>
      <c r="C1215" s="6" t="n"/>
      <c r="D1215" s="11">
        <f>IF(C1215="","",IFERROR(INDEX(Levels!$A$2:$A$30,MATCH(C1215,Levels!$B$2:$B$30,0)),""))</f>
        <v/>
      </c>
      <c r="E1215" s="10">
        <f>IF(B1215="","",IFERROR(INDEX(Roster!$A$2:$A$600,MATCH(B1215,Roster!$E$2:$E$600,0)),""))</f>
        <v/>
      </c>
      <c r="F1215" s="10">
        <f>IF(C1215="","",IFERROR(INDEX(Levels!$C$2:$C$30,MATCH(C1215,Levels!$B$2:$B$30,0)),""))</f>
        <v/>
      </c>
      <c r="G1215" s="6" t="n"/>
      <c r="H1215" s="10">
        <f>IF(AND(B1215="",C1215=""),"",IF(G1215&lt;&gt;"","Void",IF(OR(B1215="",E1215=""),"Needs child",IF(D1215="","Needs level","OK"))))</f>
        <v/>
      </c>
    </row>
    <row r="1216">
      <c r="A1216" s="6" t="n"/>
      <c r="B1216" s="6" t="n"/>
      <c r="C1216" s="6" t="n"/>
      <c r="D1216" s="11">
        <f>IF(C1216="","",IFERROR(INDEX(Levels!$A$2:$A$30,MATCH(C1216,Levels!$B$2:$B$30,0)),""))</f>
        <v/>
      </c>
      <c r="E1216" s="10">
        <f>IF(B1216="","",IFERROR(INDEX(Roster!$A$2:$A$600,MATCH(B1216,Roster!$E$2:$E$600,0)),""))</f>
        <v/>
      </c>
      <c r="F1216" s="10">
        <f>IF(C1216="","",IFERROR(INDEX(Levels!$C$2:$C$30,MATCH(C1216,Levels!$B$2:$B$30,0)),""))</f>
        <v/>
      </c>
      <c r="G1216" s="6" t="n"/>
      <c r="H1216" s="10">
        <f>IF(AND(B1216="",C1216=""),"",IF(G1216&lt;&gt;"","Void",IF(OR(B1216="",E1216=""),"Needs child",IF(D1216="","Needs level","OK"))))</f>
        <v/>
      </c>
    </row>
    <row r="1217">
      <c r="A1217" s="6" t="n"/>
      <c r="B1217" s="6" t="n"/>
      <c r="C1217" s="6" t="n"/>
      <c r="D1217" s="11">
        <f>IF(C1217="","",IFERROR(INDEX(Levels!$A$2:$A$30,MATCH(C1217,Levels!$B$2:$B$30,0)),""))</f>
        <v/>
      </c>
      <c r="E1217" s="10">
        <f>IF(B1217="","",IFERROR(INDEX(Roster!$A$2:$A$600,MATCH(B1217,Roster!$E$2:$E$600,0)),""))</f>
        <v/>
      </c>
      <c r="F1217" s="10">
        <f>IF(C1217="","",IFERROR(INDEX(Levels!$C$2:$C$30,MATCH(C1217,Levels!$B$2:$B$30,0)),""))</f>
        <v/>
      </c>
      <c r="G1217" s="6" t="n"/>
      <c r="H1217" s="10">
        <f>IF(AND(B1217="",C1217=""),"",IF(G1217&lt;&gt;"","Void",IF(OR(B1217="",E1217=""),"Needs child",IF(D1217="","Needs level","OK"))))</f>
        <v/>
      </c>
    </row>
    <row r="1218">
      <c r="A1218" s="6" t="n"/>
      <c r="B1218" s="6" t="n"/>
      <c r="C1218" s="6" t="n"/>
      <c r="D1218" s="11">
        <f>IF(C1218="","",IFERROR(INDEX(Levels!$A$2:$A$30,MATCH(C1218,Levels!$B$2:$B$30,0)),""))</f>
        <v/>
      </c>
      <c r="E1218" s="10">
        <f>IF(B1218="","",IFERROR(INDEX(Roster!$A$2:$A$600,MATCH(B1218,Roster!$E$2:$E$600,0)),""))</f>
        <v/>
      </c>
      <c r="F1218" s="10">
        <f>IF(C1218="","",IFERROR(INDEX(Levels!$C$2:$C$30,MATCH(C1218,Levels!$B$2:$B$30,0)),""))</f>
        <v/>
      </c>
      <c r="G1218" s="6" t="n"/>
      <c r="H1218" s="10">
        <f>IF(AND(B1218="",C1218=""),"",IF(G1218&lt;&gt;"","Void",IF(OR(B1218="",E1218=""),"Needs child",IF(D1218="","Needs level","OK"))))</f>
        <v/>
      </c>
    </row>
    <row r="1219">
      <c r="A1219" s="6" t="n"/>
      <c r="B1219" s="6" t="n"/>
      <c r="C1219" s="6" t="n"/>
      <c r="D1219" s="11">
        <f>IF(C1219="","",IFERROR(INDEX(Levels!$A$2:$A$30,MATCH(C1219,Levels!$B$2:$B$30,0)),""))</f>
        <v/>
      </c>
      <c r="E1219" s="10">
        <f>IF(B1219="","",IFERROR(INDEX(Roster!$A$2:$A$600,MATCH(B1219,Roster!$E$2:$E$600,0)),""))</f>
        <v/>
      </c>
      <c r="F1219" s="10">
        <f>IF(C1219="","",IFERROR(INDEX(Levels!$C$2:$C$30,MATCH(C1219,Levels!$B$2:$B$30,0)),""))</f>
        <v/>
      </c>
      <c r="G1219" s="6" t="n"/>
      <c r="H1219" s="10">
        <f>IF(AND(B1219="",C1219=""),"",IF(G1219&lt;&gt;"","Void",IF(OR(B1219="",E1219=""),"Needs child",IF(D1219="","Needs level","OK"))))</f>
        <v/>
      </c>
    </row>
    <row r="1220">
      <c r="A1220" s="6" t="n"/>
      <c r="B1220" s="6" t="n"/>
      <c r="C1220" s="6" t="n"/>
      <c r="D1220" s="11">
        <f>IF(C1220="","",IFERROR(INDEX(Levels!$A$2:$A$30,MATCH(C1220,Levels!$B$2:$B$30,0)),""))</f>
        <v/>
      </c>
      <c r="E1220" s="10">
        <f>IF(B1220="","",IFERROR(INDEX(Roster!$A$2:$A$600,MATCH(B1220,Roster!$E$2:$E$600,0)),""))</f>
        <v/>
      </c>
      <c r="F1220" s="10">
        <f>IF(C1220="","",IFERROR(INDEX(Levels!$C$2:$C$30,MATCH(C1220,Levels!$B$2:$B$30,0)),""))</f>
        <v/>
      </c>
      <c r="G1220" s="6" t="n"/>
      <c r="H1220" s="10">
        <f>IF(AND(B1220="",C1220=""),"",IF(G1220&lt;&gt;"","Void",IF(OR(B1220="",E1220=""),"Needs child",IF(D1220="","Needs level","OK"))))</f>
        <v/>
      </c>
    </row>
    <row r="1221">
      <c r="A1221" s="6" t="n"/>
      <c r="B1221" s="6" t="n"/>
      <c r="C1221" s="6" t="n"/>
      <c r="D1221" s="11">
        <f>IF(C1221="","",IFERROR(INDEX(Levels!$A$2:$A$30,MATCH(C1221,Levels!$B$2:$B$30,0)),""))</f>
        <v/>
      </c>
      <c r="E1221" s="10">
        <f>IF(B1221="","",IFERROR(INDEX(Roster!$A$2:$A$600,MATCH(B1221,Roster!$E$2:$E$600,0)),""))</f>
        <v/>
      </c>
      <c r="F1221" s="10">
        <f>IF(C1221="","",IFERROR(INDEX(Levels!$C$2:$C$30,MATCH(C1221,Levels!$B$2:$B$30,0)),""))</f>
        <v/>
      </c>
      <c r="G1221" s="6" t="n"/>
      <c r="H1221" s="10">
        <f>IF(AND(B1221="",C1221=""),"",IF(G1221&lt;&gt;"","Void",IF(OR(B1221="",E1221=""),"Needs child",IF(D1221="","Needs level","OK"))))</f>
        <v/>
      </c>
    </row>
    <row r="1222">
      <c r="A1222" s="6" t="n"/>
      <c r="B1222" s="6" t="n"/>
      <c r="C1222" s="6" t="n"/>
      <c r="D1222" s="11">
        <f>IF(C1222="","",IFERROR(INDEX(Levels!$A$2:$A$30,MATCH(C1222,Levels!$B$2:$B$30,0)),""))</f>
        <v/>
      </c>
      <c r="E1222" s="10">
        <f>IF(B1222="","",IFERROR(INDEX(Roster!$A$2:$A$600,MATCH(B1222,Roster!$E$2:$E$600,0)),""))</f>
        <v/>
      </c>
      <c r="F1222" s="10">
        <f>IF(C1222="","",IFERROR(INDEX(Levels!$C$2:$C$30,MATCH(C1222,Levels!$B$2:$B$30,0)),""))</f>
        <v/>
      </c>
      <c r="G1222" s="6" t="n"/>
      <c r="H1222" s="10">
        <f>IF(AND(B1222="",C1222=""),"",IF(G1222&lt;&gt;"","Void",IF(OR(B1222="",E1222=""),"Needs child",IF(D1222="","Needs level","OK"))))</f>
        <v/>
      </c>
    </row>
    <row r="1223">
      <c r="A1223" s="6" t="n"/>
      <c r="B1223" s="6" t="n"/>
      <c r="C1223" s="6" t="n"/>
      <c r="D1223" s="11">
        <f>IF(C1223="","",IFERROR(INDEX(Levels!$A$2:$A$30,MATCH(C1223,Levels!$B$2:$B$30,0)),""))</f>
        <v/>
      </c>
      <c r="E1223" s="10">
        <f>IF(B1223="","",IFERROR(INDEX(Roster!$A$2:$A$600,MATCH(B1223,Roster!$E$2:$E$600,0)),""))</f>
        <v/>
      </c>
      <c r="F1223" s="10">
        <f>IF(C1223="","",IFERROR(INDEX(Levels!$C$2:$C$30,MATCH(C1223,Levels!$B$2:$B$30,0)),""))</f>
        <v/>
      </c>
      <c r="G1223" s="6" t="n"/>
      <c r="H1223" s="10">
        <f>IF(AND(B1223="",C1223=""),"",IF(G1223&lt;&gt;"","Void",IF(OR(B1223="",E1223=""),"Needs child",IF(D1223="","Needs level","OK"))))</f>
        <v/>
      </c>
    </row>
    <row r="1224">
      <c r="A1224" s="6" t="n"/>
      <c r="B1224" s="6" t="n"/>
      <c r="C1224" s="6" t="n"/>
      <c r="D1224" s="11">
        <f>IF(C1224="","",IFERROR(INDEX(Levels!$A$2:$A$30,MATCH(C1224,Levels!$B$2:$B$30,0)),""))</f>
        <v/>
      </c>
      <c r="E1224" s="10">
        <f>IF(B1224="","",IFERROR(INDEX(Roster!$A$2:$A$600,MATCH(B1224,Roster!$E$2:$E$600,0)),""))</f>
        <v/>
      </c>
      <c r="F1224" s="10">
        <f>IF(C1224="","",IFERROR(INDEX(Levels!$C$2:$C$30,MATCH(C1224,Levels!$B$2:$B$30,0)),""))</f>
        <v/>
      </c>
      <c r="G1224" s="6" t="n"/>
      <c r="H1224" s="10">
        <f>IF(AND(B1224="",C1224=""),"",IF(G1224&lt;&gt;"","Void",IF(OR(B1224="",E1224=""),"Needs child",IF(D1224="","Needs level","OK"))))</f>
        <v/>
      </c>
    </row>
    <row r="1225">
      <c r="A1225" s="6" t="n"/>
      <c r="B1225" s="6" t="n"/>
      <c r="C1225" s="6" t="n"/>
      <c r="D1225" s="11">
        <f>IF(C1225="","",IFERROR(INDEX(Levels!$A$2:$A$30,MATCH(C1225,Levels!$B$2:$B$30,0)),""))</f>
        <v/>
      </c>
      <c r="E1225" s="10">
        <f>IF(B1225="","",IFERROR(INDEX(Roster!$A$2:$A$600,MATCH(B1225,Roster!$E$2:$E$600,0)),""))</f>
        <v/>
      </c>
      <c r="F1225" s="10">
        <f>IF(C1225="","",IFERROR(INDEX(Levels!$C$2:$C$30,MATCH(C1225,Levels!$B$2:$B$30,0)),""))</f>
        <v/>
      </c>
      <c r="G1225" s="6" t="n"/>
      <c r="H1225" s="10">
        <f>IF(AND(B1225="",C1225=""),"",IF(G1225&lt;&gt;"","Void",IF(OR(B1225="",E1225=""),"Needs child",IF(D1225="","Needs level","OK"))))</f>
        <v/>
      </c>
    </row>
    <row r="1226">
      <c r="A1226" s="6" t="n"/>
      <c r="B1226" s="6" t="n"/>
      <c r="C1226" s="6" t="n"/>
      <c r="D1226" s="11">
        <f>IF(C1226="","",IFERROR(INDEX(Levels!$A$2:$A$30,MATCH(C1226,Levels!$B$2:$B$30,0)),""))</f>
        <v/>
      </c>
      <c r="E1226" s="10">
        <f>IF(B1226="","",IFERROR(INDEX(Roster!$A$2:$A$600,MATCH(B1226,Roster!$E$2:$E$600,0)),""))</f>
        <v/>
      </c>
      <c r="F1226" s="10">
        <f>IF(C1226="","",IFERROR(INDEX(Levels!$C$2:$C$30,MATCH(C1226,Levels!$B$2:$B$30,0)),""))</f>
        <v/>
      </c>
      <c r="G1226" s="6" t="n"/>
      <c r="H1226" s="10">
        <f>IF(AND(B1226="",C1226=""),"",IF(G1226&lt;&gt;"","Void",IF(OR(B1226="",E1226=""),"Needs child",IF(D1226="","Needs level","OK"))))</f>
        <v/>
      </c>
    </row>
    <row r="1227">
      <c r="A1227" s="6" t="n"/>
      <c r="B1227" s="6" t="n"/>
      <c r="C1227" s="6" t="n"/>
      <c r="D1227" s="11">
        <f>IF(C1227="","",IFERROR(INDEX(Levels!$A$2:$A$30,MATCH(C1227,Levels!$B$2:$B$30,0)),""))</f>
        <v/>
      </c>
      <c r="E1227" s="10">
        <f>IF(B1227="","",IFERROR(INDEX(Roster!$A$2:$A$600,MATCH(B1227,Roster!$E$2:$E$600,0)),""))</f>
        <v/>
      </c>
      <c r="F1227" s="10">
        <f>IF(C1227="","",IFERROR(INDEX(Levels!$C$2:$C$30,MATCH(C1227,Levels!$B$2:$B$30,0)),""))</f>
        <v/>
      </c>
      <c r="G1227" s="6" t="n"/>
      <c r="H1227" s="10">
        <f>IF(AND(B1227="",C1227=""),"",IF(G1227&lt;&gt;"","Void",IF(OR(B1227="",E1227=""),"Needs child",IF(D1227="","Needs level","OK"))))</f>
        <v/>
      </c>
    </row>
    <row r="1228">
      <c r="A1228" s="6" t="n"/>
      <c r="B1228" s="6" t="n"/>
      <c r="C1228" s="6" t="n"/>
      <c r="D1228" s="11">
        <f>IF(C1228="","",IFERROR(INDEX(Levels!$A$2:$A$30,MATCH(C1228,Levels!$B$2:$B$30,0)),""))</f>
        <v/>
      </c>
      <c r="E1228" s="10">
        <f>IF(B1228="","",IFERROR(INDEX(Roster!$A$2:$A$600,MATCH(B1228,Roster!$E$2:$E$600,0)),""))</f>
        <v/>
      </c>
      <c r="F1228" s="10">
        <f>IF(C1228="","",IFERROR(INDEX(Levels!$C$2:$C$30,MATCH(C1228,Levels!$B$2:$B$30,0)),""))</f>
        <v/>
      </c>
      <c r="G1228" s="6" t="n"/>
      <c r="H1228" s="10">
        <f>IF(AND(B1228="",C1228=""),"",IF(G1228&lt;&gt;"","Void",IF(OR(B1228="",E1228=""),"Needs child",IF(D1228="","Needs level","OK"))))</f>
        <v/>
      </c>
    </row>
    <row r="1229">
      <c r="A1229" s="6" t="n"/>
      <c r="B1229" s="6" t="n"/>
      <c r="C1229" s="6" t="n"/>
      <c r="D1229" s="11">
        <f>IF(C1229="","",IFERROR(INDEX(Levels!$A$2:$A$30,MATCH(C1229,Levels!$B$2:$B$30,0)),""))</f>
        <v/>
      </c>
      <c r="E1229" s="10">
        <f>IF(B1229="","",IFERROR(INDEX(Roster!$A$2:$A$600,MATCH(B1229,Roster!$E$2:$E$600,0)),""))</f>
        <v/>
      </c>
      <c r="F1229" s="10">
        <f>IF(C1229="","",IFERROR(INDEX(Levels!$C$2:$C$30,MATCH(C1229,Levels!$B$2:$B$30,0)),""))</f>
        <v/>
      </c>
      <c r="G1229" s="6" t="n"/>
      <c r="H1229" s="10">
        <f>IF(AND(B1229="",C1229=""),"",IF(G1229&lt;&gt;"","Void",IF(OR(B1229="",E1229=""),"Needs child",IF(D1229="","Needs level","OK"))))</f>
        <v/>
      </c>
    </row>
    <row r="1230">
      <c r="A1230" s="6" t="n"/>
      <c r="B1230" s="6" t="n"/>
      <c r="C1230" s="6" t="n"/>
      <c r="D1230" s="11">
        <f>IF(C1230="","",IFERROR(INDEX(Levels!$A$2:$A$30,MATCH(C1230,Levels!$B$2:$B$30,0)),""))</f>
        <v/>
      </c>
      <c r="E1230" s="10">
        <f>IF(B1230="","",IFERROR(INDEX(Roster!$A$2:$A$600,MATCH(B1230,Roster!$E$2:$E$600,0)),""))</f>
        <v/>
      </c>
      <c r="F1230" s="10">
        <f>IF(C1230="","",IFERROR(INDEX(Levels!$C$2:$C$30,MATCH(C1230,Levels!$B$2:$B$30,0)),""))</f>
        <v/>
      </c>
      <c r="G1230" s="6" t="n"/>
      <c r="H1230" s="10">
        <f>IF(AND(B1230="",C1230=""),"",IF(G1230&lt;&gt;"","Void",IF(OR(B1230="",E1230=""),"Needs child",IF(D1230="","Needs level","OK"))))</f>
        <v/>
      </c>
    </row>
    <row r="1231">
      <c r="A1231" s="6" t="n"/>
      <c r="B1231" s="6" t="n"/>
      <c r="C1231" s="6" t="n"/>
      <c r="D1231" s="11">
        <f>IF(C1231="","",IFERROR(INDEX(Levels!$A$2:$A$30,MATCH(C1231,Levels!$B$2:$B$30,0)),""))</f>
        <v/>
      </c>
      <c r="E1231" s="10">
        <f>IF(B1231="","",IFERROR(INDEX(Roster!$A$2:$A$600,MATCH(B1231,Roster!$E$2:$E$600,0)),""))</f>
        <v/>
      </c>
      <c r="F1231" s="10">
        <f>IF(C1231="","",IFERROR(INDEX(Levels!$C$2:$C$30,MATCH(C1231,Levels!$B$2:$B$30,0)),""))</f>
        <v/>
      </c>
      <c r="G1231" s="6" t="n"/>
      <c r="H1231" s="10">
        <f>IF(AND(B1231="",C1231=""),"",IF(G1231&lt;&gt;"","Void",IF(OR(B1231="",E1231=""),"Needs child",IF(D1231="","Needs level","OK"))))</f>
        <v/>
      </c>
    </row>
    <row r="1232">
      <c r="A1232" s="6" t="n"/>
      <c r="B1232" s="6" t="n"/>
      <c r="C1232" s="6" t="n"/>
      <c r="D1232" s="11">
        <f>IF(C1232="","",IFERROR(INDEX(Levels!$A$2:$A$30,MATCH(C1232,Levels!$B$2:$B$30,0)),""))</f>
        <v/>
      </c>
      <c r="E1232" s="10">
        <f>IF(B1232="","",IFERROR(INDEX(Roster!$A$2:$A$600,MATCH(B1232,Roster!$E$2:$E$600,0)),""))</f>
        <v/>
      </c>
      <c r="F1232" s="10">
        <f>IF(C1232="","",IFERROR(INDEX(Levels!$C$2:$C$30,MATCH(C1232,Levels!$B$2:$B$30,0)),""))</f>
        <v/>
      </c>
      <c r="G1232" s="6" t="n"/>
      <c r="H1232" s="10">
        <f>IF(AND(B1232="",C1232=""),"",IF(G1232&lt;&gt;"","Void",IF(OR(B1232="",E1232=""),"Needs child",IF(D1232="","Needs level","OK"))))</f>
        <v/>
      </c>
    </row>
    <row r="1233">
      <c r="A1233" s="6" t="n"/>
      <c r="B1233" s="6" t="n"/>
      <c r="C1233" s="6" t="n"/>
      <c r="D1233" s="11">
        <f>IF(C1233="","",IFERROR(INDEX(Levels!$A$2:$A$30,MATCH(C1233,Levels!$B$2:$B$30,0)),""))</f>
        <v/>
      </c>
      <c r="E1233" s="10">
        <f>IF(B1233="","",IFERROR(INDEX(Roster!$A$2:$A$600,MATCH(B1233,Roster!$E$2:$E$600,0)),""))</f>
        <v/>
      </c>
      <c r="F1233" s="10">
        <f>IF(C1233="","",IFERROR(INDEX(Levels!$C$2:$C$30,MATCH(C1233,Levels!$B$2:$B$30,0)),""))</f>
        <v/>
      </c>
      <c r="G1233" s="6" t="n"/>
      <c r="H1233" s="10">
        <f>IF(AND(B1233="",C1233=""),"",IF(G1233&lt;&gt;"","Void",IF(OR(B1233="",E1233=""),"Needs child",IF(D1233="","Needs level","OK"))))</f>
        <v/>
      </c>
    </row>
    <row r="1234">
      <c r="A1234" s="6" t="n"/>
      <c r="B1234" s="6" t="n"/>
      <c r="C1234" s="6" t="n"/>
      <c r="D1234" s="11">
        <f>IF(C1234="","",IFERROR(INDEX(Levels!$A$2:$A$30,MATCH(C1234,Levels!$B$2:$B$30,0)),""))</f>
        <v/>
      </c>
      <c r="E1234" s="10">
        <f>IF(B1234="","",IFERROR(INDEX(Roster!$A$2:$A$600,MATCH(B1234,Roster!$E$2:$E$600,0)),""))</f>
        <v/>
      </c>
      <c r="F1234" s="10">
        <f>IF(C1234="","",IFERROR(INDEX(Levels!$C$2:$C$30,MATCH(C1234,Levels!$B$2:$B$30,0)),""))</f>
        <v/>
      </c>
      <c r="G1234" s="6" t="n"/>
      <c r="H1234" s="10">
        <f>IF(AND(B1234="",C1234=""),"",IF(G1234&lt;&gt;"","Void",IF(OR(B1234="",E1234=""),"Needs child",IF(D1234="","Needs level","OK"))))</f>
        <v/>
      </c>
    </row>
    <row r="1235">
      <c r="A1235" s="6" t="n"/>
      <c r="B1235" s="6" t="n"/>
      <c r="C1235" s="6" t="n"/>
      <c r="D1235" s="11">
        <f>IF(C1235="","",IFERROR(INDEX(Levels!$A$2:$A$30,MATCH(C1235,Levels!$B$2:$B$30,0)),""))</f>
        <v/>
      </c>
      <c r="E1235" s="10">
        <f>IF(B1235="","",IFERROR(INDEX(Roster!$A$2:$A$600,MATCH(B1235,Roster!$E$2:$E$600,0)),""))</f>
        <v/>
      </c>
      <c r="F1235" s="10">
        <f>IF(C1235="","",IFERROR(INDEX(Levels!$C$2:$C$30,MATCH(C1235,Levels!$B$2:$B$30,0)),""))</f>
        <v/>
      </c>
      <c r="G1235" s="6" t="n"/>
      <c r="H1235" s="10">
        <f>IF(AND(B1235="",C1235=""),"",IF(G1235&lt;&gt;"","Void",IF(OR(B1235="",E1235=""),"Needs child",IF(D1235="","Needs level","OK"))))</f>
        <v/>
      </c>
    </row>
    <row r="1236">
      <c r="A1236" s="6" t="n"/>
      <c r="B1236" s="6" t="n"/>
      <c r="C1236" s="6" t="n"/>
      <c r="D1236" s="11">
        <f>IF(C1236="","",IFERROR(INDEX(Levels!$A$2:$A$30,MATCH(C1236,Levels!$B$2:$B$30,0)),""))</f>
        <v/>
      </c>
      <c r="E1236" s="10">
        <f>IF(B1236="","",IFERROR(INDEX(Roster!$A$2:$A$600,MATCH(B1236,Roster!$E$2:$E$600,0)),""))</f>
        <v/>
      </c>
      <c r="F1236" s="10">
        <f>IF(C1236="","",IFERROR(INDEX(Levels!$C$2:$C$30,MATCH(C1236,Levels!$B$2:$B$30,0)),""))</f>
        <v/>
      </c>
      <c r="G1236" s="6" t="n"/>
      <c r="H1236" s="10">
        <f>IF(AND(B1236="",C1236=""),"",IF(G1236&lt;&gt;"","Void",IF(OR(B1236="",E1236=""),"Needs child",IF(D1236="","Needs level","OK"))))</f>
        <v/>
      </c>
    </row>
    <row r="1237">
      <c r="A1237" s="6" t="n"/>
      <c r="B1237" s="6" t="n"/>
      <c r="C1237" s="6" t="n"/>
      <c r="D1237" s="11">
        <f>IF(C1237="","",IFERROR(INDEX(Levels!$A$2:$A$30,MATCH(C1237,Levels!$B$2:$B$30,0)),""))</f>
        <v/>
      </c>
      <c r="E1237" s="10">
        <f>IF(B1237="","",IFERROR(INDEX(Roster!$A$2:$A$600,MATCH(B1237,Roster!$E$2:$E$600,0)),""))</f>
        <v/>
      </c>
      <c r="F1237" s="10">
        <f>IF(C1237="","",IFERROR(INDEX(Levels!$C$2:$C$30,MATCH(C1237,Levels!$B$2:$B$30,0)),""))</f>
        <v/>
      </c>
      <c r="G1237" s="6" t="n"/>
      <c r="H1237" s="10">
        <f>IF(AND(B1237="",C1237=""),"",IF(G1237&lt;&gt;"","Void",IF(OR(B1237="",E1237=""),"Needs child",IF(D1237="","Needs level","OK"))))</f>
        <v/>
      </c>
    </row>
    <row r="1238">
      <c r="A1238" s="6" t="n"/>
      <c r="B1238" s="6" t="n"/>
      <c r="C1238" s="6" t="n"/>
      <c r="D1238" s="11">
        <f>IF(C1238="","",IFERROR(INDEX(Levels!$A$2:$A$30,MATCH(C1238,Levels!$B$2:$B$30,0)),""))</f>
        <v/>
      </c>
      <c r="E1238" s="10">
        <f>IF(B1238="","",IFERROR(INDEX(Roster!$A$2:$A$600,MATCH(B1238,Roster!$E$2:$E$600,0)),""))</f>
        <v/>
      </c>
      <c r="F1238" s="10">
        <f>IF(C1238="","",IFERROR(INDEX(Levels!$C$2:$C$30,MATCH(C1238,Levels!$B$2:$B$30,0)),""))</f>
        <v/>
      </c>
      <c r="G1238" s="6" t="n"/>
      <c r="H1238" s="10">
        <f>IF(AND(B1238="",C1238=""),"",IF(G1238&lt;&gt;"","Void",IF(OR(B1238="",E1238=""),"Needs child",IF(D1238="","Needs level","OK"))))</f>
        <v/>
      </c>
    </row>
    <row r="1239">
      <c r="A1239" s="6" t="n"/>
      <c r="B1239" s="6" t="n"/>
      <c r="C1239" s="6" t="n"/>
      <c r="D1239" s="11">
        <f>IF(C1239="","",IFERROR(INDEX(Levels!$A$2:$A$30,MATCH(C1239,Levels!$B$2:$B$30,0)),""))</f>
        <v/>
      </c>
      <c r="E1239" s="10">
        <f>IF(B1239="","",IFERROR(INDEX(Roster!$A$2:$A$600,MATCH(B1239,Roster!$E$2:$E$600,0)),""))</f>
        <v/>
      </c>
      <c r="F1239" s="10">
        <f>IF(C1239="","",IFERROR(INDEX(Levels!$C$2:$C$30,MATCH(C1239,Levels!$B$2:$B$30,0)),""))</f>
        <v/>
      </c>
      <c r="G1239" s="6" t="n"/>
      <c r="H1239" s="10">
        <f>IF(AND(B1239="",C1239=""),"",IF(G1239&lt;&gt;"","Void",IF(OR(B1239="",E1239=""),"Needs child",IF(D1239="","Needs level","OK"))))</f>
        <v/>
      </c>
    </row>
    <row r="1240">
      <c r="A1240" s="6" t="n"/>
      <c r="B1240" s="6" t="n"/>
      <c r="C1240" s="6" t="n"/>
      <c r="D1240" s="11">
        <f>IF(C1240="","",IFERROR(INDEX(Levels!$A$2:$A$30,MATCH(C1240,Levels!$B$2:$B$30,0)),""))</f>
        <v/>
      </c>
      <c r="E1240" s="10">
        <f>IF(B1240="","",IFERROR(INDEX(Roster!$A$2:$A$600,MATCH(B1240,Roster!$E$2:$E$600,0)),""))</f>
        <v/>
      </c>
      <c r="F1240" s="10">
        <f>IF(C1240="","",IFERROR(INDEX(Levels!$C$2:$C$30,MATCH(C1240,Levels!$B$2:$B$30,0)),""))</f>
        <v/>
      </c>
      <c r="G1240" s="6" t="n"/>
      <c r="H1240" s="10">
        <f>IF(AND(B1240="",C1240=""),"",IF(G1240&lt;&gt;"","Void",IF(OR(B1240="",E1240=""),"Needs child",IF(D1240="","Needs level","OK"))))</f>
        <v/>
      </c>
    </row>
    <row r="1241">
      <c r="A1241" s="6" t="n"/>
      <c r="B1241" s="6" t="n"/>
      <c r="C1241" s="6" t="n"/>
      <c r="D1241" s="11">
        <f>IF(C1241="","",IFERROR(INDEX(Levels!$A$2:$A$30,MATCH(C1241,Levels!$B$2:$B$30,0)),""))</f>
        <v/>
      </c>
      <c r="E1241" s="10">
        <f>IF(B1241="","",IFERROR(INDEX(Roster!$A$2:$A$600,MATCH(B1241,Roster!$E$2:$E$600,0)),""))</f>
        <v/>
      </c>
      <c r="F1241" s="10">
        <f>IF(C1241="","",IFERROR(INDEX(Levels!$C$2:$C$30,MATCH(C1241,Levels!$B$2:$B$30,0)),""))</f>
        <v/>
      </c>
      <c r="G1241" s="6" t="n"/>
      <c r="H1241" s="10">
        <f>IF(AND(B1241="",C1241=""),"",IF(G1241&lt;&gt;"","Void",IF(OR(B1241="",E1241=""),"Needs child",IF(D1241="","Needs level","OK"))))</f>
        <v/>
      </c>
    </row>
    <row r="1242">
      <c r="A1242" s="6" t="n"/>
      <c r="B1242" s="6" t="n"/>
      <c r="C1242" s="6" t="n"/>
      <c r="D1242" s="11">
        <f>IF(C1242="","",IFERROR(INDEX(Levels!$A$2:$A$30,MATCH(C1242,Levels!$B$2:$B$30,0)),""))</f>
        <v/>
      </c>
      <c r="E1242" s="10">
        <f>IF(B1242="","",IFERROR(INDEX(Roster!$A$2:$A$600,MATCH(B1242,Roster!$E$2:$E$600,0)),""))</f>
        <v/>
      </c>
      <c r="F1242" s="10">
        <f>IF(C1242="","",IFERROR(INDEX(Levels!$C$2:$C$30,MATCH(C1242,Levels!$B$2:$B$30,0)),""))</f>
        <v/>
      </c>
      <c r="G1242" s="6" t="n"/>
      <c r="H1242" s="10">
        <f>IF(AND(B1242="",C1242=""),"",IF(G1242&lt;&gt;"","Void",IF(OR(B1242="",E1242=""),"Needs child",IF(D1242="","Needs level","OK"))))</f>
        <v/>
      </c>
    </row>
    <row r="1243">
      <c r="A1243" s="6" t="n"/>
      <c r="B1243" s="6" t="n"/>
      <c r="C1243" s="6" t="n"/>
      <c r="D1243" s="11">
        <f>IF(C1243="","",IFERROR(INDEX(Levels!$A$2:$A$30,MATCH(C1243,Levels!$B$2:$B$30,0)),""))</f>
        <v/>
      </c>
      <c r="E1243" s="10">
        <f>IF(B1243="","",IFERROR(INDEX(Roster!$A$2:$A$600,MATCH(B1243,Roster!$E$2:$E$600,0)),""))</f>
        <v/>
      </c>
      <c r="F1243" s="10">
        <f>IF(C1243="","",IFERROR(INDEX(Levels!$C$2:$C$30,MATCH(C1243,Levels!$B$2:$B$30,0)),""))</f>
        <v/>
      </c>
      <c r="G1243" s="6" t="n"/>
      <c r="H1243" s="10">
        <f>IF(AND(B1243="",C1243=""),"",IF(G1243&lt;&gt;"","Void",IF(OR(B1243="",E1243=""),"Needs child",IF(D1243="","Needs level","OK"))))</f>
        <v/>
      </c>
    </row>
    <row r="1244">
      <c r="A1244" s="6" t="n"/>
      <c r="B1244" s="6" t="n"/>
      <c r="C1244" s="6" t="n"/>
      <c r="D1244" s="11">
        <f>IF(C1244="","",IFERROR(INDEX(Levels!$A$2:$A$30,MATCH(C1244,Levels!$B$2:$B$30,0)),""))</f>
        <v/>
      </c>
      <c r="E1244" s="10">
        <f>IF(B1244="","",IFERROR(INDEX(Roster!$A$2:$A$600,MATCH(B1244,Roster!$E$2:$E$600,0)),""))</f>
        <v/>
      </c>
      <c r="F1244" s="10">
        <f>IF(C1244="","",IFERROR(INDEX(Levels!$C$2:$C$30,MATCH(C1244,Levels!$B$2:$B$30,0)),""))</f>
        <v/>
      </c>
      <c r="G1244" s="6" t="n"/>
      <c r="H1244" s="10">
        <f>IF(AND(B1244="",C1244=""),"",IF(G1244&lt;&gt;"","Void",IF(OR(B1244="",E1244=""),"Needs child",IF(D1244="","Needs level","OK"))))</f>
        <v/>
      </c>
    </row>
    <row r="1245">
      <c r="A1245" s="6" t="n"/>
      <c r="B1245" s="6" t="n"/>
      <c r="C1245" s="6" t="n"/>
      <c r="D1245" s="11">
        <f>IF(C1245="","",IFERROR(INDEX(Levels!$A$2:$A$30,MATCH(C1245,Levels!$B$2:$B$30,0)),""))</f>
        <v/>
      </c>
      <c r="E1245" s="10">
        <f>IF(B1245="","",IFERROR(INDEX(Roster!$A$2:$A$600,MATCH(B1245,Roster!$E$2:$E$600,0)),""))</f>
        <v/>
      </c>
      <c r="F1245" s="10">
        <f>IF(C1245="","",IFERROR(INDEX(Levels!$C$2:$C$30,MATCH(C1245,Levels!$B$2:$B$30,0)),""))</f>
        <v/>
      </c>
      <c r="G1245" s="6" t="n"/>
      <c r="H1245" s="10">
        <f>IF(AND(B1245="",C1245=""),"",IF(G1245&lt;&gt;"","Void",IF(OR(B1245="",E1245=""),"Needs child",IF(D1245="","Needs level","OK"))))</f>
        <v/>
      </c>
    </row>
    <row r="1246">
      <c r="A1246" s="6" t="n"/>
      <c r="B1246" s="6" t="n"/>
      <c r="C1246" s="6" t="n"/>
      <c r="D1246" s="11">
        <f>IF(C1246="","",IFERROR(INDEX(Levels!$A$2:$A$30,MATCH(C1246,Levels!$B$2:$B$30,0)),""))</f>
        <v/>
      </c>
      <c r="E1246" s="10">
        <f>IF(B1246="","",IFERROR(INDEX(Roster!$A$2:$A$600,MATCH(B1246,Roster!$E$2:$E$600,0)),""))</f>
        <v/>
      </c>
      <c r="F1246" s="10">
        <f>IF(C1246="","",IFERROR(INDEX(Levels!$C$2:$C$30,MATCH(C1246,Levels!$B$2:$B$30,0)),""))</f>
        <v/>
      </c>
      <c r="G1246" s="6" t="n"/>
      <c r="H1246" s="10">
        <f>IF(AND(B1246="",C1246=""),"",IF(G1246&lt;&gt;"","Void",IF(OR(B1246="",E1246=""),"Needs child",IF(D1246="","Needs level","OK"))))</f>
        <v/>
      </c>
    </row>
    <row r="1247">
      <c r="A1247" s="6" t="n"/>
      <c r="B1247" s="6" t="n"/>
      <c r="C1247" s="6" t="n"/>
      <c r="D1247" s="11">
        <f>IF(C1247="","",IFERROR(INDEX(Levels!$A$2:$A$30,MATCH(C1247,Levels!$B$2:$B$30,0)),""))</f>
        <v/>
      </c>
      <c r="E1247" s="10">
        <f>IF(B1247="","",IFERROR(INDEX(Roster!$A$2:$A$600,MATCH(B1247,Roster!$E$2:$E$600,0)),""))</f>
        <v/>
      </c>
      <c r="F1247" s="10">
        <f>IF(C1247="","",IFERROR(INDEX(Levels!$C$2:$C$30,MATCH(C1247,Levels!$B$2:$B$30,0)),""))</f>
        <v/>
      </c>
      <c r="G1247" s="6" t="n"/>
      <c r="H1247" s="10">
        <f>IF(AND(B1247="",C1247=""),"",IF(G1247&lt;&gt;"","Void",IF(OR(B1247="",E1247=""),"Needs child",IF(D1247="","Needs level","OK"))))</f>
        <v/>
      </c>
    </row>
    <row r="1248">
      <c r="A1248" s="6" t="n"/>
      <c r="B1248" s="6" t="n"/>
      <c r="C1248" s="6" t="n"/>
      <c r="D1248" s="11">
        <f>IF(C1248="","",IFERROR(INDEX(Levels!$A$2:$A$30,MATCH(C1248,Levels!$B$2:$B$30,0)),""))</f>
        <v/>
      </c>
      <c r="E1248" s="10">
        <f>IF(B1248="","",IFERROR(INDEX(Roster!$A$2:$A$600,MATCH(B1248,Roster!$E$2:$E$600,0)),""))</f>
        <v/>
      </c>
      <c r="F1248" s="10">
        <f>IF(C1248="","",IFERROR(INDEX(Levels!$C$2:$C$30,MATCH(C1248,Levels!$B$2:$B$30,0)),""))</f>
        <v/>
      </c>
      <c r="G1248" s="6" t="n"/>
      <c r="H1248" s="10">
        <f>IF(AND(B1248="",C1248=""),"",IF(G1248&lt;&gt;"","Void",IF(OR(B1248="",E1248=""),"Needs child",IF(D1248="","Needs level","OK"))))</f>
        <v/>
      </c>
    </row>
    <row r="1249">
      <c r="A1249" s="6" t="n"/>
      <c r="B1249" s="6" t="n"/>
      <c r="C1249" s="6" t="n"/>
      <c r="D1249" s="11">
        <f>IF(C1249="","",IFERROR(INDEX(Levels!$A$2:$A$30,MATCH(C1249,Levels!$B$2:$B$30,0)),""))</f>
        <v/>
      </c>
      <c r="E1249" s="10">
        <f>IF(B1249="","",IFERROR(INDEX(Roster!$A$2:$A$600,MATCH(B1249,Roster!$E$2:$E$600,0)),""))</f>
        <v/>
      </c>
      <c r="F1249" s="10">
        <f>IF(C1249="","",IFERROR(INDEX(Levels!$C$2:$C$30,MATCH(C1249,Levels!$B$2:$B$30,0)),""))</f>
        <v/>
      </c>
      <c r="G1249" s="6" t="n"/>
      <c r="H1249" s="10">
        <f>IF(AND(B1249="",C1249=""),"",IF(G1249&lt;&gt;"","Void",IF(OR(B1249="",E1249=""),"Needs child",IF(D1249="","Needs level","OK"))))</f>
        <v/>
      </c>
    </row>
    <row r="1250">
      <c r="A1250" s="6" t="n"/>
      <c r="B1250" s="6" t="n"/>
      <c r="C1250" s="6" t="n"/>
      <c r="D1250" s="11">
        <f>IF(C1250="","",IFERROR(INDEX(Levels!$A$2:$A$30,MATCH(C1250,Levels!$B$2:$B$30,0)),""))</f>
        <v/>
      </c>
      <c r="E1250" s="10">
        <f>IF(B1250="","",IFERROR(INDEX(Roster!$A$2:$A$600,MATCH(B1250,Roster!$E$2:$E$600,0)),""))</f>
        <v/>
      </c>
      <c r="F1250" s="10">
        <f>IF(C1250="","",IFERROR(INDEX(Levels!$C$2:$C$30,MATCH(C1250,Levels!$B$2:$B$30,0)),""))</f>
        <v/>
      </c>
      <c r="G1250" s="6" t="n"/>
      <c r="H1250" s="10">
        <f>IF(AND(B1250="",C1250=""),"",IF(G1250&lt;&gt;"","Void",IF(OR(B1250="",E1250=""),"Needs child",IF(D1250="","Needs level","OK"))))</f>
        <v/>
      </c>
    </row>
    <row r="1251">
      <c r="A1251" s="6" t="n"/>
      <c r="B1251" s="6" t="n"/>
      <c r="C1251" s="6" t="n"/>
      <c r="D1251" s="11">
        <f>IF(C1251="","",IFERROR(INDEX(Levels!$A$2:$A$30,MATCH(C1251,Levels!$B$2:$B$30,0)),""))</f>
        <v/>
      </c>
      <c r="E1251" s="10">
        <f>IF(B1251="","",IFERROR(INDEX(Roster!$A$2:$A$600,MATCH(B1251,Roster!$E$2:$E$600,0)),""))</f>
        <v/>
      </c>
      <c r="F1251" s="10">
        <f>IF(C1251="","",IFERROR(INDEX(Levels!$C$2:$C$30,MATCH(C1251,Levels!$B$2:$B$30,0)),""))</f>
        <v/>
      </c>
      <c r="G1251" s="6" t="n"/>
      <c r="H1251" s="10">
        <f>IF(AND(B1251="",C1251=""),"",IF(G1251&lt;&gt;"","Void",IF(OR(B1251="",E1251=""),"Needs child",IF(D1251="","Needs level","OK"))))</f>
        <v/>
      </c>
    </row>
    <row r="1252">
      <c r="A1252" s="6" t="n"/>
      <c r="B1252" s="6" t="n"/>
      <c r="C1252" s="6" t="n"/>
      <c r="D1252" s="11">
        <f>IF(C1252="","",IFERROR(INDEX(Levels!$A$2:$A$30,MATCH(C1252,Levels!$B$2:$B$30,0)),""))</f>
        <v/>
      </c>
      <c r="E1252" s="10">
        <f>IF(B1252="","",IFERROR(INDEX(Roster!$A$2:$A$600,MATCH(B1252,Roster!$E$2:$E$600,0)),""))</f>
        <v/>
      </c>
      <c r="F1252" s="10">
        <f>IF(C1252="","",IFERROR(INDEX(Levels!$C$2:$C$30,MATCH(C1252,Levels!$B$2:$B$30,0)),""))</f>
        <v/>
      </c>
      <c r="G1252" s="6" t="n"/>
      <c r="H1252" s="10">
        <f>IF(AND(B1252="",C1252=""),"",IF(G1252&lt;&gt;"","Void",IF(OR(B1252="",E1252=""),"Needs child",IF(D1252="","Needs level","OK"))))</f>
        <v/>
      </c>
    </row>
    <row r="1253">
      <c r="A1253" s="6" t="n"/>
      <c r="B1253" s="6" t="n"/>
      <c r="C1253" s="6" t="n"/>
      <c r="D1253" s="11">
        <f>IF(C1253="","",IFERROR(INDEX(Levels!$A$2:$A$30,MATCH(C1253,Levels!$B$2:$B$30,0)),""))</f>
        <v/>
      </c>
      <c r="E1253" s="10">
        <f>IF(B1253="","",IFERROR(INDEX(Roster!$A$2:$A$600,MATCH(B1253,Roster!$E$2:$E$600,0)),""))</f>
        <v/>
      </c>
      <c r="F1253" s="10">
        <f>IF(C1253="","",IFERROR(INDEX(Levels!$C$2:$C$30,MATCH(C1253,Levels!$B$2:$B$30,0)),""))</f>
        <v/>
      </c>
      <c r="G1253" s="6" t="n"/>
      <c r="H1253" s="10">
        <f>IF(AND(B1253="",C1253=""),"",IF(G1253&lt;&gt;"","Void",IF(OR(B1253="",E1253=""),"Needs child",IF(D1253="","Needs level","OK"))))</f>
        <v/>
      </c>
    </row>
    <row r="1254">
      <c r="A1254" s="6" t="n"/>
      <c r="B1254" s="6" t="n"/>
      <c r="C1254" s="6" t="n"/>
      <c r="D1254" s="11">
        <f>IF(C1254="","",IFERROR(INDEX(Levels!$A$2:$A$30,MATCH(C1254,Levels!$B$2:$B$30,0)),""))</f>
        <v/>
      </c>
      <c r="E1254" s="10">
        <f>IF(B1254="","",IFERROR(INDEX(Roster!$A$2:$A$600,MATCH(B1254,Roster!$E$2:$E$600,0)),""))</f>
        <v/>
      </c>
      <c r="F1254" s="10">
        <f>IF(C1254="","",IFERROR(INDEX(Levels!$C$2:$C$30,MATCH(C1254,Levels!$B$2:$B$30,0)),""))</f>
        <v/>
      </c>
      <c r="G1254" s="6" t="n"/>
      <c r="H1254" s="10">
        <f>IF(AND(B1254="",C1254=""),"",IF(G1254&lt;&gt;"","Void",IF(OR(B1254="",E1254=""),"Needs child",IF(D1254="","Needs level","OK"))))</f>
        <v/>
      </c>
    </row>
    <row r="1255">
      <c r="A1255" s="6" t="n"/>
      <c r="B1255" s="6" t="n"/>
      <c r="C1255" s="6" t="n"/>
      <c r="D1255" s="11">
        <f>IF(C1255="","",IFERROR(INDEX(Levels!$A$2:$A$30,MATCH(C1255,Levels!$B$2:$B$30,0)),""))</f>
        <v/>
      </c>
      <c r="E1255" s="10">
        <f>IF(B1255="","",IFERROR(INDEX(Roster!$A$2:$A$600,MATCH(B1255,Roster!$E$2:$E$600,0)),""))</f>
        <v/>
      </c>
      <c r="F1255" s="10">
        <f>IF(C1255="","",IFERROR(INDEX(Levels!$C$2:$C$30,MATCH(C1255,Levels!$B$2:$B$30,0)),""))</f>
        <v/>
      </c>
      <c r="G1255" s="6" t="n"/>
      <c r="H1255" s="10">
        <f>IF(AND(B1255="",C1255=""),"",IF(G1255&lt;&gt;"","Void",IF(OR(B1255="",E1255=""),"Needs child",IF(D1255="","Needs level","OK"))))</f>
        <v/>
      </c>
    </row>
    <row r="1256">
      <c r="A1256" s="6" t="n"/>
      <c r="B1256" s="6" t="n"/>
      <c r="C1256" s="6" t="n"/>
      <c r="D1256" s="11">
        <f>IF(C1256="","",IFERROR(INDEX(Levels!$A$2:$A$30,MATCH(C1256,Levels!$B$2:$B$30,0)),""))</f>
        <v/>
      </c>
      <c r="E1256" s="10">
        <f>IF(B1256="","",IFERROR(INDEX(Roster!$A$2:$A$600,MATCH(B1256,Roster!$E$2:$E$600,0)),""))</f>
        <v/>
      </c>
      <c r="F1256" s="10">
        <f>IF(C1256="","",IFERROR(INDEX(Levels!$C$2:$C$30,MATCH(C1256,Levels!$B$2:$B$30,0)),""))</f>
        <v/>
      </c>
      <c r="G1256" s="6" t="n"/>
      <c r="H1256" s="10">
        <f>IF(AND(B1256="",C1256=""),"",IF(G1256&lt;&gt;"","Void",IF(OR(B1256="",E1256=""),"Needs child",IF(D1256="","Needs level","OK"))))</f>
        <v/>
      </c>
    </row>
    <row r="1257">
      <c r="A1257" s="6" t="n"/>
      <c r="B1257" s="6" t="n"/>
      <c r="C1257" s="6" t="n"/>
      <c r="D1257" s="11">
        <f>IF(C1257="","",IFERROR(INDEX(Levels!$A$2:$A$30,MATCH(C1257,Levels!$B$2:$B$30,0)),""))</f>
        <v/>
      </c>
      <c r="E1257" s="10">
        <f>IF(B1257="","",IFERROR(INDEX(Roster!$A$2:$A$600,MATCH(B1257,Roster!$E$2:$E$600,0)),""))</f>
        <v/>
      </c>
      <c r="F1257" s="10">
        <f>IF(C1257="","",IFERROR(INDEX(Levels!$C$2:$C$30,MATCH(C1257,Levels!$B$2:$B$30,0)),""))</f>
        <v/>
      </c>
      <c r="G1257" s="6" t="n"/>
      <c r="H1257" s="10">
        <f>IF(AND(B1257="",C1257=""),"",IF(G1257&lt;&gt;"","Void",IF(OR(B1257="",E1257=""),"Needs child",IF(D1257="","Needs level","OK"))))</f>
        <v/>
      </c>
    </row>
    <row r="1258">
      <c r="A1258" s="6" t="n"/>
      <c r="B1258" s="6" t="n"/>
      <c r="C1258" s="6" t="n"/>
      <c r="D1258" s="11">
        <f>IF(C1258="","",IFERROR(INDEX(Levels!$A$2:$A$30,MATCH(C1258,Levels!$B$2:$B$30,0)),""))</f>
        <v/>
      </c>
      <c r="E1258" s="10">
        <f>IF(B1258="","",IFERROR(INDEX(Roster!$A$2:$A$600,MATCH(B1258,Roster!$E$2:$E$600,0)),""))</f>
        <v/>
      </c>
      <c r="F1258" s="10">
        <f>IF(C1258="","",IFERROR(INDEX(Levels!$C$2:$C$30,MATCH(C1258,Levels!$B$2:$B$30,0)),""))</f>
        <v/>
      </c>
      <c r="G1258" s="6" t="n"/>
      <c r="H1258" s="10">
        <f>IF(AND(B1258="",C1258=""),"",IF(G1258&lt;&gt;"","Void",IF(OR(B1258="",E1258=""),"Needs child",IF(D1258="","Needs level","OK"))))</f>
        <v/>
      </c>
    </row>
    <row r="1259">
      <c r="A1259" s="6" t="n"/>
      <c r="B1259" s="6" t="n"/>
      <c r="C1259" s="6" t="n"/>
      <c r="D1259" s="11">
        <f>IF(C1259="","",IFERROR(INDEX(Levels!$A$2:$A$30,MATCH(C1259,Levels!$B$2:$B$30,0)),""))</f>
        <v/>
      </c>
      <c r="E1259" s="10">
        <f>IF(B1259="","",IFERROR(INDEX(Roster!$A$2:$A$600,MATCH(B1259,Roster!$E$2:$E$600,0)),""))</f>
        <v/>
      </c>
      <c r="F1259" s="10">
        <f>IF(C1259="","",IFERROR(INDEX(Levels!$C$2:$C$30,MATCH(C1259,Levels!$B$2:$B$30,0)),""))</f>
        <v/>
      </c>
      <c r="G1259" s="6" t="n"/>
      <c r="H1259" s="10">
        <f>IF(AND(B1259="",C1259=""),"",IF(G1259&lt;&gt;"","Void",IF(OR(B1259="",E1259=""),"Needs child",IF(D1259="","Needs level","OK"))))</f>
        <v/>
      </c>
    </row>
    <row r="1260">
      <c r="A1260" s="6" t="n"/>
      <c r="B1260" s="6" t="n"/>
      <c r="C1260" s="6" t="n"/>
      <c r="D1260" s="11">
        <f>IF(C1260="","",IFERROR(INDEX(Levels!$A$2:$A$30,MATCH(C1260,Levels!$B$2:$B$30,0)),""))</f>
        <v/>
      </c>
      <c r="E1260" s="10">
        <f>IF(B1260="","",IFERROR(INDEX(Roster!$A$2:$A$600,MATCH(B1260,Roster!$E$2:$E$600,0)),""))</f>
        <v/>
      </c>
      <c r="F1260" s="10">
        <f>IF(C1260="","",IFERROR(INDEX(Levels!$C$2:$C$30,MATCH(C1260,Levels!$B$2:$B$30,0)),""))</f>
        <v/>
      </c>
      <c r="G1260" s="6" t="n"/>
      <c r="H1260" s="10">
        <f>IF(AND(B1260="",C1260=""),"",IF(G1260&lt;&gt;"","Void",IF(OR(B1260="",E1260=""),"Needs child",IF(D1260="","Needs level","OK"))))</f>
        <v/>
      </c>
    </row>
    <row r="1261">
      <c r="A1261" s="6" t="n"/>
      <c r="B1261" s="6" t="n"/>
      <c r="C1261" s="6" t="n"/>
      <c r="D1261" s="11">
        <f>IF(C1261="","",IFERROR(INDEX(Levels!$A$2:$A$30,MATCH(C1261,Levels!$B$2:$B$30,0)),""))</f>
        <v/>
      </c>
      <c r="E1261" s="10">
        <f>IF(B1261="","",IFERROR(INDEX(Roster!$A$2:$A$600,MATCH(B1261,Roster!$E$2:$E$600,0)),""))</f>
        <v/>
      </c>
      <c r="F1261" s="10">
        <f>IF(C1261="","",IFERROR(INDEX(Levels!$C$2:$C$30,MATCH(C1261,Levels!$B$2:$B$30,0)),""))</f>
        <v/>
      </c>
      <c r="G1261" s="6" t="n"/>
      <c r="H1261" s="10">
        <f>IF(AND(B1261="",C1261=""),"",IF(G1261&lt;&gt;"","Void",IF(OR(B1261="",E1261=""),"Needs child",IF(D1261="","Needs level","OK"))))</f>
        <v/>
      </c>
    </row>
    <row r="1262">
      <c r="A1262" s="6" t="n"/>
      <c r="B1262" s="6" t="n"/>
      <c r="C1262" s="6" t="n"/>
      <c r="D1262" s="11">
        <f>IF(C1262="","",IFERROR(INDEX(Levels!$A$2:$A$30,MATCH(C1262,Levels!$B$2:$B$30,0)),""))</f>
        <v/>
      </c>
      <c r="E1262" s="10">
        <f>IF(B1262="","",IFERROR(INDEX(Roster!$A$2:$A$600,MATCH(B1262,Roster!$E$2:$E$600,0)),""))</f>
        <v/>
      </c>
      <c r="F1262" s="10">
        <f>IF(C1262="","",IFERROR(INDEX(Levels!$C$2:$C$30,MATCH(C1262,Levels!$B$2:$B$30,0)),""))</f>
        <v/>
      </c>
      <c r="G1262" s="6" t="n"/>
      <c r="H1262" s="10">
        <f>IF(AND(B1262="",C1262=""),"",IF(G1262&lt;&gt;"","Void",IF(OR(B1262="",E1262=""),"Needs child",IF(D1262="","Needs level","OK"))))</f>
        <v/>
      </c>
    </row>
    <row r="1263">
      <c r="A1263" s="6" t="n"/>
      <c r="B1263" s="6" t="n"/>
      <c r="C1263" s="6" t="n"/>
      <c r="D1263" s="11">
        <f>IF(C1263="","",IFERROR(INDEX(Levels!$A$2:$A$30,MATCH(C1263,Levels!$B$2:$B$30,0)),""))</f>
        <v/>
      </c>
      <c r="E1263" s="10">
        <f>IF(B1263="","",IFERROR(INDEX(Roster!$A$2:$A$600,MATCH(B1263,Roster!$E$2:$E$600,0)),""))</f>
        <v/>
      </c>
      <c r="F1263" s="10">
        <f>IF(C1263="","",IFERROR(INDEX(Levels!$C$2:$C$30,MATCH(C1263,Levels!$B$2:$B$30,0)),""))</f>
        <v/>
      </c>
      <c r="G1263" s="6" t="n"/>
      <c r="H1263" s="10">
        <f>IF(AND(B1263="",C1263=""),"",IF(G1263&lt;&gt;"","Void",IF(OR(B1263="",E1263=""),"Needs child",IF(D1263="","Needs level","OK"))))</f>
        <v/>
      </c>
    </row>
    <row r="1264">
      <c r="A1264" s="6" t="n"/>
      <c r="B1264" s="6" t="n"/>
      <c r="C1264" s="6" t="n"/>
      <c r="D1264" s="11">
        <f>IF(C1264="","",IFERROR(INDEX(Levels!$A$2:$A$30,MATCH(C1264,Levels!$B$2:$B$30,0)),""))</f>
        <v/>
      </c>
      <c r="E1264" s="10">
        <f>IF(B1264="","",IFERROR(INDEX(Roster!$A$2:$A$600,MATCH(B1264,Roster!$E$2:$E$600,0)),""))</f>
        <v/>
      </c>
      <c r="F1264" s="10">
        <f>IF(C1264="","",IFERROR(INDEX(Levels!$C$2:$C$30,MATCH(C1264,Levels!$B$2:$B$30,0)),""))</f>
        <v/>
      </c>
      <c r="G1264" s="6" t="n"/>
      <c r="H1264" s="10">
        <f>IF(AND(B1264="",C1264=""),"",IF(G1264&lt;&gt;"","Void",IF(OR(B1264="",E1264=""),"Needs child",IF(D1264="","Needs level","OK"))))</f>
        <v/>
      </c>
    </row>
    <row r="1265">
      <c r="A1265" s="6" t="n"/>
      <c r="B1265" s="6" t="n"/>
      <c r="C1265" s="6" t="n"/>
      <c r="D1265" s="11">
        <f>IF(C1265="","",IFERROR(INDEX(Levels!$A$2:$A$30,MATCH(C1265,Levels!$B$2:$B$30,0)),""))</f>
        <v/>
      </c>
      <c r="E1265" s="10">
        <f>IF(B1265="","",IFERROR(INDEX(Roster!$A$2:$A$600,MATCH(B1265,Roster!$E$2:$E$600,0)),""))</f>
        <v/>
      </c>
      <c r="F1265" s="10">
        <f>IF(C1265="","",IFERROR(INDEX(Levels!$C$2:$C$30,MATCH(C1265,Levels!$B$2:$B$30,0)),""))</f>
        <v/>
      </c>
      <c r="G1265" s="6" t="n"/>
      <c r="H1265" s="10">
        <f>IF(AND(B1265="",C1265=""),"",IF(G1265&lt;&gt;"","Void",IF(OR(B1265="",E1265=""),"Needs child",IF(D1265="","Needs level","OK"))))</f>
        <v/>
      </c>
    </row>
    <row r="1266">
      <c r="A1266" s="6" t="n"/>
      <c r="B1266" s="6" t="n"/>
      <c r="C1266" s="6" t="n"/>
      <c r="D1266" s="11">
        <f>IF(C1266="","",IFERROR(INDEX(Levels!$A$2:$A$30,MATCH(C1266,Levels!$B$2:$B$30,0)),""))</f>
        <v/>
      </c>
      <c r="E1266" s="10">
        <f>IF(B1266="","",IFERROR(INDEX(Roster!$A$2:$A$600,MATCH(B1266,Roster!$E$2:$E$600,0)),""))</f>
        <v/>
      </c>
      <c r="F1266" s="10">
        <f>IF(C1266="","",IFERROR(INDEX(Levels!$C$2:$C$30,MATCH(C1266,Levels!$B$2:$B$30,0)),""))</f>
        <v/>
      </c>
      <c r="G1266" s="6" t="n"/>
      <c r="H1266" s="10">
        <f>IF(AND(B1266="",C1266=""),"",IF(G1266&lt;&gt;"","Void",IF(OR(B1266="",E1266=""),"Needs child",IF(D1266="","Needs level","OK"))))</f>
        <v/>
      </c>
    </row>
    <row r="1267">
      <c r="A1267" s="6" t="n"/>
      <c r="B1267" s="6" t="n"/>
      <c r="C1267" s="6" t="n"/>
      <c r="D1267" s="11">
        <f>IF(C1267="","",IFERROR(INDEX(Levels!$A$2:$A$30,MATCH(C1267,Levels!$B$2:$B$30,0)),""))</f>
        <v/>
      </c>
      <c r="E1267" s="10">
        <f>IF(B1267="","",IFERROR(INDEX(Roster!$A$2:$A$600,MATCH(B1267,Roster!$E$2:$E$600,0)),""))</f>
        <v/>
      </c>
      <c r="F1267" s="10">
        <f>IF(C1267="","",IFERROR(INDEX(Levels!$C$2:$C$30,MATCH(C1267,Levels!$B$2:$B$30,0)),""))</f>
        <v/>
      </c>
      <c r="G1267" s="6" t="n"/>
      <c r="H1267" s="10">
        <f>IF(AND(B1267="",C1267=""),"",IF(G1267&lt;&gt;"","Void",IF(OR(B1267="",E1267=""),"Needs child",IF(D1267="","Needs level","OK"))))</f>
        <v/>
      </c>
    </row>
    <row r="1268">
      <c r="A1268" s="6" t="n"/>
      <c r="B1268" s="6" t="n"/>
      <c r="C1268" s="6" t="n"/>
      <c r="D1268" s="11">
        <f>IF(C1268="","",IFERROR(INDEX(Levels!$A$2:$A$30,MATCH(C1268,Levels!$B$2:$B$30,0)),""))</f>
        <v/>
      </c>
      <c r="E1268" s="10">
        <f>IF(B1268="","",IFERROR(INDEX(Roster!$A$2:$A$600,MATCH(B1268,Roster!$E$2:$E$600,0)),""))</f>
        <v/>
      </c>
      <c r="F1268" s="10">
        <f>IF(C1268="","",IFERROR(INDEX(Levels!$C$2:$C$30,MATCH(C1268,Levels!$B$2:$B$30,0)),""))</f>
        <v/>
      </c>
      <c r="G1268" s="6" t="n"/>
      <c r="H1268" s="10">
        <f>IF(AND(B1268="",C1268=""),"",IF(G1268&lt;&gt;"","Void",IF(OR(B1268="",E1268=""),"Needs child",IF(D1268="","Needs level","OK"))))</f>
        <v/>
      </c>
    </row>
    <row r="1269">
      <c r="A1269" s="6" t="n"/>
      <c r="B1269" s="6" t="n"/>
      <c r="C1269" s="6" t="n"/>
      <c r="D1269" s="11">
        <f>IF(C1269="","",IFERROR(INDEX(Levels!$A$2:$A$30,MATCH(C1269,Levels!$B$2:$B$30,0)),""))</f>
        <v/>
      </c>
      <c r="E1269" s="10">
        <f>IF(B1269="","",IFERROR(INDEX(Roster!$A$2:$A$600,MATCH(B1269,Roster!$E$2:$E$600,0)),""))</f>
        <v/>
      </c>
      <c r="F1269" s="10">
        <f>IF(C1269="","",IFERROR(INDEX(Levels!$C$2:$C$30,MATCH(C1269,Levels!$B$2:$B$30,0)),""))</f>
        <v/>
      </c>
      <c r="G1269" s="6" t="n"/>
      <c r="H1269" s="10">
        <f>IF(AND(B1269="",C1269=""),"",IF(G1269&lt;&gt;"","Void",IF(OR(B1269="",E1269=""),"Needs child",IF(D1269="","Needs level","OK"))))</f>
        <v/>
      </c>
    </row>
    <row r="1270">
      <c r="A1270" s="6" t="n"/>
      <c r="B1270" s="6" t="n"/>
      <c r="C1270" s="6" t="n"/>
      <c r="D1270" s="11">
        <f>IF(C1270="","",IFERROR(INDEX(Levels!$A$2:$A$30,MATCH(C1270,Levels!$B$2:$B$30,0)),""))</f>
        <v/>
      </c>
      <c r="E1270" s="10">
        <f>IF(B1270="","",IFERROR(INDEX(Roster!$A$2:$A$600,MATCH(B1270,Roster!$E$2:$E$600,0)),""))</f>
        <v/>
      </c>
      <c r="F1270" s="10">
        <f>IF(C1270="","",IFERROR(INDEX(Levels!$C$2:$C$30,MATCH(C1270,Levels!$B$2:$B$30,0)),""))</f>
        <v/>
      </c>
      <c r="G1270" s="6" t="n"/>
      <c r="H1270" s="10">
        <f>IF(AND(B1270="",C1270=""),"",IF(G1270&lt;&gt;"","Void",IF(OR(B1270="",E1270=""),"Needs child",IF(D1270="","Needs level","OK"))))</f>
        <v/>
      </c>
    </row>
    <row r="1271">
      <c r="A1271" s="6" t="n"/>
      <c r="B1271" s="6" t="n"/>
      <c r="C1271" s="6" t="n"/>
      <c r="D1271" s="11">
        <f>IF(C1271="","",IFERROR(INDEX(Levels!$A$2:$A$30,MATCH(C1271,Levels!$B$2:$B$30,0)),""))</f>
        <v/>
      </c>
      <c r="E1271" s="10">
        <f>IF(B1271="","",IFERROR(INDEX(Roster!$A$2:$A$600,MATCH(B1271,Roster!$E$2:$E$600,0)),""))</f>
        <v/>
      </c>
      <c r="F1271" s="10">
        <f>IF(C1271="","",IFERROR(INDEX(Levels!$C$2:$C$30,MATCH(C1271,Levels!$B$2:$B$30,0)),""))</f>
        <v/>
      </c>
      <c r="G1271" s="6" t="n"/>
      <c r="H1271" s="10">
        <f>IF(AND(B1271="",C1271=""),"",IF(G1271&lt;&gt;"","Void",IF(OR(B1271="",E1271=""),"Needs child",IF(D1271="","Needs level","OK"))))</f>
        <v/>
      </c>
    </row>
    <row r="1272">
      <c r="A1272" s="6" t="n"/>
      <c r="B1272" s="6" t="n"/>
      <c r="C1272" s="6" t="n"/>
      <c r="D1272" s="11">
        <f>IF(C1272="","",IFERROR(INDEX(Levels!$A$2:$A$30,MATCH(C1272,Levels!$B$2:$B$30,0)),""))</f>
        <v/>
      </c>
      <c r="E1272" s="10">
        <f>IF(B1272="","",IFERROR(INDEX(Roster!$A$2:$A$600,MATCH(B1272,Roster!$E$2:$E$600,0)),""))</f>
        <v/>
      </c>
      <c r="F1272" s="10">
        <f>IF(C1272="","",IFERROR(INDEX(Levels!$C$2:$C$30,MATCH(C1272,Levels!$B$2:$B$30,0)),""))</f>
        <v/>
      </c>
      <c r="G1272" s="6" t="n"/>
      <c r="H1272" s="10">
        <f>IF(AND(B1272="",C1272=""),"",IF(G1272&lt;&gt;"","Void",IF(OR(B1272="",E1272=""),"Needs child",IF(D1272="","Needs level","OK"))))</f>
        <v/>
      </c>
    </row>
    <row r="1273">
      <c r="A1273" s="6" t="n"/>
      <c r="B1273" s="6" t="n"/>
      <c r="C1273" s="6" t="n"/>
      <c r="D1273" s="11">
        <f>IF(C1273="","",IFERROR(INDEX(Levels!$A$2:$A$30,MATCH(C1273,Levels!$B$2:$B$30,0)),""))</f>
        <v/>
      </c>
      <c r="E1273" s="10">
        <f>IF(B1273="","",IFERROR(INDEX(Roster!$A$2:$A$600,MATCH(B1273,Roster!$E$2:$E$600,0)),""))</f>
        <v/>
      </c>
      <c r="F1273" s="10">
        <f>IF(C1273="","",IFERROR(INDEX(Levels!$C$2:$C$30,MATCH(C1273,Levels!$B$2:$B$30,0)),""))</f>
        <v/>
      </c>
      <c r="G1273" s="6" t="n"/>
      <c r="H1273" s="10">
        <f>IF(AND(B1273="",C1273=""),"",IF(G1273&lt;&gt;"","Void",IF(OR(B1273="",E1273=""),"Needs child",IF(D1273="","Needs level","OK"))))</f>
        <v/>
      </c>
    </row>
    <row r="1274">
      <c r="A1274" s="6" t="n"/>
      <c r="B1274" s="6" t="n"/>
      <c r="C1274" s="6" t="n"/>
      <c r="D1274" s="11">
        <f>IF(C1274="","",IFERROR(INDEX(Levels!$A$2:$A$30,MATCH(C1274,Levels!$B$2:$B$30,0)),""))</f>
        <v/>
      </c>
      <c r="E1274" s="10">
        <f>IF(B1274="","",IFERROR(INDEX(Roster!$A$2:$A$600,MATCH(B1274,Roster!$E$2:$E$600,0)),""))</f>
        <v/>
      </c>
      <c r="F1274" s="10">
        <f>IF(C1274="","",IFERROR(INDEX(Levels!$C$2:$C$30,MATCH(C1274,Levels!$B$2:$B$30,0)),""))</f>
        <v/>
      </c>
      <c r="G1274" s="6" t="n"/>
      <c r="H1274" s="10">
        <f>IF(AND(B1274="",C1274=""),"",IF(G1274&lt;&gt;"","Void",IF(OR(B1274="",E1274=""),"Needs child",IF(D1274="","Needs level","OK"))))</f>
        <v/>
      </c>
    </row>
    <row r="1275">
      <c r="A1275" s="6" t="n"/>
      <c r="B1275" s="6" t="n"/>
      <c r="C1275" s="6" t="n"/>
      <c r="D1275" s="11">
        <f>IF(C1275="","",IFERROR(INDEX(Levels!$A$2:$A$30,MATCH(C1275,Levels!$B$2:$B$30,0)),""))</f>
        <v/>
      </c>
      <c r="E1275" s="10">
        <f>IF(B1275="","",IFERROR(INDEX(Roster!$A$2:$A$600,MATCH(B1275,Roster!$E$2:$E$600,0)),""))</f>
        <v/>
      </c>
      <c r="F1275" s="10">
        <f>IF(C1275="","",IFERROR(INDEX(Levels!$C$2:$C$30,MATCH(C1275,Levels!$B$2:$B$30,0)),""))</f>
        <v/>
      </c>
      <c r="G1275" s="6" t="n"/>
      <c r="H1275" s="10">
        <f>IF(AND(B1275="",C1275=""),"",IF(G1275&lt;&gt;"","Void",IF(OR(B1275="",E1275=""),"Needs child",IF(D1275="","Needs level","OK"))))</f>
        <v/>
      </c>
    </row>
    <row r="1276">
      <c r="A1276" s="6" t="n"/>
      <c r="B1276" s="6" t="n"/>
      <c r="C1276" s="6" t="n"/>
      <c r="D1276" s="11">
        <f>IF(C1276="","",IFERROR(INDEX(Levels!$A$2:$A$30,MATCH(C1276,Levels!$B$2:$B$30,0)),""))</f>
        <v/>
      </c>
      <c r="E1276" s="10">
        <f>IF(B1276="","",IFERROR(INDEX(Roster!$A$2:$A$600,MATCH(B1276,Roster!$E$2:$E$600,0)),""))</f>
        <v/>
      </c>
      <c r="F1276" s="10">
        <f>IF(C1276="","",IFERROR(INDEX(Levels!$C$2:$C$30,MATCH(C1276,Levels!$B$2:$B$30,0)),""))</f>
        <v/>
      </c>
      <c r="G1276" s="6" t="n"/>
      <c r="H1276" s="10">
        <f>IF(AND(B1276="",C1276=""),"",IF(G1276&lt;&gt;"","Void",IF(OR(B1276="",E1276=""),"Needs child",IF(D1276="","Needs level","OK"))))</f>
        <v/>
      </c>
    </row>
    <row r="1277">
      <c r="A1277" s="6" t="n"/>
      <c r="B1277" s="6" t="n"/>
      <c r="C1277" s="6" t="n"/>
      <c r="D1277" s="11">
        <f>IF(C1277="","",IFERROR(INDEX(Levels!$A$2:$A$30,MATCH(C1277,Levels!$B$2:$B$30,0)),""))</f>
        <v/>
      </c>
      <c r="E1277" s="10">
        <f>IF(B1277="","",IFERROR(INDEX(Roster!$A$2:$A$600,MATCH(B1277,Roster!$E$2:$E$600,0)),""))</f>
        <v/>
      </c>
      <c r="F1277" s="10">
        <f>IF(C1277="","",IFERROR(INDEX(Levels!$C$2:$C$30,MATCH(C1277,Levels!$B$2:$B$30,0)),""))</f>
        <v/>
      </c>
      <c r="G1277" s="6" t="n"/>
      <c r="H1277" s="10">
        <f>IF(AND(B1277="",C1277=""),"",IF(G1277&lt;&gt;"","Void",IF(OR(B1277="",E1277=""),"Needs child",IF(D1277="","Needs level","OK"))))</f>
        <v/>
      </c>
    </row>
    <row r="1278">
      <c r="A1278" s="6" t="n"/>
      <c r="B1278" s="6" t="n"/>
      <c r="C1278" s="6" t="n"/>
      <c r="D1278" s="11">
        <f>IF(C1278="","",IFERROR(INDEX(Levels!$A$2:$A$30,MATCH(C1278,Levels!$B$2:$B$30,0)),""))</f>
        <v/>
      </c>
      <c r="E1278" s="10">
        <f>IF(B1278="","",IFERROR(INDEX(Roster!$A$2:$A$600,MATCH(B1278,Roster!$E$2:$E$600,0)),""))</f>
        <v/>
      </c>
      <c r="F1278" s="10">
        <f>IF(C1278="","",IFERROR(INDEX(Levels!$C$2:$C$30,MATCH(C1278,Levels!$B$2:$B$30,0)),""))</f>
        <v/>
      </c>
      <c r="G1278" s="6" t="n"/>
      <c r="H1278" s="10">
        <f>IF(AND(B1278="",C1278=""),"",IF(G1278&lt;&gt;"","Void",IF(OR(B1278="",E1278=""),"Needs child",IF(D1278="","Needs level","OK"))))</f>
        <v/>
      </c>
    </row>
    <row r="1279">
      <c r="A1279" s="6" t="n"/>
      <c r="B1279" s="6" t="n"/>
      <c r="C1279" s="6" t="n"/>
      <c r="D1279" s="11">
        <f>IF(C1279="","",IFERROR(INDEX(Levels!$A$2:$A$30,MATCH(C1279,Levels!$B$2:$B$30,0)),""))</f>
        <v/>
      </c>
      <c r="E1279" s="10">
        <f>IF(B1279="","",IFERROR(INDEX(Roster!$A$2:$A$600,MATCH(B1279,Roster!$E$2:$E$600,0)),""))</f>
        <v/>
      </c>
      <c r="F1279" s="10">
        <f>IF(C1279="","",IFERROR(INDEX(Levels!$C$2:$C$30,MATCH(C1279,Levels!$B$2:$B$30,0)),""))</f>
        <v/>
      </c>
      <c r="G1279" s="6" t="n"/>
      <c r="H1279" s="10">
        <f>IF(AND(B1279="",C1279=""),"",IF(G1279&lt;&gt;"","Void",IF(OR(B1279="",E1279=""),"Needs child",IF(D1279="","Needs level","OK"))))</f>
        <v/>
      </c>
    </row>
    <row r="1280">
      <c r="A1280" s="6" t="n"/>
      <c r="B1280" s="6" t="n"/>
      <c r="C1280" s="6" t="n"/>
      <c r="D1280" s="11">
        <f>IF(C1280="","",IFERROR(INDEX(Levels!$A$2:$A$30,MATCH(C1280,Levels!$B$2:$B$30,0)),""))</f>
        <v/>
      </c>
      <c r="E1280" s="10">
        <f>IF(B1280="","",IFERROR(INDEX(Roster!$A$2:$A$600,MATCH(B1280,Roster!$E$2:$E$600,0)),""))</f>
        <v/>
      </c>
      <c r="F1280" s="10">
        <f>IF(C1280="","",IFERROR(INDEX(Levels!$C$2:$C$30,MATCH(C1280,Levels!$B$2:$B$30,0)),""))</f>
        <v/>
      </c>
      <c r="G1280" s="6" t="n"/>
      <c r="H1280" s="10">
        <f>IF(AND(B1280="",C1280=""),"",IF(G1280&lt;&gt;"","Void",IF(OR(B1280="",E1280=""),"Needs child",IF(D1280="","Needs level","OK"))))</f>
        <v/>
      </c>
    </row>
    <row r="1281">
      <c r="A1281" s="6" t="n"/>
      <c r="B1281" s="6" t="n"/>
      <c r="C1281" s="6" t="n"/>
      <c r="D1281" s="11">
        <f>IF(C1281="","",IFERROR(INDEX(Levels!$A$2:$A$30,MATCH(C1281,Levels!$B$2:$B$30,0)),""))</f>
        <v/>
      </c>
      <c r="E1281" s="10">
        <f>IF(B1281="","",IFERROR(INDEX(Roster!$A$2:$A$600,MATCH(B1281,Roster!$E$2:$E$600,0)),""))</f>
        <v/>
      </c>
      <c r="F1281" s="10">
        <f>IF(C1281="","",IFERROR(INDEX(Levels!$C$2:$C$30,MATCH(C1281,Levels!$B$2:$B$30,0)),""))</f>
        <v/>
      </c>
      <c r="G1281" s="6" t="n"/>
      <c r="H1281" s="10">
        <f>IF(AND(B1281="",C1281=""),"",IF(G1281&lt;&gt;"","Void",IF(OR(B1281="",E1281=""),"Needs child",IF(D1281="","Needs level","OK"))))</f>
        <v/>
      </c>
    </row>
    <row r="1282">
      <c r="A1282" s="6" t="n"/>
      <c r="B1282" s="6" t="n"/>
      <c r="C1282" s="6" t="n"/>
      <c r="D1282" s="11">
        <f>IF(C1282="","",IFERROR(INDEX(Levels!$A$2:$A$30,MATCH(C1282,Levels!$B$2:$B$30,0)),""))</f>
        <v/>
      </c>
      <c r="E1282" s="10">
        <f>IF(B1282="","",IFERROR(INDEX(Roster!$A$2:$A$600,MATCH(B1282,Roster!$E$2:$E$600,0)),""))</f>
        <v/>
      </c>
      <c r="F1282" s="10">
        <f>IF(C1282="","",IFERROR(INDEX(Levels!$C$2:$C$30,MATCH(C1282,Levels!$B$2:$B$30,0)),""))</f>
        <v/>
      </c>
      <c r="G1282" s="6" t="n"/>
      <c r="H1282" s="10">
        <f>IF(AND(B1282="",C1282=""),"",IF(G1282&lt;&gt;"","Void",IF(OR(B1282="",E1282=""),"Needs child",IF(D1282="","Needs level","OK"))))</f>
        <v/>
      </c>
    </row>
    <row r="1283">
      <c r="A1283" s="6" t="n"/>
      <c r="B1283" s="6" t="n"/>
      <c r="C1283" s="6" t="n"/>
      <c r="D1283" s="11">
        <f>IF(C1283="","",IFERROR(INDEX(Levels!$A$2:$A$30,MATCH(C1283,Levels!$B$2:$B$30,0)),""))</f>
        <v/>
      </c>
      <c r="E1283" s="10">
        <f>IF(B1283="","",IFERROR(INDEX(Roster!$A$2:$A$600,MATCH(B1283,Roster!$E$2:$E$600,0)),""))</f>
        <v/>
      </c>
      <c r="F1283" s="10">
        <f>IF(C1283="","",IFERROR(INDEX(Levels!$C$2:$C$30,MATCH(C1283,Levels!$B$2:$B$30,0)),""))</f>
        <v/>
      </c>
      <c r="G1283" s="6" t="n"/>
      <c r="H1283" s="10">
        <f>IF(AND(B1283="",C1283=""),"",IF(G1283&lt;&gt;"","Void",IF(OR(B1283="",E1283=""),"Needs child",IF(D1283="","Needs level","OK"))))</f>
        <v/>
      </c>
    </row>
    <row r="1284">
      <c r="A1284" s="6" t="n"/>
      <c r="B1284" s="6" t="n"/>
      <c r="C1284" s="6" t="n"/>
      <c r="D1284" s="11">
        <f>IF(C1284="","",IFERROR(INDEX(Levels!$A$2:$A$30,MATCH(C1284,Levels!$B$2:$B$30,0)),""))</f>
        <v/>
      </c>
      <c r="E1284" s="10">
        <f>IF(B1284="","",IFERROR(INDEX(Roster!$A$2:$A$600,MATCH(B1284,Roster!$E$2:$E$600,0)),""))</f>
        <v/>
      </c>
      <c r="F1284" s="10">
        <f>IF(C1284="","",IFERROR(INDEX(Levels!$C$2:$C$30,MATCH(C1284,Levels!$B$2:$B$30,0)),""))</f>
        <v/>
      </c>
      <c r="G1284" s="6" t="n"/>
      <c r="H1284" s="10">
        <f>IF(AND(B1284="",C1284=""),"",IF(G1284&lt;&gt;"","Void",IF(OR(B1284="",E1284=""),"Needs child",IF(D1284="","Needs level","OK"))))</f>
        <v/>
      </c>
    </row>
    <row r="1285">
      <c r="A1285" s="6" t="n"/>
      <c r="B1285" s="6" t="n"/>
      <c r="C1285" s="6" t="n"/>
      <c r="D1285" s="11">
        <f>IF(C1285="","",IFERROR(INDEX(Levels!$A$2:$A$30,MATCH(C1285,Levels!$B$2:$B$30,0)),""))</f>
        <v/>
      </c>
      <c r="E1285" s="10">
        <f>IF(B1285="","",IFERROR(INDEX(Roster!$A$2:$A$600,MATCH(B1285,Roster!$E$2:$E$600,0)),""))</f>
        <v/>
      </c>
      <c r="F1285" s="10">
        <f>IF(C1285="","",IFERROR(INDEX(Levels!$C$2:$C$30,MATCH(C1285,Levels!$B$2:$B$30,0)),""))</f>
        <v/>
      </c>
      <c r="G1285" s="6" t="n"/>
      <c r="H1285" s="10">
        <f>IF(AND(B1285="",C1285=""),"",IF(G1285&lt;&gt;"","Void",IF(OR(B1285="",E1285=""),"Needs child",IF(D1285="","Needs level","OK"))))</f>
        <v/>
      </c>
    </row>
    <row r="1286">
      <c r="A1286" s="6" t="n"/>
      <c r="B1286" s="6" t="n"/>
      <c r="C1286" s="6" t="n"/>
      <c r="D1286" s="11">
        <f>IF(C1286="","",IFERROR(INDEX(Levels!$A$2:$A$30,MATCH(C1286,Levels!$B$2:$B$30,0)),""))</f>
        <v/>
      </c>
      <c r="E1286" s="10">
        <f>IF(B1286="","",IFERROR(INDEX(Roster!$A$2:$A$600,MATCH(B1286,Roster!$E$2:$E$600,0)),""))</f>
        <v/>
      </c>
      <c r="F1286" s="10">
        <f>IF(C1286="","",IFERROR(INDEX(Levels!$C$2:$C$30,MATCH(C1286,Levels!$B$2:$B$30,0)),""))</f>
        <v/>
      </c>
      <c r="G1286" s="6" t="n"/>
      <c r="H1286" s="10">
        <f>IF(AND(B1286="",C1286=""),"",IF(G1286&lt;&gt;"","Void",IF(OR(B1286="",E1286=""),"Needs child",IF(D1286="","Needs level","OK"))))</f>
        <v/>
      </c>
    </row>
    <row r="1287">
      <c r="A1287" s="6" t="n"/>
      <c r="B1287" s="6" t="n"/>
      <c r="C1287" s="6" t="n"/>
      <c r="D1287" s="11">
        <f>IF(C1287="","",IFERROR(INDEX(Levels!$A$2:$A$30,MATCH(C1287,Levels!$B$2:$B$30,0)),""))</f>
        <v/>
      </c>
      <c r="E1287" s="10">
        <f>IF(B1287="","",IFERROR(INDEX(Roster!$A$2:$A$600,MATCH(B1287,Roster!$E$2:$E$600,0)),""))</f>
        <v/>
      </c>
      <c r="F1287" s="10">
        <f>IF(C1287="","",IFERROR(INDEX(Levels!$C$2:$C$30,MATCH(C1287,Levels!$B$2:$B$30,0)),""))</f>
        <v/>
      </c>
      <c r="G1287" s="6" t="n"/>
      <c r="H1287" s="10">
        <f>IF(AND(B1287="",C1287=""),"",IF(G1287&lt;&gt;"","Void",IF(OR(B1287="",E1287=""),"Needs child",IF(D1287="","Needs level","OK"))))</f>
        <v/>
      </c>
    </row>
    <row r="1288">
      <c r="A1288" s="6" t="n"/>
      <c r="B1288" s="6" t="n"/>
      <c r="C1288" s="6" t="n"/>
      <c r="D1288" s="11">
        <f>IF(C1288="","",IFERROR(INDEX(Levels!$A$2:$A$30,MATCH(C1288,Levels!$B$2:$B$30,0)),""))</f>
        <v/>
      </c>
      <c r="E1288" s="10">
        <f>IF(B1288="","",IFERROR(INDEX(Roster!$A$2:$A$600,MATCH(B1288,Roster!$E$2:$E$600,0)),""))</f>
        <v/>
      </c>
      <c r="F1288" s="10">
        <f>IF(C1288="","",IFERROR(INDEX(Levels!$C$2:$C$30,MATCH(C1288,Levels!$B$2:$B$30,0)),""))</f>
        <v/>
      </c>
      <c r="G1288" s="6" t="n"/>
      <c r="H1288" s="10">
        <f>IF(AND(B1288="",C1288=""),"",IF(G1288&lt;&gt;"","Void",IF(OR(B1288="",E1288=""),"Needs child",IF(D1288="","Needs level","OK"))))</f>
        <v/>
      </c>
    </row>
    <row r="1289">
      <c r="A1289" s="6" t="n"/>
      <c r="B1289" s="6" t="n"/>
      <c r="C1289" s="6" t="n"/>
      <c r="D1289" s="11">
        <f>IF(C1289="","",IFERROR(INDEX(Levels!$A$2:$A$30,MATCH(C1289,Levels!$B$2:$B$30,0)),""))</f>
        <v/>
      </c>
      <c r="E1289" s="10">
        <f>IF(B1289="","",IFERROR(INDEX(Roster!$A$2:$A$600,MATCH(B1289,Roster!$E$2:$E$600,0)),""))</f>
        <v/>
      </c>
      <c r="F1289" s="10">
        <f>IF(C1289="","",IFERROR(INDEX(Levels!$C$2:$C$30,MATCH(C1289,Levels!$B$2:$B$30,0)),""))</f>
        <v/>
      </c>
      <c r="G1289" s="6" t="n"/>
      <c r="H1289" s="10">
        <f>IF(AND(B1289="",C1289=""),"",IF(G1289&lt;&gt;"","Void",IF(OR(B1289="",E1289=""),"Needs child",IF(D1289="","Needs level","OK"))))</f>
        <v/>
      </c>
    </row>
    <row r="1290">
      <c r="A1290" s="6" t="n"/>
      <c r="B1290" s="6" t="n"/>
      <c r="C1290" s="6" t="n"/>
      <c r="D1290" s="11">
        <f>IF(C1290="","",IFERROR(INDEX(Levels!$A$2:$A$30,MATCH(C1290,Levels!$B$2:$B$30,0)),""))</f>
        <v/>
      </c>
      <c r="E1290" s="10">
        <f>IF(B1290="","",IFERROR(INDEX(Roster!$A$2:$A$600,MATCH(B1290,Roster!$E$2:$E$600,0)),""))</f>
        <v/>
      </c>
      <c r="F1290" s="10">
        <f>IF(C1290="","",IFERROR(INDEX(Levels!$C$2:$C$30,MATCH(C1290,Levels!$B$2:$B$30,0)),""))</f>
        <v/>
      </c>
      <c r="G1290" s="6" t="n"/>
      <c r="H1290" s="10">
        <f>IF(AND(B1290="",C1290=""),"",IF(G1290&lt;&gt;"","Void",IF(OR(B1290="",E1290=""),"Needs child",IF(D1290="","Needs level","OK"))))</f>
        <v/>
      </c>
    </row>
    <row r="1291">
      <c r="A1291" s="6" t="n"/>
      <c r="B1291" s="6" t="n"/>
      <c r="C1291" s="6" t="n"/>
      <c r="D1291" s="11">
        <f>IF(C1291="","",IFERROR(INDEX(Levels!$A$2:$A$30,MATCH(C1291,Levels!$B$2:$B$30,0)),""))</f>
        <v/>
      </c>
      <c r="E1291" s="10">
        <f>IF(B1291="","",IFERROR(INDEX(Roster!$A$2:$A$600,MATCH(B1291,Roster!$E$2:$E$600,0)),""))</f>
        <v/>
      </c>
      <c r="F1291" s="10">
        <f>IF(C1291="","",IFERROR(INDEX(Levels!$C$2:$C$30,MATCH(C1291,Levels!$B$2:$B$30,0)),""))</f>
        <v/>
      </c>
      <c r="G1291" s="6" t="n"/>
      <c r="H1291" s="10">
        <f>IF(AND(B1291="",C1291=""),"",IF(G1291&lt;&gt;"","Void",IF(OR(B1291="",E1291=""),"Needs child",IF(D1291="","Needs level","OK"))))</f>
        <v/>
      </c>
    </row>
    <row r="1292">
      <c r="A1292" s="6" t="n"/>
      <c r="B1292" s="6" t="n"/>
      <c r="C1292" s="6" t="n"/>
      <c r="D1292" s="11">
        <f>IF(C1292="","",IFERROR(INDEX(Levels!$A$2:$A$30,MATCH(C1292,Levels!$B$2:$B$30,0)),""))</f>
        <v/>
      </c>
      <c r="E1292" s="10">
        <f>IF(B1292="","",IFERROR(INDEX(Roster!$A$2:$A$600,MATCH(B1292,Roster!$E$2:$E$600,0)),""))</f>
        <v/>
      </c>
      <c r="F1292" s="10">
        <f>IF(C1292="","",IFERROR(INDEX(Levels!$C$2:$C$30,MATCH(C1292,Levels!$B$2:$B$30,0)),""))</f>
        <v/>
      </c>
      <c r="G1292" s="6" t="n"/>
      <c r="H1292" s="10">
        <f>IF(AND(B1292="",C1292=""),"",IF(G1292&lt;&gt;"","Void",IF(OR(B1292="",E1292=""),"Needs child",IF(D1292="","Needs level","OK"))))</f>
        <v/>
      </c>
    </row>
    <row r="1293">
      <c r="A1293" s="6" t="n"/>
      <c r="B1293" s="6" t="n"/>
      <c r="C1293" s="6" t="n"/>
      <c r="D1293" s="11">
        <f>IF(C1293="","",IFERROR(INDEX(Levels!$A$2:$A$30,MATCH(C1293,Levels!$B$2:$B$30,0)),""))</f>
        <v/>
      </c>
      <c r="E1293" s="10">
        <f>IF(B1293="","",IFERROR(INDEX(Roster!$A$2:$A$600,MATCH(B1293,Roster!$E$2:$E$600,0)),""))</f>
        <v/>
      </c>
      <c r="F1293" s="10">
        <f>IF(C1293="","",IFERROR(INDEX(Levels!$C$2:$C$30,MATCH(C1293,Levels!$B$2:$B$30,0)),""))</f>
        <v/>
      </c>
      <c r="G1293" s="6" t="n"/>
      <c r="H1293" s="10">
        <f>IF(AND(B1293="",C1293=""),"",IF(G1293&lt;&gt;"","Void",IF(OR(B1293="",E1293=""),"Needs child",IF(D1293="","Needs level","OK"))))</f>
        <v/>
      </c>
    </row>
    <row r="1294">
      <c r="A1294" s="6" t="n"/>
      <c r="B1294" s="6" t="n"/>
      <c r="C1294" s="6" t="n"/>
      <c r="D1294" s="11">
        <f>IF(C1294="","",IFERROR(INDEX(Levels!$A$2:$A$30,MATCH(C1294,Levels!$B$2:$B$30,0)),""))</f>
        <v/>
      </c>
      <c r="E1294" s="10">
        <f>IF(B1294="","",IFERROR(INDEX(Roster!$A$2:$A$600,MATCH(B1294,Roster!$E$2:$E$600,0)),""))</f>
        <v/>
      </c>
      <c r="F1294" s="10">
        <f>IF(C1294="","",IFERROR(INDEX(Levels!$C$2:$C$30,MATCH(C1294,Levels!$B$2:$B$30,0)),""))</f>
        <v/>
      </c>
      <c r="G1294" s="6" t="n"/>
      <c r="H1294" s="10">
        <f>IF(AND(B1294="",C1294=""),"",IF(G1294&lt;&gt;"","Void",IF(OR(B1294="",E1294=""),"Needs child",IF(D1294="","Needs level","OK"))))</f>
        <v/>
      </c>
    </row>
    <row r="1295">
      <c r="A1295" s="6" t="n"/>
      <c r="B1295" s="6" t="n"/>
      <c r="C1295" s="6" t="n"/>
      <c r="D1295" s="11">
        <f>IF(C1295="","",IFERROR(INDEX(Levels!$A$2:$A$30,MATCH(C1295,Levels!$B$2:$B$30,0)),""))</f>
        <v/>
      </c>
      <c r="E1295" s="10">
        <f>IF(B1295="","",IFERROR(INDEX(Roster!$A$2:$A$600,MATCH(B1295,Roster!$E$2:$E$600,0)),""))</f>
        <v/>
      </c>
      <c r="F1295" s="10">
        <f>IF(C1295="","",IFERROR(INDEX(Levels!$C$2:$C$30,MATCH(C1295,Levels!$B$2:$B$30,0)),""))</f>
        <v/>
      </c>
      <c r="G1295" s="6" t="n"/>
      <c r="H1295" s="10">
        <f>IF(AND(B1295="",C1295=""),"",IF(G1295&lt;&gt;"","Void",IF(OR(B1295="",E1295=""),"Needs child",IF(D1295="","Needs level","OK"))))</f>
        <v/>
      </c>
    </row>
    <row r="1296">
      <c r="A1296" s="6" t="n"/>
      <c r="B1296" s="6" t="n"/>
      <c r="C1296" s="6" t="n"/>
      <c r="D1296" s="11">
        <f>IF(C1296="","",IFERROR(INDEX(Levels!$A$2:$A$30,MATCH(C1296,Levels!$B$2:$B$30,0)),""))</f>
        <v/>
      </c>
      <c r="E1296" s="10">
        <f>IF(B1296="","",IFERROR(INDEX(Roster!$A$2:$A$600,MATCH(B1296,Roster!$E$2:$E$600,0)),""))</f>
        <v/>
      </c>
      <c r="F1296" s="10">
        <f>IF(C1296="","",IFERROR(INDEX(Levels!$C$2:$C$30,MATCH(C1296,Levels!$B$2:$B$30,0)),""))</f>
        <v/>
      </c>
      <c r="G1296" s="6" t="n"/>
      <c r="H1296" s="10">
        <f>IF(AND(B1296="",C1296=""),"",IF(G1296&lt;&gt;"","Void",IF(OR(B1296="",E1296=""),"Needs child",IF(D1296="","Needs level","OK"))))</f>
        <v/>
      </c>
    </row>
    <row r="1297">
      <c r="A1297" s="6" t="n"/>
      <c r="B1297" s="6" t="n"/>
      <c r="C1297" s="6" t="n"/>
      <c r="D1297" s="11">
        <f>IF(C1297="","",IFERROR(INDEX(Levels!$A$2:$A$30,MATCH(C1297,Levels!$B$2:$B$30,0)),""))</f>
        <v/>
      </c>
      <c r="E1297" s="10">
        <f>IF(B1297="","",IFERROR(INDEX(Roster!$A$2:$A$600,MATCH(B1297,Roster!$E$2:$E$600,0)),""))</f>
        <v/>
      </c>
      <c r="F1297" s="10">
        <f>IF(C1297="","",IFERROR(INDEX(Levels!$C$2:$C$30,MATCH(C1297,Levels!$B$2:$B$30,0)),""))</f>
        <v/>
      </c>
      <c r="G1297" s="6" t="n"/>
      <c r="H1297" s="10">
        <f>IF(AND(B1297="",C1297=""),"",IF(G1297&lt;&gt;"","Void",IF(OR(B1297="",E1297=""),"Needs child",IF(D1297="","Needs level","OK"))))</f>
        <v/>
      </c>
    </row>
    <row r="1298">
      <c r="A1298" s="6" t="n"/>
      <c r="B1298" s="6" t="n"/>
      <c r="C1298" s="6" t="n"/>
      <c r="D1298" s="11">
        <f>IF(C1298="","",IFERROR(INDEX(Levels!$A$2:$A$30,MATCH(C1298,Levels!$B$2:$B$30,0)),""))</f>
        <v/>
      </c>
      <c r="E1298" s="10">
        <f>IF(B1298="","",IFERROR(INDEX(Roster!$A$2:$A$600,MATCH(B1298,Roster!$E$2:$E$600,0)),""))</f>
        <v/>
      </c>
      <c r="F1298" s="10">
        <f>IF(C1298="","",IFERROR(INDEX(Levels!$C$2:$C$30,MATCH(C1298,Levels!$B$2:$B$30,0)),""))</f>
        <v/>
      </c>
      <c r="G1298" s="6" t="n"/>
      <c r="H1298" s="10">
        <f>IF(AND(B1298="",C1298=""),"",IF(G1298&lt;&gt;"","Void",IF(OR(B1298="",E1298=""),"Needs child",IF(D1298="","Needs level","OK"))))</f>
        <v/>
      </c>
    </row>
    <row r="1299">
      <c r="A1299" s="6" t="n"/>
      <c r="B1299" s="6" t="n"/>
      <c r="C1299" s="6" t="n"/>
      <c r="D1299" s="11">
        <f>IF(C1299="","",IFERROR(INDEX(Levels!$A$2:$A$30,MATCH(C1299,Levels!$B$2:$B$30,0)),""))</f>
        <v/>
      </c>
      <c r="E1299" s="10">
        <f>IF(B1299="","",IFERROR(INDEX(Roster!$A$2:$A$600,MATCH(B1299,Roster!$E$2:$E$600,0)),""))</f>
        <v/>
      </c>
      <c r="F1299" s="10">
        <f>IF(C1299="","",IFERROR(INDEX(Levels!$C$2:$C$30,MATCH(C1299,Levels!$B$2:$B$30,0)),""))</f>
        <v/>
      </c>
      <c r="G1299" s="6" t="n"/>
      <c r="H1299" s="10">
        <f>IF(AND(B1299="",C1299=""),"",IF(G1299&lt;&gt;"","Void",IF(OR(B1299="",E1299=""),"Needs child",IF(D1299="","Needs level","OK"))))</f>
        <v/>
      </c>
    </row>
    <row r="1300">
      <c r="A1300" s="6" t="n"/>
      <c r="B1300" s="6" t="n"/>
      <c r="C1300" s="6" t="n"/>
      <c r="D1300" s="11">
        <f>IF(C1300="","",IFERROR(INDEX(Levels!$A$2:$A$30,MATCH(C1300,Levels!$B$2:$B$30,0)),""))</f>
        <v/>
      </c>
      <c r="E1300" s="10">
        <f>IF(B1300="","",IFERROR(INDEX(Roster!$A$2:$A$600,MATCH(B1300,Roster!$E$2:$E$600,0)),""))</f>
        <v/>
      </c>
      <c r="F1300" s="10">
        <f>IF(C1300="","",IFERROR(INDEX(Levels!$C$2:$C$30,MATCH(C1300,Levels!$B$2:$B$30,0)),""))</f>
        <v/>
      </c>
      <c r="G1300" s="6" t="n"/>
      <c r="H1300" s="10">
        <f>IF(AND(B1300="",C1300=""),"",IF(G1300&lt;&gt;"","Void",IF(OR(B1300="",E1300=""),"Needs child",IF(D1300="","Needs level","OK"))))</f>
        <v/>
      </c>
    </row>
    <row r="1301">
      <c r="A1301" s="6" t="n"/>
      <c r="B1301" s="6" t="n"/>
      <c r="C1301" s="6" t="n"/>
      <c r="D1301" s="11">
        <f>IF(C1301="","",IFERROR(INDEX(Levels!$A$2:$A$30,MATCH(C1301,Levels!$B$2:$B$30,0)),""))</f>
        <v/>
      </c>
      <c r="E1301" s="10">
        <f>IF(B1301="","",IFERROR(INDEX(Roster!$A$2:$A$600,MATCH(B1301,Roster!$E$2:$E$600,0)),""))</f>
        <v/>
      </c>
      <c r="F1301" s="10">
        <f>IF(C1301="","",IFERROR(INDEX(Levels!$C$2:$C$30,MATCH(C1301,Levels!$B$2:$B$30,0)),""))</f>
        <v/>
      </c>
      <c r="G1301" s="6" t="n"/>
      <c r="H1301" s="10">
        <f>IF(AND(B1301="",C1301=""),"",IF(G1301&lt;&gt;"","Void",IF(OR(B1301="",E1301=""),"Needs child",IF(D1301="","Needs level","OK"))))</f>
        <v/>
      </c>
    </row>
    <row r="1302">
      <c r="A1302" s="6" t="n"/>
      <c r="B1302" s="6" t="n"/>
      <c r="C1302" s="6" t="n"/>
      <c r="D1302" s="11">
        <f>IF(C1302="","",IFERROR(INDEX(Levels!$A$2:$A$30,MATCH(C1302,Levels!$B$2:$B$30,0)),""))</f>
        <v/>
      </c>
      <c r="E1302" s="10">
        <f>IF(B1302="","",IFERROR(INDEX(Roster!$A$2:$A$600,MATCH(B1302,Roster!$E$2:$E$600,0)),""))</f>
        <v/>
      </c>
      <c r="F1302" s="10">
        <f>IF(C1302="","",IFERROR(INDEX(Levels!$C$2:$C$30,MATCH(C1302,Levels!$B$2:$B$30,0)),""))</f>
        <v/>
      </c>
      <c r="G1302" s="6" t="n"/>
      <c r="H1302" s="10">
        <f>IF(AND(B1302="",C1302=""),"",IF(G1302&lt;&gt;"","Void",IF(OR(B1302="",E1302=""),"Needs child",IF(D1302="","Needs level","OK"))))</f>
        <v/>
      </c>
    </row>
    <row r="1303">
      <c r="A1303" s="6" t="n"/>
      <c r="B1303" s="6" t="n"/>
      <c r="C1303" s="6" t="n"/>
      <c r="D1303" s="11">
        <f>IF(C1303="","",IFERROR(INDEX(Levels!$A$2:$A$30,MATCH(C1303,Levels!$B$2:$B$30,0)),""))</f>
        <v/>
      </c>
      <c r="E1303" s="10">
        <f>IF(B1303="","",IFERROR(INDEX(Roster!$A$2:$A$600,MATCH(B1303,Roster!$E$2:$E$600,0)),""))</f>
        <v/>
      </c>
      <c r="F1303" s="10">
        <f>IF(C1303="","",IFERROR(INDEX(Levels!$C$2:$C$30,MATCH(C1303,Levels!$B$2:$B$30,0)),""))</f>
        <v/>
      </c>
      <c r="G1303" s="6" t="n"/>
      <c r="H1303" s="10">
        <f>IF(AND(B1303="",C1303=""),"",IF(G1303&lt;&gt;"","Void",IF(OR(B1303="",E1303=""),"Needs child",IF(D1303="","Needs level","OK"))))</f>
        <v/>
      </c>
    </row>
    <row r="1304">
      <c r="A1304" s="6" t="n"/>
      <c r="B1304" s="6" t="n"/>
      <c r="C1304" s="6" t="n"/>
      <c r="D1304" s="11">
        <f>IF(C1304="","",IFERROR(INDEX(Levels!$A$2:$A$30,MATCH(C1304,Levels!$B$2:$B$30,0)),""))</f>
        <v/>
      </c>
      <c r="E1304" s="10">
        <f>IF(B1304="","",IFERROR(INDEX(Roster!$A$2:$A$600,MATCH(B1304,Roster!$E$2:$E$600,0)),""))</f>
        <v/>
      </c>
      <c r="F1304" s="10">
        <f>IF(C1304="","",IFERROR(INDEX(Levels!$C$2:$C$30,MATCH(C1304,Levels!$B$2:$B$30,0)),""))</f>
        <v/>
      </c>
      <c r="G1304" s="6" t="n"/>
      <c r="H1304" s="10">
        <f>IF(AND(B1304="",C1304=""),"",IF(G1304&lt;&gt;"","Void",IF(OR(B1304="",E1304=""),"Needs child",IF(D1304="","Needs level","OK"))))</f>
        <v/>
      </c>
    </row>
    <row r="1305">
      <c r="A1305" s="6" t="n"/>
      <c r="B1305" s="6" t="n"/>
      <c r="C1305" s="6" t="n"/>
      <c r="D1305" s="11">
        <f>IF(C1305="","",IFERROR(INDEX(Levels!$A$2:$A$30,MATCH(C1305,Levels!$B$2:$B$30,0)),""))</f>
        <v/>
      </c>
      <c r="E1305" s="10">
        <f>IF(B1305="","",IFERROR(INDEX(Roster!$A$2:$A$600,MATCH(B1305,Roster!$E$2:$E$600,0)),""))</f>
        <v/>
      </c>
      <c r="F1305" s="10">
        <f>IF(C1305="","",IFERROR(INDEX(Levels!$C$2:$C$30,MATCH(C1305,Levels!$B$2:$B$30,0)),""))</f>
        <v/>
      </c>
      <c r="G1305" s="6" t="n"/>
      <c r="H1305" s="10">
        <f>IF(AND(B1305="",C1305=""),"",IF(G1305&lt;&gt;"","Void",IF(OR(B1305="",E1305=""),"Needs child",IF(D1305="","Needs level","OK"))))</f>
        <v/>
      </c>
    </row>
    <row r="1306">
      <c r="A1306" s="6" t="n"/>
      <c r="B1306" s="6" t="n"/>
      <c r="C1306" s="6" t="n"/>
      <c r="D1306" s="11">
        <f>IF(C1306="","",IFERROR(INDEX(Levels!$A$2:$A$30,MATCH(C1306,Levels!$B$2:$B$30,0)),""))</f>
        <v/>
      </c>
      <c r="E1306" s="10">
        <f>IF(B1306="","",IFERROR(INDEX(Roster!$A$2:$A$600,MATCH(B1306,Roster!$E$2:$E$600,0)),""))</f>
        <v/>
      </c>
      <c r="F1306" s="10">
        <f>IF(C1306="","",IFERROR(INDEX(Levels!$C$2:$C$30,MATCH(C1306,Levels!$B$2:$B$30,0)),""))</f>
        <v/>
      </c>
      <c r="G1306" s="6" t="n"/>
      <c r="H1306" s="10">
        <f>IF(AND(B1306="",C1306=""),"",IF(G1306&lt;&gt;"","Void",IF(OR(B1306="",E1306=""),"Needs child",IF(D1306="","Needs level","OK"))))</f>
        <v/>
      </c>
    </row>
    <row r="1307">
      <c r="A1307" s="6" t="n"/>
      <c r="B1307" s="6" t="n"/>
      <c r="C1307" s="6" t="n"/>
      <c r="D1307" s="11">
        <f>IF(C1307="","",IFERROR(INDEX(Levels!$A$2:$A$30,MATCH(C1307,Levels!$B$2:$B$30,0)),""))</f>
        <v/>
      </c>
      <c r="E1307" s="10">
        <f>IF(B1307="","",IFERROR(INDEX(Roster!$A$2:$A$600,MATCH(B1307,Roster!$E$2:$E$600,0)),""))</f>
        <v/>
      </c>
      <c r="F1307" s="10">
        <f>IF(C1307="","",IFERROR(INDEX(Levels!$C$2:$C$30,MATCH(C1307,Levels!$B$2:$B$30,0)),""))</f>
        <v/>
      </c>
      <c r="G1307" s="6" t="n"/>
      <c r="H1307" s="10">
        <f>IF(AND(B1307="",C1307=""),"",IF(G1307&lt;&gt;"","Void",IF(OR(B1307="",E1307=""),"Needs child",IF(D1307="","Needs level","OK"))))</f>
        <v/>
      </c>
    </row>
    <row r="1308">
      <c r="A1308" s="6" t="n"/>
      <c r="B1308" s="6" t="n"/>
      <c r="C1308" s="6" t="n"/>
      <c r="D1308" s="11">
        <f>IF(C1308="","",IFERROR(INDEX(Levels!$A$2:$A$30,MATCH(C1308,Levels!$B$2:$B$30,0)),""))</f>
        <v/>
      </c>
      <c r="E1308" s="10">
        <f>IF(B1308="","",IFERROR(INDEX(Roster!$A$2:$A$600,MATCH(B1308,Roster!$E$2:$E$600,0)),""))</f>
        <v/>
      </c>
      <c r="F1308" s="10">
        <f>IF(C1308="","",IFERROR(INDEX(Levels!$C$2:$C$30,MATCH(C1308,Levels!$B$2:$B$30,0)),""))</f>
        <v/>
      </c>
      <c r="G1308" s="6" t="n"/>
      <c r="H1308" s="10">
        <f>IF(AND(B1308="",C1308=""),"",IF(G1308&lt;&gt;"","Void",IF(OR(B1308="",E1308=""),"Needs child",IF(D1308="","Needs level","OK"))))</f>
        <v/>
      </c>
    </row>
    <row r="1309">
      <c r="A1309" s="6" t="n"/>
      <c r="B1309" s="6" t="n"/>
      <c r="C1309" s="6" t="n"/>
      <c r="D1309" s="11">
        <f>IF(C1309="","",IFERROR(INDEX(Levels!$A$2:$A$30,MATCH(C1309,Levels!$B$2:$B$30,0)),""))</f>
        <v/>
      </c>
      <c r="E1309" s="10">
        <f>IF(B1309="","",IFERROR(INDEX(Roster!$A$2:$A$600,MATCH(B1309,Roster!$E$2:$E$600,0)),""))</f>
        <v/>
      </c>
      <c r="F1309" s="10">
        <f>IF(C1309="","",IFERROR(INDEX(Levels!$C$2:$C$30,MATCH(C1309,Levels!$B$2:$B$30,0)),""))</f>
        <v/>
      </c>
      <c r="G1309" s="6" t="n"/>
      <c r="H1309" s="10">
        <f>IF(AND(B1309="",C1309=""),"",IF(G1309&lt;&gt;"","Void",IF(OR(B1309="",E1309=""),"Needs child",IF(D1309="","Needs level","OK"))))</f>
        <v/>
      </c>
    </row>
    <row r="1310">
      <c r="A1310" s="6" t="n"/>
      <c r="B1310" s="6" t="n"/>
      <c r="C1310" s="6" t="n"/>
      <c r="D1310" s="11">
        <f>IF(C1310="","",IFERROR(INDEX(Levels!$A$2:$A$30,MATCH(C1310,Levels!$B$2:$B$30,0)),""))</f>
        <v/>
      </c>
      <c r="E1310" s="10">
        <f>IF(B1310="","",IFERROR(INDEX(Roster!$A$2:$A$600,MATCH(B1310,Roster!$E$2:$E$600,0)),""))</f>
        <v/>
      </c>
      <c r="F1310" s="10">
        <f>IF(C1310="","",IFERROR(INDEX(Levels!$C$2:$C$30,MATCH(C1310,Levels!$B$2:$B$30,0)),""))</f>
        <v/>
      </c>
      <c r="G1310" s="6" t="n"/>
      <c r="H1310" s="10">
        <f>IF(AND(B1310="",C1310=""),"",IF(G1310&lt;&gt;"","Void",IF(OR(B1310="",E1310=""),"Needs child",IF(D1310="","Needs level","OK"))))</f>
        <v/>
      </c>
    </row>
    <row r="1311">
      <c r="A1311" s="6" t="n"/>
      <c r="B1311" s="6" t="n"/>
      <c r="C1311" s="6" t="n"/>
      <c r="D1311" s="11">
        <f>IF(C1311="","",IFERROR(INDEX(Levels!$A$2:$A$30,MATCH(C1311,Levels!$B$2:$B$30,0)),""))</f>
        <v/>
      </c>
      <c r="E1311" s="10">
        <f>IF(B1311="","",IFERROR(INDEX(Roster!$A$2:$A$600,MATCH(B1311,Roster!$E$2:$E$600,0)),""))</f>
        <v/>
      </c>
      <c r="F1311" s="10">
        <f>IF(C1311="","",IFERROR(INDEX(Levels!$C$2:$C$30,MATCH(C1311,Levels!$B$2:$B$30,0)),""))</f>
        <v/>
      </c>
      <c r="G1311" s="6" t="n"/>
      <c r="H1311" s="10">
        <f>IF(AND(B1311="",C1311=""),"",IF(G1311&lt;&gt;"","Void",IF(OR(B1311="",E1311=""),"Needs child",IF(D1311="","Needs level","OK"))))</f>
        <v/>
      </c>
    </row>
    <row r="1312">
      <c r="A1312" s="6" t="n"/>
      <c r="B1312" s="6" t="n"/>
      <c r="C1312" s="6" t="n"/>
      <c r="D1312" s="11">
        <f>IF(C1312="","",IFERROR(INDEX(Levels!$A$2:$A$30,MATCH(C1312,Levels!$B$2:$B$30,0)),""))</f>
        <v/>
      </c>
      <c r="E1312" s="10">
        <f>IF(B1312="","",IFERROR(INDEX(Roster!$A$2:$A$600,MATCH(B1312,Roster!$E$2:$E$600,0)),""))</f>
        <v/>
      </c>
      <c r="F1312" s="10">
        <f>IF(C1312="","",IFERROR(INDEX(Levels!$C$2:$C$30,MATCH(C1312,Levels!$B$2:$B$30,0)),""))</f>
        <v/>
      </c>
      <c r="G1312" s="6" t="n"/>
      <c r="H1312" s="10">
        <f>IF(AND(B1312="",C1312=""),"",IF(G1312&lt;&gt;"","Void",IF(OR(B1312="",E1312=""),"Needs child",IF(D1312="","Needs level","OK"))))</f>
        <v/>
      </c>
    </row>
    <row r="1313">
      <c r="A1313" s="6" t="n"/>
      <c r="B1313" s="6" t="n"/>
      <c r="C1313" s="6" t="n"/>
      <c r="D1313" s="11">
        <f>IF(C1313="","",IFERROR(INDEX(Levels!$A$2:$A$30,MATCH(C1313,Levels!$B$2:$B$30,0)),""))</f>
        <v/>
      </c>
      <c r="E1313" s="10">
        <f>IF(B1313="","",IFERROR(INDEX(Roster!$A$2:$A$600,MATCH(B1313,Roster!$E$2:$E$600,0)),""))</f>
        <v/>
      </c>
      <c r="F1313" s="10">
        <f>IF(C1313="","",IFERROR(INDEX(Levels!$C$2:$C$30,MATCH(C1313,Levels!$B$2:$B$30,0)),""))</f>
        <v/>
      </c>
      <c r="G1313" s="6" t="n"/>
      <c r="H1313" s="10">
        <f>IF(AND(B1313="",C1313=""),"",IF(G1313&lt;&gt;"","Void",IF(OR(B1313="",E1313=""),"Needs child",IF(D1313="","Needs level","OK"))))</f>
        <v/>
      </c>
    </row>
    <row r="1314">
      <c r="A1314" s="6" t="n"/>
      <c r="B1314" s="6" t="n"/>
      <c r="C1314" s="6" t="n"/>
      <c r="D1314" s="11">
        <f>IF(C1314="","",IFERROR(INDEX(Levels!$A$2:$A$30,MATCH(C1314,Levels!$B$2:$B$30,0)),""))</f>
        <v/>
      </c>
      <c r="E1314" s="10">
        <f>IF(B1314="","",IFERROR(INDEX(Roster!$A$2:$A$600,MATCH(B1314,Roster!$E$2:$E$600,0)),""))</f>
        <v/>
      </c>
      <c r="F1314" s="10">
        <f>IF(C1314="","",IFERROR(INDEX(Levels!$C$2:$C$30,MATCH(C1314,Levels!$B$2:$B$30,0)),""))</f>
        <v/>
      </c>
      <c r="G1314" s="6" t="n"/>
      <c r="H1314" s="10">
        <f>IF(AND(B1314="",C1314=""),"",IF(G1314&lt;&gt;"","Void",IF(OR(B1314="",E1314=""),"Needs child",IF(D1314="","Needs level","OK"))))</f>
        <v/>
      </c>
    </row>
    <row r="1315">
      <c r="A1315" s="6" t="n"/>
      <c r="B1315" s="6" t="n"/>
      <c r="C1315" s="6" t="n"/>
      <c r="D1315" s="11">
        <f>IF(C1315="","",IFERROR(INDEX(Levels!$A$2:$A$30,MATCH(C1315,Levels!$B$2:$B$30,0)),""))</f>
        <v/>
      </c>
      <c r="E1315" s="10">
        <f>IF(B1315="","",IFERROR(INDEX(Roster!$A$2:$A$600,MATCH(B1315,Roster!$E$2:$E$600,0)),""))</f>
        <v/>
      </c>
      <c r="F1315" s="10">
        <f>IF(C1315="","",IFERROR(INDEX(Levels!$C$2:$C$30,MATCH(C1315,Levels!$B$2:$B$30,0)),""))</f>
        <v/>
      </c>
      <c r="G1315" s="6" t="n"/>
      <c r="H1315" s="10">
        <f>IF(AND(B1315="",C1315=""),"",IF(G1315&lt;&gt;"","Void",IF(OR(B1315="",E1315=""),"Needs child",IF(D1315="","Needs level","OK"))))</f>
        <v/>
      </c>
    </row>
    <row r="1316">
      <c r="A1316" s="6" t="n"/>
      <c r="B1316" s="6" t="n"/>
      <c r="C1316" s="6" t="n"/>
      <c r="D1316" s="11">
        <f>IF(C1316="","",IFERROR(INDEX(Levels!$A$2:$A$30,MATCH(C1316,Levels!$B$2:$B$30,0)),""))</f>
        <v/>
      </c>
      <c r="E1316" s="10">
        <f>IF(B1316="","",IFERROR(INDEX(Roster!$A$2:$A$600,MATCH(B1316,Roster!$E$2:$E$600,0)),""))</f>
        <v/>
      </c>
      <c r="F1316" s="10">
        <f>IF(C1316="","",IFERROR(INDEX(Levels!$C$2:$C$30,MATCH(C1316,Levels!$B$2:$B$30,0)),""))</f>
        <v/>
      </c>
      <c r="G1316" s="6" t="n"/>
      <c r="H1316" s="10">
        <f>IF(AND(B1316="",C1316=""),"",IF(G1316&lt;&gt;"","Void",IF(OR(B1316="",E1316=""),"Needs child",IF(D1316="","Needs level","OK"))))</f>
        <v/>
      </c>
    </row>
    <row r="1317">
      <c r="A1317" s="6" t="n"/>
      <c r="B1317" s="6" t="n"/>
      <c r="C1317" s="6" t="n"/>
      <c r="D1317" s="11">
        <f>IF(C1317="","",IFERROR(INDEX(Levels!$A$2:$A$30,MATCH(C1317,Levels!$B$2:$B$30,0)),""))</f>
        <v/>
      </c>
      <c r="E1317" s="10">
        <f>IF(B1317="","",IFERROR(INDEX(Roster!$A$2:$A$600,MATCH(B1317,Roster!$E$2:$E$600,0)),""))</f>
        <v/>
      </c>
      <c r="F1317" s="10">
        <f>IF(C1317="","",IFERROR(INDEX(Levels!$C$2:$C$30,MATCH(C1317,Levels!$B$2:$B$30,0)),""))</f>
        <v/>
      </c>
      <c r="G1317" s="6" t="n"/>
      <c r="H1317" s="10">
        <f>IF(AND(B1317="",C1317=""),"",IF(G1317&lt;&gt;"","Void",IF(OR(B1317="",E1317=""),"Needs child",IF(D1317="","Needs level","OK"))))</f>
        <v/>
      </c>
    </row>
    <row r="1318">
      <c r="A1318" s="6" t="n"/>
      <c r="B1318" s="6" t="n"/>
      <c r="C1318" s="6" t="n"/>
      <c r="D1318" s="11">
        <f>IF(C1318="","",IFERROR(INDEX(Levels!$A$2:$A$30,MATCH(C1318,Levels!$B$2:$B$30,0)),""))</f>
        <v/>
      </c>
      <c r="E1318" s="10">
        <f>IF(B1318="","",IFERROR(INDEX(Roster!$A$2:$A$600,MATCH(B1318,Roster!$E$2:$E$600,0)),""))</f>
        <v/>
      </c>
      <c r="F1318" s="10">
        <f>IF(C1318="","",IFERROR(INDEX(Levels!$C$2:$C$30,MATCH(C1318,Levels!$B$2:$B$30,0)),""))</f>
        <v/>
      </c>
      <c r="G1318" s="6" t="n"/>
      <c r="H1318" s="10">
        <f>IF(AND(B1318="",C1318=""),"",IF(G1318&lt;&gt;"","Void",IF(OR(B1318="",E1318=""),"Needs child",IF(D1318="","Needs level","OK"))))</f>
        <v/>
      </c>
    </row>
    <row r="1319">
      <c r="A1319" s="6" t="n"/>
      <c r="B1319" s="6" t="n"/>
      <c r="C1319" s="6" t="n"/>
      <c r="D1319" s="11">
        <f>IF(C1319="","",IFERROR(INDEX(Levels!$A$2:$A$30,MATCH(C1319,Levels!$B$2:$B$30,0)),""))</f>
        <v/>
      </c>
      <c r="E1319" s="10">
        <f>IF(B1319="","",IFERROR(INDEX(Roster!$A$2:$A$600,MATCH(B1319,Roster!$E$2:$E$600,0)),""))</f>
        <v/>
      </c>
      <c r="F1319" s="10">
        <f>IF(C1319="","",IFERROR(INDEX(Levels!$C$2:$C$30,MATCH(C1319,Levels!$B$2:$B$30,0)),""))</f>
        <v/>
      </c>
      <c r="G1319" s="6" t="n"/>
      <c r="H1319" s="10">
        <f>IF(AND(B1319="",C1319=""),"",IF(G1319&lt;&gt;"","Void",IF(OR(B1319="",E1319=""),"Needs child",IF(D1319="","Needs level","OK"))))</f>
        <v/>
      </c>
    </row>
    <row r="1320">
      <c r="A1320" s="6" t="n"/>
      <c r="B1320" s="6" t="n"/>
      <c r="C1320" s="6" t="n"/>
      <c r="D1320" s="11">
        <f>IF(C1320="","",IFERROR(INDEX(Levels!$A$2:$A$30,MATCH(C1320,Levels!$B$2:$B$30,0)),""))</f>
        <v/>
      </c>
      <c r="E1320" s="10">
        <f>IF(B1320="","",IFERROR(INDEX(Roster!$A$2:$A$600,MATCH(B1320,Roster!$E$2:$E$600,0)),""))</f>
        <v/>
      </c>
      <c r="F1320" s="10">
        <f>IF(C1320="","",IFERROR(INDEX(Levels!$C$2:$C$30,MATCH(C1320,Levels!$B$2:$B$30,0)),""))</f>
        <v/>
      </c>
      <c r="G1320" s="6" t="n"/>
      <c r="H1320" s="10">
        <f>IF(AND(B1320="",C1320=""),"",IF(G1320&lt;&gt;"","Void",IF(OR(B1320="",E1320=""),"Needs child",IF(D1320="","Needs level","OK"))))</f>
        <v/>
      </c>
    </row>
    <row r="1321">
      <c r="A1321" s="6" t="n"/>
      <c r="B1321" s="6" t="n"/>
      <c r="C1321" s="6" t="n"/>
      <c r="D1321" s="11">
        <f>IF(C1321="","",IFERROR(INDEX(Levels!$A$2:$A$30,MATCH(C1321,Levels!$B$2:$B$30,0)),""))</f>
        <v/>
      </c>
      <c r="E1321" s="10">
        <f>IF(B1321="","",IFERROR(INDEX(Roster!$A$2:$A$600,MATCH(B1321,Roster!$E$2:$E$600,0)),""))</f>
        <v/>
      </c>
      <c r="F1321" s="10">
        <f>IF(C1321="","",IFERROR(INDEX(Levels!$C$2:$C$30,MATCH(C1321,Levels!$B$2:$B$30,0)),""))</f>
        <v/>
      </c>
      <c r="G1321" s="6" t="n"/>
      <c r="H1321" s="10">
        <f>IF(AND(B1321="",C1321=""),"",IF(G1321&lt;&gt;"","Void",IF(OR(B1321="",E1321=""),"Needs child",IF(D1321="","Needs level","OK"))))</f>
        <v/>
      </c>
    </row>
    <row r="1322">
      <c r="A1322" s="6" t="n"/>
      <c r="B1322" s="6" t="n"/>
      <c r="C1322" s="6" t="n"/>
      <c r="D1322" s="11">
        <f>IF(C1322="","",IFERROR(INDEX(Levels!$A$2:$A$30,MATCH(C1322,Levels!$B$2:$B$30,0)),""))</f>
        <v/>
      </c>
      <c r="E1322" s="10">
        <f>IF(B1322="","",IFERROR(INDEX(Roster!$A$2:$A$600,MATCH(B1322,Roster!$E$2:$E$600,0)),""))</f>
        <v/>
      </c>
      <c r="F1322" s="10">
        <f>IF(C1322="","",IFERROR(INDEX(Levels!$C$2:$C$30,MATCH(C1322,Levels!$B$2:$B$30,0)),""))</f>
        <v/>
      </c>
      <c r="G1322" s="6" t="n"/>
      <c r="H1322" s="10">
        <f>IF(AND(B1322="",C1322=""),"",IF(G1322&lt;&gt;"","Void",IF(OR(B1322="",E1322=""),"Needs child",IF(D1322="","Needs level","OK"))))</f>
        <v/>
      </c>
    </row>
    <row r="1323">
      <c r="A1323" s="6" t="n"/>
      <c r="B1323" s="6" t="n"/>
      <c r="C1323" s="6" t="n"/>
      <c r="D1323" s="11">
        <f>IF(C1323="","",IFERROR(INDEX(Levels!$A$2:$A$30,MATCH(C1323,Levels!$B$2:$B$30,0)),""))</f>
        <v/>
      </c>
      <c r="E1323" s="10">
        <f>IF(B1323="","",IFERROR(INDEX(Roster!$A$2:$A$600,MATCH(B1323,Roster!$E$2:$E$600,0)),""))</f>
        <v/>
      </c>
      <c r="F1323" s="10">
        <f>IF(C1323="","",IFERROR(INDEX(Levels!$C$2:$C$30,MATCH(C1323,Levels!$B$2:$B$30,0)),""))</f>
        <v/>
      </c>
      <c r="G1323" s="6" t="n"/>
      <c r="H1323" s="10">
        <f>IF(AND(B1323="",C1323=""),"",IF(G1323&lt;&gt;"","Void",IF(OR(B1323="",E1323=""),"Needs child",IF(D1323="","Needs level","OK"))))</f>
        <v/>
      </c>
    </row>
    <row r="1324">
      <c r="A1324" s="6" t="n"/>
      <c r="B1324" s="6" t="n"/>
      <c r="C1324" s="6" t="n"/>
      <c r="D1324" s="11">
        <f>IF(C1324="","",IFERROR(INDEX(Levels!$A$2:$A$30,MATCH(C1324,Levels!$B$2:$B$30,0)),""))</f>
        <v/>
      </c>
      <c r="E1324" s="10">
        <f>IF(B1324="","",IFERROR(INDEX(Roster!$A$2:$A$600,MATCH(B1324,Roster!$E$2:$E$600,0)),""))</f>
        <v/>
      </c>
      <c r="F1324" s="10">
        <f>IF(C1324="","",IFERROR(INDEX(Levels!$C$2:$C$30,MATCH(C1324,Levels!$B$2:$B$30,0)),""))</f>
        <v/>
      </c>
      <c r="G1324" s="6" t="n"/>
      <c r="H1324" s="10">
        <f>IF(AND(B1324="",C1324=""),"",IF(G1324&lt;&gt;"","Void",IF(OR(B1324="",E1324=""),"Needs child",IF(D1324="","Needs level","OK"))))</f>
        <v/>
      </c>
    </row>
    <row r="1325">
      <c r="A1325" s="6" t="n"/>
      <c r="B1325" s="6" t="n"/>
      <c r="C1325" s="6" t="n"/>
      <c r="D1325" s="11">
        <f>IF(C1325="","",IFERROR(INDEX(Levels!$A$2:$A$30,MATCH(C1325,Levels!$B$2:$B$30,0)),""))</f>
        <v/>
      </c>
      <c r="E1325" s="10">
        <f>IF(B1325="","",IFERROR(INDEX(Roster!$A$2:$A$600,MATCH(B1325,Roster!$E$2:$E$600,0)),""))</f>
        <v/>
      </c>
      <c r="F1325" s="10">
        <f>IF(C1325="","",IFERROR(INDEX(Levels!$C$2:$C$30,MATCH(C1325,Levels!$B$2:$B$30,0)),""))</f>
        <v/>
      </c>
      <c r="G1325" s="6" t="n"/>
      <c r="H1325" s="10">
        <f>IF(AND(B1325="",C1325=""),"",IF(G1325&lt;&gt;"","Void",IF(OR(B1325="",E1325=""),"Needs child",IF(D1325="","Needs level","OK"))))</f>
        <v/>
      </c>
    </row>
    <row r="1326">
      <c r="A1326" s="6" t="n"/>
      <c r="B1326" s="6" t="n"/>
      <c r="C1326" s="6" t="n"/>
      <c r="D1326" s="11">
        <f>IF(C1326="","",IFERROR(INDEX(Levels!$A$2:$A$30,MATCH(C1326,Levels!$B$2:$B$30,0)),""))</f>
        <v/>
      </c>
      <c r="E1326" s="10">
        <f>IF(B1326="","",IFERROR(INDEX(Roster!$A$2:$A$600,MATCH(B1326,Roster!$E$2:$E$600,0)),""))</f>
        <v/>
      </c>
      <c r="F1326" s="10">
        <f>IF(C1326="","",IFERROR(INDEX(Levels!$C$2:$C$30,MATCH(C1326,Levels!$B$2:$B$30,0)),""))</f>
        <v/>
      </c>
      <c r="G1326" s="6" t="n"/>
      <c r="H1326" s="10">
        <f>IF(AND(B1326="",C1326=""),"",IF(G1326&lt;&gt;"","Void",IF(OR(B1326="",E1326=""),"Needs child",IF(D1326="","Needs level","OK"))))</f>
        <v/>
      </c>
    </row>
    <row r="1327">
      <c r="A1327" s="6" t="n"/>
      <c r="B1327" s="6" t="n"/>
      <c r="C1327" s="6" t="n"/>
      <c r="D1327" s="11">
        <f>IF(C1327="","",IFERROR(INDEX(Levels!$A$2:$A$30,MATCH(C1327,Levels!$B$2:$B$30,0)),""))</f>
        <v/>
      </c>
      <c r="E1327" s="10">
        <f>IF(B1327="","",IFERROR(INDEX(Roster!$A$2:$A$600,MATCH(B1327,Roster!$E$2:$E$600,0)),""))</f>
        <v/>
      </c>
      <c r="F1327" s="10">
        <f>IF(C1327="","",IFERROR(INDEX(Levels!$C$2:$C$30,MATCH(C1327,Levels!$B$2:$B$30,0)),""))</f>
        <v/>
      </c>
      <c r="G1327" s="6" t="n"/>
      <c r="H1327" s="10">
        <f>IF(AND(B1327="",C1327=""),"",IF(G1327&lt;&gt;"","Void",IF(OR(B1327="",E1327=""),"Needs child",IF(D1327="","Needs level","OK"))))</f>
        <v/>
      </c>
    </row>
    <row r="1328">
      <c r="A1328" s="6" t="n"/>
      <c r="B1328" s="6" t="n"/>
      <c r="C1328" s="6" t="n"/>
      <c r="D1328" s="11">
        <f>IF(C1328="","",IFERROR(INDEX(Levels!$A$2:$A$30,MATCH(C1328,Levels!$B$2:$B$30,0)),""))</f>
        <v/>
      </c>
      <c r="E1328" s="10">
        <f>IF(B1328="","",IFERROR(INDEX(Roster!$A$2:$A$600,MATCH(B1328,Roster!$E$2:$E$600,0)),""))</f>
        <v/>
      </c>
      <c r="F1328" s="10">
        <f>IF(C1328="","",IFERROR(INDEX(Levels!$C$2:$C$30,MATCH(C1328,Levels!$B$2:$B$30,0)),""))</f>
        <v/>
      </c>
      <c r="G1328" s="6" t="n"/>
      <c r="H1328" s="10">
        <f>IF(AND(B1328="",C1328=""),"",IF(G1328&lt;&gt;"","Void",IF(OR(B1328="",E1328=""),"Needs child",IF(D1328="","Needs level","OK"))))</f>
        <v/>
      </c>
    </row>
    <row r="1329">
      <c r="A1329" s="6" t="n"/>
      <c r="B1329" s="6" t="n"/>
      <c r="C1329" s="6" t="n"/>
      <c r="D1329" s="11">
        <f>IF(C1329="","",IFERROR(INDEX(Levels!$A$2:$A$30,MATCH(C1329,Levels!$B$2:$B$30,0)),""))</f>
        <v/>
      </c>
      <c r="E1329" s="10">
        <f>IF(B1329="","",IFERROR(INDEX(Roster!$A$2:$A$600,MATCH(B1329,Roster!$E$2:$E$600,0)),""))</f>
        <v/>
      </c>
      <c r="F1329" s="10">
        <f>IF(C1329="","",IFERROR(INDEX(Levels!$C$2:$C$30,MATCH(C1329,Levels!$B$2:$B$30,0)),""))</f>
        <v/>
      </c>
      <c r="G1329" s="6" t="n"/>
      <c r="H1329" s="10">
        <f>IF(AND(B1329="",C1329=""),"",IF(G1329&lt;&gt;"","Void",IF(OR(B1329="",E1329=""),"Needs child",IF(D1329="","Needs level","OK"))))</f>
        <v/>
      </c>
    </row>
    <row r="1330">
      <c r="A1330" s="6" t="n"/>
      <c r="B1330" s="6" t="n"/>
      <c r="C1330" s="6" t="n"/>
      <c r="D1330" s="11">
        <f>IF(C1330="","",IFERROR(INDEX(Levels!$A$2:$A$30,MATCH(C1330,Levels!$B$2:$B$30,0)),""))</f>
        <v/>
      </c>
      <c r="E1330" s="10">
        <f>IF(B1330="","",IFERROR(INDEX(Roster!$A$2:$A$600,MATCH(B1330,Roster!$E$2:$E$600,0)),""))</f>
        <v/>
      </c>
      <c r="F1330" s="10">
        <f>IF(C1330="","",IFERROR(INDEX(Levels!$C$2:$C$30,MATCH(C1330,Levels!$B$2:$B$30,0)),""))</f>
        <v/>
      </c>
      <c r="G1330" s="6" t="n"/>
      <c r="H1330" s="10">
        <f>IF(AND(B1330="",C1330=""),"",IF(G1330&lt;&gt;"","Void",IF(OR(B1330="",E1330=""),"Needs child",IF(D1330="","Needs level","OK"))))</f>
        <v/>
      </c>
    </row>
    <row r="1331">
      <c r="A1331" s="6" t="n"/>
      <c r="B1331" s="6" t="n"/>
      <c r="C1331" s="6" t="n"/>
      <c r="D1331" s="11">
        <f>IF(C1331="","",IFERROR(INDEX(Levels!$A$2:$A$30,MATCH(C1331,Levels!$B$2:$B$30,0)),""))</f>
        <v/>
      </c>
      <c r="E1331" s="10">
        <f>IF(B1331="","",IFERROR(INDEX(Roster!$A$2:$A$600,MATCH(B1331,Roster!$E$2:$E$600,0)),""))</f>
        <v/>
      </c>
      <c r="F1331" s="10">
        <f>IF(C1331="","",IFERROR(INDEX(Levels!$C$2:$C$30,MATCH(C1331,Levels!$B$2:$B$30,0)),""))</f>
        <v/>
      </c>
      <c r="G1331" s="6" t="n"/>
      <c r="H1331" s="10">
        <f>IF(AND(B1331="",C1331=""),"",IF(G1331&lt;&gt;"","Void",IF(OR(B1331="",E1331=""),"Needs child",IF(D1331="","Needs level","OK"))))</f>
        <v/>
      </c>
    </row>
    <row r="1332">
      <c r="A1332" s="6" t="n"/>
      <c r="B1332" s="6" t="n"/>
      <c r="C1332" s="6" t="n"/>
      <c r="D1332" s="11">
        <f>IF(C1332="","",IFERROR(INDEX(Levels!$A$2:$A$30,MATCH(C1332,Levels!$B$2:$B$30,0)),""))</f>
        <v/>
      </c>
      <c r="E1332" s="10">
        <f>IF(B1332="","",IFERROR(INDEX(Roster!$A$2:$A$600,MATCH(B1332,Roster!$E$2:$E$600,0)),""))</f>
        <v/>
      </c>
      <c r="F1332" s="10">
        <f>IF(C1332="","",IFERROR(INDEX(Levels!$C$2:$C$30,MATCH(C1332,Levels!$B$2:$B$30,0)),""))</f>
        <v/>
      </c>
      <c r="G1332" s="6" t="n"/>
      <c r="H1332" s="10">
        <f>IF(AND(B1332="",C1332=""),"",IF(G1332&lt;&gt;"","Void",IF(OR(B1332="",E1332=""),"Needs child",IF(D1332="","Needs level","OK"))))</f>
        <v/>
      </c>
    </row>
    <row r="1333">
      <c r="A1333" s="6" t="n"/>
      <c r="B1333" s="6" t="n"/>
      <c r="C1333" s="6" t="n"/>
      <c r="D1333" s="11">
        <f>IF(C1333="","",IFERROR(INDEX(Levels!$A$2:$A$30,MATCH(C1333,Levels!$B$2:$B$30,0)),""))</f>
        <v/>
      </c>
      <c r="E1333" s="10">
        <f>IF(B1333="","",IFERROR(INDEX(Roster!$A$2:$A$600,MATCH(B1333,Roster!$E$2:$E$600,0)),""))</f>
        <v/>
      </c>
      <c r="F1333" s="10">
        <f>IF(C1333="","",IFERROR(INDEX(Levels!$C$2:$C$30,MATCH(C1333,Levels!$B$2:$B$30,0)),""))</f>
        <v/>
      </c>
      <c r="G1333" s="6" t="n"/>
      <c r="H1333" s="10">
        <f>IF(AND(B1333="",C1333=""),"",IF(G1333&lt;&gt;"","Void",IF(OR(B1333="",E1333=""),"Needs child",IF(D1333="","Needs level","OK"))))</f>
        <v/>
      </c>
    </row>
    <row r="1334">
      <c r="A1334" s="6" t="n"/>
      <c r="B1334" s="6" t="n"/>
      <c r="C1334" s="6" t="n"/>
      <c r="D1334" s="11">
        <f>IF(C1334="","",IFERROR(INDEX(Levels!$A$2:$A$30,MATCH(C1334,Levels!$B$2:$B$30,0)),""))</f>
        <v/>
      </c>
      <c r="E1334" s="10">
        <f>IF(B1334="","",IFERROR(INDEX(Roster!$A$2:$A$600,MATCH(B1334,Roster!$E$2:$E$600,0)),""))</f>
        <v/>
      </c>
      <c r="F1334" s="10">
        <f>IF(C1334="","",IFERROR(INDEX(Levels!$C$2:$C$30,MATCH(C1334,Levels!$B$2:$B$30,0)),""))</f>
        <v/>
      </c>
      <c r="G1334" s="6" t="n"/>
      <c r="H1334" s="10">
        <f>IF(AND(B1334="",C1334=""),"",IF(G1334&lt;&gt;"","Void",IF(OR(B1334="",E1334=""),"Needs child",IF(D1334="","Needs level","OK"))))</f>
        <v/>
      </c>
    </row>
    <row r="1335">
      <c r="A1335" s="6" t="n"/>
      <c r="B1335" s="6" t="n"/>
      <c r="C1335" s="6" t="n"/>
      <c r="D1335" s="11">
        <f>IF(C1335="","",IFERROR(INDEX(Levels!$A$2:$A$30,MATCH(C1335,Levels!$B$2:$B$30,0)),""))</f>
        <v/>
      </c>
      <c r="E1335" s="10">
        <f>IF(B1335="","",IFERROR(INDEX(Roster!$A$2:$A$600,MATCH(B1335,Roster!$E$2:$E$600,0)),""))</f>
        <v/>
      </c>
      <c r="F1335" s="10">
        <f>IF(C1335="","",IFERROR(INDEX(Levels!$C$2:$C$30,MATCH(C1335,Levels!$B$2:$B$30,0)),""))</f>
        <v/>
      </c>
      <c r="G1335" s="6" t="n"/>
      <c r="H1335" s="10">
        <f>IF(AND(B1335="",C1335=""),"",IF(G1335&lt;&gt;"","Void",IF(OR(B1335="",E1335=""),"Needs child",IF(D1335="","Needs level","OK"))))</f>
        <v/>
      </c>
    </row>
    <row r="1336">
      <c r="A1336" s="6" t="n"/>
      <c r="B1336" s="6" t="n"/>
      <c r="C1336" s="6" t="n"/>
      <c r="D1336" s="11">
        <f>IF(C1336="","",IFERROR(INDEX(Levels!$A$2:$A$30,MATCH(C1336,Levels!$B$2:$B$30,0)),""))</f>
        <v/>
      </c>
      <c r="E1336" s="10">
        <f>IF(B1336="","",IFERROR(INDEX(Roster!$A$2:$A$600,MATCH(B1336,Roster!$E$2:$E$600,0)),""))</f>
        <v/>
      </c>
      <c r="F1336" s="10">
        <f>IF(C1336="","",IFERROR(INDEX(Levels!$C$2:$C$30,MATCH(C1336,Levels!$B$2:$B$30,0)),""))</f>
        <v/>
      </c>
      <c r="G1336" s="6" t="n"/>
      <c r="H1336" s="10">
        <f>IF(AND(B1336="",C1336=""),"",IF(G1336&lt;&gt;"","Void",IF(OR(B1336="",E1336=""),"Needs child",IF(D1336="","Needs level","OK"))))</f>
        <v/>
      </c>
    </row>
    <row r="1337">
      <c r="A1337" s="6" t="n"/>
      <c r="B1337" s="6" t="n"/>
      <c r="C1337" s="6" t="n"/>
      <c r="D1337" s="11">
        <f>IF(C1337="","",IFERROR(INDEX(Levels!$A$2:$A$30,MATCH(C1337,Levels!$B$2:$B$30,0)),""))</f>
        <v/>
      </c>
      <c r="E1337" s="10">
        <f>IF(B1337="","",IFERROR(INDEX(Roster!$A$2:$A$600,MATCH(B1337,Roster!$E$2:$E$600,0)),""))</f>
        <v/>
      </c>
      <c r="F1337" s="10">
        <f>IF(C1337="","",IFERROR(INDEX(Levels!$C$2:$C$30,MATCH(C1337,Levels!$B$2:$B$30,0)),""))</f>
        <v/>
      </c>
      <c r="G1337" s="6" t="n"/>
      <c r="H1337" s="10">
        <f>IF(AND(B1337="",C1337=""),"",IF(G1337&lt;&gt;"","Void",IF(OR(B1337="",E1337=""),"Needs child",IF(D1337="","Needs level","OK"))))</f>
        <v/>
      </c>
    </row>
    <row r="1338">
      <c r="A1338" s="6" t="n"/>
      <c r="B1338" s="6" t="n"/>
      <c r="C1338" s="6" t="n"/>
      <c r="D1338" s="11">
        <f>IF(C1338="","",IFERROR(INDEX(Levels!$A$2:$A$30,MATCH(C1338,Levels!$B$2:$B$30,0)),""))</f>
        <v/>
      </c>
      <c r="E1338" s="10">
        <f>IF(B1338="","",IFERROR(INDEX(Roster!$A$2:$A$600,MATCH(B1338,Roster!$E$2:$E$600,0)),""))</f>
        <v/>
      </c>
      <c r="F1338" s="10">
        <f>IF(C1338="","",IFERROR(INDEX(Levels!$C$2:$C$30,MATCH(C1338,Levels!$B$2:$B$30,0)),""))</f>
        <v/>
      </c>
      <c r="G1338" s="6" t="n"/>
      <c r="H1338" s="10">
        <f>IF(AND(B1338="",C1338=""),"",IF(G1338&lt;&gt;"","Void",IF(OR(B1338="",E1338=""),"Needs child",IF(D1338="","Needs level","OK"))))</f>
        <v/>
      </c>
    </row>
    <row r="1339">
      <c r="A1339" s="6" t="n"/>
      <c r="B1339" s="6" t="n"/>
      <c r="C1339" s="6" t="n"/>
      <c r="D1339" s="11">
        <f>IF(C1339="","",IFERROR(INDEX(Levels!$A$2:$A$30,MATCH(C1339,Levels!$B$2:$B$30,0)),""))</f>
        <v/>
      </c>
      <c r="E1339" s="10">
        <f>IF(B1339="","",IFERROR(INDEX(Roster!$A$2:$A$600,MATCH(B1339,Roster!$E$2:$E$600,0)),""))</f>
        <v/>
      </c>
      <c r="F1339" s="10">
        <f>IF(C1339="","",IFERROR(INDEX(Levels!$C$2:$C$30,MATCH(C1339,Levels!$B$2:$B$30,0)),""))</f>
        <v/>
      </c>
      <c r="G1339" s="6" t="n"/>
      <c r="H1339" s="10">
        <f>IF(AND(B1339="",C1339=""),"",IF(G1339&lt;&gt;"","Void",IF(OR(B1339="",E1339=""),"Needs child",IF(D1339="","Needs level","OK"))))</f>
        <v/>
      </c>
    </row>
    <row r="1340">
      <c r="A1340" s="6" t="n"/>
      <c r="B1340" s="6" t="n"/>
      <c r="C1340" s="6" t="n"/>
      <c r="D1340" s="11">
        <f>IF(C1340="","",IFERROR(INDEX(Levels!$A$2:$A$30,MATCH(C1340,Levels!$B$2:$B$30,0)),""))</f>
        <v/>
      </c>
      <c r="E1340" s="10">
        <f>IF(B1340="","",IFERROR(INDEX(Roster!$A$2:$A$600,MATCH(B1340,Roster!$E$2:$E$600,0)),""))</f>
        <v/>
      </c>
      <c r="F1340" s="10">
        <f>IF(C1340="","",IFERROR(INDEX(Levels!$C$2:$C$30,MATCH(C1340,Levels!$B$2:$B$30,0)),""))</f>
        <v/>
      </c>
      <c r="G1340" s="6" t="n"/>
      <c r="H1340" s="10">
        <f>IF(AND(B1340="",C1340=""),"",IF(G1340&lt;&gt;"","Void",IF(OR(B1340="",E1340=""),"Needs child",IF(D1340="","Needs level","OK"))))</f>
        <v/>
      </c>
    </row>
    <row r="1341">
      <c r="A1341" s="6" t="n"/>
      <c r="B1341" s="6" t="n"/>
      <c r="C1341" s="6" t="n"/>
      <c r="D1341" s="11">
        <f>IF(C1341="","",IFERROR(INDEX(Levels!$A$2:$A$30,MATCH(C1341,Levels!$B$2:$B$30,0)),""))</f>
        <v/>
      </c>
      <c r="E1341" s="10">
        <f>IF(B1341="","",IFERROR(INDEX(Roster!$A$2:$A$600,MATCH(B1341,Roster!$E$2:$E$600,0)),""))</f>
        <v/>
      </c>
      <c r="F1341" s="10">
        <f>IF(C1341="","",IFERROR(INDEX(Levels!$C$2:$C$30,MATCH(C1341,Levels!$B$2:$B$30,0)),""))</f>
        <v/>
      </c>
      <c r="G1341" s="6" t="n"/>
      <c r="H1341" s="10">
        <f>IF(AND(B1341="",C1341=""),"",IF(G1341&lt;&gt;"","Void",IF(OR(B1341="",E1341=""),"Needs child",IF(D1341="","Needs level","OK"))))</f>
        <v/>
      </c>
    </row>
    <row r="1342">
      <c r="A1342" s="6" t="n"/>
      <c r="B1342" s="6" t="n"/>
      <c r="C1342" s="6" t="n"/>
      <c r="D1342" s="11">
        <f>IF(C1342="","",IFERROR(INDEX(Levels!$A$2:$A$30,MATCH(C1342,Levels!$B$2:$B$30,0)),""))</f>
        <v/>
      </c>
      <c r="E1342" s="10">
        <f>IF(B1342="","",IFERROR(INDEX(Roster!$A$2:$A$600,MATCH(B1342,Roster!$E$2:$E$600,0)),""))</f>
        <v/>
      </c>
      <c r="F1342" s="10">
        <f>IF(C1342="","",IFERROR(INDEX(Levels!$C$2:$C$30,MATCH(C1342,Levels!$B$2:$B$30,0)),""))</f>
        <v/>
      </c>
      <c r="G1342" s="6" t="n"/>
      <c r="H1342" s="10">
        <f>IF(AND(B1342="",C1342=""),"",IF(G1342&lt;&gt;"","Void",IF(OR(B1342="",E1342=""),"Needs child",IF(D1342="","Needs level","OK"))))</f>
        <v/>
      </c>
    </row>
    <row r="1343">
      <c r="A1343" s="6" t="n"/>
      <c r="B1343" s="6" t="n"/>
      <c r="C1343" s="6" t="n"/>
      <c r="D1343" s="11">
        <f>IF(C1343="","",IFERROR(INDEX(Levels!$A$2:$A$30,MATCH(C1343,Levels!$B$2:$B$30,0)),""))</f>
        <v/>
      </c>
      <c r="E1343" s="10">
        <f>IF(B1343="","",IFERROR(INDEX(Roster!$A$2:$A$600,MATCH(B1343,Roster!$E$2:$E$600,0)),""))</f>
        <v/>
      </c>
      <c r="F1343" s="10">
        <f>IF(C1343="","",IFERROR(INDEX(Levels!$C$2:$C$30,MATCH(C1343,Levels!$B$2:$B$30,0)),""))</f>
        <v/>
      </c>
      <c r="G1343" s="6" t="n"/>
      <c r="H1343" s="10">
        <f>IF(AND(B1343="",C1343=""),"",IF(G1343&lt;&gt;"","Void",IF(OR(B1343="",E1343=""),"Needs child",IF(D1343="","Needs level","OK"))))</f>
        <v/>
      </c>
    </row>
    <row r="1344">
      <c r="A1344" s="6" t="n"/>
      <c r="B1344" s="6" t="n"/>
      <c r="C1344" s="6" t="n"/>
      <c r="D1344" s="11">
        <f>IF(C1344="","",IFERROR(INDEX(Levels!$A$2:$A$30,MATCH(C1344,Levels!$B$2:$B$30,0)),""))</f>
        <v/>
      </c>
      <c r="E1344" s="10">
        <f>IF(B1344="","",IFERROR(INDEX(Roster!$A$2:$A$600,MATCH(B1344,Roster!$E$2:$E$600,0)),""))</f>
        <v/>
      </c>
      <c r="F1344" s="10">
        <f>IF(C1344="","",IFERROR(INDEX(Levels!$C$2:$C$30,MATCH(C1344,Levels!$B$2:$B$30,0)),""))</f>
        <v/>
      </c>
      <c r="G1344" s="6" t="n"/>
      <c r="H1344" s="10">
        <f>IF(AND(B1344="",C1344=""),"",IF(G1344&lt;&gt;"","Void",IF(OR(B1344="",E1344=""),"Needs child",IF(D1344="","Needs level","OK"))))</f>
        <v/>
      </c>
    </row>
    <row r="1345">
      <c r="A1345" s="6" t="n"/>
      <c r="B1345" s="6" t="n"/>
      <c r="C1345" s="6" t="n"/>
      <c r="D1345" s="11">
        <f>IF(C1345="","",IFERROR(INDEX(Levels!$A$2:$A$30,MATCH(C1345,Levels!$B$2:$B$30,0)),""))</f>
        <v/>
      </c>
      <c r="E1345" s="10">
        <f>IF(B1345="","",IFERROR(INDEX(Roster!$A$2:$A$600,MATCH(B1345,Roster!$E$2:$E$600,0)),""))</f>
        <v/>
      </c>
      <c r="F1345" s="10">
        <f>IF(C1345="","",IFERROR(INDEX(Levels!$C$2:$C$30,MATCH(C1345,Levels!$B$2:$B$30,0)),""))</f>
        <v/>
      </c>
      <c r="G1345" s="6" t="n"/>
      <c r="H1345" s="10">
        <f>IF(AND(B1345="",C1345=""),"",IF(G1345&lt;&gt;"","Void",IF(OR(B1345="",E1345=""),"Needs child",IF(D1345="","Needs level","OK"))))</f>
        <v/>
      </c>
    </row>
    <row r="1346">
      <c r="A1346" s="6" t="n"/>
      <c r="B1346" s="6" t="n"/>
      <c r="C1346" s="6" t="n"/>
      <c r="D1346" s="11">
        <f>IF(C1346="","",IFERROR(INDEX(Levels!$A$2:$A$30,MATCH(C1346,Levels!$B$2:$B$30,0)),""))</f>
        <v/>
      </c>
      <c r="E1346" s="10">
        <f>IF(B1346="","",IFERROR(INDEX(Roster!$A$2:$A$600,MATCH(B1346,Roster!$E$2:$E$600,0)),""))</f>
        <v/>
      </c>
      <c r="F1346" s="10">
        <f>IF(C1346="","",IFERROR(INDEX(Levels!$C$2:$C$30,MATCH(C1346,Levels!$B$2:$B$30,0)),""))</f>
        <v/>
      </c>
      <c r="G1346" s="6" t="n"/>
      <c r="H1346" s="10">
        <f>IF(AND(B1346="",C1346=""),"",IF(G1346&lt;&gt;"","Void",IF(OR(B1346="",E1346=""),"Needs child",IF(D1346="","Needs level","OK"))))</f>
        <v/>
      </c>
    </row>
    <row r="1347">
      <c r="A1347" s="6" t="n"/>
      <c r="B1347" s="6" t="n"/>
      <c r="C1347" s="6" t="n"/>
      <c r="D1347" s="11">
        <f>IF(C1347="","",IFERROR(INDEX(Levels!$A$2:$A$30,MATCH(C1347,Levels!$B$2:$B$30,0)),""))</f>
        <v/>
      </c>
      <c r="E1347" s="10">
        <f>IF(B1347="","",IFERROR(INDEX(Roster!$A$2:$A$600,MATCH(B1347,Roster!$E$2:$E$600,0)),""))</f>
        <v/>
      </c>
      <c r="F1347" s="10">
        <f>IF(C1347="","",IFERROR(INDEX(Levels!$C$2:$C$30,MATCH(C1347,Levels!$B$2:$B$30,0)),""))</f>
        <v/>
      </c>
      <c r="G1347" s="6" t="n"/>
      <c r="H1347" s="10">
        <f>IF(AND(B1347="",C1347=""),"",IF(G1347&lt;&gt;"","Void",IF(OR(B1347="",E1347=""),"Needs child",IF(D1347="","Needs level","OK"))))</f>
        <v/>
      </c>
    </row>
    <row r="1348">
      <c r="A1348" s="6" t="n"/>
      <c r="B1348" s="6" t="n"/>
      <c r="C1348" s="6" t="n"/>
      <c r="D1348" s="11">
        <f>IF(C1348="","",IFERROR(INDEX(Levels!$A$2:$A$30,MATCH(C1348,Levels!$B$2:$B$30,0)),""))</f>
        <v/>
      </c>
      <c r="E1348" s="10">
        <f>IF(B1348="","",IFERROR(INDEX(Roster!$A$2:$A$600,MATCH(B1348,Roster!$E$2:$E$600,0)),""))</f>
        <v/>
      </c>
      <c r="F1348" s="10">
        <f>IF(C1348="","",IFERROR(INDEX(Levels!$C$2:$C$30,MATCH(C1348,Levels!$B$2:$B$30,0)),""))</f>
        <v/>
      </c>
      <c r="G1348" s="6" t="n"/>
      <c r="H1348" s="10">
        <f>IF(AND(B1348="",C1348=""),"",IF(G1348&lt;&gt;"","Void",IF(OR(B1348="",E1348=""),"Needs child",IF(D1348="","Needs level","OK"))))</f>
        <v/>
      </c>
    </row>
    <row r="1349">
      <c r="A1349" s="6" t="n"/>
      <c r="B1349" s="6" t="n"/>
      <c r="C1349" s="6" t="n"/>
      <c r="D1349" s="11">
        <f>IF(C1349="","",IFERROR(INDEX(Levels!$A$2:$A$30,MATCH(C1349,Levels!$B$2:$B$30,0)),""))</f>
        <v/>
      </c>
      <c r="E1349" s="10">
        <f>IF(B1349="","",IFERROR(INDEX(Roster!$A$2:$A$600,MATCH(B1349,Roster!$E$2:$E$600,0)),""))</f>
        <v/>
      </c>
      <c r="F1349" s="10">
        <f>IF(C1349="","",IFERROR(INDEX(Levels!$C$2:$C$30,MATCH(C1349,Levels!$B$2:$B$30,0)),""))</f>
        <v/>
      </c>
      <c r="G1349" s="6" t="n"/>
      <c r="H1349" s="10">
        <f>IF(AND(B1349="",C1349=""),"",IF(G1349&lt;&gt;"","Void",IF(OR(B1349="",E1349=""),"Needs child",IF(D1349="","Needs level","OK"))))</f>
        <v/>
      </c>
    </row>
    <row r="1350">
      <c r="A1350" s="6" t="n"/>
      <c r="B1350" s="6" t="n"/>
      <c r="C1350" s="6" t="n"/>
      <c r="D1350" s="11">
        <f>IF(C1350="","",IFERROR(INDEX(Levels!$A$2:$A$30,MATCH(C1350,Levels!$B$2:$B$30,0)),""))</f>
        <v/>
      </c>
      <c r="E1350" s="10">
        <f>IF(B1350="","",IFERROR(INDEX(Roster!$A$2:$A$600,MATCH(B1350,Roster!$E$2:$E$600,0)),""))</f>
        <v/>
      </c>
      <c r="F1350" s="10">
        <f>IF(C1350="","",IFERROR(INDEX(Levels!$C$2:$C$30,MATCH(C1350,Levels!$B$2:$B$30,0)),""))</f>
        <v/>
      </c>
      <c r="G1350" s="6" t="n"/>
      <c r="H1350" s="10">
        <f>IF(AND(B1350="",C1350=""),"",IF(G1350&lt;&gt;"","Void",IF(OR(B1350="",E1350=""),"Needs child",IF(D1350="","Needs level","OK"))))</f>
        <v/>
      </c>
    </row>
    <row r="1351">
      <c r="A1351" s="6" t="n"/>
      <c r="B1351" s="6" t="n"/>
      <c r="C1351" s="6" t="n"/>
      <c r="D1351" s="11">
        <f>IF(C1351="","",IFERROR(INDEX(Levels!$A$2:$A$30,MATCH(C1351,Levels!$B$2:$B$30,0)),""))</f>
        <v/>
      </c>
      <c r="E1351" s="10">
        <f>IF(B1351="","",IFERROR(INDEX(Roster!$A$2:$A$600,MATCH(B1351,Roster!$E$2:$E$600,0)),""))</f>
        <v/>
      </c>
      <c r="F1351" s="10">
        <f>IF(C1351="","",IFERROR(INDEX(Levels!$C$2:$C$30,MATCH(C1351,Levels!$B$2:$B$30,0)),""))</f>
        <v/>
      </c>
      <c r="G1351" s="6" t="n"/>
      <c r="H1351" s="10">
        <f>IF(AND(B1351="",C1351=""),"",IF(G1351&lt;&gt;"","Void",IF(OR(B1351="",E1351=""),"Needs child",IF(D1351="","Needs level","OK"))))</f>
        <v/>
      </c>
    </row>
    <row r="1352">
      <c r="A1352" s="6" t="n"/>
      <c r="B1352" s="6" t="n"/>
      <c r="C1352" s="6" t="n"/>
      <c r="D1352" s="11">
        <f>IF(C1352="","",IFERROR(INDEX(Levels!$A$2:$A$30,MATCH(C1352,Levels!$B$2:$B$30,0)),""))</f>
        <v/>
      </c>
      <c r="E1352" s="10">
        <f>IF(B1352="","",IFERROR(INDEX(Roster!$A$2:$A$600,MATCH(B1352,Roster!$E$2:$E$600,0)),""))</f>
        <v/>
      </c>
      <c r="F1352" s="10">
        <f>IF(C1352="","",IFERROR(INDEX(Levels!$C$2:$C$30,MATCH(C1352,Levels!$B$2:$B$30,0)),""))</f>
        <v/>
      </c>
      <c r="G1352" s="6" t="n"/>
      <c r="H1352" s="10">
        <f>IF(AND(B1352="",C1352=""),"",IF(G1352&lt;&gt;"","Void",IF(OR(B1352="",E1352=""),"Needs child",IF(D1352="","Needs level","OK"))))</f>
        <v/>
      </c>
    </row>
    <row r="1353">
      <c r="A1353" s="6" t="n"/>
      <c r="B1353" s="6" t="n"/>
      <c r="C1353" s="6" t="n"/>
      <c r="D1353" s="11">
        <f>IF(C1353="","",IFERROR(INDEX(Levels!$A$2:$A$30,MATCH(C1353,Levels!$B$2:$B$30,0)),""))</f>
        <v/>
      </c>
      <c r="E1353" s="10">
        <f>IF(B1353="","",IFERROR(INDEX(Roster!$A$2:$A$600,MATCH(B1353,Roster!$E$2:$E$600,0)),""))</f>
        <v/>
      </c>
      <c r="F1353" s="10">
        <f>IF(C1353="","",IFERROR(INDEX(Levels!$C$2:$C$30,MATCH(C1353,Levels!$B$2:$B$30,0)),""))</f>
        <v/>
      </c>
      <c r="G1353" s="6" t="n"/>
      <c r="H1353" s="10">
        <f>IF(AND(B1353="",C1353=""),"",IF(G1353&lt;&gt;"","Void",IF(OR(B1353="",E1353=""),"Needs child",IF(D1353="","Needs level","OK"))))</f>
        <v/>
      </c>
    </row>
    <row r="1354">
      <c r="A1354" s="6" t="n"/>
      <c r="B1354" s="6" t="n"/>
      <c r="C1354" s="6" t="n"/>
      <c r="D1354" s="11">
        <f>IF(C1354="","",IFERROR(INDEX(Levels!$A$2:$A$30,MATCH(C1354,Levels!$B$2:$B$30,0)),""))</f>
        <v/>
      </c>
      <c r="E1354" s="10">
        <f>IF(B1354="","",IFERROR(INDEX(Roster!$A$2:$A$600,MATCH(B1354,Roster!$E$2:$E$600,0)),""))</f>
        <v/>
      </c>
      <c r="F1354" s="10">
        <f>IF(C1354="","",IFERROR(INDEX(Levels!$C$2:$C$30,MATCH(C1354,Levels!$B$2:$B$30,0)),""))</f>
        <v/>
      </c>
      <c r="G1354" s="6" t="n"/>
      <c r="H1354" s="10">
        <f>IF(AND(B1354="",C1354=""),"",IF(G1354&lt;&gt;"","Void",IF(OR(B1354="",E1354=""),"Needs child",IF(D1354="","Needs level","OK"))))</f>
        <v/>
      </c>
    </row>
    <row r="1355">
      <c r="A1355" s="6" t="n"/>
      <c r="B1355" s="6" t="n"/>
      <c r="C1355" s="6" t="n"/>
      <c r="D1355" s="11">
        <f>IF(C1355="","",IFERROR(INDEX(Levels!$A$2:$A$30,MATCH(C1355,Levels!$B$2:$B$30,0)),""))</f>
        <v/>
      </c>
      <c r="E1355" s="10">
        <f>IF(B1355="","",IFERROR(INDEX(Roster!$A$2:$A$600,MATCH(B1355,Roster!$E$2:$E$600,0)),""))</f>
        <v/>
      </c>
      <c r="F1355" s="10">
        <f>IF(C1355="","",IFERROR(INDEX(Levels!$C$2:$C$30,MATCH(C1355,Levels!$B$2:$B$30,0)),""))</f>
        <v/>
      </c>
      <c r="G1355" s="6" t="n"/>
      <c r="H1355" s="10">
        <f>IF(AND(B1355="",C1355=""),"",IF(G1355&lt;&gt;"","Void",IF(OR(B1355="",E1355=""),"Needs child",IF(D1355="","Needs level","OK"))))</f>
        <v/>
      </c>
    </row>
    <row r="1356">
      <c r="A1356" s="6" t="n"/>
      <c r="B1356" s="6" t="n"/>
      <c r="C1356" s="6" t="n"/>
      <c r="D1356" s="11">
        <f>IF(C1356="","",IFERROR(INDEX(Levels!$A$2:$A$30,MATCH(C1356,Levels!$B$2:$B$30,0)),""))</f>
        <v/>
      </c>
      <c r="E1356" s="10">
        <f>IF(B1356="","",IFERROR(INDEX(Roster!$A$2:$A$600,MATCH(B1356,Roster!$E$2:$E$600,0)),""))</f>
        <v/>
      </c>
      <c r="F1356" s="10">
        <f>IF(C1356="","",IFERROR(INDEX(Levels!$C$2:$C$30,MATCH(C1356,Levels!$B$2:$B$30,0)),""))</f>
        <v/>
      </c>
      <c r="G1356" s="6" t="n"/>
      <c r="H1356" s="10">
        <f>IF(AND(B1356="",C1356=""),"",IF(G1356&lt;&gt;"","Void",IF(OR(B1356="",E1356=""),"Needs child",IF(D1356="","Needs level","OK"))))</f>
        <v/>
      </c>
    </row>
    <row r="1357">
      <c r="A1357" s="6" t="n"/>
      <c r="B1357" s="6" t="n"/>
      <c r="C1357" s="6" t="n"/>
      <c r="D1357" s="11">
        <f>IF(C1357="","",IFERROR(INDEX(Levels!$A$2:$A$30,MATCH(C1357,Levels!$B$2:$B$30,0)),""))</f>
        <v/>
      </c>
      <c r="E1357" s="10">
        <f>IF(B1357="","",IFERROR(INDEX(Roster!$A$2:$A$600,MATCH(B1357,Roster!$E$2:$E$600,0)),""))</f>
        <v/>
      </c>
      <c r="F1357" s="10">
        <f>IF(C1357="","",IFERROR(INDEX(Levels!$C$2:$C$30,MATCH(C1357,Levels!$B$2:$B$30,0)),""))</f>
        <v/>
      </c>
      <c r="G1357" s="6" t="n"/>
      <c r="H1357" s="10">
        <f>IF(AND(B1357="",C1357=""),"",IF(G1357&lt;&gt;"","Void",IF(OR(B1357="",E1357=""),"Needs child",IF(D1357="","Needs level","OK"))))</f>
        <v/>
      </c>
    </row>
    <row r="1358">
      <c r="A1358" s="6" t="n"/>
      <c r="B1358" s="6" t="n"/>
      <c r="C1358" s="6" t="n"/>
      <c r="D1358" s="11">
        <f>IF(C1358="","",IFERROR(INDEX(Levels!$A$2:$A$30,MATCH(C1358,Levels!$B$2:$B$30,0)),""))</f>
        <v/>
      </c>
      <c r="E1358" s="10">
        <f>IF(B1358="","",IFERROR(INDEX(Roster!$A$2:$A$600,MATCH(B1358,Roster!$E$2:$E$600,0)),""))</f>
        <v/>
      </c>
      <c r="F1358" s="10">
        <f>IF(C1358="","",IFERROR(INDEX(Levels!$C$2:$C$30,MATCH(C1358,Levels!$B$2:$B$30,0)),""))</f>
        <v/>
      </c>
      <c r="G1358" s="6" t="n"/>
      <c r="H1358" s="10">
        <f>IF(AND(B1358="",C1358=""),"",IF(G1358&lt;&gt;"","Void",IF(OR(B1358="",E1358=""),"Needs child",IF(D1358="","Needs level","OK"))))</f>
        <v/>
      </c>
    </row>
    <row r="1359">
      <c r="A1359" s="6" t="n"/>
      <c r="B1359" s="6" t="n"/>
      <c r="C1359" s="6" t="n"/>
      <c r="D1359" s="11">
        <f>IF(C1359="","",IFERROR(INDEX(Levels!$A$2:$A$30,MATCH(C1359,Levels!$B$2:$B$30,0)),""))</f>
        <v/>
      </c>
      <c r="E1359" s="10">
        <f>IF(B1359="","",IFERROR(INDEX(Roster!$A$2:$A$600,MATCH(B1359,Roster!$E$2:$E$600,0)),""))</f>
        <v/>
      </c>
      <c r="F1359" s="10">
        <f>IF(C1359="","",IFERROR(INDEX(Levels!$C$2:$C$30,MATCH(C1359,Levels!$B$2:$B$30,0)),""))</f>
        <v/>
      </c>
      <c r="G1359" s="6" t="n"/>
      <c r="H1359" s="10">
        <f>IF(AND(B1359="",C1359=""),"",IF(G1359&lt;&gt;"","Void",IF(OR(B1359="",E1359=""),"Needs child",IF(D1359="","Needs level","OK"))))</f>
        <v/>
      </c>
    </row>
    <row r="1360">
      <c r="A1360" s="6" t="n"/>
      <c r="B1360" s="6" t="n"/>
      <c r="C1360" s="6" t="n"/>
      <c r="D1360" s="11">
        <f>IF(C1360="","",IFERROR(INDEX(Levels!$A$2:$A$30,MATCH(C1360,Levels!$B$2:$B$30,0)),""))</f>
        <v/>
      </c>
      <c r="E1360" s="10">
        <f>IF(B1360="","",IFERROR(INDEX(Roster!$A$2:$A$600,MATCH(B1360,Roster!$E$2:$E$600,0)),""))</f>
        <v/>
      </c>
      <c r="F1360" s="10">
        <f>IF(C1360="","",IFERROR(INDEX(Levels!$C$2:$C$30,MATCH(C1360,Levels!$B$2:$B$30,0)),""))</f>
        <v/>
      </c>
      <c r="G1360" s="6" t="n"/>
      <c r="H1360" s="10">
        <f>IF(AND(B1360="",C1360=""),"",IF(G1360&lt;&gt;"","Void",IF(OR(B1360="",E1360=""),"Needs child",IF(D1360="","Needs level","OK"))))</f>
        <v/>
      </c>
    </row>
    <row r="1361">
      <c r="A1361" s="6" t="n"/>
      <c r="B1361" s="6" t="n"/>
      <c r="C1361" s="6" t="n"/>
      <c r="D1361" s="11">
        <f>IF(C1361="","",IFERROR(INDEX(Levels!$A$2:$A$30,MATCH(C1361,Levels!$B$2:$B$30,0)),""))</f>
        <v/>
      </c>
      <c r="E1361" s="10">
        <f>IF(B1361="","",IFERROR(INDEX(Roster!$A$2:$A$600,MATCH(B1361,Roster!$E$2:$E$600,0)),""))</f>
        <v/>
      </c>
      <c r="F1361" s="10">
        <f>IF(C1361="","",IFERROR(INDEX(Levels!$C$2:$C$30,MATCH(C1361,Levels!$B$2:$B$30,0)),""))</f>
        <v/>
      </c>
      <c r="G1361" s="6" t="n"/>
      <c r="H1361" s="10">
        <f>IF(AND(B1361="",C1361=""),"",IF(G1361&lt;&gt;"","Void",IF(OR(B1361="",E1361=""),"Needs child",IF(D1361="","Needs level","OK"))))</f>
        <v/>
      </c>
    </row>
    <row r="1362">
      <c r="A1362" s="6" t="n"/>
      <c r="B1362" s="6" t="n"/>
      <c r="C1362" s="6" t="n"/>
      <c r="D1362" s="11">
        <f>IF(C1362="","",IFERROR(INDEX(Levels!$A$2:$A$30,MATCH(C1362,Levels!$B$2:$B$30,0)),""))</f>
        <v/>
      </c>
      <c r="E1362" s="10">
        <f>IF(B1362="","",IFERROR(INDEX(Roster!$A$2:$A$600,MATCH(B1362,Roster!$E$2:$E$600,0)),""))</f>
        <v/>
      </c>
      <c r="F1362" s="10">
        <f>IF(C1362="","",IFERROR(INDEX(Levels!$C$2:$C$30,MATCH(C1362,Levels!$B$2:$B$30,0)),""))</f>
        <v/>
      </c>
      <c r="G1362" s="6" t="n"/>
      <c r="H1362" s="10">
        <f>IF(AND(B1362="",C1362=""),"",IF(G1362&lt;&gt;"","Void",IF(OR(B1362="",E1362=""),"Needs child",IF(D1362="","Needs level","OK"))))</f>
        <v/>
      </c>
    </row>
    <row r="1363">
      <c r="A1363" s="6" t="n"/>
      <c r="B1363" s="6" t="n"/>
      <c r="C1363" s="6" t="n"/>
      <c r="D1363" s="11">
        <f>IF(C1363="","",IFERROR(INDEX(Levels!$A$2:$A$30,MATCH(C1363,Levels!$B$2:$B$30,0)),""))</f>
        <v/>
      </c>
      <c r="E1363" s="10">
        <f>IF(B1363="","",IFERROR(INDEX(Roster!$A$2:$A$600,MATCH(B1363,Roster!$E$2:$E$600,0)),""))</f>
        <v/>
      </c>
      <c r="F1363" s="10">
        <f>IF(C1363="","",IFERROR(INDEX(Levels!$C$2:$C$30,MATCH(C1363,Levels!$B$2:$B$30,0)),""))</f>
        <v/>
      </c>
      <c r="G1363" s="6" t="n"/>
      <c r="H1363" s="10">
        <f>IF(AND(B1363="",C1363=""),"",IF(G1363&lt;&gt;"","Void",IF(OR(B1363="",E1363=""),"Needs child",IF(D1363="","Needs level","OK"))))</f>
        <v/>
      </c>
    </row>
    <row r="1364">
      <c r="A1364" s="6" t="n"/>
      <c r="B1364" s="6" t="n"/>
      <c r="C1364" s="6" t="n"/>
      <c r="D1364" s="11">
        <f>IF(C1364="","",IFERROR(INDEX(Levels!$A$2:$A$30,MATCH(C1364,Levels!$B$2:$B$30,0)),""))</f>
        <v/>
      </c>
      <c r="E1364" s="10">
        <f>IF(B1364="","",IFERROR(INDEX(Roster!$A$2:$A$600,MATCH(B1364,Roster!$E$2:$E$600,0)),""))</f>
        <v/>
      </c>
      <c r="F1364" s="10">
        <f>IF(C1364="","",IFERROR(INDEX(Levels!$C$2:$C$30,MATCH(C1364,Levels!$B$2:$B$30,0)),""))</f>
        <v/>
      </c>
      <c r="G1364" s="6" t="n"/>
      <c r="H1364" s="10">
        <f>IF(AND(B1364="",C1364=""),"",IF(G1364&lt;&gt;"","Void",IF(OR(B1364="",E1364=""),"Needs child",IF(D1364="","Needs level","OK"))))</f>
        <v/>
      </c>
    </row>
    <row r="1365">
      <c r="A1365" s="6" t="n"/>
      <c r="B1365" s="6" t="n"/>
      <c r="C1365" s="6" t="n"/>
      <c r="D1365" s="11">
        <f>IF(C1365="","",IFERROR(INDEX(Levels!$A$2:$A$30,MATCH(C1365,Levels!$B$2:$B$30,0)),""))</f>
        <v/>
      </c>
      <c r="E1365" s="10">
        <f>IF(B1365="","",IFERROR(INDEX(Roster!$A$2:$A$600,MATCH(B1365,Roster!$E$2:$E$600,0)),""))</f>
        <v/>
      </c>
      <c r="F1365" s="10">
        <f>IF(C1365="","",IFERROR(INDEX(Levels!$C$2:$C$30,MATCH(C1365,Levels!$B$2:$B$30,0)),""))</f>
        <v/>
      </c>
      <c r="G1365" s="6" t="n"/>
      <c r="H1365" s="10">
        <f>IF(AND(B1365="",C1365=""),"",IF(G1365&lt;&gt;"","Void",IF(OR(B1365="",E1365=""),"Needs child",IF(D1365="","Needs level","OK"))))</f>
        <v/>
      </c>
    </row>
    <row r="1366">
      <c r="A1366" s="6" t="n"/>
      <c r="B1366" s="6" t="n"/>
      <c r="C1366" s="6" t="n"/>
      <c r="D1366" s="11">
        <f>IF(C1366="","",IFERROR(INDEX(Levels!$A$2:$A$30,MATCH(C1366,Levels!$B$2:$B$30,0)),""))</f>
        <v/>
      </c>
      <c r="E1366" s="10">
        <f>IF(B1366="","",IFERROR(INDEX(Roster!$A$2:$A$600,MATCH(B1366,Roster!$E$2:$E$600,0)),""))</f>
        <v/>
      </c>
      <c r="F1366" s="10">
        <f>IF(C1366="","",IFERROR(INDEX(Levels!$C$2:$C$30,MATCH(C1366,Levels!$B$2:$B$30,0)),""))</f>
        <v/>
      </c>
      <c r="G1366" s="6" t="n"/>
      <c r="H1366" s="10">
        <f>IF(AND(B1366="",C1366=""),"",IF(G1366&lt;&gt;"","Void",IF(OR(B1366="",E1366=""),"Needs child",IF(D1366="","Needs level","OK"))))</f>
        <v/>
      </c>
    </row>
    <row r="1367">
      <c r="A1367" s="6" t="n"/>
      <c r="B1367" s="6" t="n"/>
      <c r="C1367" s="6" t="n"/>
      <c r="D1367" s="11">
        <f>IF(C1367="","",IFERROR(INDEX(Levels!$A$2:$A$30,MATCH(C1367,Levels!$B$2:$B$30,0)),""))</f>
        <v/>
      </c>
      <c r="E1367" s="10">
        <f>IF(B1367="","",IFERROR(INDEX(Roster!$A$2:$A$600,MATCH(B1367,Roster!$E$2:$E$600,0)),""))</f>
        <v/>
      </c>
      <c r="F1367" s="10">
        <f>IF(C1367="","",IFERROR(INDEX(Levels!$C$2:$C$30,MATCH(C1367,Levels!$B$2:$B$30,0)),""))</f>
        <v/>
      </c>
      <c r="G1367" s="6" t="n"/>
      <c r="H1367" s="10">
        <f>IF(AND(B1367="",C1367=""),"",IF(G1367&lt;&gt;"","Void",IF(OR(B1367="",E1367=""),"Needs child",IF(D1367="","Needs level","OK"))))</f>
        <v/>
      </c>
    </row>
    <row r="1368">
      <c r="A1368" s="6" t="n"/>
      <c r="B1368" s="6" t="n"/>
      <c r="C1368" s="6" t="n"/>
      <c r="D1368" s="11">
        <f>IF(C1368="","",IFERROR(INDEX(Levels!$A$2:$A$30,MATCH(C1368,Levels!$B$2:$B$30,0)),""))</f>
        <v/>
      </c>
      <c r="E1368" s="10">
        <f>IF(B1368="","",IFERROR(INDEX(Roster!$A$2:$A$600,MATCH(B1368,Roster!$E$2:$E$600,0)),""))</f>
        <v/>
      </c>
      <c r="F1368" s="10">
        <f>IF(C1368="","",IFERROR(INDEX(Levels!$C$2:$C$30,MATCH(C1368,Levels!$B$2:$B$30,0)),""))</f>
        <v/>
      </c>
      <c r="G1368" s="6" t="n"/>
      <c r="H1368" s="10">
        <f>IF(AND(B1368="",C1368=""),"",IF(G1368&lt;&gt;"","Void",IF(OR(B1368="",E1368=""),"Needs child",IF(D1368="","Needs level","OK"))))</f>
        <v/>
      </c>
    </row>
    <row r="1369">
      <c r="A1369" s="6" t="n"/>
      <c r="B1369" s="6" t="n"/>
      <c r="C1369" s="6" t="n"/>
      <c r="D1369" s="11">
        <f>IF(C1369="","",IFERROR(INDEX(Levels!$A$2:$A$30,MATCH(C1369,Levels!$B$2:$B$30,0)),""))</f>
        <v/>
      </c>
      <c r="E1369" s="10">
        <f>IF(B1369="","",IFERROR(INDEX(Roster!$A$2:$A$600,MATCH(B1369,Roster!$E$2:$E$600,0)),""))</f>
        <v/>
      </c>
      <c r="F1369" s="10">
        <f>IF(C1369="","",IFERROR(INDEX(Levels!$C$2:$C$30,MATCH(C1369,Levels!$B$2:$B$30,0)),""))</f>
        <v/>
      </c>
      <c r="G1369" s="6" t="n"/>
      <c r="H1369" s="10">
        <f>IF(AND(B1369="",C1369=""),"",IF(G1369&lt;&gt;"","Void",IF(OR(B1369="",E1369=""),"Needs child",IF(D1369="","Needs level","OK"))))</f>
        <v/>
      </c>
    </row>
    <row r="1370">
      <c r="A1370" s="6" t="n"/>
      <c r="B1370" s="6" t="n"/>
      <c r="C1370" s="6" t="n"/>
      <c r="D1370" s="11">
        <f>IF(C1370="","",IFERROR(INDEX(Levels!$A$2:$A$30,MATCH(C1370,Levels!$B$2:$B$30,0)),""))</f>
        <v/>
      </c>
      <c r="E1370" s="10">
        <f>IF(B1370="","",IFERROR(INDEX(Roster!$A$2:$A$600,MATCH(B1370,Roster!$E$2:$E$600,0)),""))</f>
        <v/>
      </c>
      <c r="F1370" s="10">
        <f>IF(C1370="","",IFERROR(INDEX(Levels!$C$2:$C$30,MATCH(C1370,Levels!$B$2:$B$30,0)),""))</f>
        <v/>
      </c>
      <c r="G1370" s="6" t="n"/>
      <c r="H1370" s="10">
        <f>IF(AND(B1370="",C1370=""),"",IF(G1370&lt;&gt;"","Void",IF(OR(B1370="",E1370=""),"Needs child",IF(D1370="","Needs level","OK"))))</f>
        <v/>
      </c>
    </row>
    <row r="1371">
      <c r="A1371" s="6" t="n"/>
      <c r="B1371" s="6" t="n"/>
      <c r="C1371" s="6" t="n"/>
      <c r="D1371" s="11">
        <f>IF(C1371="","",IFERROR(INDEX(Levels!$A$2:$A$30,MATCH(C1371,Levels!$B$2:$B$30,0)),""))</f>
        <v/>
      </c>
      <c r="E1371" s="10">
        <f>IF(B1371="","",IFERROR(INDEX(Roster!$A$2:$A$600,MATCH(B1371,Roster!$E$2:$E$600,0)),""))</f>
        <v/>
      </c>
      <c r="F1371" s="10">
        <f>IF(C1371="","",IFERROR(INDEX(Levels!$C$2:$C$30,MATCH(C1371,Levels!$B$2:$B$30,0)),""))</f>
        <v/>
      </c>
      <c r="G1371" s="6" t="n"/>
      <c r="H1371" s="10">
        <f>IF(AND(B1371="",C1371=""),"",IF(G1371&lt;&gt;"","Void",IF(OR(B1371="",E1371=""),"Needs child",IF(D1371="","Needs level","OK"))))</f>
        <v/>
      </c>
    </row>
    <row r="1372">
      <c r="A1372" s="6" t="n"/>
      <c r="B1372" s="6" t="n"/>
      <c r="C1372" s="6" t="n"/>
      <c r="D1372" s="11">
        <f>IF(C1372="","",IFERROR(INDEX(Levels!$A$2:$A$30,MATCH(C1372,Levels!$B$2:$B$30,0)),""))</f>
        <v/>
      </c>
      <c r="E1372" s="10">
        <f>IF(B1372="","",IFERROR(INDEX(Roster!$A$2:$A$600,MATCH(B1372,Roster!$E$2:$E$600,0)),""))</f>
        <v/>
      </c>
      <c r="F1372" s="10">
        <f>IF(C1372="","",IFERROR(INDEX(Levels!$C$2:$C$30,MATCH(C1372,Levels!$B$2:$B$30,0)),""))</f>
        <v/>
      </c>
      <c r="G1372" s="6" t="n"/>
      <c r="H1372" s="10">
        <f>IF(AND(B1372="",C1372=""),"",IF(G1372&lt;&gt;"","Void",IF(OR(B1372="",E1372=""),"Needs child",IF(D1372="","Needs level","OK"))))</f>
        <v/>
      </c>
    </row>
    <row r="1373">
      <c r="A1373" s="6" t="n"/>
      <c r="B1373" s="6" t="n"/>
      <c r="C1373" s="6" t="n"/>
      <c r="D1373" s="11">
        <f>IF(C1373="","",IFERROR(INDEX(Levels!$A$2:$A$30,MATCH(C1373,Levels!$B$2:$B$30,0)),""))</f>
        <v/>
      </c>
      <c r="E1373" s="10">
        <f>IF(B1373="","",IFERROR(INDEX(Roster!$A$2:$A$600,MATCH(B1373,Roster!$E$2:$E$600,0)),""))</f>
        <v/>
      </c>
      <c r="F1373" s="10">
        <f>IF(C1373="","",IFERROR(INDEX(Levels!$C$2:$C$30,MATCH(C1373,Levels!$B$2:$B$30,0)),""))</f>
        <v/>
      </c>
      <c r="G1373" s="6" t="n"/>
      <c r="H1373" s="10">
        <f>IF(AND(B1373="",C1373=""),"",IF(G1373&lt;&gt;"","Void",IF(OR(B1373="",E1373=""),"Needs child",IF(D1373="","Needs level","OK"))))</f>
        <v/>
      </c>
    </row>
    <row r="1374">
      <c r="A1374" s="6" t="n"/>
      <c r="B1374" s="6" t="n"/>
      <c r="C1374" s="6" t="n"/>
      <c r="D1374" s="11">
        <f>IF(C1374="","",IFERROR(INDEX(Levels!$A$2:$A$30,MATCH(C1374,Levels!$B$2:$B$30,0)),""))</f>
        <v/>
      </c>
      <c r="E1374" s="10">
        <f>IF(B1374="","",IFERROR(INDEX(Roster!$A$2:$A$600,MATCH(B1374,Roster!$E$2:$E$600,0)),""))</f>
        <v/>
      </c>
      <c r="F1374" s="10">
        <f>IF(C1374="","",IFERROR(INDEX(Levels!$C$2:$C$30,MATCH(C1374,Levels!$B$2:$B$30,0)),""))</f>
        <v/>
      </c>
      <c r="G1374" s="6" t="n"/>
      <c r="H1374" s="10">
        <f>IF(AND(B1374="",C1374=""),"",IF(G1374&lt;&gt;"","Void",IF(OR(B1374="",E1374=""),"Needs child",IF(D1374="","Needs level","OK"))))</f>
        <v/>
      </c>
    </row>
    <row r="1375">
      <c r="A1375" s="6" t="n"/>
      <c r="B1375" s="6" t="n"/>
      <c r="C1375" s="6" t="n"/>
      <c r="D1375" s="11">
        <f>IF(C1375="","",IFERROR(INDEX(Levels!$A$2:$A$30,MATCH(C1375,Levels!$B$2:$B$30,0)),""))</f>
        <v/>
      </c>
      <c r="E1375" s="10">
        <f>IF(B1375="","",IFERROR(INDEX(Roster!$A$2:$A$600,MATCH(B1375,Roster!$E$2:$E$600,0)),""))</f>
        <v/>
      </c>
      <c r="F1375" s="10">
        <f>IF(C1375="","",IFERROR(INDEX(Levels!$C$2:$C$30,MATCH(C1375,Levels!$B$2:$B$30,0)),""))</f>
        <v/>
      </c>
      <c r="G1375" s="6" t="n"/>
      <c r="H1375" s="10">
        <f>IF(AND(B1375="",C1375=""),"",IF(G1375&lt;&gt;"","Void",IF(OR(B1375="",E1375=""),"Needs child",IF(D1375="","Needs level","OK"))))</f>
        <v/>
      </c>
    </row>
    <row r="1376">
      <c r="A1376" s="6" t="n"/>
      <c r="B1376" s="6" t="n"/>
      <c r="C1376" s="6" t="n"/>
      <c r="D1376" s="11">
        <f>IF(C1376="","",IFERROR(INDEX(Levels!$A$2:$A$30,MATCH(C1376,Levels!$B$2:$B$30,0)),""))</f>
        <v/>
      </c>
      <c r="E1376" s="10">
        <f>IF(B1376="","",IFERROR(INDEX(Roster!$A$2:$A$600,MATCH(B1376,Roster!$E$2:$E$600,0)),""))</f>
        <v/>
      </c>
      <c r="F1376" s="10">
        <f>IF(C1376="","",IFERROR(INDEX(Levels!$C$2:$C$30,MATCH(C1376,Levels!$B$2:$B$30,0)),""))</f>
        <v/>
      </c>
      <c r="G1376" s="6" t="n"/>
      <c r="H1376" s="10">
        <f>IF(AND(B1376="",C1376=""),"",IF(G1376&lt;&gt;"","Void",IF(OR(B1376="",E1376=""),"Needs child",IF(D1376="","Needs level","OK"))))</f>
        <v/>
      </c>
    </row>
    <row r="1377">
      <c r="A1377" s="6" t="n"/>
      <c r="B1377" s="6" t="n"/>
      <c r="C1377" s="6" t="n"/>
      <c r="D1377" s="11">
        <f>IF(C1377="","",IFERROR(INDEX(Levels!$A$2:$A$30,MATCH(C1377,Levels!$B$2:$B$30,0)),""))</f>
        <v/>
      </c>
      <c r="E1377" s="10">
        <f>IF(B1377="","",IFERROR(INDEX(Roster!$A$2:$A$600,MATCH(B1377,Roster!$E$2:$E$600,0)),""))</f>
        <v/>
      </c>
      <c r="F1377" s="10">
        <f>IF(C1377="","",IFERROR(INDEX(Levels!$C$2:$C$30,MATCH(C1377,Levels!$B$2:$B$30,0)),""))</f>
        <v/>
      </c>
      <c r="G1377" s="6" t="n"/>
      <c r="H1377" s="10">
        <f>IF(AND(B1377="",C1377=""),"",IF(G1377&lt;&gt;"","Void",IF(OR(B1377="",E1377=""),"Needs child",IF(D1377="","Needs level","OK"))))</f>
        <v/>
      </c>
    </row>
    <row r="1378">
      <c r="A1378" s="6" t="n"/>
      <c r="B1378" s="6" t="n"/>
      <c r="C1378" s="6" t="n"/>
      <c r="D1378" s="11">
        <f>IF(C1378="","",IFERROR(INDEX(Levels!$A$2:$A$30,MATCH(C1378,Levels!$B$2:$B$30,0)),""))</f>
        <v/>
      </c>
      <c r="E1378" s="10">
        <f>IF(B1378="","",IFERROR(INDEX(Roster!$A$2:$A$600,MATCH(B1378,Roster!$E$2:$E$600,0)),""))</f>
        <v/>
      </c>
      <c r="F1378" s="10">
        <f>IF(C1378="","",IFERROR(INDEX(Levels!$C$2:$C$30,MATCH(C1378,Levels!$B$2:$B$30,0)),""))</f>
        <v/>
      </c>
      <c r="G1378" s="6" t="n"/>
      <c r="H1378" s="10">
        <f>IF(AND(B1378="",C1378=""),"",IF(G1378&lt;&gt;"","Void",IF(OR(B1378="",E1378=""),"Needs child",IF(D1378="","Needs level","OK"))))</f>
        <v/>
      </c>
    </row>
    <row r="1379">
      <c r="A1379" s="6" t="n"/>
      <c r="B1379" s="6" t="n"/>
      <c r="C1379" s="6" t="n"/>
      <c r="D1379" s="11">
        <f>IF(C1379="","",IFERROR(INDEX(Levels!$A$2:$A$30,MATCH(C1379,Levels!$B$2:$B$30,0)),""))</f>
        <v/>
      </c>
      <c r="E1379" s="10">
        <f>IF(B1379="","",IFERROR(INDEX(Roster!$A$2:$A$600,MATCH(B1379,Roster!$E$2:$E$600,0)),""))</f>
        <v/>
      </c>
      <c r="F1379" s="10">
        <f>IF(C1379="","",IFERROR(INDEX(Levels!$C$2:$C$30,MATCH(C1379,Levels!$B$2:$B$30,0)),""))</f>
        <v/>
      </c>
      <c r="G1379" s="6" t="n"/>
      <c r="H1379" s="10">
        <f>IF(AND(B1379="",C1379=""),"",IF(G1379&lt;&gt;"","Void",IF(OR(B1379="",E1379=""),"Needs child",IF(D1379="","Needs level","OK"))))</f>
        <v/>
      </c>
    </row>
    <row r="1380">
      <c r="A1380" s="6" t="n"/>
      <c r="B1380" s="6" t="n"/>
      <c r="C1380" s="6" t="n"/>
      <c r="D1380" s="11">
        <f>IF(C1380="","",IFERROR(INDEX(Levels!$A$2:$A$30,MATCH(C1380,Levels!$B$2:$B$30,0)),""))</f>
        <v/>
      </c>
      <c r="E1380" s="10">
        <f>IF(B1380="","",IFERROR(INDEX(Roster!$A$2:$A$600,MATCH(B1380,Roster!$E$2:$E$600,0)),""))</f>
        <v/>
      </c>
      <c r="F1380" s="10">
        <f>IF(C1380="","",IFERROR(INDEX(Levels!$C$2:$C$30,MATCH(C1380,Levels!$B$2:$B$30,0)),""))</f>
        <v/>
      </c>
      <c r="G1380" s="6" t="n"/>
      <c r="H1380" s="10">
        <f>IF(AND(B1380="",C1380=""),"",IF(G1380&lt;&gt;"","Void",IF(OR(B1380="",E1380=""),"Needs child",IF(D1380="","Needs level","OK"))))</f>
        <v/>
      </c>
    </row>
    <row r="1381">
      <c r="A1381" s="6" t="n"/>
      <c r="B1381" s="6" t="n"/>
      <c r="C1381" s="6" t="n"/>
      <c r="D1381" s="11">
        <f>IF(C1381="","",IFERROR(INDEX(Levels!$A$2:$A$30,MATCH(C1381,Levels!$B$2:$B$30,0)),""))</f>
        <v/>
      </c>
      <c r="E1381" s="10">
        <f>IF(B1381="","",IFERROR(INDEX(Roster!$A$2:$A$600,MATCH(B1381,Roster!$E$2:$E$600,0)),""))</f>
        <v/>
      </c>
      <c r="F1381" s="10">
        <f>IF(C1381="","",IFERROR(INDEX(Levels!$C$2:$C$30,MATCH(C1381,Levels!$B$2:$B$30,0)),""))</f>
        <v/>
      </c>
      <c r="G1381" s="6" t="n"/>
      <c r="H1381" s="10">
        <f>IF(AND(B1381="",C1381=""),"",IF(G1381&lt;&gt;"","Void",IF(OR(B1381="",E1381=""),"Needs child",IF(D1381="","Needs level","OK"))))</f>
        <v/>
      </c>
    </row>
    <row r="1382">
      <c r="A1382" s="6" t="n"/>
      <c r="B1382" s="6" t="n"/>
      <c r="C1382" s="6" t="n"/>
      <c r="D1382" s="11">
        <f>IF(C1382="","",IFERROR(INDEX(Levels!$A$2:$A$30,MATCH(C1382,Levels!$B$2:$B$30,0)),""))</f>
        <v/>
      </c>
      <c r="E1382" s="10">
        <f>IF(B1382="","",IFERROR(INDEX(Roster!$A$2:$A$600,MATCH(B1382,Roster!$E$2:$E$600,0)),""))</f>
        <v/>
      </c>
      <c r="F1382" s="10">
        <f>IF(C1382="","",IFERROR(INDEX(Levels!$C$2:$C$30,MATCH(C1382,Levels!$B$2:$B$30,0)),""))</f>
        <v/>
      </c>
      <c r="G1382" s="6" t="n"/>
      <c r="H1382" s="10">
        <f>IF(AND(B1382="",C1382=""),"",IF(G1382&lt;&gt;"","Void",IF(OR(B1382="",E1382=""),"Needs child",IF(D1382="","Needs level","OK"))))</f>
        <v/>
      </c>
    </row>
    <row r="1383">
      <c r="A1383" s="6" t="n"/>
      <c r="B1383" s="6" t="n"/>
      <c r="C1383" s="6" t="n"/>
      <c r="D1383" s="11">
        <f>IF(C1383="","",IFERROR(INDEX(Levels!$A$2:$A$30,MATCH(C1383,Levels!$B$2:$B$30,0)),""))</f>
        <v/>
      </c>
      <c r="E1383" s="10">
        <f>IF(B1383="","",IFERROR(INDEX(Roster!$A$2:$A$600,MATCH(B1383,Roster!$E$2:$E$600,0)),""))</f>
        <v/>
      </c>
      <c r="F1383" s="10">
        <f>IF(C1383="","",IFERROR(INDEX(Levels!$C$2:$C$30,MATCH(C1383,Levels!$B$2:$B$30,0)),""))</f>
        <v/>
      </c>
      <c r="G1383" s="6" t="n"/>
      <c r="H1383" s="10">
        <f>IF(AND(B1383="",C1383=""),"",IF(G1383&lt;&gt;"","Void",IF(OR(B1383="",E1383=""),"Needs child",IF(D1383="","Needs level","OK"))))</f>
        <v/>
      </c>
    </row>
    <row r="1384">
      <c r="A1384" s="6" t="n"/>
      <c r="B1384" s="6" t="n"/>
      <c r="C1384" s="6" t="n"/>
      <c r="D1384" s="11">
        <f>IF(C1384="","",IFERROR(INDEX(Levels!$A$2:$A$30,MATCH(C1384,Levels!$B$2:$B$30,0)),""))</f>
        <v/>
      </c>
      <c r="E1384" s="10">
        <f>IF(B1384="","",IFERROR(INDEX(Roster!$A$2:$A$600,MATCH(B1384,Roster!$E$2:$E$600,0)),""))</f>
        <v/>
      </c>
      <c r="F1384" s="10">
        <f>IF(C1384="","",IFERROR(INDEX(Levels!$C$2:$C$30,MATCH(C1384,Levels!$B$2:$B$30,0)),""))</f>
        <v/>
      </c>
      <c r="G1384" s="6" t="n"/>
      <c r="H1384" s="10">
        <f>IF(AND(B1384="",C1384=""),"",IF(G1384&lt;&gt;"","Void",IF(OR(B1384="",E1384=""),"Needs child",IF(D1384="","Needs level","OK"))))</f>
        <v/>
      </c>
    </row>
    <row r="1385">
      <c r="A1385" s="6" t="n"/>
      <c r="B1385" s="6" t="n"/>
      <c r="C1385" s="6" t="n"/>
      <c r="D1385" s="11">
        <f>IF(C1385="","",IFERROR(INDEX(Levels!$A$2:$A$30,MATCH(C1385,Levels!$B$2:$B$30,0)),""))</f>
        <v/>
      </c>
      <c r="E1385" s="10">
        <f>IF(B1385="","",IFERROR(INDEX(Roster!$A$2:$A$600,MATCH(B1385,Roster!$E$2:$E$600,0)),""))</f>
        <v/>
      </c>
      <c r="F1385" s="10">
        <f>IF(C1385="","",IFERROR(INDEX(Levels!$C$2:$C$30,MATCH(C1385,Levels!$B$2:$B$30,0)),""))</f>
        <v/>
      </c>
      <c r="G1385" s="6" t="n"/>
      <c r="H1385" s="10">
        <f>IF(AND(B1385="",C1385=""),"",IF(G1385&lt;&gt;"","Void",IF(OR(B1385="",E1385=""),"Needs child",IF(D1385="","Needs level","OK"))))</f>
        <v/>
      </c>
    </row>
    <row r="1386">
      <c r="A1386" s="6" t="n"/>
      <c r="B1386" s="6" t="n"/>
      <c r="C1386" s="6" t="n"/>
      <c r="D1386" s="11">
        <f>IF(C1386="","",IFERROR(INDEX(Levels!$A$2:$A$30,MATCH(C1386,Levels!$B$2:$B$30,0)),""))</f>
        <v/>
      </c>
      <c r="E1386" s="10">
        <f>IF(B1386="","",IFERROR(INDEX(Roster!$A$2:$A$600,MATCH(B1386,Roster!$E$2:$E$600,0)),""))</f>
        <v/>
      </c>
      <c r="F1386" s="10">
        <f>IF(C1386="","",IFERROR(INDEX(Levels!$C$2:$C$30,MATCH(C1386,Levels!$B$2:$B$30,0)),""))</f>
        <v/>
      </c>
      <c r="G1386" s="6" t="n"/>
      <c r="H1386" s="10">
        <f>IF(AND(B1386="",C1386=""),"",IF(G1386&lt;&gt;"","Void",IF(OR(B1386="",E1386=""),"Needs child",IF(D1386="","Needs level","OK"))))</f>
        <v/>
      </c>
    </row>
    <row r="1387">
      <c r="A1387" s="6" t="n"/>
      <c r="B1387" s="6" t="n"/>
      <c r="C1387" s="6" t="n"/>
      <c r="D1387" s="11">
        <f>IF(C1387="","",IFERROR(INDEX(Levels!$A$2:$A$30,MATCH(C1387,Levels!$B$2:$B$30,0)),""))</f>
        <v/>
      </c>
      <c r="E1387" s="10">
        <f>IF(B1387="","",IFERROR(INDEX(Roster!$A$2:$A$600,MATCH(B1387,Roster!$E$2:$E$600,0)),""))</f>
        <v/>
      </c>
      <c r="F1387" s="10">
        <f>IF(C1387="","",IFERROR(INDEX(Levels!$C$2:$C$30,MATCH(C1387,Levels!$B$2:$B$30,0)),""))</f>
        <v/>
      </c>
      <c r="G1387" s="6" t="n"/>
      <c r="H1387" s="10">
        <f>IF(AND(B1387="",C1387=""),"",IF(G1387&lt;&gt;"","Void",IF(OR(B1387="",E1387=""),"Needs child",IF(D1387="","Needs level","OK"))))</f>
        <v/>
      </c>
    </row>
    <row r="1388">
      <c r="A1388" s="6" t="n"/>
      <c r="B1388" s="6" t="n"/>
      <c r="C1388" s="6" t="n"/>
      <c r="D1388" s="11">
        <f>IF(C1388="","",IFERROR(INDEX(Levels!$A$2:$A$30,MATCH(C1388,Levels!$B$2:$B$30,0)),""))</f>
        <v/>
      </c>
      <c r="E1388" s="10">
        <f>IF(B1388="","",IFERROR(INDEX(Roster!$A$2:$A$600,MATCH(B1388,Roster!$E$2:$E$600,0)),""))</f>
        <v/>
      </c>
      <c r="F1388" s="10">
        <f>IF(C1388="","",IFERROR(INDEX(Levels!$C$2:$C$30,MATCH(C1388,Levels!$B$2:$B$30,0)),""))</f>
        <v/>
      </c>
      <c r="G1388" s="6" t="n"/>
      <c r="H1388" s="10">
        <f>IF(AND(B1388="",C1388=""),"",IF(G1388&lt;&gt;"","Void",IF(OR(B1388="",E1388=""),"Needs child",IF(D1388="","Needs level","OK"))))</f>
        <v/>
      </c>
    </row>
    <row r="1389">
      <c r="A1389" s="6" t="n"/>
      <c r="B1389" s="6" t="n"/>
      <c r="C1389" s="6" t="n"/>
      <c r="D1389" s="11">
        <f>IF(C1389="","",IFERROR(INDEX(Levels!$A$2:$A$30,MATCH(C1389,Levels!$B$2:$B$30,0)),""))</f>
        <v/>
      </c>
      <c r="E1389" s="10">
        <f>IF(B1389="","",IFERROR(INDEX(Roster!$A$2:$A$600,MATCH(B1389,Roster!$E$2:$E$600,0)),""))</f>
        <v/>
      </c>
      <c r="F1389" s="10">
        <f>IF(C1389="","",IFERROR(INDEX(Levels!$C$2:$C$30,MATCH(C1389,Levels!$B$2:$B$30,0)),""))</f>
        <v/>
      </c>
      <c r="G1389" s="6" t="n"/>
      <c r="H1389" s="10">
        <f>IF(AND(B1389="",C1389=""),"",IF(G1389&lt;&gt;"","Void",IF(OR(B1389="",E1389=""),"Needs child",IF(D1389="","Needs level","OK"))))</f>
        <v/>
      </c>
    </row>
    <row r="1390">
      <c r="A1390" s="6" t="n"/>
      <c r="B1390" s="6" t="n"/>
      <c r="C1390" s="6" t="n"/>
      <c r="D1390" s="11">
        <f>IF(C1390="","",IFERROR(INDEX(Levels!$A$2:$A$30,MATCH(C1390,Levels!$B$2:$B$30,0)),""))</f>
        <v/>
      </c>
      <c r="E1390" s="10">
        <f>IF(B1390="","",IFERROR(INDEX(Roster!$A$2:$A$600,MATCH(B1390,Roster!$E$2:$E$600,0)),""))</f>
        <v/>
      </c>
      <c r="F1390" s="10">
        <f>IF(C1390="","",IFERROR(INDEX(Levels!$C$2:$C$30,MATCH(C1390,Levels!$B$2:$B$30,0)),""))</f>
        <v/>
      </c>
      <c r="G1390" s="6" t="n"/>
      <c r="H1390" s="10">
        <f>IF(AND(B1390="",C1390=""),"",IF(G1390&lt;&gt;"","Void",IF(OR(B1390="",E1390=""),"Needs child",IF(D1390="","Needs level","OK"))))</f>
        <v/>
      </c>
    </row>
    <row r="1391">
      <c r="A1391" s="6" t="n"/>
      <c r="B1391" s="6" t="n"/>
      <c r="C1391" s="6" t="n"/>
      <c r="D1391" s="11">
        <f>IF(C1391="","",IFERROR(INDEX(Levels!$A$2:$A$30,MATCH(C1391,Levels!$B$2:$B$30,0)),""))</f>
        <v/>
      </c>
      <c r="E1391" s="10">
        <f>IF(B1391="","",IFERROR(INDEX(Roster!$A$2:$A$600,MATCH(B1391,Roster!$E$2:$E$600,0)),""))</f>
        <v/>
      </c>
      <c r="F1391" s="10">
        <f>IF(C1391="","",IFERROR(INDEX(Levels!$C$2:$C$30,MATCH(C1391,Levels!$B$2:$B$30,0)),""))</f>
        <v/>
      </c>
      <c r="G1391" s="6" t="n"/>
      <c r="H1391" s="10">
        <f>IF(AND(B1391="",C1391=""),"",IF(G1391&lt;&gt;"","Void",IF(OR(B1391="",E1391=""),"Needs child",IF(D1391="","Needs level","OK"))))</f>
        <v/>
      </c>
    </row>
    <row r="1392">
      <c r="A1392" s="6" t="n"/>
      <c r="B1392" s="6" t="n"/>
      <c r="C1392" s="6" t="n"/>
      <c r="D1392" s="11">
        <f>IF(C1392="","",IFERROR(INDEX(Levels!$A$2:$A$30,MATCH(C1392,Levels!$B$2:$B$30,0)),""))</f>
        <v/>
      </c>
      <c r="E1392" s="10">
        <f>IF(B1392="","",IFERROR(INDEX(Roster!$A$2:$A$600,MATCH(B1392,Roster!$E$2:$E$600,0)),""))</f>
        <v/>
      </c>
      <c r="F1392" s="10">
        <f>IF(C1392="","",IFERROR(INDEX(Levels!$C$2:$C$30,MATCH(C1392,Levels!$B$2:$B$30,0)),""))</f>
        <v/>
      </c>
      <c r="G1392" s="6" t="n"/>
      <c r="H1392" s="10">
        <f>IF(AND(B1392="",C1392=""),"",IF(G1392&lt;&gt;"","Void",IF(OR(B1392="",E1392=""),"Needs child",IF(D1392="","Needs level","OK"))))</f>
        <v/>
      </c>
    </row>
    <row r="1393">
      <c r="A1393" s="6" t="n"/>
      <c r="B1393" s="6" t="n"/>
      <c r="C1393" s="6" t="n"/>
      <c r="D1393" s="11">
        <f>IF(C1393="","",IFERROR(INDEX(Levels!$A$2:$A$30,MATCH(C1393,Levels!$B$2:$B$30,0)),""))</f>
        <v/>
      </c>
      <c r="E1393" s="10">
        <f>IF(B1393="","",IFERROR(INDEX(Roster!$A$2:$A$600,MATCH(B1393,Roster!$E$2:$E$600,0)),""))</f>
        <v/>
      </c>
      <c r="F1393" s="10">
        <f>IF(C1393="","",IFERROR(INDEX(Levels!$C$2:$C$30,MATCH(C1393,Levels!$B$2:$B$30,0)),""))</f>
        <v/>
      </c>
      <c r="G1393" s="6" t="n"/>
      <c r="H1393" s="10">
        <f>IF(AND(B1393="",C1393=""),"",IF(G1393&lt;&gt;"","Void",IF(OR(B1393="",E1393=""),"Needs child",IF(D1393="","Needs level","OK"))))</f>
        <v/>
      </c>
    </row>
    <row r="1394">
      <c r="A1394" s="6" t="n"/>
      <c r="B1394" s="6" t="n"/>
      <c r="C1394" s="6" t="n"/>
      <c r="D1394" s="11">
        <f>IF(C1394="","",IFERROR(INDEX(Levels!$A$2:$A$30,MATCH(C1394,Levels!$B$2:$B$30,0)),""))</f>
        <v/>
      </c>
      <c r="E1394" s="10">
        <f>IF(B1394="","",IFERROR(INDEX(Roster!$A$2:$A$600,MATCH(B1394,Roster!$E$2:$E$600,0)),""))</f>
        <v/>
      </c>
      <c r="F1394" s="10">
        <f>IF(C1394="","",IFERROR(INDEX(Levels!$C$2:$C$30,MATCH(C1394,Levels!$B$2:$B$30,0)),""))</f>
        <v/>
      </c>
      <c r="G1394" s="6" t="n"/>
      <c r="H1394" s="10">
        <f>IF(AND(B1394="",C1394=""),"",IF(G1394&lt;&gt;"","Void",IF(OR(B1394="",E1394=""),"Needs child",IF(D1394="","Needs level","OK"))))</f>
        <v/>
      </c>
    </row>
    <row r="1395">
      <c r="A1395" s="6" t="n"/>
      <c r="B1395" s="6" t="n"/>
      <c r="C1395" s="6" t="n"/>
      <c r="D1395" s="11">
        <f>IF(C1395="","",IFERROR(INDEX(Levels!$A$2:$A$30,MATCH(C1395,Levels!$B$2:$B$30,0)),""))</f>
        <v/>
      </c>
      <c r="E1395" s="10">
        <f>IF(B1395="","",IFERROR(INDEX(Roster!$A$2:$A$600,MATCH(B1395,Roster!$E$2:$E$600,0)),""))</f>
        <v/>
      </c>
      <c r="F1395" s="10">
        <f>IF(C1395="","",IFERROR(INDEX(Levels!$C$2:$C$30,MATCH(C1395,Levels!$B$2:$B$30,0)),""))</f>
        <v/>
      </c>
      <c r="G1395" s="6" t="n"/>
      <c r="H1395" s="10">
        <f>IF(AND(B1395="",C1395=""),"",IF(G1395&lt;&gt;"","Void",IF(OR(B1395="",E1395=""),"Needs child",IF(D1395="","Needs level","OK"))))</f>
        <v/>
      </c>
    </row>
    <row r="1396">
      <c r="A1396" s="6" t="n"/>
      <c r="B1396" s="6" t="n"/>
      <c r="C1396" s="6" t="n"/>
      <c r="D1396" s="11">
        <f>IF(C1396="","",IFERROR(INDEX(Levels!$A$2:$A$30,MATCH(C1396,Levels!$B$2:$B$30,0)),""))</f>
        <v/>
      </c>
      <c r="E1396" s="10">
        <f>IF(B1396="","",IFERROR(INDEX(Roster!$A$2:$A$600,MATCH(B1396,Roster!$E$2:$E$600,0)),""))</f>
        <v/>
      </c>
      <c r="F1396" s="10">
        <f>IF(C1396="","",IFERROR(INDEX(Levels!$C$2:$C$30,MATCH(C1396,Levels!$B$2:$B$30,0)),""))</f>
        <v/>
      </c>
      <c r="G1396" s="6" t="n"/>
      <c r="H1396" s="10">
        <f>IF(AND(B1396="",C1396=""),"",IF(G1396&lt;&gt;"","Void",IF(OR(B1396="",E1396=""),"Needs child",IF(D1396="","Needs level","OK"))))</f>
        <v/>
      </c>
    </row>
    <row r="1397">
      <c r="A1397" s="6" t="n"/>
      <c r="B1397" s="6" t="n"/>
      <c r="C1397" s="6" t="n"/>
      <c r="D1397" s="11">
        <f>IF(C1397="","",IFERROR(INDEX(Levels!$A$2:$A$30,MATCH(C1397,Levels!$B$2:$B$30,0)),""))</f>
        <v/>
      </c>
      <c r="E1397" s="10">
        <f>IF(B1397="","",IFERROR(INDEX(Roster!$A$2:$A$600,MATCH(B1397,Roster!$E$2:$E$600,0)),""))</f>
        <v/>
      </c>
      <c r="F1397" s="10">
        <f>IF(C1397="","",IFERROR(INDEX(Levels!$C$2:$C$30,MATCH(C1397,Levels!$B$2:$B$30,0)),""))</f>
        <v/>
      </c>
      <c r="G1397" s="6" t="n"/>
      <c r="H1397" s="10">
        <f>IF(AND(B1397="",C1397=""),"",IF(G1397&lt;&gt;"","Void",IF(OR(B1397="",E1397=""),"Needs child",IF(D1397="","Needs level","OK"))))</f>
        <v/>
      </c>
    </row>
    <row r="1398">
      <c r="A1398" s="6" t="n"/>
      <c r="B1398" s="6" t="n"/>
      <c r="C1398" s="6" t="n"/>
      <c r="D1398" s="11">
        <f>IF(C1398="","",IFERROR(INDEX(Levels!$A$2:$A$30,MATCH(C1398,Levels!$B$2:$B$30,0)),""))</f>
        <v/>
      </c>
      <c r="E1398" s="10">
        <f>IF(B1398="","",IFERROR(INDEX(Roster!$A$2:$A$600,MATCH(B1398,Roster!$E$2:$E$600,0)),""))</f>
        <v/>
      </c>
      <c r="F1398" s="10">
        <f>IF(C1398="","",IFERROR(INDEX(Levels!$C$2:$C$30,MATCH(C1398,Levels!$B$2:$B$30,0)),""))</f>
        <v/>
      </c>
      <c r="G1398" s="6" t="n"/>
      <c r="H1398" s="10">
        <f>IF(AND(B1398="",C1398=""),"",IF(G1398&lt;&gt;"","Void",IF(OR(B1398="",E1398=""),"Needs child",IF(D1398="","Needs level","OK"))))</f>
        <v/>
      </c>
    </row>
    <row r="1399">
      <c r="A1399" s="6" t="n"/>
      <c r="B1399" s="6" t="n"/>
      <c r="C1399" s="6" t="n"/>
      <c r="D1399" s="11">
        <f>IF(C1399="","",IFERROR(INDEX(Levels!$A$2:$A$30,MATCH(C1399,Levels!$B$2:$B$30,0)),""))</f>
        <v/>
      </c>
      <c r="E1399" s="10">
        <f>IF(B1399="","",IFERROR(INDEX(Roster!$A$2:$A$600,MATCH(B1399,Roster!$E$2:$E$600,0)),""))</f>
        <v/>
      </c>
      <c r="F1399" s="10">
        <f>IF(C1399="","",IFERROR(INDEX(Levels!$C$2:$C$30,MATCH(C1399,Levels!$B$2:$B$30,0)),""))</f>
        <v/>
      </c>
      <c r="G1399" s="6" t="n"/>
      <c r="H1399" s="10">
        <f>IF(AND(B1399="",C1399=""),"",IF(G1399&lt;&gt;"","Void",IF(OR(B1399="",E1399=""),"Needs child",IF(D1399="","Needs level","OK"))))</f>
        <v/>
      </c>
    </row>
    <row r="1400">
      <c r="A1400" s="6" t="n"/>
      <c r="B1400" s="6" t="n"/>
      <c r="C1400" s="6" t="n"/>
      <c r="D1400" s="11">
        <f>IF(C1400="","",IFERROR(INDEX(Levels!$A$2:$A$30,MATCH(C1400,Levels!$B$2:$B$30,0)),""))</f>
        <v/>
      </c>
      <c r="E1400" s="10">
        <f>IF(B1400="","",IFERROR(INDEX(Roster!$A$2:$A$600,MATCH(B1400,Roster!$E$2:$E$600,0)),""))</f>
        <v/>
      </c>
      <c r="F1400" s="10">
        <f>IF(C1400="","",IFERROR(INDEX(Levels!$C$2:$C$30,MATCH(C1400,Levels!$B$2:$B$30,0)),""))</f>
        <v/>
      </c>
      <c r="G1400" s="6" t="n"/>
      <c r="H1400" s="10">
        <f>IF(AND(B1400="",C1400=""),"",IF(G1400&lt;&gt;"","Void",IF(OR(B1400="",E1400=""),"Needs child",IF(D1400="","Needs level","OK"))))</f>
        <v/>
      </c>
    </row>
    <row r="1401">
      <c r="A1401" s="6" t="n"/>
      <c r="B1401" s="6" t="n"/>
      <c r="C1401" s="6" t="n"/>
      <c r="D1401" s="11">
        <f>IF(C1401="","",IFERROR(INDEX(Levels!$A$2:$A$30,MATCH(C1401,Levels!$B$2:$B$30,0)),""))</f>
        <v/>
      </c>
      <c r="E1401" s="10">
        <f>IF(B1401="","",IFERROR(INDEX(Roster!$A$2:$A$600,MATCH(B1401,Roster!$E$2:$E$600,0)),""))</f>
        <v/>
      </c>
      <c r="F1401" s="10">
        <f>IF(C1401="","",IFERROR(INDEX(Levels!$C$2:$C$30,MATCH(C1401,Levels!$B$2:$B$30,0)),""))</f>
        <v/>
      </c>
      <c r="G1401" s="6" t="n"/>
      <c r="H1401" s="10">
        <f>IF(AND(B1401="",C1401=""),"",IF(G1401&lt;&gt;"","Void",IF(OR(B1401="",E1401=""),"Needs child",IF(D1401="","Needs level","OK"))))</f>
        <v/>
      </c>
    </row>
    <row r="1402">
      <c r="A1402" s="6" t="n"/>
      <c r="B1402" s="6" t="n"/>
      <c r="C1402" s="6" t="n"/>
      <c r="D1402" s="11">
        <f>IF(C1402="","",IFERROR(INDEX(Levels!$A$2:$A$30,MATCH(C1402,Levels!$B$2:$B$30,0)),""))</f>
        <v/>
      </c>
      <c r="E1402" s="10">
        <f>IF(B1402="","",IFERROR(INDEX(Roster!$A$2:$A$600,MATCH(B1402,Roster!$E$2:$E$600,0)),""))</f>
        <v/>
      </c>
      <c r="F1402" s="10">
        <f>IF(C1402="","",IFERROR(INDEX(Levels!$C$2:$C$30,MATCH(C1402,Levels!$B$2:$B$30,0)),""))</f>
        <v/>
      </c>
      <c r="G1402" s="6" t="n"/>
      <c r="H1402" s="10">
        <f>IF(AND(B1402="",C1402=""),"",IF(G1402&lt;&gt;"","Void",IF(OR(B1402="",E1402=""),"Needs child",IF(D1402="","Needs level","OK"))))</f>
        <v/>
      </c>
    </row>
    <row r="1403">
      <c r="A1403" s="6" t="n"/>
      <c r="B1403" s="6" t="n"/>
      <c r="C1403" s="6" t="n"/>
      <c r="D1403" s="11">
        <f>IF(C1403="","",IFERROR(INDEX(Levels!$A$2:$A$30,MATCH(C1403,Levels!$B$2:$B$30,0)),""))</f>
        <v/>
      </c>
      <c r="E1403" s="10">
        <f>IF(B1403="","",IFERROR(INDEX(Roster!$A$2:$A$600,MATCH(B1403,Roster!$E$2:$E$600,0)),""))</f>
        <v/>
      </c>
      <c r="F1403" s="10">
        <f>IF(C1403="","",IFERROR(INDEX(Levels!$C$2:$C$30,MATCH(C1403,Levels!$B$2:$B$30,0)),""))</f>
        <v/>
      </c>
      <c r="G1403" s="6" t="n"/>
      <c r="H1403" s="10">
        <f>IF(AND(B1403="",C1403=""),"",IF(G1403&lt;&gt;"","Void",IF(OR(B1403="",E1403=""),"Needs child",IF(D1403="","Needs level","OK"))))</f>
        <v/>
      </c>
    </row>
    <row r="1404">
      <c r="A1404" s="6" t="n"/>
      <c r="B1404" s="6" t="n"/>
      <c r="C1404" s="6" t="n"/>
      <c r="D1404" s="11">
        <f>IF(C1404="","",IFERROR(INDEX(Levels!$A$2:$A$30,MATCH(C1404,Levels!$B$2:$B$30,0)),""))</f>
        <v/>
      </c>
      <c r="E1404" s="10">
        <f>IF(B1404="","",IFERROR(INDEX(Roster!$A$2:$A$600,MATCH(B1404,Roster!$E$2:$E$600,0)),""))</f>
        <v/>
      </c>
      <c r="F1404" s="10">
        <f>IF(C1404="","",IFERROR(INDEX(Levels!$C$2:$C$30,MATCH(C1404,Levels!$B$2:$B$30,0)),""))</f>
        <v/>
      </c>
      <c r="G1404" s="6" t="n"/>
      <c r="H1404" s="10">
        <f>IF(AND(B1404="",C1404=""),"",IF(G1404&lt;&gt;"","Void",IF(OR(B1404="",E1404=""),"Needs child",IF(D1404="","Needs level","OK"))))</f>
        <v/>
      </c>
    </row>
    <row r="1405">
      <c r="A1405" s="6" t="n"/>
      <c r="B1405" s="6" t="n"/>
      <c r="C1405" s="6" t="n"/>
      <c r="D1405" s="11">
        <f>IF(C1405="","",IFERROR(INDEX(Levels!$A$2:$A$30,MATCH(C1405,Levels!$B$2:$B$30,0)),""))</f>
        <v/>
      </c>
      <c r="E1405" s="10">
        <f>IF(B1405="","",IFERROR(INDEX(Roster!$A$2:$A$600,MATCH(B1405,Roster!$E$2:$E$600,0)),""))</f>
        <v/>
      </c>
      <c r="F1405" s="10">
        <f>IF(C1405="","",IFERROR(INDEX(Levels!$C$2:$C$30,MATCH(C1405,Levels!$B$2:$B$30,0)),""))</f>
        <v/>
      </c>
      <c r="G1405" s="6" t="n"/>
      <c r="H1405" s="10">
        <f>IF(AND(B1405="",C1405=""),"",IF(G1405&lt;&gt;"","Void",IF(OR(B1405="",E1405=""),"Needs child",IF(D1405="","Needs level","OK"))))</f>
        <v/>
      </c>
    </row>
    <row r="1406">
      <c r="A1406" s="6" t="n"/>
      <c r="B1406" s="6" t="n"/>
      <c r="C1406" s="6" t="n"/>
      <c r="D1406" s="11">
        <f>IF(C1406="","",IFERROR(INDEX(Levels!$A$2:$A$30,MATCH(C1406,Levels!$B$2:$B$30,0)),""))</f>
        <v/>
      </c>
      <c r="E1406" s="10">
        <f>IF(B1406="","",IFERROR(INDEX(Roster!$A$2:$A$600,MATCH(B1406,Roster!$E$2:$E$600,0)),""))</f>
        <v/>
      </c>
      <c r="F1406" s="10">
        <f>IF(C1406="","",IFERROR(INDEX(Levels!$C$2:$C$30,MATCH(C1406,Levels!$B$2:$B$30,0)),""))</f>
        <v/>
      </c>
      <c r="G1406" s="6" t="n"/>
      <c r="H1406" s="10">
        <f>IF(AND(B1406="",C1406=""),"",IF(G1406&lt;&gt;"","Void",IF(OR(B1406="",E1406=""),"Needs child",IF(D1406="","Needs level","OK"))))</f>
        <v/>
      </c>
    </row>
    <row r="1407">
      <c r="A1407" s="6" t="n"/>
      <c r="B1407" s="6" t="n"/>
      <c r="C1407" s="6" t="n"/>
      <c r="D1407" s="11">
        <f>IF(C1407="","",IFERROR(INDEX(Levels!$A$2:$A$30,MATCH(C1407,Levels!$B$2:$B$30,0)),""))</f>
        <v/>
      </c>
      <c r="E1407" s="10">
        <f>IF(B1407="","",IFERROR(INDEX(Roster!$A$2:$A$600,MATCH(B1407,Roster!$E$2:$E$600,0)),""))</f>
        <v/>
      </c>
      <c r="F1407" s="10">
        <f>IF(C1407="","",IFERROR(INDEX(Levels!$C$2:$C$30,MATCH(C1407,Levels!$B$2:$B$30,0)),""))</f>
        <v/>
      </c>
      <c r="G1407" s="6" t="n"/>
      <c r="H1407" s="10">
        <f>IF(AND(B1407="",C1407=""),"",IF(G1407&lt;&gt;"","Void",IF(OR(B1407="",E1407=""),"Needs child",IF(D1407="","Needs level","OK"))))</f>
        <v/>
      </c>
    </row>
    <row r="1408">
      <c r="A1408" s="6" t="n"/>
      <c r="B1408" s="6" t="n"/>
      <c r="C1408" s="6" t="n"/>
      <c r="D1408" s="11">
        <f>IF(C1408="","",IFERROR(INDEX(Levels!$A$2:$A$30,MATCH(C1408,Levels!$B$2:$B$30,0)),""))</f>
        <v/>
      </c>
      <c r="E1408" s="10">
        <f>IF(B1408="","",IFERROR(INDEX(Roster!$A$2:$A$600,MATCH(B1408,Roster!$E$2:$E$600,0)),""))</f>
        <v/>
      </c>
      <c r="F1408" s="10">
        <f>IF(C1408="","",IFERROR(INDEX(Levels!$C$2:$C$30,MATCH(C1408,Levels!$B$2:$B$30,0)),""))</f>
        <v/>
      </c>
      <c r="G1408" s="6" t="n"/>
      <c r="H1408" s="10">
        <f>IF(AND(B1408="",C1408=""),"",IF(G1408&lt;&gt;"","Void",IF(OR(B1408="",E1408=""),"Needs child",IF(D1408="","Needs level","OK"))))</f>
        <v/>
      </c>
    </row>
    <row r="1409">
      <c r="A1409" s="6" t="n"/>
      <c r="B1409" s="6" t="n"/>
      <c r="C1409" s="6" t="n"/>
      <c r="D1409" s="11">
        <f>IF(C1409="","",IFERROR(INDEX(Levels!$A$2:$A$30,MATCH(C1409,Levels!$B$2:$B$30,0)),""))</f>
        <v/>
      </c>
      <c r="E1409" s="10">
        <f>IF(B1409="","",IFERROR(INDEX(Roster!$A$2:$A$600,MATCH(B1409,Roster!$E$2:$E$600,0)),""))</f>
        <v/>
      </c>
      <c r="F1409" s="10">
        <f>IF(C1409="","",IFERROR(INDEX(Levels!$C$2:$C$30,MATCH(C1409,Levels!$B$2:$B$30,0)),""))</f>
        <v/>
      </c>
      <c r="G1409" s="6" t="n"/>
      <c r="H1409" s="10">
        <f>IF(AND(B1409="",C1409=""),"",IF(G1409&lt;&gt;"","Void",IF(OR(B1409="",E1409=""),"Needs child",IF(D1409="","Needs level","OK"))))</f>
        <v/>
      </c>
    </row>
    <row r="1410">
      <c r="A1410" s="6" t="n"/>
      <c r="B1410" s="6" t="n"/>
      <c r="C1410" s="6" t="n"/>
      <c r="D1410" s="11">
        <f>IF(C1410="","",IFERROR(INDEX(Levels!$A$2:$A$30,MATCH(C1410,Levels!$B$2:$B$30,0)),""))</f>
        <v/>
      </c>
      <c r="E1410" s="10">
        <f>IF(B1410="","",IFERROR(INDEX(Roster!$A$2:$A$600,MATCH(B1410,Roster!$E$2:$E$600,0)),""))</f>
        <v/>
      </c>
      <c r="F1410" s="10">
        <f>IF(C1410="","",IFERROR(INDEX(Levels!$C$2:$C$30,MATCH(C1410,Levels!$B$2:$B$30,0)),""))</f>
        <v/>
      </c>
      <c r="G1410" s="6" t="n"/>
      <c r="H1410" s="10">
        <f>IF(AND(B1410="",C1410=""),"",IF(G1410&lt;&gt;"","Void",IF(OR(B1410="",E1410=""),"Needs child",IF(D1410="","Needs level","OK"))))</f>
        <v/>
      </c>
    </row>
    <row r="1411">
      <c r="A1411" s="6" t="n"/>
      <c r="B1411" s="6" t="n"/>
      <c r="C1411" s="6" t="n"/>
      <c r="D1411" s="11">
        <f>IF(C1411="","",IFERROR(INDEX(Levels!$A$2:$A$30,MATCH(C1411,Levels!$B$2:$B$30,0)),""))</f>
        <v/>
      </c>
      <c r="E1411" s="10">
        <f>IF(B1411="","",IFERROR(INDEX(Roster!$A$2:$A$600,MATCH(B1411,Roster!$E$2:$E$600,0)),""))</f>
        <v/>
      </c>
      <c r="F1411" s="10">
        <f>IF(C1411="","",IFERROR(INDEX(Levels!$C$2:$C$30,MATCH(C1411,Levels!$B$2:$B$30,0)),""))</f>
        <v/>
      </c>
      <c r="G1411" s="6" t="n"/>
      <c r="H1411" s="10">
        <f>IF(AND(B1411="",C1411=""),"",IF(G1411&lt;&gt;"","Void",IF(OR(B1411="",E1411=""),"Needs child",IF(D1411="","Needs level","OK"))))</f>
        <v/>
      </c>
    </row>
    <row r="1412">
      <c r="A1412" s="6" t="n"/>
      <c r="B1412" s="6" t="n"/>
      <c r="C1412" s="6" t="n"/>
      <c r="D1412" s="11">
        <f>IF(C1412="","",IFERROR(INDEX(Levels!$A$2:$A$30,MATCH(C1412,Levels!$B$2:$B$30,0)),""))</f>
        <v/>
      </c>
      <c r="E1412" s="10">
        <f>IF(B1412="","",IFERROR(INDEX(Roster!$A$2:$A$600,MATCH(B1412,Roster!$E$2:$E$600,0)),""))</f>
        <v/>
      </c>
      <c r="F1412" s="10">
        <f>IF(C1412="","",IFERROR(INDEX(Levels!$C$2:$C$30,MATCH(C1412,Levels!$B$2:$B$30,0)),""))</f>
        <v/>
      </c>
      <c r="G1412" s="6" t="n"/>
      <c r="H1412" s="10">
        <f>IF(AND(B1412="",C1412=""),"",IF(G1412&lt;&gt;"","Void",IF(OR(B1412="",E1412=""),"Needs child",IF(D1412="","Needs level","OK"))))</f>
        <v/>
      </c>
    </row>
    <row r="1413">
      <c r="A1413" s="6" t="n"/>
      <c r="B1413" s="6" t="n"/>
      <c r="C1413" s="6" t="n"/>
      <c r="D1413" s="11">
        <f>IF(C1413="","",IFERROR(INDEX(Levels!$A$2:$A$30,MATCH(C1413,Levels!$B$2:$B$30,0)),""))</f>
        <v/>
      </c>
      <c r="E1413" s="10">
        <f>IF(B1413="","",IFERROR(INDEX(Roster!$A$2:$A$600,MATCH(B1413,Roster!$E$2:$E$600,0)),""))</f>
        <v/>
      </c>
      <c r="F1413" s="10">
        <f>IF(C1413="","",IFERROR(INDEX(Levels!$C$2:$C$30,MATCH(C1413,Levels!$B$2:$B$30,0)),""))</f>
        <v/>
      </c>
      <c r="G1413" s="6" t="n"/>
      <c r="H1413" s="10">
        <f>IF(AND(B1413="",C1413=""),"",IF(G1413&lt;&gt;"","Void",IF(OR(B1413="",E1413=""),"Needs child",IF(D1413="","Needs level","OK"))))</f>
        <v/>
      </c>
    </row>
    <row r="1414">
      <c r="A1414" s="6" t="n"/>
      <c r="B1414" s="6" t="n"/>
      <c r="C1414" s="6" t="n"/>
      <c r="D1414" s="11">
        <f>IF(C1414="","",IFERROR(INDEX(Levels!$A$2:$A$30,MATCH(C1414,Levels!$B$2:$B$30,0)),""))</f>
        <v/>
      </c>
      <c r="E1414" s="10">
        <f>IF(B1414="","",IFERROR(INDEX(Roster!$A$2:$A$600,MATCH(B1414,Roster!$E$2:$E$600,0)),""))</f>
        <v/>
      </c>
      <c r="F1414" s="10">
        <f>IF(C1414="","",IFERROR(INDEX(Levels!$C$2:$C$30,MATCH(C1414,Levels!$B$2:$B$30,0)),""))</f>
        <v/>
      </c>
      <c r="G1414" s="6" t="n"/>
      <c r="H1414" s="10">
        <f>IF(AND(B1414="",C1414=""),"",IF(G1414&lt;&gt;"","Void",IF(OR(B1414="",E1414=""),"Needs child",IF(D1414="","Needs level","OK"))))</f>
        <v/>
      </c>
    </row>
    <row r="1415">
      <c r="A1415" s="6" t="n"/>
      <c r="B1415" s="6" t="n"/>
      <c r="C1415" s="6" t="n"/>
      <c r="D1415" s="11">
        <f>IF(C1415="","",IFERROR(INDEX(Levels!$A$2:$A$30,MATCH(C1415,Levels!$B$2:$B$30,0)),""))</f>
        <v/>
      </c>
      <c r="E1415" s="10">
        <f>IF(B1415="","",IFERROR(INDEX(Roster!$A$2:$A$600,MATCH(B1415,Roster!$E$2:$E$600,0)),""))</f>
        <v/>
      </c>
      <c r="F1415" s="10">
        <f>IF(C1415="","",IFERROR(INDEX(Levels!$C$2:$C$30,MATCH(C1415,Levels!$B$2:$B$30,0)),""))</f>
        <v/>
      </c>
      <c r="G1415" s="6" t="n"/>
      <c r="H1415" s="10">
        <f>IF(AND(B1415="",C1415=""),"",IF(G1415&lt;&gt;"","Void",IF(OR(B1415="",E1415=""),"Needs child",IF(D1415="","Needs level","OK"))))</f>
        <v/>
      </c>
    </row>
    <row r="1416">
      <c r="A1416" s="6" t="n"/>
      <c r="B1416" s="6" t="n"/>
      <c r="C1416" s="6" t="n"/>
      <c r="D1416" s="11">
        <f>IF(C1416="","",IFERROR(INDEX(Levels!$A$2:$A$30,MATCH(C1416,Levels!$B$2:$B$30,0)),""))</f>
        <v/>
      </c>
      <c r="E1416" s="10">
        <f>IF(B1416="","",IFERROR(INDEX(Roster!$A$2:$A$600,MATCH(B1416,Roster!$E$2:$E$600,0)),""))</f>
        <v/>
      </c>
      <c r="F1416" s="10">
        <f>IF(C1416="","",IFERROR(INDEX(Levels!$C$2:$C$30,MATCH(C1416,Levels!$B$2:$B$30,0)),""))</f>
        <v/>
      </c>
      <c r="G1416" s="6" t="n"/>
      <c r="H1416" s="10">
        <f>IF(AND(B1416="",C1416=""),"",IF(G1416&lt;&gt;"","Void",IF(OR(B1416="",E1416=""),"Needs child",IF(D1416="","Needs level","OK"))))</f>
        <v/>
      </c>
    </row>
    <row r="1417">
      <c r="A1417" s="6" t="n"/>
      <c r="B1417" s="6" t="n"/>
      <c r="C1417" s="6" t="n"/>
      <c r="D1417" s="11">
        <f>IF(C1417="","",IFERROR(INDEX(Levels!$A$2:$A$30,MATCH(C1417,Levels!$B$2:$B$30,0)),""))</f>
        <v/>
      </c>
      <c r="E1417" s="10">
        <f>IF(B1417="","",IFERROR(INDEX(Roster!$A$2:$A$600,MATCH(B1417,Roster!$E$2:$E$600,0)),""))</f>
        <v/>
      </c>
      <c r="F1417" s="10">
        <f>IF(C1417="","",IFERROR(INDEX(Levels!$C$2:$C$30,MATCH(C1417,Levels!$B$2:$B$30,0)),""))</f>
        <v/>
      </c>
      <c r="G1417" s="6" t="n"/>
      <c r="H1417" s="10">
        <f>IF(AND(B1417="",C1417=""),"",IF(G1417&lt;&gt;"","Void",IF(OR(B1417="",E1417=""),"Needs child",IF(D1417="","Needs level","OK"))))</f>
        <v/>
      </c>
    </row>
    <row r="1418">
      <c r="A1418" s="6" t="n"/>
      <c r="B1418" s="6" t="n"/>
      <c r="C1418" s="6" t="n"/>
      <c r="D1418" s="11">
        <f>IF(C1418="","",IFERROR(INDEX(Levels!$A$2:$A$30,MATCH(C1418,Levels!$B$2:$B$30,0)),""))</f>
        <v/>
      </c>
      <c r="E1418" s="10">
        <f>IF(B1418="","",IFERROR(INDEX(Roster!$A$2:$A$600,MATCH(B1418,Roster!$E$2:$E$600,0)),""))</f>
        <v/>
      </c>
      <c r="F1418" s="10">
        <f>IF(C1418="","",IFERROR(INDEX(Levels!$C$2:$C$30,MATCH(C1418,Levels!$B$2:$B$30,0)),""))</f>
        <v/>
      </c>
      <c r="G1418" s="6" t="n"/>
      <c r="H1418" s="10">
        <f>IF(AND(B1418="",C1418=""),"",IF(G1418&lt;&gt;"","Void",IF(OR(B1418="",E1418=""),"Needs child",IF(D1418="","Needs level","OK"))))</f>
        <v/>
      </c>
    </row>
    <row r="1419">
      <c r="A1419" s="6" t="n"/>
      <c r="B1419" s="6" t="n"/>
      <c r="C1419" s="6" t="n"/>
      <c r="D1419" s="11">
        <f>IF(C1419="","",IFERROR(INDEX(Levels!$A$2:$A$30,MATCH(C1419,Levels!$B$2:$B$30,0)),""))</f>
        <v/>
      </c>
      <c r="E1419" s="10">
        <f>IF(B1419="","",IFERROR(INDEX(Roster!$A$2:$A$600,MATCH(B1419,Roster!$E$2:$E$600,0)),""))</f>
        <v/>
      </c>
      <c r="F1419" s="10">
        <f>IF(C1419="","",IFERROR(INDEX(Levels!$C$2:$C$30,MATCH(C1419,Levels!$B$2:$B$30,0)),""))</f>
        <v/>
      </c>
      <c r="G1419" s="6" t="n"/>
      <c r="H1419" s="10">
        <f>IF(AND(B1419="",C1419=""),"",IF(G1419&lt;&gt;"","Void",IF(OR(B1419="",E1419=""),"Needs child",IF(D1419="","Needs level","OK"))))</f>
        <v/>
      </c>
    </row>
    <row r="1420">
      <c r="A1420" s="6" t="n"/>
      <c r="B1420" s="6" t="n"/>
      <c r="C1420" s="6" t="n"/>
      <c r="D1420" s="11">
        <f>IF(C1420="","",IFERROR(INDEX(Levels!$A$2:$A$30,MATCH(C1420,Levels!$B$2:$B$30,0)),""))</f>
        <v/>
      </c>
      <c r="E1420" s="10">
        <f>IF(B1420="","",IFERROR(INDEX(Roster!$A$2:$A$600,MATCH(B1420,Roster!$E$2:$E$600,0)),""))</f>
        <v/>
      </c>
      <c r="F1420" s="10">
        <f>IF(C1420="","",IFERROR(INDEX(Levels!$C$2:$C$30,MATCH(C1420,Levels!$B$2:$B$30,0)),""))</f>
        <v/>
      </c>
      <c r="G1420" s="6" t="n"/>
      <c r="H1420" s="10">
        <f>IF(AND(B1420="",C1420=""),"",IF(G1420&lt;&gt;"","Void",IF(OR(B1420="",E1420=""),"Needs child",IF(D1420="","Needs level","OK"))))</f>
        <v/>
      </c>
    </row>
    <row r="1421">
      <c r="A1421" s="6" t="n"/>
      <c r="B1421" s="6" t="n"/>
      <c r="C1421" s="6" t="n"/>
      <c r="D1421" s="11">
        <f>IF(C1421="","",IFERROR(INDEX(Levels!$A$2:$A$30,MATCH(C1421,Levels!$B$2:$B$30,0)),""))</f>
        <v/>
      </c>
      <c r="E1421" s="10">
        <f>IF(B1421="","",IFERROR(INDEX(Roster!$A$2:$A$600,MATCH(B1421,Roster!$E$2:$E$600,0)),""))</f>
        <v/>
      </c>
      <c r="F1421" s="10">
        <f>IF(C1421="","",IFERROR(INDEX(Levels!$C$2:$C$30,MATCH(C1421,Levels!$B$2:$B$30,0)),""))</f>
        <v/>
      </c>
      <c r="G1421" s="6" t="n"/>
      <c r="H1421" s="10">
        <f>IF(AND(B1421="",C1421=""),"",IF(G1421&lt;&gt;"","Void",IF(OR(B1421="",E1421=""),"Needs child",IF(D1421="","Needs level","OK"))))</f>
        <v/>
      </c>
    </row>
    <row r="1422">
      <c r="A1422" s="6" t="n"/>
      <c r="B1422" s="6" t="n"/>
      <c r="C1422" s="6" t="n"/>
      <c r="D1422" s="11">
        <f>IF(C1422="","",IFERROR(INDEX(Levels!$A$2:$A$30,MATCH(C1422,Levels!$B$2:$B$30,0)),""))</f>
        <v/>
      </c>
      <c r="E1422" s="10">
        <f>IF(B1422="","",IFERROR(INDEX(Roster!$A$2:$A$600,MATCH(B1422,Roster!$E$2:$E$600,0)),""))</f>
        <v/>
      </c>
      <c r="F1422" s="10">
        <f>IF(C1422="","",IFERROR(INDEX(Levels!$C$2:$C$30,MATCH(C1422,Levels!$B$2:$B$30,0)),""))</f>
        <v/>
      </c>
      <c r="G1422" s="6" t="n"/>
      <c r="H1422" s="10">
        <f>IF(AND(B1422="",C1422=""),"",IF(G1422&lt;&gt;"","Void",IF(OR(B1422="",E1422=""),"Needs child",IF(D1422="","Needs level","OK"))))</f>
        <v/>
      </c>
    </row>
    <row r="1423">
      <c r="A1423" s="6" t="n"/>
      <c r="B1423" s="6" t="n"/>
      <c r="C1423" s="6" t="n"/>
      <c r="D1423" s="11">
        <f>IF(C1423="","",IFERROR(INDEX(Levels!$A$2:$A$30,MATCH(C1423,Levels!$B$2:$B$30,0)),""))</f>
        <v/>
      </c>
      <c r="E1423" s="10">
        <f>IF(B1423="","",IFERROR(INDEX(Roster!$A$2:$A$600,MATCH(B1423,Roster!$E$2:$E$600,0)),""))</f>
        <v/>
      </c>
      <c r="F1423" s="10">
        <f>IF(C1423="","",IFERROR(INDEX(Levels!$C$2:$C$30,MATCH(C1423,Levels!$B$2:$B$30,0)),""))</f>
        <v/>
      </c>
      <c r="G1423" s="6" t="n"/>
      <c r="H1423" s="10">
        <f>IF(AND(B1423="",C1423=""),"",IF(G1423&lt;&gt;"","Void",IF(OR(B1423="",E1423=""),"Needs child",IF(D1423="","Needs level","OK"))))</f>
        <v/>
      </c>
    </row>
    <row r="1424">
      <c r="A1424" s="6" t="n"/>
      <c r="B1424" s="6" t="n"/>
      <c r="C1424" s="6" t="n"/>
      <c r="D1424" s="11">
        <f>IF(C1424="","",IFERROR(INDEX(Levels!$A$2:$A$30,MATCH(C1424,Levels!$B$2:$B$30,0)),""))</f>
        <v/>
      </c>
      <c r="E1424" s="10">
        <f>IF(B1424="","",IFERROR(INDEX(Roster!$A$2:$A$600,MATCH(B1424,Roster!$E$2:$E$600,0)),""))</f>
        <v/>
      </c>
      <c r="F1424" s="10">
        <f>IF(C1424="","",IFERROR(INDEX(Levels!$C$2:$C$30,MATCH(C1424,Levels!$B$2:$B$30,0)),""))</f>
        <v/>
      </c>
      <c r="G1424" s="6" t="n"/>
      <c r="H1424" s="10">
        <f>IF(AND(B1424="",C1424=""),"",IF(G1424&lt;&gt;"","Void",IF(OR(B1424="",E1424=""),"Needs child",IF(D1424="","Needs level","OK"))))</f>
        <v/>
      </c>
    </row>
    <row r="1425">
      <c r="A1425" s="6" t="n"/>
      <c r="B1425" s="6" t="n"/>
      <c r="C1425" s="6" t="n"/>
      <c r="D1425" s="11">
        <f>IF(C1425="","",IFERROR(INDEX(Levels!$A$2:$A$30,MATCH(C1425,Levels!$B$2:$B$30,0)),""))</f>
        <v/>
      </c>
      <c r="E1425" s="10">
        <f>IF(B1425="","",IFERROR(INDEX(Roster!$A$2:$A$600,MATCH(B1425,Roster!$E$2:$E$600,0)),""))</f>
        <v/>
      </c>
      <c r="F1425" s="10">
        <f>IF(C1425="","",IFERROR(INDEX(Levels!$C$2:$C$30,MATCH(C1425,Levels!$B$2:$B$30,0)),""))</f>
        <v/>
      </c>
      <c r="G1425" s="6" t="n"/>
      <c r="H1425" s="10">
        <f>IF(AND(B1425="",C1425=""),"",IF(G1425&lt;&gt;"","Void",IF(OR(B1425="",E1425=""),"Needs child",IF(D1425="","Needs level","OK"))))</f>
        <v/>
      </c>
    </row>
    <row r="1426">
      <c r="A1426" s="6" t="n"/>
      <c r="B1426" s="6" t="n"/>
      <c r="C1426" s="6" t="n"/>
      <c r="D1426" s="11">
        <f>IF(C1426="","",IFERROR(INDEX(Levels!$A$2:$A$30,MATCH(C1426,Levels!$B$2:$B$30,0)),""))</f>
        <v/>
      </c>
      <c r="E1426" s="10">
        <f>IF(B1426="","",IFERROR(INDEX(Roster!$A$2:$A$600,MATCH(B1426,Roster!$E$2:$E$600,0)),""))</f>
        <v/>
      </c>
      <c r="F1426" s="10">
        <f>IF(C1426="","",IFERROR(INDEX(Levels!$C$2:$C$30,MATCH(C1426,Levels!$B$2:$B$30,0)),""))</f>
        <v/>
      </c>
      <c r="G1426" s="6" t="n"/>
      <c r="H1426" s="10">
        <f>IF(AND(B1426="",C1426=""),"",IF(G1426&lt;&gt;"","Void",IF(OR(B1426="",E1426=""),"Needs child",IF(D1426="","Needs level","OK"))))</f>
        <v/>
      </c>
    </row>
    <row r="1427">
      <c r="A1427" s="6" t="n"/>
      <c r="B1427" s="6" t="n"/>
      <c r="C1427" s="6" t="n"/>
      <c r="D1427" s="11">
        <f>IF(C1427="","",IFERROR(INDEX(Levels!$A$2:$A$30,MATCH(C1427,Levels!$B$2:$B$30,0)),""))</f>
        <v/>
      </c>
      <c r="E1427" s="10">
        <f>IF(B1427="","",IFERROR(INDEX(Roster!$A$2:$A$600,MATCH(B1427,Roster!$E$2:$E$600,0)),""))</f>
        <v/>
      </c>
      <c r="F1427" s="10">
        <f>IF(C1427="","",IFERROR(INDEX(Levels!$C$2:$C$30,MATCH(C1427,Levels!$B$2:$B$30,0)),""))</f>
        <v/>
      </c>
      <c r="G1427" s="6" t="n"/>
      <c r="H1427" s="10">
        <f>IF(AND(B1427="",C1427=""),"",IF(G1427&lt;&gt;"","Void",IF(OR(B1427="",E1427=""),"Needs child",IF(D1427="","Needs level","OK"))))</f>
        <v/>
      </c>
    </row>
    <row r="1428">
      <c r="A1428" s="6" t="n"/>
      <c r="B1428" s="6" t="n"/>
      <c r="C1428" s="6" t="n"/>
      <c r="D1428" s="11">
        <f>IF(C1428="","",IFERROR(INDEX(Levels!$A$2:$A$30,MATCH(C1428,Levels!$B$2:$B$30,0)),""))</f>
        <v/>
      </c>
      <c r="E1428" s="10">
        <f>IF(B1428="","",IFERROR(INDEX(Roster!$A$2:$A$600,MATCH(B1428,Roster!$E$2:$E$600,0)),""))</f>
        <v/>
      </c>
      <c r="F1428" s="10">
        <f>IF(C1428="","",IFERROR(INDEX(Levels!$C$2:$C$30,MATCH(C1428,Levels!$B$2:$B$30,0)),""))</f>
        <v/>
      </c>
      <c r="G1428" s="6" t="n"/>
      <c r="H1428" s="10">
        <f>IF(AND(B1428="",C1428=""),"",IF(G1428&lt;&gt;"","Void",IF(OR(B1428="",E1428=""),"Needs child",IF(D1428="","Needs level","OK"))))</f>
        <v/>
      </c>
    </row>
    <row r="1429">
      <c r="A1429" s="6" t="n"/>
      <c r="B1429" s="6" t="n"/>
      <c r="C1429" s="6" t="n"/>
      <c r="D1429" s="11">
        <f>IF(C1429="","",IFERROR(INDEX(Levels!$A$2:$A$30,MATCH(C1429,Levels!$B$2:$B$30,0)),""))</f>
        <v/>
      </c>
      <c r="E1429" s="10">
        <f>IF(B1429="","",IFERROR(INDEX(Roster!$A$2:$A$600,MATCH(B1429,Roster!$E$2:$E$600,0)),""))</f>
        <v/>
      </c>
      <c r="F1429" s="10">
        <f>IF(C1429="","",IFERROR(INDEX(Levels!$C$2:$C$30,MATCH(C1429,Levels!$B$2:$B$30,0)),""))</f>
        <v/>
      </c>
      <c r="G1429" s="6" t="n"/>
      <c r="H1429" s="10">
        <f>IF(AND(B1429="",C1429=""),"",IF(G1429&lt;&gt;"","Void",IF(OR(B1429="",E1429=""),"Needs child",IF(D1429="","Needs level","OK"))))</f>
        <v/>
      </c>
    </row>
    <row r="1430">
      <c r="A1430" s="6" t="n"/>
      <c r="B1430" s="6" t="n"/>
      <c r="C1430" s="6" t="n"/>
      <c r="D1430" s="11">
        <f>IF(C1430="","",IFERROR(INDEX(Levels!$A$2:$A$30,MATCH(C1430,Levels!$B$2:$B$30,0)),""))</f>
        <v/>
      </c>
      <c r="E1430" s="10">
        <f>IF(B1430="","",IFERROR(INDEX(Roster!$A$2:$A$600,MATCH(B1430,Roster!$E$2:$E$600,0)),""))</f>
        <v/>
      </c>
      <c r="F1430" s="10">
        <f>IF(C1430="","",IFERROR(INDEX(Levels!$C$2:$C$30,MATCH(C1430,Levels!$B$2:$B$30,0)),""))</f>
        <v/>
      </c>
      <c r="G1430" s="6" t="n"/>
      <c r="H1430" s="10">
        <f>IF(AND(B1430="",C1430=""),"",IF(G1430&lt;&gt;"","Void",IF(OR(B1430="",E1430=""),"Needs child",IF(D1430="","Needs level","OK"))))</f>
        <v/>
      </c>
    </row>
    <row r="1431">
      <c r="A1431" s="6" t="n"/>
      <c r="B1431" s="6" t="n"/>
      <c r="C1431" s="6" t="n"/>
      <c r="D1431" s="11">
        <f>IF(C1431="","",IFERROR(INDEX(Levels!$A$2:$A$30,MATCH(C1431,Levels!$B$2:$B$30,0)),""))</f>
        <v/>
      </c>
      <c r="E1431" s="10">
        <f>IF(B1431="","",IFERROR(INDEX(Roster!$A$2:$A$600,MATCH(B1431,Roster!$E$2:$E$600,0)),""))</f>
        <v/>
      </c>
      <c r="F1431" s="10">
        <f>IF(C1431="","",IFERROR(INDEX(Levels!$C$2:$C$30,MATCH(C1431,Levels!$B$2:$B$30,0)),""))</f>
        <v/>
      </c>
      <c r="G1431" s="6" t="n"/>
      <c r="H1431" s="10">
        <f>IF(AND(B1431="",C1431=""),"",IF(G1431&lt;&gt;"","Void",IF(OR(B1431="",E1431=""),"Needs child",IF(D1431="","Needs level","OK"))))</f>
        <v/>
      </c>
    </row>
    <row r="1432">
      <c r="A1432" s="6" t="n"/>
      <c r="B1432" s="6" t="n"/>
      <c r="C1432" s="6" t="n"/>
      <c r="D1432" s="11">
        <f>IF(C1432="","",IFERROR(INDEX(Levels!$A$2:$A$30,MATCH(C1432,Levels!$B$2:$B$30,0)),""))</f>
        <v/>
      </c>
      <c r="E1432" s="10">
        <f>IF(B1432="","",IFERROR(INDEX(Roster!$A$2:$A$600,MATCH(B1432,Roster!$E$2:$E$600,0)),""))</f>
        <v/>
      </c>
      <c r="F1432" s="10">
        <f>IF(C1432="","",IFERROR(INDEX(Levels!$C$2:$C$30,MATCH(C1432,Levels!$B$2:$B$30,0)),""))</f>
        <v/>
      </c>
      <c r="G1432" s="6" t="n"/>
      <c r="H1432" s="10">
        <f>IF(AND(B1432="",C1432=""),"",IF(G1432&lt;&gt;"","Void",IF(OR(B1432="",E1432=""),"Needs child",IF(D1432="","Needs level","OK"))))</f>
        <v/>
      </c>
    </row>
    <row r="1433">
      <c r="A1433" s="6" t="n"/>
      <c r="B1433" s="6" t="n"/>
      <c r="C1433" s="6" t="n"/>
      <c r="D1433" s="11">
        <f>IF(C1433="","",IFERROR(INDEX(Levels!$A$2:$A$30,MATCH(C1433,Levels!$B$2:$B$30,0)),""))</f>
        <v/>
      </c>
      <c r="E1433" s="10">
        <f>IF(B1433="","",IFERROR(INDEX(Roster!$A$2:$A$600,MATCH(B1433,Roster!$E$2:$E$600,0)),""))</f>
        <v/>
      </c>
      <c r="F1433" s="10">
        <f>IF(C1433="","",IFERROR(INDEX(Levels!$C$2:$C$30,MATCH(C1433,Levels!$B$2:$B$30,0)),""))</f>
        <v/>
      </c>
      <c r="G1433" s="6" t="n"/>
      <c r="H1433" s="10">
        <f>IF(AND(B1433="",C1433=""),"",IF(G1433&lt;&gt;"","Void",IF(OR(B1433="",E1433=""),"Needs child",IF(D1433="","Needs level","OK"))))</f>
        <v/>
      </c>
    </row>
    <row r="1434">
      <c r="A1434" s="6" t="n"/>
      <c r="B1434" s="6" t="n"/>
      <c r="C1434" s="6" t="n"/>
      <c r="D1434" s="11">
        <f>IF(C1434="","",IFERROR(INDEX(Levels!$A$2:$A$30,MATCH(C1434,Levels!$B$2:$B$30,0)),""))</f>
        <v/>
      </c>
      <c r="E1434" s="10">
        <f>IF(B1434="","",IFERROR(INDEX(Roster!$A$2:$A$600,MATCH(B1434,Roster!$E$2:$E$600,0)),""))</f>
        <v/>
      </c>
      <c r="F1434" s="10">
        <f>IF(C1434="","",IFERROR(INDEX(Levels!$C$2:$C$30,MATCH(C1434,Levels!$B$2:$B$30,0)),""))</f>
        <v/>
      </c>
      <c r="G1434" s="6" t="n"/>
      <c r="H1434" s="10">
        <f>IF(AND(B1434="",C1434=""),"",IF(G1434&lt;&gt;"","Void",IF(OR(B1434="",E1434=""),"Needs child",IF(D1434="","Needs level","OK"))))</f>
        <v/>
      </c>
    </row>
    <row r="1435">
      <c r="A1435" s="6" t="n"/>
      <c r="B1435" s="6" t="n"/>
      <c r="C1435" s="6" t="n"/>
      <c r="D1435" s="11">
        <f>IF(C1435="","",IFERROR(INDEX(Levels!$A$2:$A$30,MATCH(C1435,Levels!$B$2:$B$30,0)),""))</f>
        <v/>
      </c>
      <c r="E1435" s="10">
        <f>IF(B1435="","",IFERROR(INDEX(Roster!$A$2:$A$600,MATCH(B1435,Roster!$E$2:$E$600,0)),""))</f>
        <v/>
      </c>
      <c r="F1435" s="10">
        <f>IF(C1435="","",IFERROR(INDEX(Levels!$C$2:$C$30,MATCH(C1435,Levels!$B$2:$B$30,0)),""))</f>
        <v/>
      </c>
      <c r="G1435" s="6" t="n"/>
      <c r="H1435" s="10">
        <f>IF(AND(B1435="",C1435=""),"",IF(G1435&lt;&gt;"","Void",IF(OR(B1435="",E1435=""),"Needs child",IF(D1435="","Needs level","OK"))))</f>
        <v/>
      </c>
    </row>
    <row r="1436">
      <c r="A1436" s="6" t="n"/>
      <c r="B1436" s="6" t="n"/>
      <c r="C1436" s="6" t="n"/>
      <c r="D1436" s="11">
        <f>IF(C1436="","",IFERROR(INDEX(Levels!$A$2:$A$30,MATCH(C1436,Levels!$B$2:$B$30,0)),""))</f>
        <v/>
      </c>
      <c r="E1436" s="10">
        <f>IF(B1436="","",IFERROR(INDEX(Roster!$A$2:$A$600,MATCH(B1436,Roster!$E$2:$E$600,0)),""))</f>
        <v/>
      </c>
      <c r="F1436" s="10">
        <f>IF(C1436="","",IFERROR(INDEX(Levels!$C$2:$C$30,MATCH(C1436,Levels!$B$2:$B$30,0)),""))</f>
        <v/>
      </c>
      <c r="G1436" s="6" t="n"/>
      <c r="H1436" s="10">
        <f>IF(AND(B1436="",C1436=""),"",IF(G1436&lt;&gt;"","Void",IF(OR(B1436="",E1436=""),"Needs child",IF(D1436="","Needs level","OK"))))</f>
        <v/>
      </c>
    </row>
    <row r="1437">
      <c r="A1437" s="6" t="n"/>
      <c r="B1437" s="6" t="n"/>
      <c r="C1437" s="6" t="n"/>
      <c r="D1437" s="11">
        <f>IF(C1437="","",IFERROR(INDEX(Levels!$A$2:$A$30,MATCH(C1437,Levels!$B$2:$B$30,0)),""))</f>
        <v/>
      </c>
      <c r="E1437" s="10">
        <f>IF(B1437="","",IFERROR(INDEX(Roster!$A$2:$A$600,MATCH(B1437,Roster!$E$2:$E$600,0)),""))</f>
        <v/>
      </c>
      <c r="F1437" s="10">
        <f>IF(C1437="","",IFERROR(INDEX(Levels!$C$2:$C$30,MATCH(C1437,Levels!$B$2:$B$30,0)),""))</f>
        <v/>
      </c>
      <c r="G1437" s="6" t="n"/>
      <c r="H1437" s="10">
        <f>IF(AND(B1437="",C1437=""),"",IF(G1437&lt;&gt;"","Void",IF(OR(B1437="",E1437=""),"Needs child",IF(D1437="","Needs level","OK"))))</f>
        <v/>
      </c>
    </row>
    <row r="1438">
      <c r="A1438" s="6" t="n"/>
      <c r="B1438" s="6" t="n"/>
      <c r="C1438" s="6" t="n"/>
      <c r="D1438" s="11">
        <f>IF(C1438="","",IFERROR(INDEX(Levels!$A$2:$A$30,MATCH(C1438,Levels!$B$2:$B$30,0)),""))</f>
        <v/>
      </c>
      <c r="E1438" s="10">
        <f>IF(B1438="","",IFERROR(INDEX(Roster!$A$2:$A$600,MATCH(B1438,Roster!$E$2:$E$600,0)),""))</f>
        <v/>
      </c>
      <c r="F1438" s="10">
        <f>IF(C1438="","",IFERROR(INDEX(Levels!$C$2:$C$30,MATCH(C1438,Levels!$B$2:$B$30,0)),""))</f>
        <v/>
      </c>
      <c r="G1438" s="6" t="n"/>
      <c r="H1438" s="10">
        <f>IF(AND(B1438="",C1438=""),"",IF(G1438&lt;&gt;"","Void",IF(OR(B1438="",E1438=""),"Needs child",IF(D1438="","Needs level","OK"))))</f>
        <v/>
      </c>
    </row>
    <row r="1439">
      <c r="A1439" s="6" t="n"/>
      <c r="B1439" s="6" t="n"/>
      <c r="C1439" s="6" t="n"/>
      <c r="D1439" s="11">
        <f>IF(C1439="","",IFERROR(INDEX(Levels!$A$2:$A$30,MATCH(C1439,Levels!$B$2:$B$30,0)),""))</f>
        <v/>
      </c>
      <c r="E1439" s="10">
        <f>IF(B1439="","",IFERROR(INDEX(Roster!$A$2:$A$600,MATCH(B1439,Roster!$E$2:$E$600,0)),""))</f>
        <v/>
      </c>
      <c r="F1439" s="10">
        <f>IF(C1439="","",IFERROR(INDEX(Levels!$C$2:$C$30,MATCH(C1439,Levels!$B$2:$B$30,0)),""))</f>
        <v/>
      </c>
      <c r="G1439" s="6" t="n"/>
      <c r="H1439" s="10">
        <f>IF(AND(B1439="",C1439=""),"",IF(G1439&lt;&gt;"","Void",IF(OR(B1439="",E1439=""),"Needs child",IF(D1439="","Needs level","OK"))))</f>
        <v/>
      </c>
    </row>
    <row r="1440">
      <c r="A1440" s="6" t="n"/>
      <c r="B1440" s="6" t="n"/>
      <c r="C1440" s="6" t="n"/>
      <c r="D1440" s="11">
        <f>IF(C1440="","",IFERROR(INDEX(Levels!$A$2:$A$30,MATCH(C1440,Levels!$B$2:$B$30,0)),""))</f>
        <v/>
      </c>
      <c r="E1440" s="10">
        <f>IF(B1440="","",IFERROR(INDEX(Roster!$A$2:$A$600,MATCH(B1440,Roster!$E$2:$E$600,0)),""))</f>
        <v/>
      </c>
      <c r="F1440" s="10">
        <f>IF(C1440="","",IFERROR(INDEX(Levels!$C$2:$C$30,MATCH(C1440,Levels!$B$2:$B$30,0)),""))</f>
        <v/>
      </c>
      <c r="G1440" s="6" t="n"/>
      <c r="H1440" s="10">
        <f>IF(AND(B1440="",C1440=""),"",IF(G1440&lt;&gt;"","Void",IF(OR(B1440="",E1440=""),"Needs child",IF(D1440="","Needs level","OK"))))</f>
        <v/>
      </c>
    </row>
    <row r="1441">
      <c r="A1441" s="6" t="n"/>
      <c r="B1441" s="6" t="n"/>
      <c r="C1441" s="6" t="n"/>
      <c r="D1441" s="11">
        <f>IF(C1441="","",IFERROR(INDEX(Levels!$A$2:$A$30,MATCH(C1441,Levels!$B$2:$B$30,0)),""))</f>
        <v/>
      </c>
      <c r="E1441" s="10">
        <f>IF(B1441="","",IFERROR(INDEX(Roster!$A$2:$A$600,MATCH(B1441,Roster!$E$2:$E$600,0)),""))</f>
        <v/>
      </c>
      <c r="F1441" s="10">
        <f>IF(C1441="","",IFERROR(INDEX(Levels!$C$2:$C$30,MATCH(C1441,Levels!$B$2:$B$30,0)),""))</f>
        <v/>
      </c>
      <c r="G1441" s="6" t="n"/>
      <c r="H1441" s="10">
        <f>IF(AND(B1441="",C1441=""),"",IF(G1441&lt;&gt;"","Void",IF(OR(B1441="",E1441=""),"Needs child",IF(D1441="","Needs level","OK"))))</f>
        <v/>
      </c>
    </row>
    <row r="1442">
      <c r="A1442" s="6" t="n"/>
      <c r="B1442" s="6" t="n"/>
      <c r="C1442" s="6" t="n"/>
      <c r="D1442" s="11">
        <f>IF(C1442="","",IFERROR(INDEX(Levels!$A$2:$A$30,MATCH(C1442,Levels!$B$2:$B$30,0)),""))</f>
        <v/>
      </c>
      <c r="E1442" s="10">
        <f>IF(B1442="","",IFERROR(INDEX(Roster!$A$2:$A$600,MATCH(B1442,Roster!$E$2:$E$600,0)),""))</f>
        <v/>
      </c>
      <c r="F1442" s="10">
        <f>IF(C1442="","",IFERROR(INDEX(Levels!$C$2:$C$30,MATCH(C1442,Levels!$B$2:$B$30,0)),""))</f>
        <v/>
      </c>
      <c r="G1442" s="6" t="n"/>
      <c r="H1442" s="10">
        <f>IF(AND(B1442="",C1442=""),"",IF(G1442&lt;&gt;"","Void",IF(OR(B1442="",E1442=""),"Needs child",IF(D1442="","Needs level","OK"))))</f>
        <v/>
      </c>
    </row>
    <row r="1443">
      <c r="A1443" s="6" t="n"/>
      <c r="B1443" s="6" t="n"/>
      <c r="C1443" s="6" t="n"/>
      <c r="D1443" s="11">
        <f>IF(C1443="","",IFERROR(INDEX(Levels!$A$2:$A$30,MATCH(C1443,Levels!$B$2:$B$30,0)),""))</f>
        <v/>
      </c>
      <c r="E1443" s="10">
        <f>IF(B1443="","",IFERROR(INDEX(Roster!$A$2:$A$600,MATCH(B1443,Roster!$E$2:$E$600,0)),""))</f>
        <v/>
      </c>
      <c r="F1443" s="10">
        <f>IF(C1443="","",IFERROR(INDEX(Levels!$C$2:$C$30,MATCH(C1443,Levels!$B$2:$B$30,0)),""))</f>
        <v/>
      </c>
      <c r="G1443" s="6" t="n"/>
      <c r="H1443" s="10">
        <f>IF(AND(B1443="",C1443=""),"",IF(G1443&lt;&gt;"","Void",IF(OR(B1443="",E1443=""),"Needs child",IF(D1443="","Needs level","OK"))))</f>
        <v/>
      </c>
    </row>
    <row r="1444">
      <c r="A1444" s="6" t="n"/>
      <c r="B1444" s="6" t="n"/>
      <c r="C1444" s="6" t="n"/>
      <c r="D1444" s="11">
        <f>IF(C1444="","",IFERROR(INDEX(Levels!$A$2:$A$30,MATCH(C1444,Levels!$B$2:$B$30,0)),""))</f>
        <v/>
      </c>
      <c r="E1444" s="10">
        <f>IF(B1444="","",IFERROR(INDEX(Roster!$A$2:$A$600,MATCH(B1444,Roster!$E$2:$E$600,0)),""))</f>
        <v/>
      </c>
      <c r="F1444" s="10">
        <f>IF(C1444="","",IFERROR(INDEX(Levels!$C$2:$C$30,MATCH(C1444,Levels!$B$2:$B$30,0)),""))</f>
        <v/>
      </c>
      <c r="G1444" s="6" t="n"/>
      <c r="H1444" s="10">
        <f>IF(AND(B1444="",C1444=""),"",IF(G1444&lt;&gt;"","Void",IF(OR(B1444="",E1444=""),"Needs child",IF(D1444="","Needs level","OK"))))</f>
        <v/>
      </c>
    </row>
    <row r="1445">
      <c r="A1445" s="6" t="n"/>
      <c r="B1445" s="6" t="n"/>
      <c r="C1445" s="6" t="n"/>
      <c r="D1445" s="11">
        <f>IF(C1445="","",IFERROR(INDEX(Levels!$A$2:$A$30,MATCH(C1445,Levels!$B$2:$B$30,0)),""))</f>
        <v/>
      </c>
      <c r="E1445" s="10">
        <f>IF(B1445="","",IFERROR(INDEX(Roster!$A$2:$A$600,MATCH(B1445,Roster!$E$2:$E$600,0)),""))</f>
        <v/>
      </c>
      <c r="F1445" s="10">
        <f>IF(C1445="","",IFERROR(INDEX(Levels!$C$2:$C$30,MATCH(C1445,Levels!$B$2:$B$30,0)),""))</f>
        <v/>
      </c>
      <c r="G1445" s="6" t="n"/>
      <c r="H1445" s="10">
        <f>IF(AND(B1445="",C1445=""),"",IF(G1445&lt;&gt;"","Void",IF(OR(B1445="",E1445=""),"Needs child",IF(D1445="","Needs level","OK"))))</f>
        <v/>
      </c>
    </row>
    <row r="1446">
      <c r="A1446" s="6" t="n"/>
      <c r="B1446" s="6" t="n"/>
      <c r="C1446" s="6" t="n"/>
      <c r="D1446" s="11">
        <f>IF(C1446="","",IFERROR(INDEX(Levels!$A$2:$A$30,MATCH(C1446,Levels!$B$2:$B$30,0)),""))</f>
        <v/>
      </c>
      <c r="E1446" s="10">
        <f>IF(B1446="","",IFERROR(INDEX(Roster!$A$2:$A$600,MATCH(B1446,Roster!$E$2:$E$600,0)),""))</f>
        <v/>
      </c>
      <c r="F1446" s="10">
        <f>IF(C1446="","",IFERROR(INDEX(Levels!$C$2:$C$30,MATCH(C1446,Levels!$B$2:$B$30,0)),""))</f>
        <v/>
      </c>
      <c r="G1446" s="6" t="n"/>
      <c r="H1446" s="10">
        <f>IF(AND(B1446="",C1446=""),"",IF(G1446&lt;&gt;"","Void",IF(OR(B1446="",E1446=""),"Needs child",IF(D1446="","Needs level","OK"))))</f>
        <v/>
      </c>
    </row>
    <row r="1447">
      <c r="A1447" s="6" t="n"/>
      <c r="B1447" s="6" t="n"/>
      <c r="C1447" s="6" t="n"/>
      <c r="D1447" s="11">
        <f>IF(C1447="","",IFERROR(INDEX(Levels!$A$2:$A$30,MATCH(C1447,Levels!$B$2:$B$30,0)),""))</f>
        <v/>
      </c>
      <c r="E1447" s="10">
        <f>IF(B1447="","",IFERROR(INDEX(Roster!$A$2:$A$600,MATCH(B1447,Roster!$E$2:$E$600,0)),""))</f>
        <v/>
      </c>
      <c r="F1447" s="10">
        <f>IF(C1447="","",IFERROR(INDEX(Levels!$C$2:$C$30,MATCH(C1447,Levels!$B$2:$B$30,0)),""))</f>
        <v/>
      </c>
      <c r="G1447" s="6" t="n"/>
      <c r="H1447" s="10">
        <f>IF(AND(B1447="",C1447=""),"",IF(G1447&lt;&gt;"","Void",IF(OR(B1447="",E1447=""),"Needs child",IF(D1447="","Needs level","OK"))))</f>
        <v/>
      </c>
    </row>
    <row r="1448">
      <c r="A1448" s="6" t="n"/>
      <c r="B1448" s="6" t="n"/>
      <c r="C1448" s="6" t="n"/>
      <c r="D1448" s="11">
        <f>IF(C1448="","",IFERROR(INDEX(Levels!$A$2:$A$30,MATCH(C1448,Levels!$B$2:$B$30,0)),""))</f>
        <v/>
      </c>
      <c r="E1448" s="10">
        <f>IF(B1448="","",IFERROR(INDEX(Roster!$A$2:$A$600,MATCH(B1448,Roster!$E$2:$E$600,0)),""))</f>
        <v/>
      </c>
      <c r="F1448" s="10">
        <f>IF(C1448="","",IFERROR(INDEX(Levels!$C$2:$C$30,MATCH(C1448,Levels!$B$2:$B$30,0)),""))</f>
        <v/>
      </c>
      <c r="G1448" s="6" t="n"/>
      <c r="H1448" s="10">
        <f>IF(AND(B1448="",C1448=""),"",IF(G1448&lt;&gt;"","Void",IF(OR(B1448="",E1448=""),"Needs child",IF(D1448="","Needs level","OK"))))</f>
        <v/>
      </c>
    </row>
    <row r="1449">
      <c r="A1449" s="6" t="n"/>
      <c r="B1449" s="6" t="n"/>
      <c r="C1449" s="6" t="n"/>
      <c r="D1449" s="11">
        <f>IF(C1449="","",IFERROR(INDEX(Levels!$A$2:$A$30,MATCH(C1449,Levels!$B$2:$B$30,0)),""))</f>
        <v/>
      </c>
      <c r="E1449" s="10">
        <f>IF(B1449="","",IFERROR(INDEX(Roster!$A$2:$A$600,MATCH(B1449,Roster!$E$2:$E$600,0)),""))</f>
        <v/>
      </c>
      <c r="F1449" s="10">
        <f>IF(C1449="","",IFERROR(INDEX(Levels!$C$2:$C$30,MATCH(C1449,Levels!$B$2:$B$30,0)),""))</f>
        <v/>
      </c>
      <c r="G1449" s="6" t="n"/>
      <c r="H1449" s="10">
        <f>IF(AND(B1449="",C1449=""),"",IF(G1449&lt;&gt;"","Void",IF(OR(B1449="",E1449=""),"Needs child",IF(D1449="","Needs level","OK"))))</f>
        <v/>
      </c>
    </row>
    <row r="1450">
      <c r="A1450" s="6" t="n"/>
      <c r="B1450" s="6" t="n"/>
      <c r="C1450" s="6" t="n"/>
      <c r="D1450" s="11">
        <f>IF(C1450="","",IFERROR(INDEX(Levels!$A$2:$A$30,MATCH(C1450,Levels!$B$2:$B$30,0)),""))</f>
        <v/>
      </c>
      <c r="E1450" s="10">
        <f>IF(B1450="","",IFERROR(INDEX(Roster!$A$2:$A$600,MATCH(B1450,Roster!$E$2:$E$600,0)),""))</f>
        <v/>
      </c>
      <c r="F1450" s="10">
        <f>IF(C1450="","",IFERROR(INDEX(Levels!$C$2:$C$30,MATCH(C1450,Levels!$B$2:$B$30,0)),""))</f>
        <v/>
      </c>
      <c r="G1450" s="6" t="n"/>
      <c r="H1450" s="10">
        <f>IF(AND(B1450="",C1450=""),"",IF(G1450&lt;&gt;"","Void",IF(OR(B1450="",E1450=""),"Needs child",IF(D1450="","Needs level","OK"))))</f>
        <v/>
      </c>
    </row>
    <row r="1451">
      <c r="A1451" s="6" t="n"/>
      <c r="B1451" s="6" t="n"/>
      <c r="C1451" s="6" t="n"/>
      <c r="D1451" s="11">
        <f>IF(C1451="","",IFERROR(INDEX(Levels!$A$2:$A$30,MATCH(C1451,Levels!$B$2:$B$30,0)),""))</f>
        <v/>
      </c>
      <c r="E1451" s="10">
        <f>IF(B1451="","",IFERROR(INDEX(Roster!$A$2:$A$600,MATCH(B1451,Roster!$E$2:$E$600,0)),""))</f>
        <v/>
      </c>
      <c r="F1451" s="10">
        <f>IF(C1451="","",IFERROR(INDEX(Levels!$C$2:$C$30,MATCH(C1451,Levels!$B$2:$B$30,0)),""))</f>
        <v/>
      </c>
      <c r="G1451" s="6" t="n"/>
      <c r="H1451" s="10">
        <f>IF(AND(B1451="",C1451=""),"",IF(G1451&lt;&gt;"","Void",IF(OR(B1451="",E1451=""),"Needs child",IF(D1451="","Needs level","OK"))))</f>
        <v/>
      </c>
    </row>
    <row r="1452">
      <c r="A1452" s="6" t="n"/>
      <c r="B1452" s="6" t="n"/>
      <c r="C1452" s="6" t="n"/>
      <c r="D1452" s="11">
        <f>IF(C1452="","",IFERROR(INDEX(Levels!$A$2:$A$30,MATCH(C1452,Levels!$B$2:$B$30,0)),""))</f>
        <v/>
      </c>
      <c r="E1452" s="10">
        <f>IF(B1452="","",IFERROR(INDEX(Roster!$A$2:$A$600,MATCH(B1452,Roster!$E$2:$E$600,0)),""))</f>
        <v/>
      </c>
      <c r="F1452" s="10">
        <f>IF(C1452="","",IFERROR(INDEX(Levels!$C$2:$C$30,MATCH(C1452,Levels!$B$2:$B$30,0)),""))</f>
        <v/>
      </c>
      <c r="G1452" s="6" t="n"/>
      <c r="H1452" s="10">
        <f>IF(AND(B1452="",C1452=""),"",IF(G1452&lt;&gt;"","Void",IF(OR(B1452="",E1452=""),"Needs child",IF(D1452="","Needs level","OK"))))</f>
        <v/>
      </c>
    </row>
    <row r="1453">
      <c r="A1453" s="6" t="n"/>
      <c r="B1453" s="6" t="n"/>
      <c r="C1453" s="6" t="n"/>
      <c r="D1453" s="11">
        <f>IF(C1453="","",IFERROR(INDEX(Levels!$A$2:$A$30,MATCH(C1453,Levels!$B$2:$B$30,0)),""))</f>
        <v/>
      </c>
      <c r="E1453" s="10">
        <f>IF(B1453="","",IFERROR(INDEX(Roster!$A$2:$A$600,MATCH(B1453,Roster!$E$2:$E$600,0)),""))</f>
        <v/>
      </c>
      <c r="F1453" s="10">
        <f>IF(C1453="","",IFERROR(INDEX(Levels!$C$2:$C$30,MATCH(C1453,Levels!$B$2:$B$30,0)),""))</f>
        <v/>
      </c>
      <c r="G1453" s="6" t="n"/>
      <c r="H1453" s="10">
        <f>IF(AND(B1453="",C1453=""),"",IF(G1453&lt;&gt;"","Void",IF(OR(B1453="",E1453=""),"Needs child",IF(D1453="","Needs level","OK"))))</f>
        <v/>
      </c>
    </row>
    <row r="1454">
      <c r="A1454" s="6" t="n"/>
      <c r="B1454" s="6" t="n"/>
      <c r="C1454" s="6" t="n"/>
      <c r="D1454" s="11">
        <f>IF(C1454="","",IFERROR(INDEX(Levels!$A$2:$A$30,MATCH(C1454,Levels!$B$2:$B$30,0)),""))</f>
        <v/>
      </c>
      <c r="E1454" s="10">
        <f>IF(B1454="","",IFERROR(INDEX(Roster!$A$2:$A$600,MATCH(B1454,Roster!$E$2:$E$600,0)),""))</f>
        <v/>
      </c>
      <c r="F1454" s="10">
        <f>IF(C1454="","",IFERROR(INDEX(Levels!$C$2:$C$30,MATCH(C1454,Levels!$B$2:$B$30,0)),""))</f>
        <v/>
      </c>
      <c r="G1454" s="6" t="n"/>
      <c r="H1454" s="10">
        <f>IF(AND(B1454="",C1454=""),"",IF(G1454&lt;&gt;"","Void",IF(OR(B1454="",E1454=""),"Needs child",IF(D1454="","Needs level","OK"))))</f>
        <v/>
      </c>
    </row>
    <row r="1455">
      <c r="A1455" s="6" t="n"/>
      <c r="B1455" s="6" t="n"/>
      <c r="C1455" s="6" t="n"/>
      <c r="D1455" s="11">
        <f>IF(C1455="","",IFERROR(INDEX(Levels!$A$2:$A$30,MATCH(C1455,Levels!$B$2:$B$30,0)),""))</f>
        <v/>
      </c>
      <c r="E1455" s="10">
        <f>IF(B1455="","",IFERROR(INDEX(Roster!$A$2:$A$600,MATCH(B1455,Roster!$E$2:$E$600,0)),""))</f>
        <v/>
      </c>
      <c r="F1455" s="10">
        <f>IF(C1455="","",IFERROR(INDEX(Levels!$C$2:$C$30,MATCH(C1455,Levels!$B$2:$B$30,0)),""))</f>
        <v/>
      </c>
      <c r="G1455" s="6" t="n"/>
      <c r="H1455" s="10">
        <f>IF(AND(B1455="",C1455=""),"",IF(G1455&lt;&gt;"","Void",IF(OR(B1455="",E1455=""),"Needs child",IF(D1455="","Needs level","OK"))))</f>
        <v/>
      </c>
    </row>
    <row r="1456">
      <c r="A1456" s="6" t="n"/>
      <c r="B1456" s="6" t="n"/>
      <c r="C1456" s="6" t="n"/>
      <c r="D1456" s="11">
        <f>IF(C1456="","",IFERROR(INDEX(Levels!$A$2:$A$30,MATCH(C1456,Levels!$B$2:$B$30,0)),""))</f>
        <v/>
      </c>
      <c r="E1456" s="10">
        <f>IF(B1456="","",IFERROR(INDEX(Roster!$A$2:$A$600,MATCH(B1456,Roster!$E$2:$E$600,0)),""))</f>
        <v/>
      </c>
      <c r="F1456" s="10">
        <f>IF(C1456="","",IFERROR(INDEX(Levels!$C$2:$C$30,MATCH(C1456,Levels!$B$2:$B$30,0)),""))</f>
        <v/>
      </c>
      <c r="G1456" s="6" t="n"/>
      <c r="H1456" s="10">
        <f>IF(AND(B1456="",C1456=""),"",IF(G1456&lt;&gt;"","Void",IF(OR(B1456="",E1456=""),"Needs child",IF(D1456="","Needs level","OK"))))</f>
        <v/>
      </c>
    </row>
    <row r="1457">
      <c r="A1457" s="6" t="n"/>
      <c r="B1457" s="6" t="n"/>
      <c r="C1457" s="6" t="n"/>
      <c r="D1457" s="11">
        <f>IF(C1457="","",IFERROR(INDEX(Levels!$A$2:$A$30,MATCH(C1457,Levels!$B$2:$B$30,0)),""))</f>
        <v/>
      </c>
      <c r="E1457" s="10">
        <f>IF(B1457="","",IFERROR(INDEX(Roster!$A$2:$A$600,MATCH(B1457,Roster!$E$2:$E$600,0)),""))</f>
        <v/>
      </c>
      <c r="F1457" s="10">
        <f>IF(C1457="","",IFERROR(INDEX(Levels!$C$2:$C$30,MATCH(C1457,Levels!$B$2:$B$30,0)),""))</f>
        <v/>
      </c>
      <c r="G1457" s="6" t="n"/>
      <c r="H1457" s="10">
        <f>IF(AND(B1457="",C1457=""),"",IF(G1457&lt;&gt;"","Void",IF(OR(B1457="",E1457=""),"Needs child",IF(D1457="","Needs level","OK"))))</f>
        <v/>
      </c>
    </row>
    <row r="1458">
      <c r="A1458" s="6" t="n"/>
      <c r="B1458" s="6" t="n"/>
      <c r="C1458" s="6" t="n"/>
      <c r="D1458" s="11">
        <f>IF(C1458="","",IFERROR(INDEX(Levels!$A$2:$A$30,MATCH(C1458,Levels!$B$2:$B$30,0)),""))</f>
        <v/>
      </c>
      <c r="E1458" s="10">
        <f>IF(B1458="","",IFERROR(INDEX(Roster!$A$2:$A$600,MATCH(B1458,Roster!$E$2:$E$600,0)),""))</f>
        <v/>
      </c>
      <c r="F1458" s="10">
        <f>IF(C1458="","",IFERROR(INDEX(Levels!$C$2:$C$30,MATCH(C1458,Levels!$B$2:$B$30,0)),""))</f>
        <v/>
      </c>
      <c r="G1458" s="6" t="n"/>
      <c r="H1458" s="10">
        <f>IF(AND(B1458="",C1458=""),"",IF(G1458&lt;&gt;"","Void",IF(OR(B1458="",E1458=""),"Needs child",IF(D1458="","Needs level","OK"))))</f>
        <v/>
      </c>
    </row>
    <row r="1459">
      <c r="A1459" s="6" t="n"/>
      <c r="B1459" s="6" t="n"/>
      <c r="C1459" s="6" t="n"/>
      <c r="D1459" s="11">
        <f>IF(C1459="","",IFERROR(INDEX(Levels!$A$2:$A$30,MATCH(C1459,Levels!$B$2:$B$30,0)),""))</f>
        <v/>
      </c>
      <c r="E1459" s="10">
        <f>IF(B1459="","",IFERROR(INDEX(Roster!$A$2:$A$600,MATCH(B1459,Roster!$E$2:$E$600,0)),""))</f>
        <v/>
      </c>
      <c r="F1459" s="10">
        <f>IF(C1459="","",IFERROR(INDEX(Levels!$C$2:$C$30,MATCH(C1459,Levels!$B$2:$B$30,0)),""))</f>
        <v/>
      </c>
      <c r="G1459" s="6" t="n"/>
      <c r="H1459" s="10">
        <f>IF(AND(B1459="",C1459=""),"",IF(G1459&lt;&gt;"","Void",IF(OR(B1459="",E1459=""),"Needs child",IF(D1459="","Needs level","OK"))))</f>
        <v/>
      </c>
    </row>
    <row r="1460">
      <c r="A1460" s="6" t="n"/>
      <c r="B1460" s="6" t="n"/>
      <c r="C1460" s="6" t="n"/>
      <c r="D1460" s="11">
        <f>IF(C1460="","",IFERROR(INDEX(Levels!$A$2:$A$30,MATCH(C1460,Levels!$B$2:$B$30,0)),""))</f>
        <v/>
      </c>
      <c r="E1460" s="10">
        <f>IF(B1460="","",IFERROR(INDEX(Roster!$A$2:$A$600,MATCH(B1460,Roster!$E$2:$E$600,0)),""))</f>
        <v/>
      </c>
      <c r="F1460" s="10">
        <f>IF(C1460="","",IFERROR(INDEX(Levels!$C$2:$C$30,MATCH(C1460,Levels!$B$2:$B$30,0)),""))</f>
        <v/>
      </c>
      <c r="G1460" s="6" t="n"/>
      <c r="H1460" s="10">
        <f>IF(AND(B1460="",C1460=""),"",IF(G1460&lt;&gt;"","Void",IF(OR(B1460="",E1460=""),"Needs child",IF(D1460="","Needs level","OK"))))</f>
        <v/>
      </c>
    </row>
    <row r="1461">
      <c r="A1461" s="6" t="n"/>
      <c r="B1461" s="6" t="n"/>
      <c r="C1461" s="6" t="n"/>
      <c r="D1461" s="11">
        <f>IF(C1461="","",IFERROR(INDEX(Levels!$A$2:$A$30,MATCH(C1461,Levels!$B$2:$B$30,0)),""))</f>
        <v/>
      </c>
      <c r="E1461" s="10">
        <f>IF(B1461="","",IFERROR(INDEX(Roster!$A$2:$A$600,MATCH(B1461,Roster!$E$2:$E$600,0)),""))</f>
        <v/>
      </c>
      <c r="F1461" s="10">
        <f>IF(C1461="","",IFERROR(INDEX(Levels!$C$2:$C$30,MATCH(C1461,Levels!$B$2:$B$30,0)),""))</f>
        <v/>
      </c>
      <c r="G1461" s="6" t="n"/>
      <c r="H1461" s="10">
        <f>IF(AND(B1461="",C1461=""),"",IF(G1461&lt;&gt;"","Void",IF(OR(B1461="",E1461=""),"Needs child",IF(D1461="","Needs level","OK"))))</f>
        <v/>
      </c>
    </row>
    <row r="1462">
      <c r="A1462" s="6" t="n"/>
      <c r="B1462" s="6" t="n"/>
      <c r="C1462" s="6" t="n"/>
      <c r="D1462" s="11">
        <f>IF(C1462="","",IFERROR(INDEX(Levels!$A$2:$A$30,MATCH(C1462,Levels!$B$2:$B$30,0)),""))</f>
        <v/>
      </c>
      <c r="E1462" s="10">
        <f>IF(B1462="","",IFERROR(INDEX(Roster!$A$2:$A$600,MATCH(B1462,Roster!$E$2:$E$600,0)),""))</f>
        <v/>
      </c>
      <c r="F1462" s="10">
        <f>IF(C1462="","",IFERROR(INDEX(Levels!$C$2:$C$30,MATCH(C1462,Levels!$B$2:$B$30,0)),""))</f>
        <v/>
      </c>
      <c r="G1462" s="6" t="n"/>
      <c r="H1462" s="10">
        <f>IF(AND(B1462="",C1462=""),"",IF(G1462&lt;&gt;"","Void",IF(OR(B1462="",E1462=""),"Needs child",IF(D1462="","Needs level","OK"))))</f>
        <v/>
      </c>
    </row>
    <row r="1463">
      <c r="A1463" s="6" t="n"/>
      <c r="B1463" s="6" t="n"/>
      <c r="C1463" s="6" t="n"/>
      <c r="D1463" s="11">
        <f>IF(C1463="","",IFERROR(INDEX(Levels!$A$2:$A$30,MATCH(C1463,Levels!$B$2:$B$30,0)),""))</f>
        <v/>
      </c>
      <c r="E1463" s="10">
        <f>IF(B1463="","",IFERROR(INDEX(Roster!$A$2:$A$600,MATCH(B1463,Roster!$E$2:$E$600,0)),""))</f>
        <v/>
      </c>
      <c r="F1463" s="10">
        <f>IF(C1463="","",IFERROR(INDEX(Levels!$C$2:$C$30,MATCH(C1463,Levels!$B$2:$B$30,0)),""))</f>
        <v/>
      </c>
      <c r="G1463" s="6" t="n"/>
      <c r="H1463" s="10">
        <f>IF(AND(B1463="",C1463=""),"",IF(G1463&lt;&gt;"","Void",IF(OR(B1463="",E1463=""),"Needs child",IF(D1463="","Needs level","OK"))))</f>
        <v/>
      </c>
    </row>
    <row r="1464">
      <c r="A1464" s="6" t="n"/>
      <c r="B1464" s="6" t="n"/>
      <c r="C1464" s="6" t="n"/>
      <c r="D1464" s="11">
        <f>IF(C1464="","",IFERROR(INDEX(Levels!$A$2:$A$30,MATCH(C1464,Levels!$B$2:$B$30,0)),""))</f>
        <v/>
      </c>
      <c r="E1464" s="10">
        <f>IF(B1464="","",IFERROR(INDEX(Roster!$A$2:$A$600,MATCH(B1464,Roster!$E$2:$E$600,0)),""))</f>
        <v/>
      </c>
      <c r="F1464" s="10">
        <f>IF(C1464="","",IFERROR(INDEX(Levels!$C$2:$C$30,MATCH(C1464,Levels!$B$2:$B$30,0)),""))</f>
        <v/>
      </c>
      <c r="G1464" s="6" t="n"/>
      <c r="H1464" s="10">
        <f>IF(AND(B1464="",C1464=""),"",IF(G1464&lt;&gt;"","Void",IF(OR(B1464="",E1464=""),"Needs child",IF(D1464="","Needs level","OK"))))</f>
        <v/>
      </c>
    </row>
    <row r="1465">
      <c r="A1465" s="6" t="n"/>
      <c r="B1465" s="6" t="n"/>
      <c r="C1465" s="6" t="n"/>
      <c r="D1465" s="11">
        <f>IF(C1465="","",IFERROR(INDEX(Levels!$A$2:$A$30,MATCH(C1465,Levels!$B$2:$B$30,0)),""))</f>
        <v/>
      </c>
      <c r="E1465" s="10">
        <f>IF(B1465="","",IFERROR(INDEX(Roster!$A$2:$A$600,MATCH(B1465,Roster!$E$2:$E$600,0)),""))</f>
        <v/>
      </c>
      <c r="F1465" s="10">
        <f>IF(C1465="","",IFERROR(INDEX(Levels!$C$2:$C$30,MATCH(C1465,Levels!$B$2:$B$30,0)),""))</f>
        <v/>
      </c>
      <c r="G1465" s="6" t="n"/>
      <c r="H1465" s="10">
        <f>IF(AND(B1465="",C1465=""),"",IF(G1465&lt;&gt;"","Void",IF(OR(B1465="",E1465=""),"Needs child",IF(D1465="","Needs level","OK"))))</f>
        <v/>
      </c>
    </row>
    <row r="1466">
      <c r="A1466" s="6" t="n"/>
      <c r="B1466" s="6" t="n"/>
      <c r="C1466" s="6" t="n"/>
      <c r="D1466" s="11">
        <f>IF(C1466="","",IFERROR(INDEX(Levels!$A$2:$A$30,MATCH(C1466,Levels!$B$2:$B$30,0)),""))</f>
        <v/>
      </c>
      <c r="E1466" s="10">
        <f>IF(B1466="","",IFERROR(INDEX(Roster!$A$2:$A$600,MATCH(B1466,Roster!$E$2:$E$600,0)),""))</f>
        <v/>
      </c>
      <c r="F1466" s="10">
        <f>IF(C1466="","",IFERROR(INDEX(Levels!$C$2:$C$30,MATCH(C1466,Levels!$B$2:$B$30,0)),""))</f>
        <v/>
      </c>
      <c r="G1466" s="6" t="n"/>
      <c r="H1466" s="10">
        <f>IF(AND(B1466="",C1466=""),"",IF(G1466&lt;&gt;"","Void",IF(OR(B1466="",E1466=""),"Needs child",IF(D1466="","Needs level","OK"))))</f>
        <v/>
      </c>
    </row>
    <row r="1467">
      <c r="A1467" s="6" t="n"/>
      <c r="B1467" s="6" t="n"/>
      <c r="C1467" s="6" t="n"/>
      <c r="D1467" s="11">
        <f>IF(C1467="","",IFERROR(INDEX(Levels!$A$2:$A$30,MATCH(C1467,Levels!$B$2:$B$30,0)),""))</f>
        <v/>
      </c>
      <c r="E1467" s="10">
        <f>IF(B1467="","",IFERROR(INDEX(Roster!$A$2:$A$600,MATCH(B1467,Roster!$E$2:$E$600,0)),""))</f>
        <v/>
      </c>
      <c r="F1467" s="10">
        <f>IF(C1467="","",IFERROR(INDEX(Levels!$C$2:$C$30,MATCH(C1467,Levels!$B$2:$B$30,0)),""))</f>
        <v/>
      </c>
      <c r="G1467" s="6" t="n"/>
      <c r="H1467" s="10">
        <f>IF(AND(B1467="",C1467=""),"",IF(G1467&lt;&gt;"","Void",IF(OR(B1467="",E1467=""),"Needs child",IF(D1467="","Needs level","OK"))))</f>
        <v/>
      </c>
    </row>
    <row r="1468">
      <c r="A1468" s="6" t="n"/>
      <c r="B1468" s="6" t="n"/>
      <c r="C1468" s="6" t="n"/>
      <c r="D1468" s="11">
        <f>IF(C1468="","",IFERROR(INDEX(Levels!$A$2:$A$30,MATCH(C1468,Levels!$B$2:$B$30,0)),""))</f>
        <v/>
      </c>
      <c r="E1468" s="10">
        <f>IF(B1468="","",IFERROR(INDEX(Roster!$A$2:$A$600,MATCH(B1468,Roster!$E$2:$E$600,0)),""))</f>
        <v/>
      </c>
      <c r="F1468" s="10">
        <f>IF(C1468="","",IFERROR(INDEX(Levels!$C$2:$C$30,MATCH(C1468,Levels!$B$2:$B$30,0)),""))</f>
        <v/>
      </c>
      <c r="G1468" s="6" t="n"/>
      <c r="H1468" s="10">
        <f>IF(AND(B1468="",C1468=""),"",IF(G1468&lt;&gt;"","Void",IF(OR(B1468="",E1468=""),"Needs child",IF(D1468="","Needs level","OK"))))</f>
        <v/>
      </c>
    </row>
    <row r="1469">
      <c r="A1469" s="6" t="n"/>
      <c r="B1469" s="6" t="n"/>
      <c r="C1469" s="6" t="n"/>
      <c r="D1469" s="11">
        <f>IF(C1469="","",IFERROR(INDEX(Levels!$A$2:$A$30,MATCH(C1469,Levels!$B$2:$B$30,0)),""))</f>
        <v/>
      </c>
      <c r="E1469" s="10">
        <f>IF(B1469="","",IFERROR(INDEX(Roster!$A$2:$A$600,MATCH(B1469,Roster!$E$2:$E$600,0)),""))</f>
        <v/>
      </c>
      <c r="F1469" s="10">
        <f>IF(C1469="","",IFERROR(INDEX(Levels!$C$2:$C$30,MATCH(C1469,Levels!$B$2:$B$30,0)),""))</f>
        <v/>
      </c>
      <c r="G1469" s="6" t="n"/>
      <c r="H1469" s="10">
        <f>IF(AND(B1469="",C1469=""),"",IF(G1469&lt;&gt;"","Void",IF(OR(B1469="",E1469=""),"Needs child",IF(D1469="","Needs level","OK"))))</f>
        <v/>
      </c>
    </row>
    <row r="1470">
      <c r="A1470" s="6" t="n"/>
      <c r="B1470" s="6" t="n"/>
      <c r="C1470" s="6" t="n"/>
      <c r="D1470" s="11">
        <f>IF(C1470="","",IFERROR(INDEX(Levels!$A$2:$A$30,MATCH(C1470,Levels!$B$2:$B$30,0)),""))</f>
        <v/>
      </c>
      <c r="E1470" s="10">
        <f>IF(B1470="","",IFERROR(INDEX(Roster!$A$2:$A$600,MATCH(B1470,Roster!$E$2:$E$600,0)),""))</f>
        <v/>
      </c>
      <c r="F1470" s="10">
        <f>IF(C1470="","",IFERROR(INDEX(Levels!$C$2:$C$30,MATCH(C1470,Levels!$B$2:$B$30,0)),""))</f>
        <v/>
      </c>
      <c r="G1470" s="6" t="n"/>
      <c r="H1470" s="10">
        <f>IF(AND(B1470="",C1470=""),"",IF(G1470&lt;&gt;"","Void",IF(OR(B1470="",E1470=""),"Needs child",IF(D1470="","Needs level","OK"))))</f>
        <v/>
      </c>
    </row>
    <row r="1471">
      <c r="A1471" s="6" t="n"/>
      <c r="B1471" s="6" t="n"/>
      <c r="C1471" s="6" t="n"/>
      <c r="D1471" s="11">
        <f>IF(C1471="","",IFERROR(INDEX(Levels!$A$2:$A$30,MATCH(C1471,Levels!$B$2:$B$30,0)),""))</f>
        <v/>
      </c>
      <c r="E1471" s="10">
        <f>IF(B1471="","",IFERROR(INDEX(Roster!$A$2:$A$600,MATCH(B1471,Roster!$E$2:$E$600,0)),""))</f>
        <v/>
      </c>
      <c r="F1471" s="10">
        <f>IF(C1471="","",IFERROR(INDEX(Levels!$C$2:$C$30,MATCH(C1471,Levels!$B$2:$B$30,0)),""))</f>
        <v/>
      </c>
      <c r="G1471" s="6" t="n"/>
      <c r="H1471" s="10">
        <f>IF(AND(B1471="",C1471=""),"",IF(G1471&lt;&gt;"","Void",IF(OR(B1471="",E1471=""),"Needs child",IF(D1471="","Needs level","OK"))))</f>
        <v/>
      </c>
    </row>
    <row r="1472">
      <c r="A1472" s="6" t="n"/>
      <c r="B1472" s="6" t="n"/>
      <c r="C1472" s="6" t="n"/>
      <c r="D1472" s="11">
        <f>IF(C1472="","",IFERROR(INDEX(Levels!$A$2:$A$30,MATCH(C1472,Levels!$B$2:$B$30,0)),""))</f>
        <v/>
      </c>
      <c r="E1472" s="10">
        <f>IF(B1472="","",IFERROR(INDEX(Roster!$A$2:$A$600,MATCH(B1472,Roster!$E$2:$E$600,0)),""))</f>
        <v/>
      </c>
      <c r="F1472" s="10">
        <f>IF(C1472="","",IFERROR(INDEX(Levels!$C$2:$C$30,MATCH(C1472,Levels!$B$2:$B$30,0)),""))</f>
        <v/>
      </c>
      <c r="G1472" s="6" t="n"/>
      <c r="H1472" s="10">
        <f>IF(AND(B1472="",C1472=""),"",IF(G1472&lt;&gt;"","Void",IF(OR(B1472="",E1472=""),"Needs child",IF(D1472="","Needs level","OK"))))</f>
        <v/>
      </c>
    </row>
    <row r="1473">
      <c r="A1473" s="6" t="n"/>
      <c r="B1473" s="6" t="n"/>
      <c r="C1473" s="6" t="n"/>
      <c r="D1473" s="11">
        <f>IF(C1473="","",IFERROR(INDEX(Levels!$A$2:$A$30,MATCH(C1473,Levels!$B$2:$B$30,0)),""))</f>
        <v/>
      </c>
      <c r="E1473" s="10">
        <f>IF(B1473="","",IFERROR(INDEX(Roster!$A$2:$A$600,MATCH(B1473,Roster!$E$2:$E$600,0)),""))</f>
        <v/>
      </c>
      <c r="F1473" s="10">
        <f>IF(C1473="","",IFERROR(INDEX(Levels!$C$2:$C$30,MATCH(C1473,Levels!$B$2:$B$30,0)),""))</f>
        <v/>
      </c>
      <c r="G1473" s="6" t="n"/>
      <c r="H1473" s="10">
        <f>IF(AND(B1473="",C1473=""),"",IF(G1473&lt;&gt;"","Void",IF(OR(B1473="",E1473=""),"Needs child",IF(D1473="","Needs level","OK"))))</f>
        <v/>
      </c>
    </row>
    <row r="1474">
      <c r="A1474" s="6" t="n"/>
      <c r="B1474" s="6" t="n"/>
      <c r="C1474" s="6" t="n"/>
      <c r="D1474" s="11">
        <f>IF(C1474="","",IFERROR(INDEX(Levels!$A$2:$A$30,MATCH(C1474,Levels!$B$2:$B$30,0)),""))</f>
        <v/>
      </c>
      <c r="E1474" s="10">
        <f>IF(B1474="","",IFERROR(INDEX(Roster!$A$2:$A$600,MATCH(B1474,Roster!$E$2:$E$600,0)),""))</f>
        <v/>
      </c>
      <c r="F1474" s="10">
        <f>IF(C1474="","",IFERROR(INDEX(Levels!$C$2:$C$30,MATCH(C1474,Levels!$B$2:$B$30,0)),""))</f>
        <v/>
      </c>
      <c r="G1474" s="6" t="n"/>
      <c r="H1474" s="10">
        <f>IF(AND(B1474="",C1474=""),"",IF(G1474&lt;&gt;"","Void",IF(OR(B1474="",E1474=""),"Needs child",IF(D1474="","Needs level","OK"))))</f>
        <v/>
      </c>
    </row>
    <row r="1475">
      <c r="A1475" s="6" t="n"/>
      <c r="B1475" s="6" t="n"/>
      <c r="C1475" s="6" t="n"/>
      <c r="D1475" s="11">
        <f>IF(C1475="","",IFERROR(INDEX(Levels!$A$2:$A$30,MATCH(C1475,Levels!$B$2:$B$30,0)),""))</f>
        <v/>
      </c>
      <c r="E1475" s="10">
        <f>IF(B1475="","",IFERROR(INDEX(Roster!$A$2:$A$600,MATCH(B1475,Roster!$E$2:$E$600,0)),""))</f>
        <v/>
      </c>
      <c r="F1475" s="10">
        <f>IF(C1475="","",IFERROR(INDEX(Levels!$C$2:$C$30,MATCH(C1475,Levels!$B$2:$B$30,0)),""))</f>
        <v/>
      </c>
      <c r="G1475" s="6" t="n"/>
      <c r="H1475" s="10">
        <f>IF(AND(B1475="",C1475=""),"",IF(G1475&lt;&gt;"","Void",IF(OR(B1475="",E1475=""),"Needs child",IF(D1475="","Needs level","OK"))))</f>
        <v/>
      </c>
    </row>
    <row r="1476">
      <c r="A1476" s="6" t="n"/>
      <c r="B1476" s="6" t="n"/>
      <c r="C1476" s="6" t="n"/>
      <c r="D1476" s="11">
        <f>IF(C1476="","",IFERROR(INDEX(Levels!$A$2:$A$30,MATCH(C1476,Levels!$B$2:$B$30,0)),""))</f>
        <v/>
      </c>
      <c r="E1476" s="10">
        <f>IF(B1476="","",IFERROR(INDEX(Roster!$A$2:$A$600,MATCH(B1476,Roster!$E$2:$E$600,0)),""))</f>
        <v/>
      </c>
      <c r="F1476" s="10">
        <f>IF(C1476="","",IFERROR(INDEX(Levels!$C$2:$C$30,MATCH(C1476,Levels!$B$2:$B$30,0)),""))</f>
        <v/>
      </c>
      <c r="G1476" s="6" t="n"/>
      <c r="H1476" s="10">
        <f>IF(AND(B1476="",C1476=""),"",IF(G1476&lt;&gt;"","Void",IF(OR(B1476="",E1476=""),"Needs child",IF(D1476="","Needs level","OK"))))</f>
        <v/>
      </c>
    </row>
    <row r="1477">
      <c r="A1477" s="6" t="n"/>
      <c r="B1477" s="6" t="n"/>
      <c r="C1477" s="6" t="n"/>
      <c r="D1477" s="11">
        <f>IF(C1477="","",IFERROR(INDEX(Levels!$A$2:$A$30,MATCH(C1477,Levels!$B$2:$B$30,0)),""))</f>
        <v/>
      </c>
      <c r="E1477" s="10">
        <f>IF(B1477="","",IFERROR(INDEX(Roster!$A$2:$A$600,MATCH(B1477,Roster!$E$2:$E$600,0)),""))</f>
        <v/>
      </c>
      <c r="F1477" s="10">
        <f>IF(C1477="","",IFERROR(INDEX(Levels!$C$2:$C$30,MATCH(C1477,Levels!$B$2:$B$30,0)),""))</f>
        <v/>
      </c>
      <c r="G1477" s="6" t="n"/>
      <c r="H1477" s="10">
        <f>IF(AND(B1477="",C1477=""),"",IF(G1477&lt;&gt;"","Void",IF(OR(B1477="",E1477=""),"Needs child",IF(D1477="","Needs level","OK"))))</f>
        <v/>
      </c>
    </row>
    <row r="1478">
      <c r="A1478" s="6" t="n"/>
      <c r="B1478" s="6" t="n"/>
      <c r="C1478" s="6" t="n"/>
      <c r="D1478" s="11">
        <f>IF(C1478="","",IFERROR(INDEX(Levels!$A$2:$A$30,MATCH(C1478,Levels!$B$2:$B$30,0)),""))</f>
        <v/>
      </c>
      <c r="E1478" s="10">
        <f>IF(B1478="","",IFERROR(INDEX(Roster!$A$2:$A$600,MATCH(B1478,Roster!$E$2:$E$600,0)),""))</f>
        <v/>
      </c>
      <c r="F1478" s="10">
        <f>IF(C1478="","",IFERROR(INDEX(Levels!$C$2:$C$30,MATCH(C1478,Levels!$B$2:$B$30,0)),""))</f>
        <v/>
      </c>
      <c r="G1478" s="6" t="n"/>
      <c r="H1478" s="10">
        <f>IF(AND(B1478="",C1478=""),"",IF(G1478&lt;&gt;"","Void",IF(OR(B1478="",E1478=""),"Needs child",IF(D1478="","Needs level","OK"))))</f>
        <v/>
      </c>
    </row>
    <row r="1479">
      <c r="A1479" s="6" t="n"/>
      <c r="B1479" s="6" t="n"/>
      <c r="C1479" s="6" t="n"/>
      <c r="D1479" s="11">
        <f>IF(C1479="","",IFERROR(INDEX(Levels!$A$2:$A$30,MATCH(C1479,Levels!$B$2:$B$30,0)),""))</f>
        <v/>
      </c>
      <c r="E1479" s="10">
        <f>IF(B1479="","",IFERROR(INDEX(Roster!$A$2:$A$600,MATCH(B1479,Roster!$E$2:$E$600,0)),""))</f>
        <v/>
      </c>
      <c r="F1479" s="10">
        <f>IF(C1479="","",IFERROR(INDEX(Levels!$C$2:$C$30,MATCH(C1479,Levels!$B$2:$B$30,0)),""))</f>
        <v/>
      </c>
      <c r="G1479" s="6" t="n"/>
      <c r="H1479" s="10">
        <f>IF(AND(B1479="",C1479=""),"",IF(G1479&lt;&gt;"","Void",IF(OR(B1479="",E1479=""),"Needs child",IF(D1479="","Needs level","OK"))))</f>
        <v/>
      </c>
    </row>
    <row r="1480">
      <c r="A1480" s="6" t="n"/>
      <c r="B1480" s="6" t="n"/>
      <c r="C1480" s="6" t="n"/>
      <c r="D1480" s="11">
        <f>IF(C1480="","",IFERROR(INDEX(Levels!$A$2:$A$30,MATCH(C1480,Levels!$B$2:$B$30,0)),""))</f>
        <v/>
      </c>
      <c r="E1480" s="10">
        <f>IF(B1480="","",IFERROR(INDEX(Roster!$A$2:$A$600,MATCH(B1480,Roster!$E$2:$E$600,0)),""))</f>
        <v/>
      </c>
      <c r="F1480" s="10">
        <f>IF(C1480="","",IFERROR(INDEX(Levels!$C$2:$C$30,MATCH(C1480,Levels!$B$2:$B$30,0)),""))</f>
        <v/>
      </c>
      <c r="G1480" s="6" t="n"/>
      <c r="H1480" s="10">
        <f>IF(AND(B1480="",C1480=""),"",IF(G1480&lt;&gt;"","Void",IF(OR(B1480="",E1480=""),"Needs child",IF(D1480="","Needs level","OK"))))</f>
        <v/>
      </c>
    </row>
    <row r="1481">
      <c r="A1481" s="6" t="n"/>
      <c r="B1481" s="6" t="n"/>
      <c r="C1481" s="6" t="n"/>
      <c r="D1481" s="11">
        <f>IF(C1481="","",IFERROR(INDEX(Levels!$A$2:$A$30,MATCH(C1481,Levels!$B$2:$B$30,0)),""))</f>
        <v/>
      </c>
      <c r="E1481" s="10">
        <f>IF(B1481="","",IFERROR(INDEX(Roster!$A$2:$A$600,MATCH(B1481,Roster!$E$2:$E$600,0)),""))</f>
        <v/>
      </c>
      <c r="F1481" s="10">
        <f>IF(C1481="","",IFERROR(INDEX(Levels!$C$2:$C$30,MATCH(C1481,Levels!$B$2:$B$30,0)),""))</f>
        <v/>
      </c>
      <c r="G1481" s="6" t="n"/>
      <c r="H1481" s="10">
        <f>IF(AND(B1481="",C1481=""),"",IF(G1481&lt;&gt;"","Void",IF(OR(B1481="",E1481=""),"Needs child",IF(D1481="","Needs level","OK"))))</f>
        <v/>
      </c>
    </row>
    <row r="1482">
      <c r="A1482" s="6" t="n"/>
      <c r="B1482" s="6" t="n"/>
      <c r="C1482" s="6" t="n"/>
      <c r="D1482" s="11">
        <f>IF(C1482="","",IFERROR(INDEX(Levels!$A$2:$A$30,MATCH(C1482,Levels!$B$2:$B$30,0)),""))</f>
        <v/>
      </c>
      <c r="E1482" s="10">
        <f>IF(B1482="","",IFERROR(INDEX(Roster!$A$2:$A$600,MATCH(B1482,Roster!$E$2:$E$600,0)),""))</f>
        <v/>
      </c>
      <c r="F1482" s="10">
        <f>IF(C1482="","",IFERROR(INDEX(Levels!$C$2:$C$30,MATCH(C1482,Levels!$B$2:$B$30,0)),""))</f>
        <v/>
      </c>
      <c r="G1482" s="6" t="n"/>
      <c r="H1482" s="10">
        <f>IF(AND(B1482="",C1482=""),"",IF(G1482&lt;&gt;"","Void",IF(OR(B1482="",E1482=""),"Needs child",IF(D1482="","Needs level","OK"))))</f>
        <v/>
      </c>
    </row>
    <row r="1483">
      <c r="A1483" s="6" t="n"/>
      <c r="B1483" s="6" t="n"/>
      <c r="C1483" s="6" t="n"/>
      <c r="D1483" s="11">
        <f>IF(C1483="","",IFERROR(INDEX(Levels!$A$2:$A$30,MATCH(C1483,Levels!$B$2:$B$30,0)),""))</f>
        <v/>
      </c>
      <c r="E1483" s="10">
        <f>IF(B1483="","",IFERROR(INDEX(Roster!$A$2:$A$600,MATCH(B1483,Roster!$E$2:$E$600,0)),""))</f>
        <v/>
      </c>
      <c r="F1483" s="10">
        <f>IF(C1483="","",IFERROR(INDEX(Levels!$C$2:$C$30,MATCH(C1483,Levels!$B$2:$B$30,0)),""))</f>
        <v/>
      </c>
      <c r="G1483" s="6" t="n"/>
      <c r="H1483" s="10">
        <f>IF(AND(B1483="",C1483=""),"",IF(G1483&lt;&gt;"","Void",IF(OR(B1483="",E1483=""),"Needs child",IF(D1483="","Needs level","OK"))))</f>
        <v/>
      </c>
    </row>
    <row r="1484">
      <c r="A1484" s="6" t="n"/>
      <c r="B1484" s="6" t="n"/>
      <c r="C1484" s="6" t="n"/>
      <c r="D1484" s="11">
        <f>IF(C1484="","",IFERROR(INDEX(Levels!$A$2:$A$30,MATCH(C1484,Levels!$B$2:$B$30,0)),""))</f>
        <v/>
      </c>
      <c r="E1484" s="10">
        <f>IF(B1484="","",IFERROR(INDEX(Roster!$A$2:$A$600,MATCH(B1484,Roster!$E$2:$E$600,0)),""))</f>
        <v/>
      </c>
      <c r="F1484" s="10">
        <f>IF(C1484="","",IFERROR(INDEX(Levels!$C$2:$C$30,MATCH(C1484,Levels!$B$2:$B$30,0)),""))</f>
        <v/>
      </c>
      <c r="G1484" s="6" t="n"/>
      <c r="H1484" s="10">
        <f>IF(AND(B1484="",C1484=""),"",IF(G1484&lt;&gt;"","Void",IF(OR(B1484="",E1484=""),"Needs child",IF(D1484="","Needs level","OK"))))</f>
        <v/>
      </c>
    </row>
    <row r="1485">
      <c r="A1485" s="6" t="n"/>
      <c r="B1485" s="6" t="n"/>
      <c r="C1485" s="6" t="n"/>
      <c r="D1485" s="11">
        <f>IF(C1485="","",IFERROR(INDEX(Levels!$A$2:$A$30,MATCH(C1485,Levels!$B$2:$B$30,0)),""))</f>
        <v/>
      </c>
      <c r="E1485" s="10">
        <f>IF(B1485="","",IFERROR(INDEX(Roster!$A$2:$A$600,MATCH(B1485,Roster!$E$2:$E$600,0)),""))</f>
        <v/>
      </c>
      <c r="F1485" s="10">
        <f>IF(C1485="","",IFERROR(INDEX(Levels!$C$2:$C$30,MATCH(C1485,Levels!$B$2:$B$30,0)),""))</f>
        <v/>
      </c>
      <c r="G1485" s="6" t="n"/>
      <c r="H1485" s="10">
        <f>IF(AND(B1485="",C1485=""),"",IF(G1485&lt;&gt;"","Void",IF(OR(B1485="",E1485=""),"Needs child",IF(D1485="","Needs level","OK"))))</f>
        <v/>
      </c>
    </row>
    <row r="1486">
      <c r="A1486" s="6" t="n"/>
      <c r="B1486" s="6" t="n"/>
      <c r="C1486" s="6" t="n"/>
      <c r="D1486" s="11">
        <f>IF(C1486="","",IFERROR(INDEX(Levels!$A$2:$A$30,MATCH(C1486,Levels!$B$2:$B$30,0)),""))</f>
        <v/>
      </c>
      <c r="E1486" s="10">
        <f>IF(B1486="","",IFERROR(INDEX(Roster!$A$2:$A$600,MATCH(B1486,Roster!$E$2:$E$600,0)),""))</f>
        <v/>
      </c>
      <c r="F1486" s="10">
        <f>IF(C1486="","",IFERROR(INDEX(Levels!$C$2:$C$30,MATCH(C1486,Levels!$B$2:$B$30,0)),""))</f>
        <v/>
      </c>
      <c r="G1486" s="6" t="n"/>
      <c r="H1486" s="10">
        <f>IF(AND(B1486="",C1486=""),"",IF(G1486&lt;&gt;"","Void",IF(OR(B1486="",E1486=""),"Needs child",IF(D1486="","Needs level","OK"))))</f>
        <v/>
      </c>
    </row>
    <row r="1487">
      <c r="A1487" s="6" t="n"/>
      <c r="B1487" s="6" t="n"/>
      <c r="C1487" s="6" t="n"/>
      <c r="D1487" s="11">
        <f>IF(C1487="","",IFERROR(INDEX(Levels!$A$2:$A$30,MATCH(C1487,Levels!$B$2:$B$30,0)),""))</f>
        <v/>
      </c>
      <c r="E1487" s="10">
        <f>IF(B1487="","",IFERROR(INDEX(Roster!$A$2:$A$600,MATCH(B1487,Roster!$E$2:$E$600,0)),""))</f>
        <v/>
      </c>
      <c r="F1487" s="10">
        <f>IF(C1487="","",IFERROR(INDEX(Levels!$C$2:$C$30,MATCH(C1487,Levels!$B$2:$B$30,0)),""))</f>
        <v/>
      </c>
      <c r="G1487" s="6" t="n"/>
      <c r="H1487" s="10">
        <f>IF(AND(B1487="",C1487=""),"",IF(G1487&lt;&gt;"","Void",IF(OR(B1487="",E1487=""),"Needs child",IF(D1487="","Needs level","OK"))))</f>
        <v/>
      </c>
    </row>
    <row r="1488">
      <c r="A1488" s="6" t="n"/>
      <c r="B1488" s="6" t="n"/>
      <c r="C1488" s="6" t="n"/>
      <c r="D1488" s="11">
        <f>IF(C1488="","",IFERROR(INDEX(Levels!$A$2:$A$30,MATCH(C1488,Levels!$B$2:$B$30,0)),""))</f>
        <v/>
      </c>
      <c r="E1488" s="10">
        <f>IF(B1488="","",IFERROR(INDEX(Roster!$A$2:$A$600,MATCH(B1488,Roster!$E$2:$E$600,0)),""))</f>
        <v/>
      </c>
      <c r="F1488" s="10">
        <f>IF(C1488="","",IFERROR(INDEX(Levels!$C$2:$C$30,MATCH(C1488,Levels!$B$2:$B$30,0)),""))</f>
        <v/>
      </c>
      <c r="G1488" s="6" t="n"/>
      <c r="H1488" s="10">
        <f>IF(AND(B1488="",C1488=""),"",IF(G1488&lt;&gt;"","Void",IF(OR(B1488="",E1488=""),"Needs child",IF(D1488="","Needs level","OK"))))</f>
        <v/>
      </c>
    </row>
    <row r="1489">
      <c r="A1489" s="6" t="n"/>
      <c r="B1489" s="6" t="n"/>
      <c r="C1489" s="6" t="n"/>
      <c r="D1489" s="11">
        <f>IF(C1489="","",IFERROR(INDEX(Levels!$A$2:$A$30,MATCH(C1489,Levels!$B$2:$B$30,0)),""))</f>
        <v/>
      </c>
      <c r="E1489" s="10">
        <f>IF(B1489="","",IFERROR(INDEX(Roster!$A$2:$A$600,MATCH(B1489,Roster!$E$2:$E$600,0)),""))</f>
        <v/>
      </c>
      <c r="F1489" s="10">
        <f>IF(C1489="","",IFERROR(INDEX(Levels!$C$2:$C$30,MATCH(C1489,Levels!$B$2:$B$30,0)),""))</f>
        <v/>
      </c>
      <c r="G1489" s="6" t="n"/>
      <c r="H1489" s="10">
        <f>IF(AND(B1489="",C1489=""),"",IF(G1489&lt;&gt;"","Void",IF(OR(B1489="",E1489=""),"Needs child",IF(D1489="","Needs level","OK"))))</f>
        <v/>
      </c>
    </row>
    <row r="1490">
      <c r="A1490" s="6" t="n"/>
      <c r="B1490" s="6" t="n"/>
      <c r="C1490" s="6" t="n"/>
      <c r="D1490" s="11">
        <f>IF(C1490="","",IFERROR(INDEX(Levels!$A$2:$A$30,MATCH(C1490,Levels!$B$2:$B$30,0)),""))</f>
        <v/>
      </c>
      <c r="E1490" s="10">
        <f>IF(B1490="","",IFERROR(INDEX(Roster!$A$2:$A$600,MATCH(B1490,Roster!$E$2:$E$600,0)),""))</f>
        <v/>
      </c>
      <c r="F1490" s="10">
        <f>IF(C1490="","",IFERROR(INDEX(Levels!$C$2:$C$30,MATCH(C1490,Levels!$B$2:$B$30,0)),""))</f>
        <v/>
      </c>
      <c r="G1490" s="6" t="n"/>
      <c r="H1490" s="10">
        <f>IF(AND(B1490="",C1490=""),"",IF(G1490&lt;&gt;"","Void",IF(OR(B1490="",E1490=""),"Needs child",IF(D1490="","Needs level","OK"))))</f>
        <v/>
      </c>
    </row>
    <row r="1491">
      <c r="A1491" s="6" t="n"/>
      <c r="B1491" s="6" t="n"/>
      <c r="C1491" s="6" t="n"/>
      <c r="D1491" s="11">
        <f>IF(C1491="","",IFERROR(INDEX(Levels!$A$2:$A$30,MATCH(C1491,Levels!$B$2:$B$30,0)),""))</f>
        <v/>
      </c>
      <c r="E1491" s="10">
        <f>IF(B1491="","",IFERROR(INDEX(Roster!$A$2:$A$600,MATCH(B1491,Roster!$E$2:$E$600,0)),""))</f>
        <v/>
      </c>
      <c r="F1491" s="10">
        <f>IF(C1491="","",IFERROR(INDEX(Levels!$C$2:$C$30,MATCH(C1491,Levels!$B$2:$B$30,0)),""))</f>
        <v/>
      </c>
      <c r="G1491" s="6" t="n"/>
      <c r="H1491" s="10">
        <f>IF(AND(B1491="",C1491=""),"",IF(G1491&lt;&gt;"","Void",IF(OR(B1491="",E1491=""),"Needs child",IF(D1491="","Needs level","OK"))))</f>
        <v/>
      </c>
    </row>
    <row r="1492">
      <c r="A1492" s="6" t="n"/>
      <c r="B1492" s="6" t="n"/>
      <c r="C1492" s="6" t="n"/>
      <c r="D1492" s="11">
        <f>IF(C1492="","",IFERROR(INDEX(Levels!$A$2:$A$30,MATCH(C1492,Levels!$B$2:$B$30,0)),""))</f>
        <v/>
      </c>
      <c r="E1492" s="10">
        <f>IF(B1492="","",IFERROR(INDEX(Roster!$A$2:$A$600,MATCH(B1492,Roster!$E$2:$E$600,0)),""))</f>
        <v/>
      </c>
      <c r="F1492" s="10">
        <f>IF(C1492="","",IFERROR(INDEX(Levels!$C$2:$C$30,MATCH(C1492,Levels!$B$2:$B$30,0)),""))</f>
        <v/>
      </c>
      <c r="G1492" s="6" t="n"/>
      <c r="H1492" s="10">
        <f>IF(AND(B1492="",C1492=""),"",IF(G1492&lt;&gt;"","Void",IF(OR(B1492="",E1492=""),"Needs child",IF(D1492="","Needs level","OK"))))</f>
        <v/>
      </c>
    </row>
    <row r="1493">
      <c r="A1493" s="6" t="n"/>
      <c r="B1493" s="6" t="n"/>
      <c r="C1493" s="6" t="n"/>
      <c r="D1493" s="11">
        <f>IF(C1493="","",IFERROR(INDEX(Levels!$A$2:$A$30,MATCH(C1493,Levels!$B$2:$B$30,0)),""))</f>
        <v/>
      </c>
      <c r="E1493" s="10">
        <f>IF(B1493="","",IFERROR(INDEX(Roster!$A$2:$A$600,MATCH(B1493,Roster!$E$2:$E$600,0)),""))</f>
        <v/>
      </c>
      <c r="F1493" s="10">
        <f>IF(C1493="","",IFERROR(INDEX(Levels!$C$2:$C$30,MATCH(C1493,Levels!$B$2:$B$30,0)),""))</f>
        <v/>
      </c>
      <c r="G1493" s="6" t="n"/>
      <c r="H1493" s="10">
        <f>IF(AND(B1493="",C1493=""),"",IF(G1493&lt;&gt;"","Void",IF(OR(B1493="",E1493=""),"Needs child",IF(D1493="","Needs level","OK"))))</f>
        <v/>
      </c>
    </row>
    <row r="1494">
      <c r="A1494" s="6" t="n"/>
      <c r="B1494" s="6" t="n"/>
      <c r="C1494" s="6" t="n"/>
      <c r="D1494" s="11">
        <f>IF(C1494="","",IFERROR(INDEX(Levels!$A$2:$A$30,MATCH(C1494,Levels!$B$2:$B$30,0)),""))</f>
        <v/>
      </c>
      <c r="E1494" s="10">
        <f>IF(B1494="","",IFERROR(INDEX(Roster!$A$2:$A$600,MATCH(B1494,Roster!$E$2:$E$600,0)),""))</f>
        <v/>
      </c>
      <c r="F1494" s="10">
        <f>IF(C1494="","",IFERROR(INDEX(Levels!$C$2:$C$30,MATCH(C1494,Levels!$B$2:$B$30,0)),""))</f>
        <v/>
      </c>
      <c r="G1494" s="6" t="n"/>
      <c r="H1494" s="10">
        <f>IF(AND(B1494="",C1494=""),"",IF(G1494&lt;&gt;"","Void",IF(OR(B1494="",E1494=""),"Needs child",IF(D1494="","Needs level","OK"))))</f>
        <v/>
      </c>
    </row>
    <row r="1495">
      <c r="A1495" s="6" t="n"/>
      <c r="B1495" s="6" t="n"/>
      <c r="C1495" s="6" t="n"/>
      <c r="D1495" s="11">
        <f>IF(C1495="","",IFERROR(INDEX(Levels!$A$2:$A$30,MATCH(C1495,Levels!$B$2:$B$30,0)),""))</f>
        <v/>
      </c>
      <c r="E1495" s="10">
        <f>IF(B1495="","",IFERROR(INDEX(Roster!$A$2:$A$600,MATCH(B1495,Roster!$E$2:$E$600,0)),""))</f>
        <v/>
      </c>
      <c r="F1495" s="10">
        <f>IF(C1495="","",IFERROR(INDEX(Levels!$C$2:$C$30,MATCH(C1495,Levels!$B$2:$B$30,0)),""))</f>
        <v/>
      </c>
      <c r="G1495" s="6" t="n"/>
      <c r="H1495" s="10">
        <f>IF(AND(B1495="",C1495=""),"",IF(G1495&lt;&gt;"","Void",IF(OR(B1495="",E1495=""),"Needs child",IF(D1495="","Needs level","OK"))))</f>
        <v/>
      </c>
    </row>
    <row r="1496">
      <c r="A1496" s="6" t="n"/>
      <c r="B1496" s="6" t="n"/>
      <c r="C1496" s="6" t="n"/>
      <c r="D1496" s="11">
        <f>IF(C1496="","",IFERROR(INDEX(Levels!$A$2:$A$30,MATCH(C1496,Levels!$B$2:$B$30,0)),""))</f>
        <v/>
      </c>
      <c r="E1496" s="10">
        <f>IF(B1496="","",IFERROR(INDEX(Roster!$A$2:$A$600,MATCH(B1496,Roster!$E$2:$E$600,0)),""))</f>
        <v/>
      </c>
      <c r="F1496" s="10">
        <f>IF(C1496="","",IFERROR(INDEX(Levels!$C$2:$C$30,MATCH(C1496,Levels!$B$2:$B$30,0)),""))</f>
        <v/>
      </c>
      <c r="G1496" s="6" t="n"/>
      <c r="H1496" s="10">
        <f>IF(AND(B1496="",C1496=""),"",IF(G1496&lt;&gt;"","Void",IF(OR(B1496="",E1496=""),"Needs child",IF(D1496="","Needs level","OK"))))</f>
        <v/>
      </c>
    </row>
    <row r="1497">
      <c r="A1497" s="6" t="n"/>
      <c r="B1497" s="6" t="n"/>
      <c r="C1497" s="6" t="n"/>
      <c r="D1497" s="11">
        <f>IF(C1497="","",IFERROR(INDEX(Levels!$A$2:$A$30,MATCH(C1497,Levels!$B$2:$B$30,0)),""))</f>
        <v/>
      </c>
      <c r="E1497" s="10">
        <f>IF(B1497="","",IFERROR(INDEX(Roster!$A$2:$A$600,MATCH(B1497,Roster!$E$2:$E$600,0)),""))</f>
        <v/>
      </c>
      <c r="F1497" s="10">
        <f>IF(C1497="","",IFERROR(INDEX(Levels!$C$2:$C$30,MATCH(C1497,Levels!$B$2:$B$30,0)),""))</f>
        <v/>
      </c>
      <c r="G1497" s="6" t="n"/>
      <c r="H1497" s="10">
        <f>IF(AND(B1497="",C1497=""),"",IF(G1497&lt;&gt;"","Void",IF(OR(B1497="",E1497=""),"Needs child",IF(D1497="","Needs level","OK"))))</f>
        <v/>
      </c>
    </row>
    <row r="1498">
      <c r="A1498" s="6" t="n"/>
      <c r="B1498" s="6" t="n"/>
      <c r="C1498" s="6" t="n"/>
      <c r="D1498" s="11">
        <f>IF(C1498="","",IFERROR(INDEX(Levels!$A$2:$A$30,MATCH(C1498,Levels!$B$2:$B$30,0)),""))</f>
        <v/>
      </c>
      <c r="E1498" s="10">
        <f>IF(B1498="","",IFERROR(INDEX(Roster!$A$2:$A$600,MATCH(B1498,Roster!$E$2:$E$600,0)),""))</f>
        <v/>
      </c>
      <c r="F1498" s="10">
        <f>IF(C1498="","",IFERROR(INDEX(Levels!$C$2:$C$30,MATCH(C1498,Levels!$B$2:$B$30,0)),""))</f>
        <v/>
      </c>
      <c r="G1498" s="6" t="n"/>
      <c r="H1498" s="10">
        <f>IF(AND(B1498="",C1498=""),"",IF(G1498&lt;&gt;"","Void",IF(OR(B1498="",E1498=""),"Needs child",IF(D1498="","Needs level","OK"))))</f>
        <v/>
      </c>
    </row>
    <row r="1499">
      <c r="A1499" s="6" t="n"/>
      <c r="B1499" s="6" t="n"/>
      <c r="C1499" s="6" t="n"/>
      <c r="D1499" s="11">
        <f>IF(C1499="","",IFERROR(INDEX(Levels!$A$2:$A$30,MATCH(C1499,Levels!$B$2:$B$30,0)),""))</f>
        <v/>
      </c>
      <c r="E1499" s="10">
        <f>IF(B1499="","",IFERROR(INDEX(Roster!$A$2:$A$600,MATCH(B1499,Roster!$E$2:$E$600,0)),""))</f>
        <v/>
      </c>
      <c r="F1499" s="10">
        <f>IF(C1499="","",IFERROR(INDEX(Levels!$C$2:$C$30,MATCH(C1499,Levels!$B$2:$B$30,0)),""))</f>
        <v/>
      </c>
      <c r="G1499" s="6" t="n"/>
      <c r="H1499" s="10">
        <f>IF(AND(B1499="",C1499=""),"",IF(G1499&lt;&gt;"","Void",IF(OR(B1499="",E1499=""),"Needs child",IF(D1499="","Needs level","OK"))))</f>
        <v/>
      </c>
    </row>
    <row r="1500">
      <c r="A1500" s="6" t="n"/>
      <c r="B1500" s="6" t="n"/>
      <c r="C1500" s="6" t="n"/>
      <c r="D1500" s="11">
        <f>IF(C1500="","",IFERROR(INDEX(Levels!$A$2:$A$30,MATCH(C1500,Levels!$B$2:$B$30,0)),""))</f>
        <v/>
      </c>
      <c r="E1500" s="10">
        <f>IF(B1500="","",IFERROR(INDEX(Roster!$A$2:$A$600,MATCH(B1500,Roster!$E$2:$E$600,0)),""))</f>
        <v/>
      </c>
      <c r="F1500" s="10">
        <f>IF(C1500="","",IFERROR(INDEX(Levels!$C$2:$C$30,MATCH(C1500,Levels!$B$2:$B$30,0)),""))</f>
        <v/>
      </c>
      <c r="G1500" s="6" t="n"/>
      <c r="H1500" s="10">
        <f>IF(AND(B1500="",C1500=""),"",IF(G1500&lt;&gt;"","Void",IF(OR(B1500="",E1500=""),"Needs child",IF(D1500="","Needs level","OK"))))</f>
        <v/>
      </c>
    </row>
    <row r="1501">
      <c r="A1501" s="6" t="n"/>
      <c r="B1501" s="6" t="n"/>
      <c r="C1501" s="6" t="n"/>
      <c r="D1501" s="11">
        <f>IF(C1501="","",IFERROR(INDEX(Levels!$A$2:$A$30,MATCH(C1501,Levels!$B$2:$B$30,0)),""))</f>
        <v/>
      </c>
      <c r="E1501" s="10">
        <f>IF(B1501="","",IFERROR(INDEX(Roster!$A$2:$A$600,MATCH(B1501,Roster!$E$2:$E$600,0)),""))</f>
        <v/>
      </c>
      <c r="F1501" s="10">
        <f>IF(C1501="","",IFERROR(INDEX(Levels!$C$2:$C$30,MATCH(C1501,Levels!$B$2:$B$30,0)),""))</f>
        <v/>
      </c>
      <c r="G1501" s="6" t="n"/>
      <c r="H1501" s="10">
        <f>IF(AND(B1501="",C1501=""),"",IF(G1501&lt;&gt;"","Void",IF(OR(B1501="",E1501=""),"Needs child",IF(D1501="","Needs level","OK"))))</f>
        <v/>
      </c>
    </row>
    <row r="1502">
      <c r="A1502" s="6" t="n"/>
      <c r="B1502" s="6" t="n"/>
      <c r="C1502" s="6" t="n"/>
      <c r="D1502" s="11">
        <f>IF(C1502="","",IFERROR(INDEX(Levels!$A$2:$A$30,MATCH(C1502,Levels!$B$2:$B$30,0)),""))</f>
        <v/>
      </c>
      <c r="E1502" s="10">
        <f>IF(B1502="","",IFERROR(INDEX(Roster!$A$2:$A$600,MATCH(B1502,Roster!$E$2:$E$600,0)),""))</f>
        <v/>
      </c>
      <c r="F1502" s="10">
        <f>IF(C1502="","",IFERROR(INDEX(Levels!$C$2:$C$30,MATCH(C1502,Levels!$B$2:$B$30,0)),""))</f>
        <v/>
      </c>
      <c r="G1502" s="6" t="n"/>
      <c r="H1502" s="10">
        <f>IF(AND(B1502="",C1502=""),"",IF(G1502&lt;&gt;"","Void",IF(OR(B1502="",E1502=""),"Needs child",IF(D1502="","Needs level","OK"))))</f>
        <v/>
      </c>
    </row>
    <row r="1503">
      <c r="A1503" s="6" t="n"/>
      <c r="B1503" s="6" t="n"/>
      <c r="C1503" s="6" t="n"/>
      <c r="D1503" s="11">
        <f>IF(C1503="","",IFERROR(INDEX(Levels!$A$2:$A$30,MATCH(C1503,Levels!$B$2:$B$30,0)),""))</f>
        <v/>
      </c>
      <c r="E1503" s="10">
        <f>IF(B1503="","",IFERROR(INDEX(Roster!$A$2:$A$600,MATCH(B1503,Roster!$E$2:$E$600,0)),""))</f>
        <v/>
      </c>
      <c r="F1503" s="10">
        <f>IF(C1503="","",IFERROR(INDEX(Levels!$C$2:$C$30,MATCH(C1503,Levels!$B$2:$B$30,0)),""))</f>
        <v/>
      </c>
      <c r="G1503" s="6" t="n"/>
      <c r="H1503" s="10">
        <f>IF(AND(B1503="",C1503=""),"",IF(G1503&lt;&gt;"","Void",IF(OR(B1503="",E1503=""),"Needs child",IF(D1503="","Needs level","OK"))))</f>
        <v/>
      </c>
    </row>
    <row r="1504">
      <c r="A1504" s="6" t="n"/>
      <c r="B1504" s="6" t="n"/>
      <c r="C1504" s="6" t="n"/>
      <c r="D1504" s="11">
        <f>IF(C1504="","",IFERROR(INDEX(Levels!$A$2:$A$30,MATCH(C1504,Levels!$B$2:$B$30,0)),""))</f>
        <v/>
      </c>
      <c r="E1504" s="10">
        <f>IF(B1504="","",IFERROR(INDEX(Roster!$A$2:$A$600,MATCH(B1504,Roster!$E$2:$E$600,0)),""))</f>
        <v/>
      </c>
      <c r="F1504" s="10">
        <f>IF(C1504="","",IFERROR(INDEX(Levels!$C$2:$C$30,MATCH(C1504,Levels!$B$2:$B$30,0)),""))</f>
        <v/>
      </c>
      <c r="G1504" s="6" t="n"/>
      <c r="H1504" s="10">
        <f>IF(AND(B1504="",C1504=""),"",IF(G1504&lt;&gt;"","Void",IF(OR(B1504="",E1504=""),"Needs child",IF(D1504="","Needs level","OK"))))</f>
        <v/>
      </c>
    </row>
    <row r="1505">
      <c r="A1505" s="6" t="n"/>
      <c r="B1505" s="6" t="n"/>
      <c r="C1505" s="6" t="n"/>
      <c r="D1505" s="11">
        <f>IF(C1505="","",IFERROR(INDEX(Levels!$A$2:$A$30,MATCH(C1505,Levels!$B$2:$B$30,0)),""))</f>
        <v/>
      </c>
      <c r="E1505" s="10">
        <f>IF(B1505="","",IFERROR(INDEX(Roster!$A$2:$A$600,MATCH(B1505,Roster!$E$2:$E$600,0)),""))</f>
        <v/>
      </c>
      <c r="F1505" s="10">
        <f>IF(C1505="","",IFERROR(INDEX(Levels!$C$2:$C$30,MATCH(C1505,Levels!$B$2:$B$30,0)),""))</f>
        <v/>
      </c>
      <c r="G1505" s="6" t="n"/>
      <c r="H1505" s="10">
        <f>IF(AND(B1505="",C1505=""),"",IF(G1505&lt;&gt;"","Void",IF(OR(B1505="",E1505=""),"Needs child",IF(D1505="","Needs level","OK"))))</f>
        <v/>
      </c>
    </row>
    <row r="1506">
      <c r="A1506" s="6" t="n"/>
      <c r="B1506" s="6" t="n"/>
      <c r="C1506" s="6" t="n"/>
      <c r="D1506" s="11">
        <f>IF(C1506="","",IFERROR(INDEX(Levels!$A$2:$A$30,MATCH(C1506,Levels!$B$2:$B$30,0)),""))</f>
        <v/>
      </c>
      <c r="E1506" s="10">
        <f>IF(B1506="","",IFERROR(INDEX(Roster!$A$2:$A$600,MATCH(B1506,Roster!$E$2:$E$600,0)),""))</f>
        <v/>
      </c>
      <c r="F1506" s="10">
        <f>IF(C1506="","",IFERROR(INDEX(Levels!$C$2:$C$30,MATCH(C1506,Levels!$B$2:$B$30,0)),""))</f>
        <v/>
      </c>
      <c r="G1506" s="6" t="n"/>
      <c r="H1506" s="10">
        <f>IF(AND(B1506="",C1506=""),"",IF(G1506&lt;&gt;"","Void",IF(OR(B1506="",E1506=""),"Needs child",IF(D1506="","Needs level","OK"))))</f>
        <v/>
      </c>
    </row>
    <row r="1507">
      <c r="A1507" s="6" t="n"/>
      <c r="B1507" s="6" t="n"/>
      <c r="C1507" s="6" t="n"/>
      <c r="D1507" s="11">
        <f>IF(C1507="","",IFERROR(INDEX(Levels!$A$2:$A$30,MATCH(C1507,Levels!$B$2:$B$30,0)),""))</f>
        <v/>
      </c>
      <c r="E1507" s="10">
        <f>IF(B1507="","",IFERROR(INDEX(Roster!$A$2:$A$600,MATCH(B1507,Roster!$E$2:$E$600,0)),""))</f>
        <v/>
      </c>
      <c r="F1507" s="10">
        <f>IF(C1507="","",IFERROR(INDEX(Levels!$C$2:$C$30,MATCH(C1507,Levels!$B$2:$B$30,0)),""))</f>
        <v/>
      </c>
      <c r="G1507" s="6" t="n"/>
      <c r="H1507" s="10">
        <f>IF(AND(B1507="",C1507=""),"",IF(G1507&lt;&gt;"","Void",IF(OR(B1507="",E1507=""),"Needs child",IF(D1507="","Needs level","OK"))))</f>
        <v/>
      </c>
    </row>
    <row r="1508">
      <c r="A1508" s="6" t="n"/>
      <c r="B1508" s="6" t="n"/>
      <c r="C1508" s="6" t="n"/>
      <c r="D1508" s="11">
        <f>IF(C1508="","",IFERROR(INDEX(Levels!$A$2:$A$30,MATCH(C1508,Levels!$B$2:$B$30,0)),""))</f>
        <v/>
      </c>
      <c r="E1508" s="10">
        <f>IF(B1508="","",IFERROR(INDEX(Roster!$A$2:$A$600,MATCH(B1508,Roster!$E$2:$E$600,0)),""))</f>
        <v/>
      </c>
      <c r="F1508" s="10">
        <f>IF(C1508="","",IFERROR(INDEX(Levels!$C$2:$C$30,MATCH(C1508,Levels!$B$2:$B$30,0)),""))</f>
        <v/>
      </c>
      <c r="G1508" s="6" t="n"/>
      <c r="H1508" s="10">
        <f>IF(AND(B1508="",C1508=""),"",IF(G1508&lt;&gt;"","Void",IF(OR(B1508="",E1508=""),"Needs child",IF(D1508="","Needs level","OK"))))</f>
        <v/>
      </c>
    </row>
    <row r="1509">
      <c r="A1509" s="6" t="n"/>
      <c r="B1509" s="6" t="n"/>
      <c r="C1509" s="6" t="n"/>
      <c r="D1509" s="11">
        <f>IF(C1509="","",IFERROR(INDEX(Levels!$A$2:$A$30,MATCH(C1509,Levels!$B$2:$B$30,0)),""))</f>
        <v/>
      </c>
      <c r="E1509" s="10">
        <f>IF(B1509="","",IFERROR(INDEX(Roster!$A$2:$A$600,MATCH(B1509,Roster!$E$2:$E$600,0)),""))</f>
        <v/>
      </c>
      <c r="F1509" s="10">
        <f>IF(C1509="","",IFERROR(INDEX(Levels!$C$2:$C$30,MATCH(C1509,Levels!$B$2:$B$30,0)),""))</f>
        <v/>
      </c>
      <c r="G1509" s="6" t="n"/>
      <c r="H1509" s="10">
        <f>IF(AND(B1509="",C1509=""),"",IF(G1509&lt;&gt;"","Void",IF(OR(B1509="",E1509=""),"Needs child",IF(D1509="","Needs level","OK"))))</f>
        <v/>
      </c>
    </row>
    <row r="1510">
      <c r="A1510" s="6" t="n"/>
      <c r="B1510" s="6" t="n"/>
      <c r="C1510" s="6" t="n"/>
      <c r="D1510" s="11">
        <f>IF(C1510="","",IFERROR(INDEX(Levels!$A$2:$A$30,MATCH(C1510,Levels!$B$2:$B$30,0)),""))</f>
        <v/>
      </c>
      <c r="E1510" s="10">
        <f>IF(B1510="","",IFERROR(INDEX(Roster!$A$2:$A$600,MATCH(B1510,Roster!$E$2:$E$600,0)),""))</f>
        <v/>
      </c>
      <c r="F1510" s="10">
        <f>IF(C1510="","",IFERROR(INDEX(Levels!$C$2:$C$30,MATCH(C1510,Levels!$B$2:$B$30,0)),""))</f>
        <v/>
      </c>
      <c r="G1510" s="6" t="n"/>
      <c r="H1510" s="10">
        <f>IF(AND(B1510="",C1510=""),"",IF(G1510&lt;&gt;"","Void",IF(OR(B1510="",E1510=""),"Needs child",IF(D1510="","Needs level","OK"))))</f>
        <v/>
      </c>
    </row>
    <row r="1511">
      <c r="A1511" s="6" t="n"/>
      <c r="B1511" s="6" t="n"/>
      <c r="C1511" s="6" t="n"/>
      <c r="D1511" s="11">
        <f>IF(C1511="","",IFERROR(INDEX(Levels!$A$2:$A$30,MATCH(C1511,Levels!$B$2:$B$30,0)),""))</f>
        <v/>
      </c>
      <c r="E1511" s="10">
        <f>IF(B1511="","",IFERROR(INDEX(Roster!$A$2:$A$600,MATCH(B1511,Roster!$E$2:$E$600,0)),""))</f>
        <v/>
      </c>
      <c r="F1511" s="10">
        <f>IF(C1511="","",IFERROR(INDEX(Levels!$C$2:$C$30,MATCH(C1511,Levels!$B$2:$B$30,0)),""))</f>
        <v/>
      </c>
      <c r="G1511" s="6" t="n"/>
      <c r="H1511" s="10">
        <f>IF(AND(B1511="",C1511=""),"",IF(G1511&lt;&gt;"","Void",IF(OR(B1511="",E1511=""),"Needs child",IF(D1511="","Needs level","OK"))))</f>
        <v/>
      </c>
    </row>
    <row r="1512">
      <c r="A1512" s="6" t="n"/>
      <c r="B1512" s="6" t="n"/>
      <c r="C1512" s="6" t="n"/>
      <c r="D1512" s="11">
        <f>IF(C1512="","",IFERROR(INDEX(Levels!$A$2:$A$30,MATCH(C1512,Levels!$B$2:$B$30,0)),""))</f>
        <v/>
      </c>
      <c r="E1512" s="10">
        <f>IF(B1512="","",IFERROR(INDEX(Roster!$A$2:$A$600,MATCH(B1512,Roster!$E$2:$E$600,0)),""))</f>
        <v/>
      </c>
      <c r="F1512" s="10">
        <f>IF(C1512="","",IFERROR(INDEX(Levels!$C$2:$C$30,MATCH(C1512,Levels!$B$2:$B$30,0)),""))</f>
        <v/>
      </c>
      <c r="G1512" s="6" t="n"/>
      <c r="H1512" s="10">
        <f>IF(AND(B1512="",C1512=""),"",IF(G1512&lt;&gt;"","Void",IF(OR(B1512="",E1512=""),"Needs child",IF(D1512="","Needs level","OK"))))</f>
        <v/>
      </c>
    </row>
    <row r="1513">
      <c r="A1513" s="6" t="n"/>
      <c r="B1513" s="6" t="n"/>
      <c r="C1513" s="6" t="n"/>
      <c r="D1513" s="11">
        <f>IF(C1513="","",IFERROR(INDEX(Levels!$A$2:$A$30,MATCH(C1513,Levels!$B$2:$B$30,0)),""))</f>
        <v/>
      </c>
      <c r="E1513" s="10">
        <f>IF(B1513="","",IFERROR(INDEX(Roster!$A$2:$A$600,MATCH(B1513,Roster!$E$2:$E$600,0)),""))</f>
        <v/>
      </c>
      <c r="F1513" s="10">
        <f>IF(C1513="","",IFERROR(INDEX(Levels!$C$2:$C$30,MATCH(C1513,Levels!$B$2:$B$30,0)),""))</f>
        <v/>
      </c>
      <c r="G1513" s="6" t="n"/>
      <c r="H1513" s="10">
        <f>IF(AND(B1513="",C1513=""),"",IF(G1513&lt;&gt;"","Void",IF(OR(B1513="",E1513=""),"Needs child",IF(D1513="","Needs level","OK"))))</f>
        <v/>
      </c>
    </row>
    <row r="1514">
      <c r="A1514" s="6" t="n"/>
      <c r="B1514" s="6" t="n"/>
      <c r="C1514" s="6" t="n"/>
      <c r="D1514" s="11">
        <f>IF(C1514="","",IFERROR(INDEX(Levels!$A$2:$A$30,MATCH(C1514,Levels!$B$2:$B$30,0)),""))</f>
        <v/>
      </c>
      <c r="E1514" s="10">
        <f>IF(B1514="","",IFERROR(INDEX(Roster!$A$2:$A$600,MATCH(B1514,Roster!$E$2:$E$600,0)),""))</f>
        <v/>
      </c>
      <c r="F1514" s="10">
        <f>IF(C1514="","",IFERROR(INDEX(Levels!$C$2:$C$30,MATCH(C1514,Levels!$B$2:$B$30,0)),""))</f>
        <v/>
      </c>
      <c r="G1514" s="6" t="n"/>
      <c r="H1514" s="10">
        <f>IF(AND(B1514="",C1514=""),"",IF(G1514&lt;&gt;"","Void",IF(OR(B1514="",E1514=""),"Needs child",IF(D1514="","Needs level","OK"))))</f>
        <v/>
      </c>
    </row>
    <row r="1515">
      <c r="A1515" s="6" t="n"/>
      <c r="B1515" s="6" t="n"/>
      <c r="C1515" s="6" t="n"/>
      <c r="D1515" s="11">
        <f>IF(C1515="","",IFERROR(INDEX(Levels!$A$2:$A$30,MATCH(C1515,Levels!$B$2:$B$30,0)),""))</f>
        <v/>
      </c>
      <c r="E1515" s="10">
        <f>IF(B1515="","",IFERROR(INDEX(Roster!$A$2:$A$600,MATCH(B1515,Roster!$E$2:$E$600,0)),""))</f>
        <v/>
      </c>
      <c r="F1515" s="10">
        <f>IF(C1515="","",IFERROR(INDEX(Levels!$C$2:$C$30,MATCH(C1515,Levels!$B$2:$B$30,0)),""))</f>
        <v/>
      </c>
      <c r="G1515" s="6" t="n"/>
      <c r="H1515" s="10">
        <f>IF(AND(B1515="",C1515=""),"",IF(G1515&lt;&gt;"","Void",IF(OR(B1515="",E1515=""),"Needs child",IF(D1515="","Needs level","OK"))))</f>
        <v/>
      </c>
    </row>
    <row r="1516">
      <c r="A1516" s="6" t="n"/>
      <c r="B1516" s="6" t="n"/>
      <c r="C1516" s="6" t="n"/>
      <c r="D1516" s="11">
        <f>IF(C1516="","",IFERROR(INDEX(Levels!$A$2:$A$30,MATCH(C1516,Levels!$B$2:$B$30,0)),""))</f>
        <v/>
      </c>
      <c r="E1516" s="10">
        <f>IF(B1516="","",IFERROR(INDEX(Roster!$A$2:$A$600,MATCH(B1516,Roster!$E$2:$E$600,0)),""))</f>
        <v/>
      </c>
      <c r="F1516" s="10">
        <f>IF(C1516="","",IFERROR(INDEX(Levels!$C$2:$C$30,MATCH(C1516,Levels!$B$2:$B$30,0)),""))</f>
        <v/>
      </c>
      <c r="G1516" s="6" t="n"/>
      <c r="H1516" s="10">
        <f>IF(AND(B1516="",C1516=""),"",IF(G1516&lt;&gt;"","Void",IF(OR(B1516="",E1516=""),"Needs child",IF(D1516="","Needs level","OK"))))</f>
        <v/>
      </c>
    </row>
    <row r="1517">
      <c r="A1517" s="6" t="n"/>
      <c r="B1517" s="6" t="n"/>
      <c r="C1517" s="6" t="n"/>
      <c r="D1517" s="11">
        <f>IF(C1517="","",IFERROR(INDEX(Levels!$A$2:$A$30,MATCH(C1517,Levels!$B$2:$B$30,0)),""))</f>
        <v/>
      </c>
      <c r="E1517" s="10">
        <f>IF(B1517="","",IFERROR(INDEX(Roster!$A$2:$A$600,MATCH(B1517,Roster!$E$2:$E$600,0)),""))</f>
        <v/>
      </c>
      <c r="F1517" s="10">
        <f>IF(C1517="","",IFERROR(INDEX(Levels!$C$2:$C$30,MATCH(C1517,Levels!$B$2:$B$30,0)),""))</f>
        <v/>
      </c>
      <c r="G1517" s="6" t="n"/>
      <c r="H1517" s="10">
        <f>IF(AND(B1517="",C1517=""),"",IF(G1517&lt;&gt;"","Void",IF(OR(B1517="",E1517=""),"Needs child",IF(D1517="","Needs level","OK"))))</f>
        <v/>
      </c>
    </row>
    <row r="1518">
      <c r="A1518" s="6" t="n"/>
      <c r="B1518" s="6" t="n"/>
      <c r="C1518" s="6" t="n"/>
      <c r="D1518" s="11">
        <f>IF(C1518="","",IFERROR(INDEX(Levels!$A$2:$A$30,MATCH(C1518,Levels!$B$2:$B$30,0)),""))</f>
        <v/>
      </c>
      <c r="E1518" s="10">
        <f>IF(B1518="","",IFERROR(INDEX(Roster!$A$2:$A$600,MATCH(B1518,Roster!$E$2:$E$600,0)),""))</f>
        <v/>
      </c>
      <c r="F1518" s="10">
        <f>IF(C1518="","",IFERROR(INDEX(Levels!$C$2:$C$30,MATCH(C1518,Levels!$B$2:$B$30,0)),""))</f>
        <v/>
      </c>
      <c r="G1518" s="6" t="n"/>
      <c r="H1518" s="10">
        <f>IF(AND(B1518="",C1518=""),"",IF(G1518&lt;&gt;"","Void",IF(OR(B1518="",E1518=""),"Needs child",IF(D1518="","Needs level","OK"))))</f>
        <v/>
      </c>
    </row>
    <row r="1519">
      <c r="A1519" s="6" t="n"/>
      <c r="B1519" s="6" t="n"/>
      <c r="C1519" s="6" t="n"/>
      <c r="D1519" s="11">
        <f>IF(C1519="","",IFERROR(INDEX(Levels!$A$2:$A$30,MATCH(C1519,Levels!$B$2:$B$30,0)),""))</f>
        <v/>
      </c>
      <c r="E1519" s="10">
        <f>IF(B1519="","",IFERROR(INDEX(Roster!$A$2:$A$600,MATCH(B1519,Roster!$E$2:$E$600,0)),""))</f>
        <v/>
      </c>
      <c r="F1519" s="10">
        <f>IF(C1519="","",IFERROR(INDEX(Levels!$C$2:$C$30,MATCH(C1519,Levels!$B$2:$B$30,0)),""))</f>
        <v/>
      </c>
      <c r="G1519" s="6" t="n"/>
      <c r="H1519" s="10">
        <f>IF(AND(B1519="",C1519=""),"",IF(G1519&lt;&gt;"","Void",IF(OR(B1519="",E1519=""),"Needs child",IF(D1519="","Needs level","OK"))))</f>
        <v/>
      </c>
    </row>
    <row r="1520">
      <c r="A1520" s="6" t="n"/>
      <c r="B1520" s="6" t="n"/>
      <c r="C1520" s="6" t="n"/>
      <c r="D1520" s="11">
        <f>IF(C1520="","",IFERROR(INDEX(Levels!$A$2:$A$30,MATCH(C1520,Levels!$B$2:$B$30,0)),""))</f>
        <v/>
      </c>
      <c r="E1520" s="10">
        <f>IF(B1520="","",IFERROR(INDEX(Roster!$A$2:$A$600,MATCH(B1520,Roster!$E$2:$E$600,0)),""))</f>
        <v/>
      </c>
      <c r="F1520" s="10">
        <f>IF(C1520="","",IFERROR(INDEX(Levels!$C$2:$C$30,MATCH(C1520,Levels!$B$2:$B$30,0)),""))</f>
        <v/>
      </c>
      <c r="G1520" s="6" t="n"/>
      <c r="H1520" s="10">
        <f>IF(AND(B1520="",C1520=""),"",IF(G1520&lt;&gt;"","Void",IF(OR(B1520="",E1520=""),"Needs child",IF(D1520="","Needs level","OK"))))</f>
        <v/>
      </c>
    </row>
    <row r="1521">
      <c r="A1521" s="6" t="n"/>
      <c r="B1521" s="6" t="n"/>
      <c r="C1521" s="6" t="n"/>
      <c r="D1521" s="11">
        <f>IF(C1521="","",IFERROR(INDEX(Levels!$A$2:$A$30,MATCH(C1521,Levels!$B$2:$B$30,0)),""))</f>
        <v/>
      </c>
      <c r="E1521" s="10">
        <f>IF(B1521="","",IFERROR(INDEX(Roster!$A$2:$A$600,MATCH(B1521,Roster!$E$2:$E$600,0)),""))</f>
        <v/>
      </c>
      <c r="F1521" s="10">
        <f>IF(C1521="","",IFERROR(INDEX(Levels!$C$2:$C$30,MATCH(C1521,Levels!$B$2:$B$30,0)),""))</f>
        <v/>
      </c>
      <c r="G1521" s="6" t="n"/>
      <c r="H1521" s="10">
        <f>IF(AND(B1521="",C1521=""),"",IF(G1521&lt;&gt;"","Void",IF(OR(B1521="",E1521=""),"Needs child",IF(D1521="","Needs level","OK"))))</f>
        <v/>
      </c>
    </row>
    <row r="1522">
      <c r="A1522" s="6" t="n"/>
      <c r="B1522" s="6" t="n"/>
      <c r="C1522" s="6" t="n"/>
      <c r="D1522" s="11">
        <f>IF(C1522="","",IFERROR(INDEX(Levels!$A$2:$A$30,MATCH(C1522,Levels!$B$2:$B$30,0)),""))</f>
        <v/>
      </c>
      <c r="E1522" s="10">
        <f>IF(B1522="","",IFERROR(INDEX(Roster!$A$2:$A$600,MATCH(B1522,Roster!$E$2:$E$600,0)),""))</f>
        <v/>
      </c>
      <c r="F1522" s="10">
        <f>IF(C1522="","",IFERROR(INDEX(Levels!$C$2:$C$30,MATCH(C1522,Levels!$B$2:$B$30,0)),""))</f>
        <v/>
      </c>
      <c r="G1522" s="6" t="n"/>
      <c r="H1522" s="10">
        <f>IF(AND(B1522="",C1522=""),"",IF(G1522&lt;&gt;"","Void",IF(OR(B1522="",E1522=""),"Needs child",IF(D1522="","Needs level","OK"))))</f>
        <v/>
      </c>
    </row>
    <row r="1523">
      <c r="A1523" s="6" t="n"/>
      <c r="B1523" s="6" t="n"/>
      <c r="C1523" s="6" t="n"/>
      <c r="D1523" s="11">
        <f>IF(C1523="","",IFERROR(INDEX(Levels!$A$2:$A$30,MATCH(C1523,Levels!$B$2:$B$30,0)),""))</f>
        <v/>
      </c>
      <c r="E1523" s="10">
        <f>IF(B1523="","",IFERROR(INDEX(Roster!$A$2:$A$600,MATCH(B1523,Roster!$E$2:$E$600,0)),""))</f>
        <v/>
      </c>
      <c r="F1523" s="10">
        <f>IF(C1523="","",IFERROR(INDEX(Levels!$C$2:$C$30,MATCH(C1523,Levels!$B$2:$B$30,0)),""))</f>
        <v/>
      </c>
      <c r="G1523" s="6" t="n"/>
      <c r="H1523" s="10">
        <f>IF(AND(B1523="",C1523=""),"",IF(G1523&lt;&gt;"","Void",IF(OR(B1523="",E1523=""),"Needs child",IF(D1523="","Needs level","OK"))))</f>
        <v/>
      </c>
    </row>
    <row r="1524">
      <c r="A1524" s="6" t="n"/>
      <c r="B1524" s="6" t="n"/>
      <c r="C1524" s="6" t="n"/>
      <c r="D1524" s="11">
        <f>IF(C1524="","",IFERROR(INDEX(Levels!$A$2:$A$30,MATCH(C1524,Levels!$B$2:$B$30,0)),""))</f>
        <v/>
      </c>
      <c r="E1524" s="10">
        <f>IF(B1524="","",IFERROR(INDEX(Roster!$A$2:$A$600,MATCH(B1524,Roster!$E$2:$E$600,0)),""))</f>
        <v/>
      </c>
      <c r="F1524" s="10">
        <f>IF(C1524="","",IFERROR(INDEX(Levels!$C$2:$C$30,MATCH(C1524,Levels!$B$2:$B$30,0)),""))</f>
        <v/>
      </c>
      <c r="G1524" s="6" t="n"/>
      <c r="H1524" s="10">
        <f>IF(AND(B1524="",C1524=""),"",IF(G1524&lt;&gt;"","Void",IF(OR(B1524="",E1524=""),"Needs child",IF(D1524="","Needs level","OK"))))</f>
        <v/>
      </c>
    </row>
    <row r="1525">
      <c r="A1525" s="6" t="n"/>
      <c r="B1525" s="6" t="n"/>
      <c r="C1525" s="6" t="n"/>
      <c r="D1525" s="11">
        <f>IF(C1525="","",IFERROR(INDEX(Levels!$A$2:$A$30,MATCH(C1525,Levels!$B$2:$B$30,0)),""))</f>
        <v/>
      </c>
      <c r="E1525" s="10">
        <f>IF(B1525="","",IFERROR(INDEX(Roster!$A$2:$A$600,MATCH(B1525,Roster!$E$2:$E$600,0)),""))</f>
        <v/>
      </c>
      <c r="F1525" s="10">
        <f>IF(C1525="","",IFERROR(INDEX(Levels!$C$2:$C$30,MATCH(C1525,Levels!$B$2:$B$30,0)),""))</f>
        <v/>
      </c>
      <c r="G1525" s="6" t="n"/>
      <c r="H1525" s="10">
        <f>IF(AND(B1525="",C1525=""),"",IF(G1525&lt;&gt;"","Void",IF(OR(B1525="",E1525=""),"Needs child",IF(D1525="","Needs level","OK"))))</f>
        <v/>
      </c>
    </row>
    <row r="1526">
      <c r="A1526" s="6" t="n"/>
      <c r="B1526" s="6" t="n"/>
      <c r="C1526" s="6" t="n"/>
      <c r="D1526" s="11">
        <f>IF(C1526="","",IFERROR(INDEX(Levels!$A$2:$A$30,MATCH(C1526,Levels!$B$2:$B$30,0)),""))</f>
        <v/>
      </c>
      <c r="E1526" s="10">
        <f>IF(B1526="","",IFERROR(INDEX(Roster!$A$2:$A$600,MATCH(B1526,Roster!$E$2:$E$600,0)),""))</f>
        <v/>
      </c>
      <c r="F1526" s="10">
        <f>IF(C1526="","",IFERROR(INDEX(Levels!$C$2:$C$30,MATCH(C1526,Levels!$B$2:$B$30,0)),""))</f>
        <v/>
      </c>
      <c r="G1526" s="6" t="n"/>
      <c r="H1526" s="10">
        <f>IF(AND(B1526="",C1526=""),"",IF(G1526&lt;&gt;"","Void",IF(OR(B1526="",E1526=""),"Needs child",IF(D1526="","Needs level","OK"))))</f>
        <v/>
      </c>
    </row>
    <row r="1527">
      <c r="A1527" s="6" t="n"/>
      <c r="B1527" s="6" t="n"/>
      <c r="C1527" s="6" t="n"/>
      <c r="D1527" s="11">
        <f>IF(C1527="","",IFERROR(INDEX(Levels!$A$2:$A$30,MATCH(C1527,Levels!$B$2:$B$30,0)),""))</f>
        <v/>
      </c>
      <c r="E1527" s="10">
        <f>IF(B1527="","",IFERROR(INDEX(Roster!$A$2:$A$600,MATCH(B1527,Roster!$E$2:$E$600,0)),""))</f>
        <v/>
      </c>
      <c r="F1527" s="10">
        <f>IF(C1527="","",IFERROR(INDEX(Levels!$C$2:$C$30,MATCH(C1527,Levels!$B$2:$B$30,0)),""))</f>
        <v/>
      </c>
      <c r="G1527" s="6" t="n"/>
      <c r="H1527" s="10">
        <f>IF(AND(B1527="",C1527=""),"",IF(G1527&lt;&gt;"","Void",IF(OR(B1527="",E1527=""),"Needs child",IF(D1527="","Needs level","OK"))))</f>
        <v/>
      </c>
    </row>
    <row r="1528">
      <c r="A1528" s="6" t="n"/>
      <c r="B1528" s="6" t="n"/>
      <c r="C1528" s="6" t="n"/>
      <c r="D1528" s="11">
        <f>IF(C1528="","",IFERROR(INDEX(Levels!$A$2:$A$30,MATCH(C1528,Levels!$B$2:$B$30,0)),""))</f>
        <v/>
      </c>
      <c r="E1528" s="10">
        <f>IF(B1528="","",IFERROR(INDEX(Roster!$A$2:$A$600,MATCH(B1528,Roster!$E$2:$E$600,0)),""))</f>
        <v/>
      </c>
      <c r="F1528" s="10">
        <f>IF(C1528="","",IFERROR(INDEX(Levels!$C$2:$C$30,MATCH(C1528,Levels!$B$2:$B$30,0)),""))</f>
        <v/>
      </c>
      <c r="G1528" s="6" t="n"/>
      <c r="H1528" s="10">
        <f>IF(AND(B1528="",C1528=""),"",IF(G1528&lt;&gt;"","Void",IF(OR(B1528="",E1528=""),"Needs child",IF(D1528="","Needs level","OK"))))</f>
        <v/>
      </c>
    </row>
    <row r="1529">
      <c r="A1529" s="6" t="n"/>
      <c r="B1529" s="6" t="n"/>
      <c r="C1529" s="6" t="n"/>
      <c r="D1529" s="11">
        <f>IF(C1529="","",IFERROR(INDEX(Levels!$A$2:$A$30,MATCH(C1529,Levels!$B$2:$B$30,0)),""))</f>
        <v/>
      </c>
      <c r="E1529" s="10">
        <f>IF(B1529="","",IFERROR(INDEX(Roster!$A$2:$A$600,MATCH(B1529,Roster!$E$2:$E$600,0)),""))</f>
        <v/>
      </c>
      <c r="F1529" s="10">
        <f>IF(C1529="","",IFERROR(INDEX(Levels!$C$2:$C$30,MATCH(C1529,Levels!$B$2:$B$30,0)),""))</f>
        <v/>
      </c>
      <c r="G1529" s="6" t="n"/>
      <c r="H1529" s="10">
        <f>IF(AND(B1529="",C1529=""),"",IF(G1529&lt;&gt;"","Void",IF(OR(B1529="",E1529=""),"Needs child",IF(D1529="","Needs level","OK"))))</f>
        <v/>
      </c>
    </row>
    <row r="1530">
      <c r="A1530" s="6" t="n"/>
      <c r="B1530" s="6" t="n"/>
      <c r="C1530" s="6" t="n"/>
      <c r="D1530" s="11">
        <f>IF(C1530="","",IFERROR(INDEX(Levels!$A$2:$A$30,MATCH(C1530,Levels!$B$2:$B$30,0)),""))</f>
        <v/>
      </c>
      <c r="E1530" s="10">
        <f>IF(B1530="","",IFERROR(INDEX(Roster!$A$2:$A$600,MATCH(B1530,Roster!$E$2:$E$600,0)),""))</f>
        <v/>
      </c>
      <c r="F1530" s="10">
        <f>IF(C1530="","",IFERROR(INDEX(Levels!$C$2:$C$30,MATCH(C1530,Levels!$B$2:$B$30,0)),""))</f>
        <v/>
      </c>
      <c r="G1530" s="6" t="n"/>
      <c r="H1530" s="10">
        <f>IF(AND(B1530="",C1530=""),"",IF(G1530&lt;&gt;"","Void",IF(OR(B1530="",E1530=""),"Needs child",IF(D1530="","Needs level","OK"))))</f>
        <v/>
      </c>
    </row>
    <row r="1531">
      <c r="A1531" s="6" t="n"/>
      <c r="B1531" s="6" t="n"/>
      <c r="C1531" s="6" t="n"/>
      <c r="D1531" s="11">
        <f>IF(C1531="","",IFERROR(INDEX(Levels!$A$2:$A$30,MATCH(C1531,Levels!$B$2:$B$30,0)),""))</f>
        <v/>
      </c>
      <c r="E1531" s="10">
        <f>IF(B1531="","",IFERROR(INDEX(Roster!$A$2:$A$600,MATCH(B1531,Roster!$E$2:$E$600,0)),""))</f>
        <v/>
      </c>
      <c r="F1531" s="10">
        <f>IF(C1531="","",IFERROR(INDEX(Levels!$C$2:$C$30,MATCH(C1531,Levels!$B$2:$B$30,0)),""))</f>
        <v/>
      </c>
      <c r="G1531" s="6" t="n"/>
      <c r="H1531" s="10">
        <f>IF(AND(B1531="",C1531=""),"",IF(G1531&lt;&gt;"","Void",IF(OR(B1531="",E1531=""),"Needs child",IF(D1531="","Needs level","OK"))))</f>
        <v/>
      </c>
    </row>
    <row r="1532">
      <c r="A1532" s="6" t="n"/>
      <c r="B1532" s="6" t="n"/>
      <c r="C1532" s="6" t="n"/>
      <c r="D1532" s="11">
        <f>IF(C1532="","",IFERROR(INDEX(Levels!$A$2:$A$30,MATCH(C1532,Levels!$B$2:$B$30,0)),""))</f>
        <v/>
      </c>
      <c r="E1532" s="10">
        <f>IF(B1532="","",IFERROR(INDEX(Roster!$A$2:$A$600,MATCH(B1532,Roster!$E$2:$E$600,0)),""))</f>
        <v/>
      </c>
      <c r="F1532" s="10">
        <f>IF(C1532="","",IFERROR(INDEX(Levels!$C$2:$C$30,MATCH(C1532,Levels!$B$2:$B$30,0)),""))</f>
        <v/>
      </c>
      <c r="G1532" s="6" t="n"/>
      <c r="H1532" s="10">
        <f>IF(AND(B1532="",C1532=""),"",IF(G1532&lt;&gt;"","Void",IF(OR(B1532="",E1532=""),"Needs child",IF(D1532="","Needs level","OK"))))</f>
        <v/>
      </c>
    </row>
    <row r="1533">
      <c r="A1533" s="6" t="n"/>
      <c r="B1533" s="6" t="n"/>
      <c r="C1533" s="6" t="n"/>
      <c r="D1533" s="11">
        <f>IF(C1533="","",IFERROR(INDEX(Levels!$A$2:$A$30,MATCH(C1533,Levels!$B$2:$B$30,0)),""))</f>
        <v/>
      </c>
      <c r="E1533" s="10">
        <f>IF(B1533="","",IFERROR(INDEX(Roster!$A$2:$A$600,MATCH(B1533,Roster!$E$2:$E$600,0)),""))</f>
        <v/>
      </c>
      <c r="F1533" s="10">
        <f>IF(C1533="","",IFERROR(INDEX(Levels!$C$2:$C$30,MATCH(C1533,Levels!$B$2:$B$30,0)),""))</f>
        <v/>
      </c>
      <c r="G1533" s="6" t="n"/>
      <c r="H1533" s="10">
        <f>IF(AND(B1533="",C1533=""),"",IF(G1533&lt;&gt;"","Void",IF(OR(B1533="",E1533=""),"Needs child",IF(D1533="","Needs level","OK"))))</f>
        <v/>
      </c>
    </row>
    <row r="1534">
      <c r="A1534" s="6" t="n"/>
      <c r="B1534" s="6" t="n"/>
      <c r="C1534" s="6" t="n"/>
      <c r="D1534" s="11">
        <f>IF(C1534="","",IFERROR(INDEX(Levels!$A$2:$A$30,MATCH(C1534,Levels!$B$2:$B$30,0)),""))</f>
        <v/>
      </c>
      <c r="E1534" s="10">
        <f>IF(B1534="","",IFERROR(INDEX(Roster!$A$2:$A$600,MATCH(B1534,Roster!$E$2:$E$600,0)),""))</f>
        <v/>
      </c>
      <c r="F1534" s="10">
        <f>IF(C1534="","",IFERROR(INDEX(Levels!$C$2:$C$30,MATCH(C1534,Levels!$B$2:$B$30,0)),""))</f>
        <v/>
      </c>
      <c r="G1534" s="6" t="n"/>
      <c r="H1534" s="10">
        <f>IF(AND(B1534="",C1534=""),"",IF(G1534&lt;&gt;"","Void",IF(OR(B1534="",E1534=""),"Needs child",IF(D1534="","Needs level","OK"))))</f>
        <v/>
      </c>
    </row>
    <row r="1535">
      <c r="A1535" s="6" t="n"/>
      <c r="B1535" s="6" t="n"/>
      <c r="C1535" s="6" t="n"/>
      <c r="D1535" s="11">
        <f>IF(C1535="","",IFERROR(INDEX(Levels!$A$2:$A$30,MATCH(C1535,Levels!$B$2:$B$30,0)),""))</f>
        <v/>
      </c>
      <c r="E1535" s="10">
        <f>IF(B1535="","",IFERROR(INDEX(Roster!$A$2:$A$600,MATCH(B1535,Roster!$E$2:$E$600,0)),""))</f>
        <v/>
      </c>
      <c r="F1535" s="10">
        <f>IF(C1535="","",IFERROR(INDEX(Levels!$C$2:$C$30,MATCH(C1535,Levels!$B$2:$B$30,0)),""))</f>
        <v/>
      </c>
      <c r="G1535" s="6" t="n"/>
      <c r="H1535" s="10">
        <f>IF(AND(B1535="",C1535=""),"",IF(G1535&lt;&gt;"","Void",IF(OR(B1535="",E1535=""),"Needs child",IF(D1535="","Needs level","OK"))))</f>
        <v/>
      </c>
    </row>
    <row r="1536">
      <c r="A1536" s="6" t="n"/>
      <c r="B1536" s="6" t="n"/>
      <c r="C1536" s="6" t="n"/>
      <c r="D1536" s="11">
        <f>IF(C1536="","",IFERROR(INDEX(Levels!$A$2:$A$30,MATCH(C1536,Levels!$B$2:$B$30,0)),""))</f>
        <v/>
      </c>
      <c r="E1536" s="10">
        <f>IF(B1536="","",IFERROR(INDEX(Roster!$A$2:$A$600,MATCH(B1536,Roster!$E$2:$E$600,0)),""))</f>
        <v/>
      </c>
      <c r="F1536" s="10">
        <f>IF(C1536="","",IFERROR(INDEX(Levels!$C$2:$C$30,MATCH(C1536,Levels!$B$2:$B$30,0)),""))</f>
        <v/>
      </c>
      <c r="G1536" s="6" t="n"/>
      <c r="H1536" s="10">
        <f>IF(AND(B1536="",C1536=""),"",IF(G1536&lt;&gt;"","Void",IF(OR(B1536="",E1536=""),"Needs child",IF(D1536="","Needs level","OK"))))</f>
        <v/>
      </c>
    </row>
    <row r="1537">
      <c r="A1537" s="6" t="n"/>
      <c r="B1537" s="6" t="n"/>
      <c r="C1537" s="6" t="n"/>
      <c r="D1537" s="11">
        <f>IF(C1537="","",IFERROR(INDEX(Levels!$A$2:$A$30,MATCH(C1537,Levels!$B$2:$B$30,0)),""))</f>
        <v/>
      </c>
      <c r="E1537" s="10">
        <f>IF(B1537="","",IFERROR(INDEX(Roster!$A$2:$A$600,MATCH(B1537,Roster!$E$2:$E$600,0)),""))</f>
        <v/>
      </c>
      <c r="F1537" s="10">
        <f>IF(C1537="","",IFERROR(INDEX(Levels!$C$2:$C$30,MATCH(C1537,Levels!$B$2:$B$30,0)),""))</f>
        <v/>
      </c>
      <c r="G1537" s="6" t="n"/>
      <c r="H1537" s="10">
        <f>IF(AND(B1537="",C1537=""),"",IF(G1537&lt;&gt;"","Void",IF(OR(B1537="",E1537=""),"Needs child",IF(D1537="","Needs level","OK"))))</f>
        <v/>
      </c>
    </row>
    <row r="1538">
      <c r="A1538" s="6" t="n"/>
      <c r="B1538" s="6" t="n"/>
      <c r="C1538" s="6" t="n"/>
      <c r="D1538" s="11">
        <f>IF(C1538="","",IFERROR(INDEX(Levels!$A$2:$A$30,MATCH(C1538,Levels!$B$2:$B$30,0)),""))</f>
        <v/>
      </c>
      <c r="E1538" s="10">
        <f>IF(B1538="","",IFERROR(INDEX(Roster!$A$2:$A$600,MATCH(B1538,Roster!$E$2:$E$600,0)),""))</f>
        <v/>
      </c>
      <c r="F1538" s="10">
        <f>IF(C1538="","",IFERROR(INDEX(Levels!$C$2:$C$30,MATCH(C1538,Levels!$B$2:$B$30,0)),""))</f>
        <v/>
      </c>
      <c r="G1538" s="6" t="n"/>
      <c r="H1538" s="10">
        <f>IF(AND(B1538="",C1538=""),"",IF(G1538&lt;&gt;"","Void",IF(OR(B1538="",E1538=""),"Needs child",IF(D1538="","Needs level","OK"))))</f>
        <v/>
      </c>
    </row>
    <row r="1539">
      <c r="A1539" s="6" t="n"/>
      <c r="B1539" s="6" t="n"/>
      <c r="C1539" s="6" t="n"/>
      <c r="D1539" s="11">
        <f>IF(C1539="","",IFERROR(INDEX(Levels!$A$2:$A$30,MATCH(C1539,Levels!$B$2:$B$30,0)),""))</f>
        <v/>
      </c>
      <c r="E1539" s="10">
        <f>IF(B1539="","",IFERROR(INDEX(Roster!$A$2:$A$600,MATCH(B1539,Roster!$E$2:$E$600,0)),""))</f>
        <v/>
      </c>
      <c r="F1539" s="10">
        <f>IF(C1539="","",IFERROR(INDEX(Levels!$C$2:$C$30,MATCH(C1539,Levels!$B$2:$B$30,0)),""))</f>
        <v/>
      </c>
      <c r="G1539" s="6" t="n"/>
      <c r="H1539" s="10">
        <f>IF(AND(B1539="",C1539=""),"",IF(G1539&lt;&gt;"","Void",IF(OR(B1539="",E1539=""),"Needs child",IF(D1539="","Needs level","OK"))))</f>
        <v/>
      </c>
    </row>
    <row r="1540">
      <c r="A1540" s="6" t="n"/>
      <c r="B1540" s="6" t="n"/>
      <c r="C1540" s="6" t="n"/>
      <c r="D1540" s="11">
        <f>IF(C1540="","",IFERROR(INDEX(Levels!$A$2:$A$30,MATCH(C1540,Levels!$B$2:$B$30,0)),""))</f>
        <v/>
      </c>
      <c r="E1540" s="10">
        <f>IF(B1540="","",IFERROR(INDEX(Roster!$A$2:$A$600,MATCH(B1540,Roster!$E$2:$E$600,0)),""))</f>
        <v/>
      </c>
      <c r="F1540" s="10">
        <f>IF(C1540="","",IFERROR(INDEX(Levels!$C$2:$C$30,MATCH(C1540,Levels!$B$2:$B$30,0)),""))</f>
        <v/>
      </c>
      <c r="G1540" s="6" t="n"/>
      <c r="H1540" s="10">
        <f>IF(AND(B1540="",C1540=""),"",IF(G1540&lt;&gt;"","Void",IF(OR(B1540="",E1540=""),"Needs child",IF(D1540="","Needs level","OK"))))</f>
        <v/>
      </c>
    </row>
    <row r="1541">
      <c r="A1541" s="6" t="n"/>
      <c r="B1541" s="6" t="n"/>
      <c r="C1541" s="6" t="n"/>
      <c r="D1541" s="11">
        <f>IF(C1541="","",IFERROR(INDEX(Levels!$A$2:$A$30,MATCH(C1541,Levels!$B$2:$B$30,0)),""))</f>
        <v/>
      </c>
      <c r="E1541" s="10">
        <f>IF(B1541="","",IFERROR(INDEX(Roster!$A$2:$A$600,MATCH(B1541,Roster!$E$2:$E$600,0)),""))</f>
        <v/>
      </c>
      <c r="F1541" s="10">
        <f>IF(C1541="","",IFERROR(INDEX(Levels!$C$2:$C$30,MATCH(C1541,Levels!$B$2:$B$30,0)),""))</f>
        <v/>
      </c>
      <c r="G1541" s="6" t="n"/>
      <c r="H1541" s="10">
        <f>IF(AND(B1541="",C1541=""),"",IF(G1541&lt;&gt;"","Void",IF(OR(B1541="",E1541=""),"Needs child",IF(D1541="","Needs level","OK"))))</f>
        <v/>
      </c>
    </row>
    <row r="1542">
      <c r="A1542" s="6" t="n"/>
      <c r="B1542" s="6" t="n"/>
      <c r="C1542" s="6" t="n"/>
      <c r="D1542" s="11">
        <f>IF(C1542="","",IFERROR(INDEX(Levels!$A$2:$A$30,MATCH(C1542,Levels!$B$2:$B$30,0)),""))</f>
        <v/>
      </c>
      <c r="E1542" s="10">
        <f>IF(B1542="","",IFERROR(INDEX(Roster!$A$2:$A$600,MATCH(B1542,Roster!$E$2:$E$600,0)),""))</f>
        <v/>
      </c>
      <c r="F1542" s="10">
        <f>IF(C1542="","",IFERROR(INDEX(Levels!$C$2:$C$30,MATCH(C1542,Levels!$B$2:$B$30,0)),""))</f>
        <v/>
      </c>
      <c r="G1542" s="6" t="n"/>
      <c r="H1542" s="10">
        <f>IF(AND(B1542="",C1542=""),"",IF(G1542&lt;&gt;"","Void",IF(OR(B1542="",E1542=""),"Needs child",IF(D1542="","Needs level","OK"))))</f>
        <v/>
      </c>
    </row>
    <row r="1543">
      <c r="A1543" s="6" t="n"/>
      <c r="B1543" s="6" t="n"/>
      <c r="C1543" s="6" t="n"/>
      <c r="D1543" s="11">
        <f>IF(C1543="","",IFERROR(INDEX(Levels!$A$2:$A$30,MATCH(C1543,Levels!$B$2:$B$30,0)),""))</f>
        <v/>
      </c>
      <c r="E1543" s="10">
        <f>IF(B1543="","",IFERROR(INDEX(Roster!$A$2:$A$600,MATCH(B1543,Roster!$E$2:$E$600,0)),""))</f>
        <v/>
      </c>
      <c r="F1543" s="10">
        <f>IF(C1543="","",IFERROR(INDEX(Levels!$C$2:$C$30,MATCH(C1543,Levels!$B$2:$B$30,0)),""))</f>
        <v/>
      </c>
      <c r="G1543" s="6" t="n"/>
      <c r="H1543" s="10">
        <f>IF(AND(B1543="",C1543=""),"",IF(G1543&lt;&gt;"","Void",IF(OR(B1543="",E1543=""),"Needs child",IF(D1543="","Needs level","OK"))))</f>
        <v/>
      </c>
    </row>
    <row r="1544">
      <c r="A1544" s="6" t="n"/>
      <c r="B1544" s="6" t="n"/>
      <c r="C1544" s="6" t="n"/>
      <c r="D1544" s="11">
        <f>IF(C1544="","",IFERROR(INDEX(Levels!$A$2:$A$30,MATCH(C1544,Levels!$B$2:$B$30,0)),""))</f>
        <v/>
      </c>
      <c r="E1544" s="10">
        <f>IF(B1544="","",IFERROR(INDEX(Roster!$A$2:$A$600,MATCH(B1544,Roster!$E$2:$E$600,0)),""))</f>
        <v/>
      </c>
      <c r="F1544" s="10">
        <f>IF(C1544="","",IFERROR(INDEX(Levels!$C$2:$C$30,MATCH(C1544,Levels!$B$2:$B$30,0)),""))</f>
        <v/>
      </c>
      <c r="G1544" s="6" t="n"/>
      <c r="H1544" s="10">
        <f>IF(AND(B1544="",C1544=""),"",IF(G1544&lt;&gt;"","Void",IF(OR(B1544="",E1544=""),"Needs child",IF(D1544="","Needs level","OK"))))</f>
        <v/>
      </c>
    </row>
    <row r="1545">
      <c r="A1545" s="6" t="n"/>
      <c r="B1545" s="6" t="n"/>
      <c r="C1545" s="6" t="n"/>
      <c r="D1545" s="11">
        <f>IF(C1545="","",IFERROR(INDEX(Levels!$A$2:$A$30,MATCH(C1545,Levels!$B$2:$B$30,0)),""))</f>
        <v/>
      </c>
      <c r="E1545" s="10">
        <f>IF(B1545="","",IFERROR(INDEX(Roster!$A$2:$A$600,MATCH(B1545,Roster!$E$2:$E$600,0)),""))</f>
        <v/>
      </c>
      <c r="F1545" s="10">
        <f>IF(C1545="","",IFERROR(INDEX(Levels!$C$2:$C$30,MATCH(C1545,Levels!$B$2:$B$30,0)),""))</f>
        <v/>
      </c>
      <c r="G1545" s="6" t="n"/>
      <c r="H1545" s="10">
        <f>IF(AND(B1545="",C1545=""),"",IF(G1545&lt;&gt;"","Void",IF(OR(B1545="",E1545=""),"Needs child",IF(D1545="","Needs level","OK"))))</f>
        <v/>
      </c>
    </row>
    <row r="1546">
      <c r="A1546" s="6" t="n"/>
      <c r="B1546" s="6" t="n"/>
      <c r="C1546" s="6" t="n"/>
      <c r="D1546" s="11">
        <f>IF(C1546="","",IFERROR(INDEX(Levels!$A$2:$A$30,MATCH(C1546,Levels!$B$2:$B$30,0)),""))</f>
        <v/>
      </c>
      <c r="E1546" s="10">
        <f>IF(B1546="","",IFERROR(INDEX(Roster!$A$2:$A$600,MATCH(B1546,Roster!$E$2:$E$600,0)),""))</f>
        <v/>
      </c>
      <c r="F1546" s="10">
        <f>IF(C1546="","",IFERROR(INDEX(Levels!$C$2:$C$30,MATCH(C1546,Levels!$B$2:$B$30,0)),""))</f>
        <v/>
      </c>
      <c r="G1546" s="6" t="n"/>
      <c r="H1546" s="10">
        <f>IF(AND(B1546="",C1546=""),"",IF(G1546&lt;&gt;"","Void",IF(OR(B1546="",E1546=""),"Needs child",IF(D1546="","Needs level","OK"))))</f>
        <v/>
      </c>
    </row>
    <row r="1547">
      <c r="A1547" s="6" t="n"/>
      <c r="B1547" s="6" t="n"/>
      <c r="C1547" s="6" t="n"/>
      <c r="D1547" s="11">
        <f>IF(C1547="","",IFERROR(INDEX(Levels!$A$2:$A$30,MATCH(C1547,Levels!$B$2:$B$30,0)),""))</f>
        <v/>
      </c>
      <c r="E1547" s="10">
        <f>IF(B1547="","",IFERROR(INDEX(Roster!$A$2:$A$600,MATCH(B1547,Roster!$E$2:$E$600,0)),""))</f>
        <v/>
      </c>
      <c r="F1547" s="10">
        <f>IF(C1547="","",IFERROR(INDEX(Levels!$C$2:$C$30,MATCH(C1547,Levels!$B$2:$B$30,0)),""))</f>
        <v/>
      </c>
      <c r="G1547" s="6" t="n"/>
      <c r="H1547" s="10">
        <f>IF(AND(B1547="",C1547=""),"",IF(G1547&lt;&gt;"","Void",IF(OR(B1547="",E1547=""),"Needs child",IF(D1547="","Needs level","OK"))))</f>
        <v/>
      </c>
    </row>
    <row r="1548">
      <c r="A1548" s="6" t="n"/>
      <c r="B1548" s="6" t="n"/>
      <c r="C1548" s="6" t="n"/>
      <c r="D1548" s="11">
        <f>IF(C1548="","",IFERROR(INDEX(Levels!$A$2:$A$30,MATCH(C1548,Levels!$B$2:$B$30,0)),""))</f>
        <v/>
      </c>
      <c r="E1548" s="10">
        <f>IF(B1548="","",IFERROR(INDEX(Roster!$A$2:$A$600,MATCH(B1548,Roster!$E$2:$E$600,0)),""))</f>
        <v/>
      </c>
      <c r="F1548" s="10">
        <f>IF(C1548="","",IFERROR(INDEX(Levels!$C$2:$C$30,MATCH(C1548,Levels!$B$2:$B$30,0)),""))</f>
        <v/>
      </c>
      <c r="G1548" s="6" t="n"/>
      <c r="H1548" s="10">
        <f>IF(AND(B1548="",C1548=""),"",IF(G1548&lt;&gt;"","Void",IF(OR(B1548="",E1548=""),"Needs child",IF(D1548="","Needs level","OK"))))</f>
        <v/>
      </c>
    </row>
    <row r="1549">
      <c r="A1549" s="6" t="n"/>
      <c r="B1549" s="6" t="n"/>
      <c r="C1549" s="6" t="n"/>
      <c r="D1549" s="11">
        <f>IF(C1549="","",IFERROR(INDEX(Levels!$A$2:$A$30,MATCH(C1549,Levels!$B$2:$B$30,0)),""))</f>
        <v/>
      </c>
      <c r="E1549" s="10">
        <f>IF(B1549="","",IFERROR(INDEX(Roster!$A$2:$A$600,MATCH(B1549,Roster!$E$2:$E$600,0)),""))</f>
        <v/>
      </c>
      <c r="F1549" s="10">
        <f>IF(C1549="","",IFERROR(INDEX(Levels!$C$2:$C$30,MATCH(C1549,Levels!$B$2:$B$30,0)),""))</f>
        <v/>
      </c>
      <c r="G1549" s="6" t="n"/>
      <c r="H1549" s="10">
        <f>IF(AND(B1549="",C1549=""),"",IF(G1549&lt;&gt;"","Void",IF(OR(B1549="",E1549=""),"Needs child",IF(D1549="","Needs level","OK"))))</f>
        <v/>
      </c>
    </row>
    <row r="1550">
      <c r="A1550" s="6" t="n"/>
      <c r="B1550" s="6" t="n"/>
      <c r="C1550" s="6" t="n"/>
      <c r="D1550" s="11">
        <f>IF(C1550="","",IFERROR(INDEX(Levels!$A$2:$A$30,MATCH(C1550,Levels!$B$2:$B$30,0)),""))</f>
        <v/>
      </c>
      <c r="E1550" s="10">
        <f>IF(B1550="","",IFERROR(INDEX(Roster!$A$2:$A$600,MATCH(B1550,Roster!$E$2:$E$600,0)),""))</f>
        <v/>
      </c>
      <c r="F1550" s="10">
        <f>IF(C1550="","",IFERROR(INDEX(Levels!$C$2:$C$30,MATCH(C1550,Levels!$B$2:$B$30,0)),""))</f>
        <v/>
      </c>
      <c r="G1550" s="6" t="n"/>
      <c r="H1550" s="10">
        <f>IF(AND(B1550="",C1550=""),"",IF(G1550&lt;&gt;"","Void",IF(OR(B1550="",E1550=""),"Needs child",IF(D1550="","Needs level","OK"))))</f>
        <v/>
      </c>
    </row>
    <row r="1551">
      <c r="A1551" s="6" t="n"/>
      <c r="B1551" s="6" t="n"/>
      <c r="C1551" s="6" t="n"/>
      <c r="D1551" s="11">
        <f>IF(C1551="","",IFERROR(INDEX(Levels!$A$2:$A$30,MATCH(C1551,Levels!$B$2:$B$30,0)),""))</f>
        <v/>
      </c>
      <c r="E1551" s="10">
        <f>IF(B1551="","",IFERROR(INDEX(Roster!$A$2:$A$600,MATCH(B1551,Roster!$E$2:$E$600,0)),""))</f>
        <v/>
      </c>
      <c r="F1551" s="10">
        <f>IF(C1551="","",IFERROR(INDEX(Levels!$C$2:$C$30,MATCH(C1551,Levels!$B$2:$B$30,0)),""))</f>
        <v/>
      </c>
      <c r="G1551" s="6" t="n"/>
      <c r="H1551" s="10">
        <f>IF(AND(B1551="",C1551=""),"",IF(G1551&lt;&gt;"","Void",IF(OR(B1551="",E1551=""),"Needs child",IF(D1551="","Needs level","OK"))))</f>
        <v/>
      </c>
    </row>
    <row r="1552">
      <c r="A1552" s="6" t="n"/>
      <c r="B1552" s="6" t="n"/>
      <c r="C1552" s="6" t="n"/>
      <c r="D1552" s="11">
        <f>IF(C1552="","",IFERROR(INDEX(Levels!$A$2:$A$30,MATCH(C1552,Levels!$B$2:$B$30,0)),""))</f>
        <v/>
      </c>
      <c r="E1552" s="10">
        <f>IF(B1552="","",IFERROR(INDEX(Roster!$A$2:$A$600,MATCH(B1552,Roster!$E$2:$E$600,0)),""))</f>
        <v/>
      </c>
      <c r="F1552" s="10">
        <f>IF(C1552="","",IFERROR(INDEX(Levels!$C$2:$C$30,MATCH(C1552,Levels!$B$2:$B$30,0)),""))</f>
        <v/>
      </c>
      <c r="G1552" s="6" t="n"/>
      <c r="H1552" s="10">
        <f>IF(AND(B1552="",C1552=""),"",IF(G1552&lt;&gt;"","Void",IF(OR(B1552="",E1552=""),"Needs child",IF(D1552="","Needs level","OK"))))</f>
        <v/>
      </c>
    </row>
    <row r="1553">
      <c r="A1553" s="6" t="n"/>
      <c r="B1553" s="6" t="n"/>
      <c r="C1553" s="6" t="n"/>
      <c r="D1553" s="11">
        <f>IF(C1553="","",IFERROR(INDEX(Levels!$A$2:$A$30,MATCH(C1553,Levels!$B$2:$B$30,0)),""))</f>
        <v/>
      </c>
      <c r="E1553" s="10">
        <f>IF(B1553="","",IFERROR(INDEX(Roster!$A$2:$A$600,MATCH(B1553,Roster!$E$2:$E$600,0)),""))</f>
        <v/>
      </c>
      <c r="F1553" s="10">
        <f>IF(C1553="","",IFERROR(INDEX(Levels!$C$2:$C$30,MATCH(C1553,Levels!$B$2:$B$30,0)),""))</f>
        <v/>
      </c>
      <c r="G1553" s="6" t="n"/>
      <c r="H1553" s="10">
        <f>IF(AND(B1553="",C1553=""),"",IF(G1553&lt;&gt;"","Void",IF(OR(B1553="",E1553=""),"Needs child",IF(D1553="","Needs level","OK"))))</f>
        <v/>
      </c>
    </row>
    <row r="1554">
      <c r="A1554" s="6" t="n"/>
      <c r="B1554" s="6" t="n"/>
      <c r="C1554" s="6" t="n"/>
      <c r="D1554" s="11">
        <f>IF(C1554="","",IFERROR(INDEX(Levels!$A$2:$A$30,MATCH(C1554,Levels!$B$2:$B$30,0)),""))</f>
        <v/>
      </c>
      <c r="E1554" s="10">
        <f>IF(B1554="","",IFERROR(INDEX(Roster!$A$2:$A$600,MATCH(B1554,Roster!$E$2:$E$600,0)),""))</f>
        <v/>
      </c>
      <c r="F1554" s="10">
        <f>IF(C1554="","",IFERROR(INDEX(Levels!$C$2:$C$30,MATCH(C1554,Levels!$B$2:$B$30,0)),""))</f>
        <v/>
      </c>
      <c r="G1554" s="6" t="n"/>
      <c r="H1554" s="10">
        <f>IF(AND(B1554="",C1554=""),"",IF(G1554&lt;&gt;"","Void",IF(OR(B1554="",E1554=""),"Needs child",IF(D1554="","Needs level","OK"))))</f>
        <v/>
      </c>
    </row>
    <row r="1555">
      <c r="A1555" s="6" t="n"/>
      <c r="B1555" s="6" t="n"/>
      <c r="C1555" s="6" t="n"/>
      <c r="D1555" s="11">
        <f>IF(C1555="","",IFERROR(INDEX(Levels!$A$2:$A$30,MATCH(C1555,Levels!$B$2:$B$30,0)),""))</f>
        <v/>
      </c>
      <c r="E1555" s="10">
        <f>IF(B1555="","",IFERROR(INDEX(Roster!$A$2:$A$600,MATCH(B1555,Roster!$E$2:$E$600,0)),""))</f>
        <v/>
      </c>
      <c r="F1555" s="10">
        <f>IF(C1555="","",IFERROR(INDEX(Levels!$C$2:$C$30,MATCH(C1555,Levels!$B$2:$B$30,0)),""))</f>
        <v/>
      </c>
      <c r="G1555" s="6" t="n"/>
      <c r="H1555" s="10">
        <f>IF(AND(B1555="",C1555=""),"",IF(G1555&lt;&gt;"","Void",IF(OR(B1555="",E1555=""),"Needs child",IF(D1555="","Needs level","OK"))))</f>
        <v/>
      </c>
    </row>
    <row r="1556">
      <c r="A1556" s="6" t="n"/>
      <c r="B1556" s="6" t="n"/>
      <c r="C1556" s="6" t="n"/>
      <c r="D1556" s="11">
        <f>IF(C1556="","",IFERROR(INDEX(Levels!$A$2:$A$30,MATCH(C1556,Levels!$B$2:$B$30,0)),""))</f>
        <v/>
      </c>
      <c r="E1556" s="10">
        <f>IF(B1556="","",IFERROR(INDEX(Roster!$A$2:$A$600,MATCH(B1556,Roster!$E$2:$E$600,0)),""))</f>
        <v/>
      </c>
      <c r="F1556" s="10">
        <f>IF(C1556="","",IFERROR(INDEX(Levels!$C$2:$C$30,MATCH(C1556,Levels!$B$2:$B$30,0)),""))</f>
        <v/>
      </c>
      <c r="G1556" s="6" t="n"/>
      <c r="H1556" s="10">
        <f>IF(AND(B1556="",C1556=""),"",IF(G1556&lt;&gt;"","Void",IF(OR(B1556="",E1556=""),"Needs child",IF(D1556="","Needs level","OK"))))</f>
        <v/>
      </c>
    </row>
    <row r="1557">
      <c r="A1557" s="6" t="n"/>
      <c r="B1557" s="6" t="n"/>
      <c r="C1557" s="6" t="n"/>
      <c r="D1557" s="11">
        <f>IF(C1557="","",IFERROR(INDEX(Levels!$A$2:$A$30,MATCH(C1557,Levels!$B$2:$B$30,0)),""))</f>
        <v/>
      </c>
      <c r="E1557" s="10">
        <f>IF(B1557="","",IFERROR(INDEX(Roster!$A$2:$A$600,MATCH(B1557,Roster!$E$2:$E$600,0)),""))</f>
        <v/>
      </c>
      <c r="F1557" s="10">
        <f>IF(C1557="","",IFERROR(INDEX(Levels!$C$2:$C$30,MATCH(C1557,Levels!$B$2:$B$30,0)),""))</f>
        <v/>
      </c>
      <c r="G1557" s="6" t="n"/>
      <c r="H1557" s="10">
        <f>IF(AND(B1557="",C1557=""),"",IF(G1557&lt;&gt;"","Void",IF(OR(B1557="",E1557=""),"Needs child",IF(D1557="","Needs level","OK"))))</f>
        <v/>
      </c>
    </row>
    <row r="1558">
      <c r="A1558" s="6" t="n"/>
      <c r="B1558" s="6" t="n"/>
      <c r="C1558" s="6" t="n"/>
      <c r="D1558" s="11">
        <f>IF(C1558="","",IFERROR(INDEX(Levels!$A$2:$A$30,MATCH(C1558,Levels!$B$2:$B$30,0)),""))</f>
        <v/>
      </c>
      <c r="E1558" s="10">
        <f>IF(B1558="","",IFERROR(INDEX(Roster!$A$2:$A$600,MATCH(B1558,Roster!$E$2:$E$600,0)),""))</f>
        <v/>
      </c>
      <c r="F1558" s="10">
        <f>IF(C1558="","",IFERROR(INDEX(Levels!$C$2:$C$30,MATCH(C1558,Levels!$B$2:$B$30,0)),""))</f>
        <v/>
      </c>
      <c r="G1558" s="6" t="n"/>
      <c r="H1558" s="10">
        <f>IF(AND(B1558="",C1558=""),"",IF(G1558&lt;&gt;"","Void",IF(OR(B1558="",E1558=""),"Needs child",IF(D1558="","Needs level","OK"))))</f>
        <v/>
      </c>
    </row>
    <row r="1559">
      <c r="A1559" s="6" t="n"/>
      <c r="B1559" s="6" t="n"/>
      <c r="C1559" s="6" t="n"/>
      <c r="D1559" s="11">
        <f>IF(C1559="","",IFERROR(INDEX(Levels!$A$2:$A$30,MATCH(C1559,Levels!$B$2:$B$30,0)),""))</f>
        <v/>
      </c>
      <c r="E1559" s="10">
        <f>IF(B1559="","",IFERROR(INDEX(Roster!$A$2:$A$600,MATCH(B1559,Roster!$E$2:$E$600,0)),""))</f>
        <v/>
      </c>
      <c r="F1559" s="10">
        <f>IF(C1559="","",IFERROR(INDEX(Levels!$C$2:$C$30,MATCH(C1559,Levels!$B$2:$B$30,0)),""))</f>
        <v/>
      </c>
      <c r="G1559" s="6" t="n"/>
      <c r="H1559" s="10">
        <f>IF(AND(B1559="",C1559=""),"",IF(G1559&lt;&gt;"","Void",IF(OR(B1559="",E1559=""),"Needs child",IF(D1559="","Needs level","OK"))))</f>
        <v/>
      </c>
    </row>
    <row r="1560">
      <c r="A1560" s="6" t="n"/>
      <c r="B1560" s="6" t="n"/>
      <c r="C1560" s="6" t="n"/>
      <c r="D1560" s="11">
        <f>IF(C1560="","",IFERROR(INDEX(Levels!$A$2:$A$30,MATCH(C1560,Levels!$B$2:$B$30,0)),""))</f>
        <v/>
      </c>
      <c r="E1560" s="10">
        <f>IF(B1560="","",IFERROR(INDEX(Roster!$A$2:$A$600,MATCH(B1560,Roster!$E$2:$E$600,0)),""))</f>
        <v/>
      </c>
      <c r="F1560" s="10">
        <f>IF(C1560="","",IFERROR(INDEX(Levels!$C$2:$C$30,MATCH(C1560,Levels!$B$2:$B$30,0)),""))</f>
        <v/>
      </c>
      <c r="G1560" s="6" t="n"/>
      <c r="H1560" s="10">
        <f>IF(AND(B1560="",C1560=""),"",IF(G1560&lt;&gt;"","Void",IF(OR(B1560="",E1560=""),"Needs child",IF(D1560="","Needs level","OK"))))</f>
        <v/>
      </c>
    </row>
    <row r="1561">
      <c r="A1561" s="6" t="n"/>
      <c r="B1561" s="6" t="n"/>
      <c r="C1561" s="6" t="n"/>
      <c r="D1561" s="11">
        <f>IF(C1561="","",IFERROR(INDEX(Levels!$A$2:$A$30,MATCH(C1561,Levels!$B$2:$B$30,0)),""))</f>
        <v/>
      </c>
      <c r="E1561" s="10">
        <f>IF(B1561="","",IFERROR(INDEX(Roster!$A$2:$A$600,MATCH(B1561,Roster!$E$2:$E$600,0)),""))</f>
        <v/>
      </c>
      <c r="F1561" s="10">
        <f>IF(C1561="","",IFERROR(INDEX(Levels!$C$2:$C$30,MATCH(C1561,Levels!$B$2:$B$30,0)),""))</f>
        <v/>
      </c>
      <c r="G1561" s="6" t="n"/>
      <c r="H1561" s="10">
        <f>IF(AND(B1561="",C1561=""),"",IF(G1561&lt;&gt;"","Void",IF(OR(B1561="",E1561=""),"Needs child",IF(D1561="","Needs level","OK"))))</f>
        <v/>
      </c>
    </row>
    <row r="1562">
      <c r="A1562" s="6" t="n"/>
      <c r="B1562" s="6" t="n"/>
      <c r="C1562" s="6" t="n"/>
      <c r="D1562" s="11">
        <f>IF(C1562="","",IFERROR(INDEX(Levels!$A$2:$A$30,MATCH(C1562,Levels!$B$2:$B$30,0)),""))</f>
        <v/>
      </c>
      <c r="E1562" s="10">
        <f>IF(B1562="","",IFERROR(INDEX(Roster!$A$2:$A$600,MATCH(B1562,Roster!$E$2:$E$600,0)),""))</f>
        <v/>
      </c>
      <c r="F1562" s="10">
        <f>IF(C1562="","",IFERROR(INDEX(Levels!$C$2:$C$30,MATCH(C1562,Levels!$B$2:$B$30,0)),""))</f>
        <v/>
      </c>
      <c r="G1562" s="6" t="n"/>
      <c r="H1562" s="10">
        <f>IF(AND(B1562="",C1562=""),"",IF(G1562&lt;&gt;"","Void",IF(OR(B1562="",E1562=""),"Needs child",IF(D1562="","Needs level","OK"))))</f>
        <v/>
      </c>
    </row>
    <row r="1563">
      <c r="A1563" s="6" t="n"/>
      <c r="B1563" s="6" t="n"/>
      <c r="C1563" s="6" t="n"/>
      <c r="D1563" s="11">
        <f>IF(C1563="","",IFERROR(INDEX(Levels!$A$2:$A$30,MATCH(C1563,Levels!$B$2:$B$30,0)),""))</f>
        <v/>
      </c>
      <c r="E1563" s="10">
        <f>IF(B1563="","",IFERROR(INDEX(Roster!$A$2:$A$600,MATCH(B1563,Roster!$E$2:$E$600,0)),""))</f>
        <v/>
      </c>
      <c r="F1563" s="10">
        <f>IF(C1563="","",IFERROR(INDEX(Levels!$C$2:$C$30,MATCH(C1563,Levels!$B$2:$B$30,0)),""))</f>
        <v/>
      </c>
      <c r="G1563" s="6" t="n"/>
      <c r="H1563" s="10">
        <f>IF(AND(B1563="",C1563=""),"",IF(G1563&lt;&gt;"","Void",IF(OR(B1563="",E1563=""),"Needs child",IF(D1563="","Needs level","OK"))))</f>
        <v/>
      </c>
    </row>
    <row r="1564">
      <c r="A1564" s="6" t="n"/>
      <c r="B1564" s="6" t="n"/>
      <c r="C1564" s="6" t="n"/>
      <c r="D1564" s="11">
        <f>IF(C1564="","",IFERROR(INDEX(Levels!$A$2:$A$30,MATCH(C1564,Levels!$B$2:$B$30,0)),""))</f>
        <v/>
      </c>
      <c r="E1564" s="10">
        <f>IF(B1564="","",IFERROR(INDEX(Roster!$A$2:$A$600,MATCH(B1564,Roster!$E$2:$E$600,0)),""))</f>
        <v/>
      </c>
      <c r="F1564" s="10">
        <f>IF(C1564="","",IFERROR(INDEX(Levels!$C$2:$C$30,MATCH(C1564,Levels!$B$2:$B$30,0)),""))</f>
        <v/>
      </c>
      <c r="G1564" s="6" t="n"/>
      <c r="H1564" s="10">
        <f>IF(AND(B1564="",C1564=""),"",IF(G1564&lt;&gt;"","Void",IF(OR(B1564="",E1564=""),"Needs child",IF(D1564="","Needs level","OK"))))</f>
        <v/>
      </c>
    </row>
    <row r="1565">
      <c r="A1565" s="6" t="n"/>
      <c r="B1565" s="6" t="n"/>
      <c r="C1565" s="6" t="n"/>
      <c r="D1565" s="11">
        <f>IF(C1565="","",IFERROR(INDEX(Levels!$A$2:$A$30,MATCH(C1565,Levels!$B$2:$B$30,0)),""))</f>
        <v/>
      </c>
      <c r="E1565" s="10">
        <f>IF(B1565="","",IFERROR(INDEX(Roster!$A$2:$A$600,MATCH(B1565,Roster!$E$2:$E$600,0)),""))</f>
        <v/>
      </c>
      <c r="F1565" s="10">
        <f>IF(C1565="","",IFERROR(INDEX(Levels!$C$2:$C$30,MATCH(C1565,Levels!$B$2:$B$30,0)),""))</f>
        <v/>
      </c>
      <c r="G1565" s="6" t="n"/>
      <c r="H1565" s="10">
        <f>IF(AND(B1565="",C1565=""),"",IF(G1565&lt;&gt;"","Void",IF(OR(B1565="",E1565=""),"Needs child",IF(D1565="","Needs level","OK"))))</f>
        <v/>
      </c>
    </row>
    <row r="1566">
      <c r="A1566" s="6" t="n"/>
      <c r="B1566" s="6" t="n"/>
      <c r="C1566" s="6" t="n"/>
      <c r="D1566" s="11">
        <f>IF(C1566="","",IFERROR(INDEX(Levels!$A$2:$A$30,MATCH(C1566,Levels!$B$2:$B$30,0)),""))</f>
        <v/>
      </c>
      <c r="E1566" s="10">
        <f>IF(B1566="","",IFERROR(INDEX(Roster!$A$2:$A$600,MATCH(B1566,Roster!$E$2:$E$600,0)),""))</f>
        <v/>
      </c>
      <c r="F1566" s="10">
        <f>IF(C1566="","",IFERROR(INDEX(Levels!$C$2:$C$30,MATCH(C1566,Levels!$B$2:$B$30,0)),""))</f>
        <v/>
      </c>
      <c r="G1566" s="6" t="n"/>
      <c r="H1566" s="10">
        <f>IF(AND(B1566="",C1566=""),"",IF(G1566&lt;&gt;"","Void",IF(OR(B1566="",E1566=""),"Needs child",IF(D1566="","Needs level","OK"))))</f>
        <v/>
      </c>
    </row>
    <row r="1567">
      <c r="A1567" s="6" t="n"/>
      <c r="B1567" s="6" t="n"/>
      <c r="C1567" s="6" t="n"/>
      <c r="D1567" s="11">
        <f>IF(C1567="","",IFERROR(INDEX(Levels!$A$2:$A$30,MATCH(C1567,Levels!$B$2:$B$30,0)),""))</f>
        <v/>
      </c>
      <c r="E1567" s="10">
        <f>IF(B1567="","",IFERROR(INDEX(Roster!$A$2:$A$600,MATCH(B1567,Roster!$E$2:$E$600,0)),""))</f>
        <v/>
      </c>
      <c r="F1567" s="10">
        <f>IF(C1567="","",IFERROR(INDEX(Levels!$C$2:$C$30,MATCH(C1567,Levels!$B$2:$B$30,0)),""))</f>
        <v/>
      </c>
      <c r="G1567" s="6" t="n"/>
      <c r="H1567" s="10">
        <f>IF(AND(B1567="",C1567=""),"",IF(G1567&lt;&gt;"","Void",IF(OR(B1567="",E1567=""),"Needs child",IF(D1567="","Needs level","OK"))))</f>
        <v/>
      </c>
    </row>
    <row r="1568">
      <c r="A1568" s="6" t="n"/>
      <c r="B1568" s="6" t="n"/>
      <c r="C1568" s="6" t="n"/>
      <c r="D1568" s="11">
        <f>IF(C1568="","",IFERROR(INDEX(Levels!$A$2:$A$30,MATCH(C1568,Levels!$B$2:$B$30,0)),""))</f>
        <v/>
      </c>
      <c r="E1568" s="10">
        <f>IF(B1568="","",IFERROR(INDEX(Roster!$A$2:$A$600,MATCH(B1568,Roster!$E$2:$E$600,0)),""))</f>
        <v/>
      </c>
      <c r="F1568" s="10">
        <f>IF(C1568="","",IFERROR(INDEX(Levels!$C$2:$C$30,MATCH(C1568,Levels!$B$2:$B$30,0)),""))</f>
        <v/>
      </c>
      <c r="G1568" s="6" t="n"/>
      <c r="H1568" s="10">
        <f>IF(AND(B1568="",C1568=""),"",IF(G1568&lt;&gt;"","Void",IF(OR(B1568="",E1568=""),"Needs child",IF(D1568="","Needs level","OK"))))</f>
        <v/>
      </c>
    </row>
    <row r="1569">
      <c r="A1569" s="6" t="n"/>
      <c r="B1569" s="6" t="n"/>
      <c r="C1569" s="6" t="n"/>
      <c r="D1569" s="11">
        <f>IF(C1569="","",IFERROR(INDEX(Levels!$A$2:$A$30,MATCH(C1569,Levels!$B$2:$B$30,0)),""))</f>
        <v/>
      </c>
      <c r="E1569" s="10">
        <f>IF(B1569="","",IFERROR(INDEX(Roster!$A$2:$A$600,MATCH(B1569,Roster!$E$2:$E$600,0)),""))</f>
        <v/>
      </c>
      <c r="F1569" s="10">
        <f>IF(C1569="","",IFERROR(INDEX(Levels!$C$2:$C$30,MATCH(C1569,Levels!$B$2:$B$30,0)),""))</f>
        <v/>
      </c>
      <c r="G1569" s="6" t="n"/>
      <c r="H1569" s="10">
        <f>IF(AND(B1569="",C1569=""),"",IF(G1569&lt;&gt;"","Void",IF(OR(B1569="",E1569=""),"Needs child",IF(D1569="","Needs level","OK"))))</f>
        <v/>
      </c>
    </row>
    <row r="1570">
      <c r="A1570" s="6" t="n"/>
      <c r="B1570" s="6" t="n"/>
      <c r="C1570" s="6" t="n"/>
      <c r="D1570" s="11">
        <f>IF(C1570="","",IFERROR(INDEX(Levels!$A$2:$A$30,MATCH(C1570,Levels!$B$2:$B$30,0)),""))</f>
        <v/>
      </c>
      <c r="E1570" s="10">
        <f>IF(B1570="","",IFERROR(INDEX(Roster!$A$2:$A$600,MATCH(B1570,Roster!$E$2:$E$600,0)),""))</f>
        <v/>
      </c>
      <c r="F1570" s="10">
        <f>IF(C1570="","",IFERROR(INDEX(Levels!$C$2:$C$30,MATCH(C1570,Levels!$B$2:$B$30,0)),""))</f>
        <v/>
      </c>
      <c r="G1570" s="6" t="n"/>
      <c r="H1570" s="10">
        <f>IF(AND(B1570="",C1570=""),"",IF(G1570&lt;&gt;"","Void",IF(OR(B1570="",E1570=""),"Needs child",IF(D1570="","Needs level","OK"))))</f>
        <v/>
      </c>
    </row>
    <row r="1571">
      <c r="A1571" s="6" t="n"/>
      <c r="B1571" s="6" t="n"/>
      <c r="C1571" s="6" t="n"/>
      <c r="D1571" s="11">
        <f>IF(C1571="","",IFERROR(INDEX(Levels!$A$2:$A$30,MATCH(C1571,Levels!$B$2:$B$30,0)),""))</f>
        <v/>
      </c>
      <c r="E1571" s="10">
        <f>IF(B1571="","",IFERROR(INDEX(Roster!$A$2:$A$600,MATCH(B1571,Roster!$E$2:$E$600,0)),""))</f>
        <v/>
      </c>
      <c r="F1571" s="10">
        <f>IF(C1571="","",IFERROR(INDEX(Levels!$C$2:$C$30,MATCH(C1571,Levels!$B$2:$B$30,0)),""))</f>
        <v/>
      </c>
      <c r="G1571" s="6" t="n"/>
      <c r="H1571" s="10">
        <f>IF(AND(B1571="",C1571=""),"",IF(G1571&lt;&gt;"","Void",IF(OR(B1571="",E1571=""),"Needs child",IF(D1571="","Needs level","OK"))))</f>
        <v/>
      </c>
    </row>
    <row r="1572">
      <c r="A1572" s="6" t="n"/>
      <c r="B1572" s="6" t="n"/>
      <c r="C1572" s="6" t="n"/>
      <c r="D1572" s="11">
        <f>IF(C1572="","",IFERROR(INDEX(Levels!$A$2:$A$30,MATCH(C1572,Levels!$B$2:$B$30,0)),""))</f>
        <v/>
      </c>
      <c r="E1572" s="10">
        <f>IF(B1572="","",IFERROR(INDEX(Roster!$A$2:$A$600,MATCH(B1572,Roster!$E$2:$E$600,0)),""))</f>
        <v/>
      </c>
      <c r="F1572" s="10">
        <f>IF(C1572="","",IFERROR(INDEX(Levels!$C$2:$C$30,MATCH(C1572,Levels!$B$2:$B$30,0)),""))</f>
        <v/>
      </c>
      <c r="G1572" s="6" t="n"/>
      <c r="H1572" s="10">
        <f>IF(AND(B1572="",C1572=""),"",IF(G1572&lt;&gt;"","Void",IF(OR(B1572="",E1572=""),"Needs child",IF(D1572="","Needs level","OK"))))</f>
        <v/>
      </c>
    </row>
    <row r="1573">
      <c r="A1573" s="6" t="n"/>
      <c r="B1573" s="6" t="n"/>
      <c r="C1573" s="6" t="n"/>
      <c r="D1573" s="11">
        <f>IF(C1573="","",IFERROR(INDEX(Levels!$A$2:$A$30,MATCH(C1573,Levels!$B$2:$B$30,0)),""))</f>
        <v/>
      </c>
      <c r="E1573" s="10">
        <f>IF(B1573="","",IFERROR(INDEX(Roster!$A$2:$A$600,MATCH(B1573,Roster!$E$2:$E$600,0)),""))</f>
        <v/>
      </c>
      <c r="F1573" s="10">
        <f>IF(C1573="","",IFERROR(INDEX(Levels!$C$2:$C$30,MATCH(C1573,Levels!$B$2:$B$30,0)),""))</f>
        <v/>
      </c>
      <c r="G1573" s="6" t="n"/>
      <c r="H1573" s="10">
        <f>IF(AND(B1573="",C1573=""),"",IF(G1573&lt;&gt;"","Void",IF(OR(B1573="",E1573=""),"Needs child",IF(D1573="","Needs level","OK"))))</f>
        <v/>
      </c>
    </row>
    <row r="1574">
      <c r="A1574" s="6" t="n"/>
      <c r="B1574" s="6" t="n"/>
      <c r="C1574" s="6" t="n"/>
      <c r="D1574" s="11">
        <f>IF(C1574="","",IFERROR(INDEX(Levels!$A$2:$A$30,MATCH(C1574,Levels!$B$2:$B$30,0)),""))</f>
        <v/>
      </c>
      <c r="E1574" s="10">
        <f>IF(B1574="","",IFERROR(INDEX(Roster!$A$2:$A$600,MATCH(B1574,Roster!$E$2:$E$600,0)),""))</f>
        <v/>
      </c>
      <c r="F1574" s="10">
        <f>IF(C1574="","",IFERROR(INDEX(Levels!$C$2:$C$30,MATCH(C1574,Levels!$B$2:$B$30,0)),""))</f>
        <v/>
      </c>
      <c r="G1574" s="6" t="n"/>
      <c r="H1574" s="10">
        <f>IF(AND(B1574="",C1574=""),"",IF(G1574&lt;&gt;"","Void",IF(OR(B1574="",E1574=""),"Needs child",IF(D1574="","Needs level","OK"))))</f>
        <v/>
      </c>
    </row>
    <row r="1575">
      <c r="A1575" s="6" t="n"/>
      <c r="B1575" s="6" t="n"/>
      <c r="C1575" s="6" t="n"/>
      <c r="D1575" s="11">
        <f>IF(C1575="","",IFERROR(INDEX(Levels!$A$2:$A$30,MATCH(C1575,Levels!$B$2:$B$30,0)),""))</f>
        <v/>
      </c>
      <c r="E1575" s="10">
        <f>IF(B1575="","",IFERROR(INDEX(Roster!$A$2:$A$600,MATCH(B1575,Roster!$E$2:$E$600,0)),""))</f>
        <v/>
      </c>
      <c r="F1575" s="10">
        <f>IF(C1575="","",IFERROR(INDEX(Levels!$C$2:$C$30,MATCH(C1575,Levels!$B$2:$B$30,0)),""))</f>
        <v/>
      </c>
      <c r="G1575" s="6" t="n"/>
      <c r="H1575" s="10">
        <f>IF(AND(B1575="",C1575=""),"",IF(G1575&lt;&gt;"","Void",IF(OR(B1575="",E1575=""),"Needs child",IF(D1575="","Needs level","OK"))))</f>
        <v/>
      </c>
    </row>
    <row r="1576">
      <c r="A1576" s="6" t="n"/>
      <c r="B1576" s="6" t="n"/>
      <c r="C1576" s="6" t="n"/>
      <c r="D1576" s="11">
        <f>IF(C1576="","",IFERROR(INDEX(Levels!$A$2:$A$30,MATCH(C1576,Levels!$B$2:$B$30,0)),""))</f>
        <v/>
      </c>
      <c r="E1576" s="10">
        <f>IF(B1576="","",IFERROR(INDEX(Roster!$A$2:$A$600,MATCH(B1576,Roster!$E$2:$E$600,0)),""))</f>
        <v/>
      </c>
      <c r="F1576" s="10">
        <f>IF(C1576="","",IFERROR(INDEX(Levels!$C$2:$C$30,MATCH(C1576,Levels!$B$2:$B$30,0)),""))</f>
        <v/>
      </c>
      <c r="G1576" s="6" t="n"/>
      <c r="H1576" s="10">
        <f>IF(AND(B1576="",C1576=""),"",IF(G1576&lt;&gt;"","Void",IF(OR(B1576="",E1576=""),"Needs child",IF(D1576="","Needs level","OK"))))</f>
        <v/>
      </c>
    </row>
    <row r="1577">
      <c r="A1577" s="6" t="n"/>
      <c r="B1577" s="6" t="n"/>
      <c r="C1577" s="6" t="n"/>
      <c r="D1577" s="11">
        <f>IF(C1577="","",IFERROR(INDEX(Levels!$A$2:$A$30,MATCH(C1577,Levels!$B$2:$B$30,0)),""))</f>
        <v/>
      </c>
      <c r="E1577" s="10">
        <f>IF(B1577="","",IFERROR(INDEX(Roster!$A$2:$A$600,MATCH(B1577,Roster!$E$2:$E$600,0)),""))</f>
        <v/>
      </c>
      <c r="F1577" s="10">
        <f>IF(C1577="","",IFERROR(INDEX(Levels!$C$2:$C$30,MATCH(C1577,Levels!$B$2:$B$30,0)),""))</f>
        <v/>
      </c>
      <c r="G1577" s="6" t="n"/>
      <c r="H1577" s="10">
        <f>IF(AND(B1577="",C1577=""),"",IF(G1577&lt;&gt;"","Void",IF(OR(B1577="",E1577=""),"Needs child",IF(D1577="","Needs level","OK"))))</f>
        <v/>
      </c>
    </row>
    <row r="1578">
      <c r="A1578" s="6" t="n"/>
      <c r="B1578" s="6" t="n"/>
      <c r="C1578" s="6" t="n"/>
      <c r="D1578" s="11">
        <f>IF(C1578="","",IFERROR(INDEX(Levels!$A$2:$A$30,MATCH(C1578,Levels!$B$2:$B$30,0)),""))</f>
        <v/>
      </c>
      <c r="E1578" s="10">
        <f>IF(B1578="","",IFERROR(INDEX(Roster!$A$2:$A$600,MATCH(B1578,Roster!$E$2:$E$600,0)),""))</f>
        <v/>
      </c>
      <c r="F1578" s="10">
        <f>IF(C1578="","",IFERROR(INDEX(Levels!$C$2:$C$30,MATCH(C1578,Levels!$B$2:$B$30,0)),""))</f>
        <v/>
      </c>
      <c r="G1578" s="6" t="n"/>
      <c r="H1578" s="10">
        <f>IF(AND(B1578="",C1578=""),"",IF(G1578&lt;&gt;"","Void",IF(OR(B1578="",E1578=""),"Needs child",IF(D1578="","Needs level","OK"))))</f>
        <v/>
      </c>
    </row>
    <row r="1579">
      <c r="A1579" s="6" t="n"/>
      <c r="B1579" s="6" t="n"/>
      <c r="C1579" s="6" t="n"/>
      <c r="D1579" s="11">
        <f>IF(C1579="","",IFERROR(INDEX(Levels!$A$2:$A$30,MATCH(C1579,Levels!$B$2:$B$30,0)),""))</f>
        <v/>
      </c>
      <c r="E1579" s="10">
        <f>IF(B1579="","",IFERROR(INDEX(Roster!$A$2:$A$600,MATCH(B1579,Roster!$E$2:$E$600,0)),""))</f>
        <v/>
      </c>
      <c r="F1579" s="10">
        <f>IF(C1579="","",IFERROR(INDEX(Levels!$C$2:$C$30,MATCH(C1579,Levels!$B$2:$B$30,0)),""))</f>
        <v/>
      </c>
      <c r="G1579" s="6" t="n"/>
      <c r="H1579" s="10">
        <f>IF(AND(B1579="",C1579=""),"",IF(G1579&lt;&gt;"","Void",IF(OR(B1579="",E1579=""),"Needs child",IF(D1579="","Needs level","OK"))))</f>
        <v/>
      </c>
    </row>
    <row r="1580">
      <c r="A1580" s="6" t="n"/>
      <c r="B1580" s="6" t="n"/>
      <c r="C1580" s="6" t="n"/>
      <c r="D1580" s="11">
        <f>IF(C1580="","",IFERROR(INDEX(Levels!$A$2:$A$30,MATCH(C1580,Levels!$B$2:$B$30,0)),""))</f>
        <v/>
      </c>
      <c r="E1580" s="10">
        <f>IF(B1580="","",IFERROR(INDEX(Roster!$A$2:$A$600,MATCH(B1580,Roster!$E$2:$E$600,0)),""))</f>
        <v/>
      </c>
      <c r="F1580" s="10">
        <f>IF(C1580="","",IFERROR(INDEX(Levels!$C$2:$C$30,MATCH(C1580,Levels!$B$2:$B$30,0)),""))</f>
        <v/>
      </c>
      <c r="G1580" s="6" t="n"/>
      <c r="H1580" s="10">
        <f>IF(AND(B1580="",C1580=""),"",IF(G1580&lt;&gt;"","Void",IF(OR(B1580="",E1580=""),"Needs child",IF(D1580="","Needs level","OK"))))</f>
        <v/>
      </c>
    </row>
    <row r="1581">
      <c r="A1581" s="6" t="n"/>
      <c r="B1581" s="6" t="n"/>
      <c r="C1581" s="6" t="n"/>
      <c r="D1581" s="11">
        <f>IF(C1581="","",IFERROR(INDEX(Levels!$A$2:$A$30,MATCH(C1581,Levels!$B$2:$B$30,0)),""))</f>
        <v/>
      </c>
      <c r="E1581" s="10">
        <f>IF(B1581="","",IFERROR(INDEX(Roster!$A$2:$A$600,MATCH(B1581,Roster!$E$2:$E$600,0)),""))</f>
        <v/>
      </c>
      <c r="F1581" s="10">
        <f>IF(C1581="","",IFERROR(INDEX(Levels!$C$2:$C$30,MATCH(C1581,Levels!$B$2:$B$30,0)),""))</f>
        <v/>
      </c>
      <c r="G1581" s="6" t="n"/>
      <c r="H1581" s="10">
        <f>IF(AND(B1581="",C1581=""),"",IF(G1581&lt;&gt;"","Void",IF(OR(B1581="",E1581=""),"Needs child",IF(D1581="","Needs level","OK"))))</f>
        <v/>
      </c>
    </row>
    <row r="1582">
      <c r="A1582" s="6" t="n"/>
      <c r="B1582" s="6" t="n"/>
      <c r="C1582" s="6" t="n"/>
      <c r="D1582" s="11">
        <f>IF(C1582="","",IFERROR(INDEX(Levels!$A$2:$A$30,MATCH(C1582,Levels!$B$2:$B$30,0)),""))</f>
        <v/>
      </c>
      <c r="E1582" s="10">
        <f>IF(B1582="","",IFERROR(INDEX(Roster!$A$2:$A$600,MATCH(B1582,Roster!$E$2:$E$600,0)),""))</f>
        <v/>
      </c>
      <c r="F1582" s="10">
        <f>IF(C1582="","",IFERROR(INDEX(Levels!$C$2:$C$30,MATCH(C1582,Levels!$B$2:$B$30,0)),""))</f>
        <v/>
      </c>
      <c r="G1582" s="6" t="n"/>
      <c r="H1582" s="10">
        <f>IF(AND(B1582="",C1582=""),"",IF(G1582&lt;&gt;"","Void",IF(OR(B1582="",E1582=""),"Needs child",IF(D1582="","Needs level","OK"))))</f>
        <v/>
      </c>
    </row>
    <row r="1583">
      <c r="A1583" s="6" t="n"/>
      <c r="B1583" s="6" t="n"/>
      <c r="C1583" s="6" t="n"/>
      <c r="D1583" s="11">
        <f>IF(C1583="","",IFERROR(INDEX(Levels!$A$2:$A$30,MATCH(C1583,Levels!$B$2:$B$30,0)),""))</f>
        <v/>
      </c>
      <c r="E1583" s="10">
        <f>IF(B1583="","",IFERROR(INDEX(Roster!$A$2:$A$600,MATCH(B1583,Roster!$E$2:$E$600,0)),""))</f>
        <v/>
      </c>
      <c r="F1583" s="10">
        <f>IF(C1583="","",IFERROR(INDEX(Levels!$C$2:$C$30,MATCH(C1583,Levels!$B$2:$B$30,0)),""))</f>
        <v/>
      </c>
      <c r="G1583" s="6" t="n"/>
      <c r="H1583" s="10">
        <f>IF(AND(B1583="",C1583=""),"",IF(G1583&lt;&gt;"","Void",IF(OR(B1583="",E1583=""),"Needs child",IF(D1583="","Needs level","OK"))))</f>
        <v/>
      </c>
    </row>
    <row r="1584">
      <c r="A1584" s="6" t="n"/>
      <c r="B1584" s="6" t="n"/>
      <c r="C1584" s="6" t="n"/>
      <c r="D1584" s="11">
        <f>IF(C1584="","",IFERROR(INDEX(Levels!$A$2:$A$30,MATCH(C1584,Levels!$B$2:$B$30,0)),""))</f>
        <v/>
      </c>
      <c r="E1584" s="10">
        <f>IF(B1584="","",IFERROR(INDEX(Roster!$A$2:$A$600,MATCH(B1584,Roster!$E$2:$E$600,0)),""))</f>
        <v/>
      </c>
      <c r="F1584" s="10">
        <f>IF(C1584="","",IFERROR(INDEX(Levels!$C$2:$C$30,MATCH(C1584,Levels!$B$2:$B$30,0)),""))</f>
        <v/>
      </c>
      <c r="G1584" s="6" t="n"/>
      <c r="H1584" s="10">
        <f>IF(AND(B1584="",C1584=""),"",IF(G1584&lt;&gt;"","Void",IF(OR(B1584="",E1584=""),"Needs child",IF(D1584="","Needs level","OK"))))</f>
        <v/>
      </c>
    </row>
    <row r="1585">
      <c r="A1585" s="6" t="n"/>
      <c r="B1585" s="6" t="n"/>
      <c r="C1585" s="6" t="n"/>
      <c r="D1585" s="11">
        <f>IF(C1585="","",IFERROR(INDEX(Levels!$A$2:$A$30,MATCH(C1585,Levels!$B$2:$B$30,0)),""))</f>
        <v/>
      </c>
      <c r="E1585" s="10">
        <f>IF(B1585="","",IFERROR(INDEX(Roster!$A$2:$A$600,MATCH(B1585,Roster!$E$2:$E$600,0)),""))</f>
        <v/>
      </c>
      <c r="F1585" s="10">
        <f>IF(C1585="","",IFERROR(INDEX(Levels!$C$2:$C$30,MATCH(C1585,Levels!$B$2:$B$30,0)),""))</f>
        <v/>
      </c>
      <c r="G1585" s="6" t="n"/>
      <c r="H1585" s="10">
        <f>IF(AND(B1585="",C1585=""),"",IF(G1585&lt;&gt;"","Void",IF(OR(B1585="",E1585=""),"Needs child",IF(D1585="","Needs level","OK"))))</f>
        <v/>
      </c>
    </row>
    <row r="1586">
      <c r="A1586" s="6" t="n"/>
      <c r="B1586" s="6" t="n"/>
      <c r="C1586" s="6" t="n"/>
      <c r="D1586" s="11">
        <f>IF(C1586="","",IFERROR(INDEX(Levels!$A$2:$A$30,MATCH(C1586,Levels!$B$2:$B$30,0)),""))</f>
        <v/>
      </c>
      <c r="E1586" s="10">
        <f>IF(B1586="","",IFERROR(INDEX(Roster!$A$2:$A$600,MATCH(B1586,Roster!$E$2:$E$600,0)),""))</f>
        <v/>
      </c>
      <c r="F1586" s="10">
        <f>IF(C1586="","",IFERROR(INDEX(Levels!$C$2:$C$30,MATCH(C1586,Levels!$B$2:$B$30,0)),""))</f>
        <v/>
      </c>
      <c r="G1586" s="6" t="n"/>
      <c r="H1586" s="10">
        <f>IF(AND(B1586="",C1586=""),"",IF(G1586&lt;&gt;"","Void",IF(OR(B1586="",E1586=""),"Needs child",IF(D1586="","Needs level","OK"))))</f>
        <v/>
      </c>
    </row>
    <row r="1587">
      <c r="A1587" s="6" t="n"/>
      <c r="B1587" s="6" t="n"/>
      <c r="C1587" s="6" t="n"/>
      <c r="D1587" s="11">
        <f>IF(C1587="","",IFERROR(INDEX(Levels!$A$2:$A$30,MATCH(C1587,Levels!$B$2:$B$30,0)),""))</f>
        <v/>
      </c>
      <c r="E1587" s="10">
        <f>IF(B1587="","",IFERROR(INDEX(Roster!$A$2:$A$600,MATCH(B1587,Roster!$E$2:$E$600,0)),""))</f>
        <v/>
      </c>
      <c r="F1587" s="10">
        <f>IF(C1587="","",IFERROR(INDEX(Levels!$C$2:$C$30,MATCH(C1587,Levels!$B$2:$B$30,0)),""))</f>
        <v/>
      </c>
      <c r="G1587" s="6" t="n"/>
      <c r="H1587" s="10">
        <f>IF(AND(B1587="",C1587=""),"",IF(G1587&lt;&gt;"","Void",IF(OR(B1587="",E1587=""),"Needs child",IF(D1587="","Needs level","OK"))))</f>
        <v/>
      </c>
    </row>
    <row r="1588">
      <c r="A1588" s="6" t="n"/>
      <c r="B1588" s="6" t="n"/>
      <c r="C1588" s="6" t="n"/>
      <c r="D1588" s="11">
        <f>IF(C1588="","",IFERROR(INDEX(Levels!$A$2:$A$30,MATCH(C1588,Levels!$B$2:$B$30,0)),""))</f>
        <v/>
      </c>
      <c r="E1588" s="10">
        <f>IF(B1588="","",IFERROR(INDEX(Roster!$A$2:$A$600,MATCH(B1588,Roster!$E$2:$E$600,0)),""))</f>
        <v/>
      </c>
      <c r="F1588" s="10">
        <f>IF(C1588="","",IFERROR(INDEX(Levels!$C$2:$C$30,MATCH(C1588,Levels!$B$2:$B$30,0)),""))</f>
        <v/>
      </c>
      <c r="G1588" s="6" t="n"/>
      <c r="H1588" s="10">
        <f>IF(AND(B1588="",C1588=""),"",IF(G1588&lt;&gt;"","Void",IF(OR(B1588="",E1588=""),"Needs child",IF(D1588="","Needs level","OK"))))</f>
        <v/>
      </c>
    </row>
    <row r="1589">
      <c r="A1589" s="6" t="n"/>
      <c r="B1589" s="6" t="n"/>
      <c r="C1589" s="6" t="n"/>
      <c r="D1589" s="11">
        <f>IF(C1589="","",IFERROR(INDEX(Levels!$A$2:$A$30,MATCH(C1589,Levels!$B$2:$B$30,0)),""))</f>
        <v/>
      </c>
      <c r="E1589" s="10">
        <f>IF(B1589="","",IFERROR(INDEX(Roster!$A$2:$A$600,MATCH(B1589,Roster!$E$2:$E$600,0)),""))</f>
        <v/>
      </c>
      <c r="F1589" s="10">
        <f>IF(C1589="","",IFERROR(INDEX(Levels!$C$2:$C$30,MATCH(C1589,Levels!$B$2:$B$30,0)),""))</f>
        <v/>
      </c>
      <c r="G1589" s="6" t="n"/>
      <c r="H1589" s="10">
        <f>IF(AND(B1589="",C1589=""),"",IF(G1589&lt;&gt;"","Void",IF(OR(B1589="",E1589=""),"Needs child",IF(D1589="","Needs level","OK"))))</f>
        <v/>
      </c>
    </row>
    <row r="1590">
      <c r="A1590" s="6" t="n"/>
      <c r="B1590" s="6" t="n"/>
      <c r="C1590" s="6" t="n"/>
      <c r="D1590" s="11">
        <f>IF(C1590="","",IFERROR(INDEX(Levels!$A$2:$A$30,MATCH(C1590,Levels!$B$2:$B$30,0)),""))</f>
        <v/>
      </c>
      <c r="E1590" s="10">
        <f>IF(B1590="","",IFERROR(INDEX(Roster!$A$2:$A$600,MATCH(B1590,Roster!$E$2:$E$600,0)),""))</f>
        <v/>
      </c>
      <c r="F1590" s="10">
        <f>IF(C1590="","",IFERROR(INDEX(Levels!$C$2:$C$30,MATCH(C1590,Levels!$B$2:$B$30,0)),""))</f>
        <v/>
      </c>
      <c r="G1590" s="6" t="n"/>
      <c r="H1590" s="10">
        <f>IF(AND(B1590="",C1590=""),"",IF(G1590&lt;&gt;"","Void",IF(OR(B1590="",E1590=""),"Needs child",IF(D1590="","Needs level","OK"))))</f>
        <v/>
      </c>
    </row>
    <row r="1591">
      <c r="A1591" s="6" t="n"/>
      <c r="B1591" s="6" t="n"/>
      <c r="C1591" s="6" t="n"/>
      <c r="D1591" s="11">
        <f>IF(C1591="","",IFERROR(INDEX(Levels!$A$2:$A$30,MATCH(C1591,Levels!$B$2:$B$30,0)),""))</f>
        <v/>
      </c>
      <c r="E1591" s="10">
        <f>IF(B1591="","",IFERROR(INDEX(Roster!$A$2:$A$600,MATCH(B1591,Roster!$E$2:$E$600,0)),""))</f>
        <v/>
      </c>
      <c r="F1591" s="10">
        <f>IF(C1591="","",IFERROR(INDEX(Levels!$C$2:$C$30,MATCH(C1591,Levels!$B$2:$B$30,0)),""))</f>
        <v/>
      </c>
      <c r="G1591" s="6" t="n"/>
      <c r="H1591" s="10">
        <f>IF(AND(B1591="",C1591=""),"",IF(G1591&lt;&gt;"","Void",IF(OR(B1591="",E1591=""),"Needs child",IF(D1591="","Needs level","OK"))))</f>
        <v/>
      </c>
    </row>
    <row r="1592">
      <c r="A1592" s="6" t="n"/>
      <c r="B1592" s="6" t="n"/>
      <c r="C1592" s="6" t="n"/>
      <c r="D1592" s="11">
        <f>IF(C1592="","",IFERROR(INDEX(Levels!$A$2:$A$30,MATCH(C1592,Levels!$B$2:$B$30,0)),""))</f>
        <v/>
      </c>
      <c r="E1592" s="10">
        <f>IF(B1592="","",IFERROR(INDEX(Roster!$A$2:$A$600,MATCH(B1592,Roster!$E$2:$E$600,0)),""))</f>
        <v/>
      </c>
      <c r="F1592" s="10">
        <f>IF(C1592="","",IFERROR(INDEX(Levels!$C$2:$C$30,MATCH(C1592,Levels!$B$2:$B$30,0)),""))</f>
        <v/>
      </c>
      <c r="G1592" s="6" t="n"/>
      <c r="H1592" s="10">
        <f>IF(AND(B1592="",C1592=""),"",IF(G1592&lt;&gt;"","Void",IF(OR(B1592="",E1592=""),"Needs child",IF(D1592="","Needs level","OK"))))</f>
        <v/>
      </c>
    </row>
    <row r="1593">
      <c r="A1593" s="6" t="n"/>
      <c r="B1593" s="6" t="n"/>
      <c r="C1593" s="6" t="n"/>
      <c r="D1593" s="11">
        <f>IF(C1593="","",IFERROR(INDEX(Levels!$A$2:$A$30,MATCH(C1593,Levels!$B$2:$B$30,0)),""))</f>
        <v/>
      </c>
      <c r="E1593" s="10">
        <f>IF(B1593="","",IFERROR(INDEX(Roster!$A$2:$A$600,MATCH(B1593,Roster!$E$2:$E$600,0)),""))</f>
        <v/>
      </c>
      <c r="F1593" s="10">
        <f>IF(C1593="","",IFERROR(INDEX(Levels!$C$2:$C$30,MATCH(C1593,Levels!$B$2:$B$30,0)),""))</f>
        <v/>
      </c>
      <c r="G1593" s="6" t="n"/>
      <c r="H1593" s="10">
        <f>IF(AND(B1593="",C1593=""),"",IF(G1593&lt;&gt;"","Void",IF(OR(B1593="",E1593=""),"Needs child",IF(D1593="","Needs level","OK"))))</f>
        <v/>
      </c>
    </row>
    <row r="1594">
      <c r="A1594" s="6" t="n"/>
      <c r="B1594" s="6" t="n"/>
      <c r="C1594" s="6" t="n"/>
      <c r="D1594" s="11">
        <f>IF(C1594="","",IFERROR(INDEX(Levels!$A$2:$A$30,MATCH(C1594,Levels!$B$2:$B$30,0)),""))</f>
        <v/>
      </c>
      <c r="E1594" s="10">
        <f>IF(B1594="","",IFERROR(INDEX(Roster!$A$2:$A$600,MATCH(B1594,Roster!$E$2:$E$600,0)),""))</f>
        <v/>
      </c>
      <c r="F1594" s="10">
        <f>IF(C1594="","",IFERROR(INDEX(Levels!$C$2:$C$30,MATCH(C1594,Levels!$B$2:$B$30,0)),""))</f>
        <v/>
      </c>
      <c r="G1594" s="6" t="n"/>
      <c r="H1594" s="10">
        <f>IF(AND(B1594="",C1594=""),"",IF(G1594&lt;&gt;"","Void",IF(OR(B1594="",E1594=""),"Needs child",IF(D1594="","Needs level","OK"))))</f>
        <v/>
      </c>
    </row>
    <row r="1595">
      <c r="A1595" s="6" t="n"/>
      <c r="B1595" s="6" t="n"/>
      <c r="C1595" s="6" t="n"/>
      <c r="D1595" s="11">
        <f>IF(C1595="","",IFERROR(INDEX(Levels!$A$2:$A$30,MATCH(C1595,Levels!$B$2:$B$30,0)),""))</f>
        <v/>
      </c>
      <c r="E1595" s="10">
        <f>IF(B1595="","",IFERROR(INDEX(Roster!$A$2:$A$600,MATCH(B1595,Roster!$E$2:$E$600,0)),""))</f>
        <v/>
      </c>
      <c r="F1595" s="10">
        <f>IF(C1595="","",IFERROR(INDEX(Levels!$C$2:$C$30,MATCH(C1595,Levels!$B$2:$B$30,0)),""))</f>
        <v/>
      </c>
      <c r="G1595" s="6" t="n"/>
      <c r="H1595" s="10">
        <f>IF(AND(B1595="",C1595=""),"",IF(G1595&lt;&gt;"","Void",IF(OR(B1595="",E1595=""),"Needs child",IF(D1595="","Needs level","OK"))))</f>
        <v/>
      </c>
    </row>
    <row r="1596">
      <c r="A1596" s="6" t="n"/>
      <c r="B1596" s="6" t="n"/>
      <c r="C1596" s="6" t="n"/>
      <c r="D1596" s="11">
        <f>IF(C1596="","",IFERROR(INDEX(Levels!$A$2:$A$30,MATCH(C1596,Levels!$B$2:$B$30,0)),""))</f>
        <v/>
      </c>
      <c r="E1596" s="10">
        <f>IF(B1596="","",IFERROR(INDEX(Roster!$A$2:$A$600,MATCH(B1596,Roster!$E$2:$E$600,0)),""))</f>
        <v/>
      </c>
      <c r="F1596" s="10">
        <f>IF(C1596="","",IFERROR(INDEX(Levels!$C$2:$C$30,MATCH(C1596,Levels!$B$2:$B$30,0)),""))</f>
        <v/>
      </c>
      <c r="G1596" s="6" t="n"/>
      <c r="H1596" s="10">
        <f>IF(AND(B1596="",C1596=""),"",IF(G1596&lt;&gt;"","Void",IF(OR(B1596="",E1596=""),"Needs child",IF(D1596="","Needs level","OK"))))</f>
        <v/>
      </c>
    </row>
    <row r="1597">
      <c r="A1597" s="6" t="n"/>
      <c r="B1597" s="6" t="n"/>
      <c r="C1597" s="6" t="n"/>
      <c r="D1597" s="11">
        <f>IF(C1597="","",IFERROR(INDEX(Levels!$A$2:$A$30,MATCH(C1597,Levels!$B$2:$B$30,0)),""))</f>
        <v/>
      </c>
      <c r="E1597" s="10">
        <f>IF(B1597="","",IFERROR(INDEX(Roster!$A$2:$A$600,MATCH(B1597,Roster!$E$2:$E$600,0)),""))</f>
        <v/>
      </c>
      <c r="F1597" s="10">
        <f>IF(C1597="","",IFERROR(INDEX(Levels!$C$2:$C$30,MATCH(C1597,Levels!$B$2:$B$30,0)),""))</f>
        <v/>
      </c>
      <c r="G1597" s="6" t="n"/>
      <c r="H1597" s="10">
        <f>IF(AND(B1597="",C1597=""),"",IF(G1597&lt;&gt;"","Void",IF(OR(B1597="",E1597=""),"Needs child",IF(D1597="","Needs level","OK"))))</f>
        <v/>
      </c>
    </row>
    <row r="1598">
      <c r="A1598" s="6" t="n"/>
      <c r="B1598" s="6" t="n"/>
      <c r="C1598" s="6" t="n"/>
      <c r="D1598" s="11">
        <f>IF(C1598="","",IFERROR(INDEX(Levels!$A$2:$A$30,MATCH(C1598,Levels!$B$2:$B$30,0)),""))</f>
        <v/>
      </c>
      <c r="E1598" s="10">
        <f>IF(B1598="","",IFERROR(INDEX(Roster!$A$2:$A$600,MATCH(B1598,Roster!$E$2:$E$600,0)),""))</f>
        <v/>
      </c>
      <c r="F1598" s="10">
        <f>IF(C1598="","",IFERROR(INDEX(Levels!$C$2:$C$30,MATCH(C1598,Levels!$B$2:$B$30,0)),""))</f>
        <v/>
      </c>
      <c r="G1598" s="6" t="n"/>
      <c r="H1598" s="10">
        <f>IF(AND(B1598="",C1598=""),"",IF(G1598&lt;&gt;"","Void",IF(OR(B1598="",E1598=""),"Needs child",IF(D1598="","Needs level","OK"))))</f>
        <v/>
      </c>
    </row>
    <row r="1599">
      <c r="A1599" s="6" t="n"/>
      <c r="B1599" s="6" t="n"/>
      <c r="C1599" s="6" t="n"/>
      <c r="D1599" s="11">
        <f>IF(C1599="","",IFERROR(INDEX(Levels!$A$2:$A$30,MATCH(C1599,Levels!$B$2:$B$30,0)),""))</f>
        <v/>
      </c>
      <c r="E1599" s="10">
        <f>IF(B1599="","",IFERROR(INDEX(Roster!$A$2:$A$600,MATCH(B1599,Roster!$E$2:$E$600,0)),""))</f>
        <v/>
      </c>
      <c r="F1599" s="10">
        <f>IF(C1599="","",IFERROR(INDEX(Levels!$C$2:$C$30,MATCH(C1599,Levels!$B$2:$B$30,0)),""))</f>
        <v/>
      </c>
      <c r="G1599" s="6" t="n"/>
      <c r="H1599" s="10">
        <f>IF(AND(B1599="",C1599=""),"",IF(G1599&lt;&gt;"","Void",IF(OR(B1599="",E1599=""),"Needs child",IF(D1599="","Needs level","OK"))))</f>
        <v/>
      </c>
    </row>
    <row r="1600">
      <c r="A1600" s="6" t="n"/>
      <c r="B1600" s="6" t="n"/>
      <c r="C1600" s="6" t="n"/>
      <c r="D1600" s="11">
        <f>IF(C1600="","",IFERROR(INDEX(Levels!$A$2:$A$30,MATCH(C1600,Levels!$B$2:$B$30,0)),""))</f>
        <v/>
      </c>
      <c r="E1600" s="10">
        <f>IF(B1600="","",IFERROR(INDEX(Roster!$A$2:$A$600,MATCH(B1600,Roster!$E$2:$E$600,0)),""))</f>
        <v/>
      </c>
      <c r="F1600" s="10">
        <f>IF(C1600="","",IFERROR(INDEX(Levels!$C$2:$C$30,MATCH(C1600,Levels!$B$2:$B$30,0)),""))</f>
        <v/>
      </c>
      <c r="G1600" s="6" t="n"/>
      <c r="H1600" s="10">
        <f>IF(AND(B1600="",C1600=""),"",IF(G1600&lt;&gt;"","Void",IF(OR(B1600="",E1600=""),"Needs child",IF(D1600="","Needs level","OK"))))</f>
        <v/>
      </c>
    </row>
    <row r="1601">
      <c r="A1601" s="6" t="n"/>
      <c r="B1601" s="6" t="n"/>
      <c r="C1601" s="6" t="n"/>
      <c r="D1601" s="11">
        <f>IF(C1601="","",IFERROR(INDEX(Levels!$A$2:$A$30,MATCH(C1601,Levels!$B$2:$B$30,0)),""))</f>
        <v/>
      </c>
      <c r="E1601" s="10">
        <f>IF(B1601="","",IFERROR(INDEX(Roster!$A$2:$A$600,MATCH(B1601,Roster!$E$2:$E$600,0)),""))</f>
        <v/>
      </c>
      <c r="F1601" s="10">
        <f>IF(C1601="","",IFERROR(INDEX(Levels!$C$2:$C$30,MATCH(C1601,Levels!$B$2:$B$30,0)),""))</f>
        <v/>
      </c>
      <c r="G1601" s="6" t="n"/>
      <c r="H1601" s="10">
        <f>IF(AND(B1601="",C1601=""),"",IF(G1601&lt;&gt;"","Void",IF(OR(B1601="",E1601=""),"Needs child",IF(D1601="","Needs level","OK"))))</f>
        <v/>
      </c>
    </row>
    <row r="1602">
      <c r="A1602" s="6" t="n"/>
      <c r="B1602" s="6" t="n"/>
      <c r="C1602" s="6" t="n"/>
      <c r="D1602" s="11">
        <f>IF(C1602="","",IFERROR(INDEX(Levels!$A$2:$A$30,MATCH(C1602,Levels!$B$2:$B$30,0)),""))</f>
        <v/>
      </c>
      <c r="E1602" s="10">
        <f>IF(B1602="","",IFERROR(INDEX(Roster!$A$2:$A$600,MATCH(B1602,Roster!$E$2:$E$600,0)),""))</f>
        <v/>
      </c>
      <c r="F1602" s="10">
        <f>IF(C1602="","",IFERROR(INDEX(Levels!$C$2:$C$30,MATCH(C1602,Levels!$B$2:$B$30,0)),""))</f>
        <v/>
      </c>
      <c r="G1602" s="6" t="n"/>
      <c r="H1602" s="10">
        <f>IF(AND(B1602="",C1602=""),"",IF(G1602&lt;&gt;"","Void",IF(OR(B1602="",E1602=""),"Needs child",IF(D1602="","Needs level","OK"))))</f>
        <v/>
      </c>
    </row>
    <row r="1603">
      <c r="A1603" s="6" t="n"/>
      <c r="B1603" s="6" t="n"/>
      <c r="C1603" s="6" t="n"/>
      <c r="D1603" s="11">
        <f>IF(C1603="","",IFERROR(INDEX(Levels!$A$2:$A$30,MATCH(C1603,Levels!$B$2:$B$30,0)),""))</f>
        <v/>
      </c>
      <c r="E1603" s="10">
        <f>IF(B1603="","",IFERROR(INDEX(Roster!$A$2:$A$600,MATCH(B1603,Roster!$E$2:$E$600,0)),""))</f>
        <v/>
      </c>
      <c r="F1603" s="10">
        <f>IF(C1603="","",IFERROR(INDEX(Levels!$C$2:$C$30,MATCH(C1603,Levels!$B$2:$B$30,0)),""))</f>
        <v/>
      </c>
      <c r="G1603" s="6" t="n"/>
      <c r="H1603" s="10">
        <f>IF(AND(B1603="",C1603=""),"",IF(G1603&lt;&gt;"","Void",IF(OR(B1603="",E1603=""),"Needs child",IF(D1603="","Needs level","OK"))))</f>
        <v/>
      </c>
    </row>
    <row r="1604">
      <c r="A1604" s="6" t="n"/>
      <c r="B1604" s="6" t="n"/>
      <c r="C1604" s="6" t="n"/>
      <c r="D1604" s="11">
        <f>IF(C1604="","",IFERROR(INDEX(Levels!$A$2:$A$30,MATCH(C1604,Levels!$B$2:$B$30,0)),""))</f>
        <v/>
      </c>
      <c r="E1604" s="10">
        <f>IF(B1604="","",IFERROR(INDEX(Roster!$A$2:$A$600,MATCH(B1604,Roster!$E$2:$E$600,0)),""))</f>
        <v/>
      </c>
      <c r="F1604" s="10">
        <f>IF(C1604="","",IFERROR(INDEX(Levels!$C$2:$C$30,MATCH(C1604,Levels!$B$2:$B$30,0)),""))</f>
        <v/>
      </c>
      <c r="G1604" s="6" t="n"/>
      <c r="H1604" s="10">
        <f>IF(AND(B1604="",C1604=""),"",IF(G1604&lt;&gt;"","Void",IF(OR(B1604="",E1604=""),"Needs child",IF(D1604="","Needs level","OK"))))</f>
        <v/>
      </c>
    </row>
    <row r="1605">
      <c r="A1605" s="6" t="n"/>
      <c r="B1605" s="6" t="n"/>
      <c r="C1605" s="6" t="n"/>
      <c r="D1605" s="11">
        <f>IF(C1605="","",IFERROR(INDEX(Levels!$A$2:$A$30,MATCH(C1605,Levels!$B$2:$B$30,0)),""))</f>
        <v/>
      </c>
      <c r="E1605" s="10">
        <f>IF(B1605="","",IFERROR(INDEX(Roster!$A$2:$A$600,MATCH(B1605,Roster!$E$2:$E$600,0)),""))</f>
        <v/>
      </c>
      <c r="F1605" s="10">
        <f>IF(C1605="","",IFERROR(INDEX(Levels!$C$2:$C$30,MATCH(C1605,Levels!$B$2:$B$30,0)),""))</f>
        <v/>
      </c>
      <c r="G1605" s="6" t="n"/>
      <c r="H1605" s="10">
        <f>IF(AND(B1605="",C1605=""),"",IF(G1605&lt;&gt;"","Void",IF(OR(B1605="",E1605=""),"Needs child",IF(D1605="","Needs level","OK"))))</f>
        <v/>
      </c>
    </row>
    <row r="1606">
      <c r="A1606" s="6" t="n"/>
      <c r="B1606" s="6" t="n"/>
      <c r="C1606" s="6" t="n"/>
      <c r="D1606" s="11">
        <f>IF(C1606="","",IFERROR(INDEX(Levels!$A$2:$A$30,MATCH(C1606,Levels!$B$2:$B$30,0)),""))</f>
        <v/>
      </c>
      <c r="E1606" s="10">
        <f>IF(B1606="","",IFERROR(INDEX(Roster!$A$2:$A$600,MATCH(B1606,Roster!$E$2:$E$600,0)),""))</f>
        <v/>
      </c>
      <c r="F1606" s="10">
        <f>IF(C1606="","",IFERROR(INDEX(Levels!$C$2:$C$30,MATCH(C1606,Levels!$B$2:$B$30,0)),""))</f>
        <v/>
      </c>
      <c r="G1606" s="6" t="n"/>
      <c r="H1606" s="10">
        <f>IF(AND(B1606="",C1606=""),"",IF(G1606&lt;&gt;"","Void",IF(OR(B1606="",E1606=""),"Needs child",IF(D1606="","Needs level","OK"))))</f>
        <v/>
      </c>
    </row>
    <row r="1607">
      <c r="A1607" s="6" t="n"/>
      <c r="B1607" s="6" t="n"/>
      <c r="C1607" s="6" t="n"/>
      <c r="D1607" s="11">
        <f>IF(C1607="","",IFERROR(INDEX(Levels!$A$2:$A$30,MATCH(C1607,Levels!$B$2:$B$30,0)),""))</f>
        <v/>
      </c>
      <c r="E1607" s="10">
        <f>IF(B1607="","",IFERROR(INDEX(Roster!$A$2:$A$600,MATCH(B1607,Roster!$E$2:$E$600,0)),""))</f>
        <v/>
      </c>
      <c r="F1607" s="10">
        <f>IF(C1607="","",IFERROR(INDEX(Levels!$C$2:$C$30,MATCH(C1607,Levels!$B$2:$B$30,0)),""))</f>
        <v/>
      </c>
      <c r="G1607" s="6" t="n"/>
      <c r="H1607" s="10">
        <f>IF(AND(B1607="",C1607=""),"",IF(G1607&lt;&gt;"","Void",IF(OR(B1607="",E1607=""),"Needs child",IF(D1607="","Needs level","OK"))))</f>
        <v/>
      </c>
    </row>
    <row r="1608">
      <c r="A1608" s="6" t="n"/>
      <c r="B1608" s="6" t="n"/>
      <c r="C1608" s="6" t="n"/>
      <c r="D1608" s="11">
        <f>IF(C1608="","",IFERROR(INDEX(Levels!$A$2:$A$30,MATCH(C1608,Levels!$B$2:$B$30,0)),""))</f>
        <v/>
      </c>
      <c r="E1608" s="10">
        <f>IF(B1608="","",IFERROR(INDEX(Roster!$A$2:$A$600,MATCH(B1608,Roster!$E$2:$E$600,0)),""))</f>
        <v/>
      </c>
      <c r="F1608" s="10">
        <f>IF(C1608="","",IFERROR(INDEX(Levels!$C$2:$C$30,MATCH(C1608,Levels!$B$2:$B$30,0)),""))</f>
        <v/>
      </c>
      <c r="G1608" s="6" t="n"/>
      <c r="H1608" s="10">
        <f>IF(AND(B1608="",C1608=""),"",IF(G1608&lt;&gt;"","Void",IF(OR(B1608="",E1608=""),"Needs child",IF(D1608="","Needs level","OK"))))</f>
        <v/>
      </c>
    </row>
    <row r="1609">
      <c r="A1609" s="6" t="n"/>
      <c r="B1609" s="6" t="n"/>
      <c r="C1609" s="6" t="n"/>
      <c r="D1609" s="11">
        <f>IF(C1609="","",IFERROR(INDEX(Levels!$A$2:$A$30,MATCH(C1609,Levels!$B$2:$B$30,0)),""))</f>
        <v/>
      </c>
      <c r="E1609" s="10">
        <f>IF(B1609="","",IFERROR(INDEX(Roster!$A$2:$A$600,MATCH(B1609,Roster!$E$2:$E$600,0)),""))</f>
        <v/>
      </c>
      <c r="F1609" s="10">
        <f>IF(C1609="","",IFERROR(INDEX(Levels!$C$2:$C$30,MATCH(C1609,Levels!$B$2:$B$30,0)),""))</f>
        <v/>
      </c>
      <c r="G1609" s="6" t="n"/>
      <c r="H1609" s="10">
        <f>IF(AND(B1609="",C1609=""),"",IF(G1609&lt;&gt;"","Void",IF(OR(B1609="",E1609=""),"Needs child",IF(D1609="","Needs level","OK"))))</f>
        <v/>
      </c>
    </row>
    <row r="1610">
      <c r="A1610" s="6" t="n"/>
      <c r="B1610" s="6" t="n"/>
      <c r="C1610" s="6" t="n"/>
      <c r="D1610" s="11">
        <f>IF(C1610="","",IFERROR(INDEX(Levels!$A$2:$A$30,MATCH(C1610,Levels!$B$2:$B$30,0)),""))</f>
        <v/>
      </c>
      <c r="E1610" s="10">
        <f>IF(B1610="","",IFERROR(INDEX(Roster!$A$2:$A$600,MATCH(B1610,Roster!$E$2:$E$600,0)),""))</f>
        <v/>
      </c>
      <c r="F1610" s="10">
        <f>IF(C1610="","",IFERROR(INDEX(Levels!$C$2:$C$30,MATCH(C1610,Levels!$B$2:$B$30,0)),""))</f>
        <v/>
      </c>
      <c r="G1610" s="6" t="n"/>
      <c r="H1610" s="10">
        <f>IF(AND(B1610="",C1610=""),"",IF(G1610&lt;&gt;"","Void",IF(OR(B1610="",E1610=""),"Needs child",IF(D1610="","Needs level","OK"))))</f>
        <v/>
      </c>
    </row>
    <row r="1611">
      <c r="A1611" s="6" t="n"/>
      <c r="B1611" s="6" t="n"/>
      <c r="C1611" s="6" t="n"/>
      <c r="D1611" s="11">
        <f>IF(C1611="","",IFERROR(INDEX(Levels!$A$2:$A$30,MATCH(C1611,Levels!$B$2:$B$30,0)),""))</f>
        <v/>
      </c>
      <c r="E1611" s="10">
        <f>IF(B1611="","",IFERROR(INDEX(Roster!$A$2:$A$600,MATCH(B1611,Roster!$E$2:$E$600,0)),""))</f>
        <v/>
      </c>
      <c r="F1611" s="10">
        <f>IF(C1611="","",IFERROR(INDEX(Levels!$C$2:$C$30,MATCH(C1611,Levels!$B$2:$B$30,0)),""))</f>
        <v/>
      </c>
      <c r="G1611" s="6" t="n"/>
      <c r="H1611" s="10">
        <f>IF(AND(B1611="",C1611=""),"",IF(G1611&lt;&gt;"","Void",IF(OR(B1611="",E1611=""),"Needs child",IF(D1611="","Needs level","OK"))))</f>
        <v/>
      </c>
    </row>
    <row r="1612">
      <c r="A1612" s="6" t="n"/>
      <c r="B1612" s="6" t="n"/>
      <c r="C1612" s="6" t="n"/>
      <c r="D1612" s="11">
        <f>IF(C1612="","",IFERROR(INDEX(Levels!$A$2:$A$30,MATCH(C1612,Levels!$B$2:$B$30,0)),""))</f>
        <v/>
      </c>
      <c r="E1612" s="10">
        <f>IF(B1612="","",IFERROR(INDEX(Roster!$A$2:$A$600,MATCH(B1612,Roster!$E$2:$E$600,0)),""))</f>
        <v/>
      </c>
      <c r="F1612" s="10">
        <f>IF(C1612="","",IFERROR(INDEX(Levels!$C$2:$C$30,MATCH(C1612,Levels!$B$2:$B$30,0)),""))</f>
        <v/>
      </c>
      <c r="G1612" s="6" t="n"/>
      <c r="H1612" s="10">
        <f>IF(AND(B1612="",C1612=""),"",IF(G1612&lt;&gt;"","Void",IF(OR(B1612="",E1612=""),"Needs child",IF(D1612="","Needs level","OK"))))</f>
        <v/>
      </c>
    </row>
    <row r="1613">
      <c r="A1613" s="6" t="n"/>
      <c r="B1613" s="6" t="n"/>
      <c r="C1613" s="6" t="n"/>
      <c r="D1613" s="11">
        <f>IF(C1613="","",IFERROR(INDEX(Levels!$A$2:$A$30,MATCH(C1613,Levels!$B$2:$B$30,0)),""))</f>
        <v/>
      </c>
      <c r="E1613" s="10">
        <f>IF(B1613="","",IFERROR(INDEX(Roster!$A$2:$A$600,MATCH(B1613,Roster!$E$2:$E$600,0)),""))</f>
        <v/>
      </c>
      <c r="F1613" s="10">
        <f>IF(C1613="","",IFERROR(INDEX(Levels!$C$2:$C$30,MATCH(C1613,Levels!$B$2:$B$30,0)),""))</f>
        <v/>
      </c>
      <c r="G1613" s="6" t="n"/>
      <c r="H1613" s="10">
        <f>IF(AND(B1613="",C1613=""),"",IF(G1613&lt;&gt;"","Void",IF(OR(B1613="",E1613=""),"Needs child",IF(D1613="","Needs level","OK"))))</f>
        <v/>
      </c>
    </row>
    <row r="1614">
      <c r="A1614" s="6" t="n"/>
      <c r="B1614" s="6" t="n"/>
      <c r="C1614" s="6" t="n"/>
      <c r="D1614" s="11">
        <f>IF(C1614="","",IFERROR(INDEX(Levels!$A$2:$A$30,MATCH(C1614,Levels!$B$2:$B$30,0)),""))</f>
        <v/>
      </c>
      <c r="E1614" s="10">
        <f>IF(B1614="","",IFERROR(INDEX(Roster!$A$2:$A$600,MATCH(B1614,Roster!$E$2:$E$600,0)),""))</f>
        <v/>
      </c>
      <c r="F1614" s="10">
        <f>IF(C1614="","",IFERROR(INDEX(Levels!$C$2:$C$30,MATCH(C1614,Levels!$B$2:$B$30,0)),""))</f>
        <v/>
      </c>
      <c r="G1614" s="6" t="n"/>
      <c r="H1614" s="10">
        <f>IF(AND(B1614="",C1614=""),"",IF(G1614&lt;&gt;"","Void",IF(OR(B1614="",E1614=""),"Needs child",IF(D1614="","Needs level","OK"))))</f>
        <v/>
      </c>
    </row>
    <row r="1615">
      <c r="A1615" s="6" t="n"/>
      <c r="B1615" s="6" t="n"/>
      <c r="C1615" s="6" t="n"/>
      <c r="D1615" s="11">
        <f>IF(C1615="","",IFERROR(INDEX(Levels!$A$2:$A$30,MATCH(C1615,Levels!$B$2:$B$30,0)),""))</f>
        <v/>
      </c>
      <c r="E1615" s="10">
        <f>IF(B1615="","",IFERROR(INDEX(Roster!$A$2:$A$600,MATCH(B1615,Roster!$E$2:$E$600,0)),""))</f>
        <v/>
      </c>
      <c r="F1615" s="10">
        <f>IF(C1615="","",IFERROR(INDEX(Levels!$C$2:$C$30,MATCH(C1615,Levels!$B$2:$B$30,0)),""))</f>
        <v/>
      </c>
      <c r="G1615" s="6" t="n"/>
      <c r="H1615" s="10">
        <f>IF(AND(B1615="",C1615=""),"",IF(G1615&lt;&gt;"","Void",IF(OR(B1615="",E1615=""),"Needs child",IF(D1615="","Needs level","OK"))))</f>
        <v/>
      </c>
    </row>
    <row r="1616">
      <c r="A1616" s="6" t="n"/>
      <c r="B1616" s="6" t="n"/>
      <c r="C1616" s="6" t="n"/>
      <c r="D1616" s="11">
        <f>IF(C1616="","",IFERROR(INDEX(Levels!$A$2:$A$30,MATCH(C1616,Levels!$B$2:$B$30,0)),""))</f>
        <v/>
      </c>
      <c r="E1616" s="10">
        <f>IF(B1616="","",IFERROR(INDEX(Roster!$A$2:$A$600,MATCH(B1616,Roster!$E$2:$E$600,0)),""))</f>
        <v/>
      </c>
      <c r="F1616" s="10">
        <f>IF(C1616="","",IFERROR(INDEX(Levels!$C$2:$C$30,MATCH(C1616,Levels!$B$2:$B$30,0)),""))</f>
        <v/>
      </c>
      <c r="G1616" s="6" t="n"/>
      <c r="H1616" s="10">
        <f>IF(AND(B1616="",C1616=""),"",IF(G1616&lt;&gt;"","Void",IF(OR(B1616="",E1616=""),"Needs child",IF(D1616="","Needs level","OK"))))</f>
        <v/>
      </c>
    </row>
    <row r="1617">
      <c r="A1617" s="6" t="n"/>
      <c r="B1617" s="6" t="n"/>
      <c r="C1617" s="6" t="n"/>
      <c r="D1617" s="11">
        <f>IF(C1617="","",IFERROR(INDEX(Levels!$A$2:$A$30,MATCH(C1617,Levels!$B$2:$B$30,0)),""))</f>
        <v/>
      </c>
      <c r="E1617" s="10">
        <f>IF(B1617="","",IFERROR(INDEX(Roster!$A$2:$A$600,MATCH(B1617,Roster!$E$2:$E$600,0)),""))</f>
        <v/>
      </c>
      <c r="F1617" s="10">
        <f>IF(C1617="","",IFERROR(INDEX(Levels!$C$2:$C$30,MATCH(C1617,Levels!$B$2:$B$30,0)),""))</f>
        <v/>
      </c>
      <c r="G1617" s="6" t="n"/>
      <c r="H1617" s="10">
        <f>IF(AND(B1617="",C1617=""),"",IF(G1617&lt;&gt;"","Void",IF(OR(B1617="",E1617=""),"Needs child",IF(D1617="","Needs level","OK"))))</f>
        <v/>
      </c>
    </row>
    <row r="1618">
      <c r="A1618" s="6" t="n"/>
      <c r="B1618" s="6" t="n"/>
      <c r="C1618" s="6" t="n"/>
      <c r="D1618" s="11">
        <f>IF(C1618="","",IFERROR(INDEX(Levels!$A$2:$A$30,MATCH(C1618,Levels!$B$2:$B$30,0)),""))</f>
        <v/>
      </c>
      <c r="E1618" s="10">
        <f>IF(B1618="","",IFERROR(INDEX(Roster!$A$2:$A$600,MATCH(B1618,Roster!$E$2:$E$600,0)),""))</f>
        <v/>
      </c>
      <c r="F1618" s="10">
        <f>IF(C1618="","",IFERROR(INDEX(Levels!$C$2:$C$30,MATCH(C1618,Levels!$B$2:$B$30,0)),""))</f>
        <v/>
      </c>
      <c r="G1618" s="6" t="n"/>
      <c r="H1618" s="10">
        <f>IF(AND(B1618="",C1618=""),"",IF(G1618&lt;&gt;"","Void",IF(OR(B1618="",E1618=""),"Needs child",IF(D1618="","Needs level","OK"))))</f>
        <v/>
      </c>
    </row>
    <row r="1619">
      <c r="A1619" s="6" t="n"/>
      <c r="B1619" s="6" t="n"/>
      <c r="C1619" s="6" t="n"/>
      <c r="D1619" s="11">
        <f>IF(C1619="","",IFERROR(INDEX(Levels!$A$2:$A$30,MATCH(C1619,Levels!$B$2:$B$30,0)),""))</f>
        <v/>
      </c>
      <c r="E1619" s="10">
        <f>IF(B1619="","",IFERROR(INDEX(Roster!$A$2:$A$600,MATCH(B1619,Roster!$E$2:$E$600,0)),""))</f>
        <v/>
      </c>
      <c r="F1619" s="10">
        <f>IF(C1619="","",IFERROR(INDEX(Levels!$C$2:$C$30,MATCH(C1619,Levels!$B$2:$B$30,0)),""))</f>
        <v/>
      </c>
      <c r="G1619" s="6" t="n"/>
      <c r="H1619" s="10">
        <f>IF(AND(B1619="",C1619=""),"",IF(G1619&lt;&gt;"","Void",IF(OR(B1619="",E1619=""),"Needs child",IF(D1619="","Needs level","OK"))))</f>
        <v/>
      </c>
    </row>
    <row r="1620">
      <c r="A1620" s="6" t="n"/>
      <c r="B1620" s="6" t="n"/>
      <c r="C1620" s="6" t="n"/>
      <c r="D1620" s="11">
        <f>IF(C1620="","",IFERROR(INDEX(Levels!$A$2:$A$30,MATCH(C1620,Levels!$B$2:$B$30,0)),""))</f>
        <v/>
      </c>
      <c r="E1620" s="10">
        <f>IF(B1620="","",IFERROR(INDEX(Roster!$A$2:$A$600,MATCH(B1620,Roster!$E$2:$E$600,0)),""))</f>
        <v/>
      </c>
      <c r="F1620" s="10">
        <f>IF(C1620="","",IFERROR(INDEX(Levels!$C$2:$C$30,MATCH(C1620,Levels!$B$2:$B$30,0)),""))</f>
        <v/>
      </c>
      <c r="G1620" s="6" t="n"/>
      <c r="H1620" s="10">
        <f>IF(AND(B1620="",C1620=""),"",IF(G1620&lt;&gt;"","Void",IF(OR(B1620="",E1620=""),"Needs child",IF(D1620="","Needs level","OK"))))</f>
        <v/>
      </c>
    </row>
    <row r="1621">
      <c r="A1621" s="6" t="n"/>
      <c r="B1621" s="6" t="n"/>
      <c r="C1621" s="6" t="n"/>
      <c r="D1621" s="11">
        <f>IF(C1621="","",IFERROR(INDEX(Levels!$A$2:$A$30,MATCH(C1621,Levels!$B$2:$B$30,0)),""))</f>
        <v/>
      </c>
      <c r="E1621" s="10">
        <f>IF(B1621="","",IFERROR(INDEX(Roster!$A$2:$A$600,MATCH(B1621,Roster!$E$2:$E$600,0)),""))</f>
        <v/>
      </c>
      <c r="F1621" s="10">
        <f>IF(C1621="","",IFERROR(INDEX(Levels!$C$2:$C$30,MATCH(C1621,Levels!$B$2:$B$30,0)),""))</f>
        <v/>
      </c>
      <c r="G1621" s="6" t="n"/>
      <c r="H1621" s="10">
        <f>IF(AND(B1621="",C1621=""),"",IF(G1621&lt;&gt;"","Void",IF(OR(B1621="",E1621=""),"Needs child",IF(D1621="","Needs level","OK"))))</f>
        <v/>
      </c>
    </row>
    <row r="1622">
      <c r="A1622" s="6" t="n"/>
      <c r="B1622" s="6" t="n"/>
      <c r="C1622" s="6" t="n"/>
      <c r="D1622" s="11">
        <f>IF(C1622="","",IFERROR(INDEX(Levels!$A$2:$A$30,MATCH(C1622,Levels!$B$2:$B$30,0)),""))</f>
        <v/>
      </c>
      <c r="E1622" s="10">
        <f>IF(B1622="","",IFERROR(INDEX(Roster!$A$2:$A$600,MATCH(B1622,Roster!$E$2:$E$600,0)),""))</f>
        <v/>
      </c>
      <c r="F1622" s="10">
        <f>IF(C1622="","",IFERROR(INDEX(Levels!$C$2:$C$30,MATCH(C1622,Levels!$B$2:$B$30,0)),""))</f>
        <v/>
      </c>
      <c r="G1622" s="6" t="n"/>
      <c r="H1622" s="10">
        <f>IF(AND(B1622="",C1622=""),"",IF(G1622&lt;&gt;"","Void",IF(OR(B1622="",E1622=""),"Needs child",IF(D1622="","Needs level","OK"))))</f>
        <v/>
      </c>
    </row>
    <row r="1623">
      <c r="A1623" s="6" t="n"/>
      <c r="B1623" s="6" t="n"/>
      <c r="C1623" s="6" t="n"/>
      <c r="D1623" s="11">
        <f>IF(C1623="","",IFERROR(INDEX(Levels!$A$2:$A$30,MATCH(C1623,Levels!$B$2:$B$30,0)),""))</f>
        <v/>
      </c>
      <c r="E1623" s="10">
        <f>IF(B1623="","",IFERROR(INDEX(Roster!$A$2:$A$600,MATCH(B1623,Roster!$E$2:$E$600,0)),""))</f>
        <v/>
      </c>
      <c r="F1623" s="10">
        <f>IF(C1623="","",IFERROR(INDEX(Levels!$C$2:$C$30,MATCH(C1623,Levels!$B$2:$B$30,0)),""))</f>
        <v/>
      </c>
      <c r="G1623" s="6" t="n"/>
      <c r="H1623" s="10">
        <f>IF(AND(B1623="",C1623=""),"",IF(G1623&lt;&gt;"","Void",IF(OR(B1623="",E1623=""),"Needs child",IF(D1623="","Needs level","OK"))))</f>
        <v/>
      </c>
    </row>
    <row r="1624">
      <c r="A1624" s="6" t="n"/>
      <c r="B1624" s="6" t="n"/>
      <c r="C1624" s="6" t="n"/>
      <c r="D1624" s="11">
        <f>IF(C1624="","",IFERROR(INDEX(Levels!$A$2:$A$30,MATCH(C1624,Levels!$B$2:$B$30,0)),""))</f>
        <v/>
      </c>
      <c r="E1624" s="10">
        <f>IF(B1624="","",IFERROR(INDEX(Roster!$A$2:$A$600,MATCH(B1624,Roster!$E$2:$E$600,0)),""))</f>
        <v/>
      </c>
      <c r="F1624" s="10">
        <f>IF(C1624="","",IFERROR(INDEX(Levels!$C$2:$C$30,MATCH(C1624,Levels!$B$2:$B$30,0)),""))</f>
        <v/>
      </c>
      <c r="G1624" s="6" t="n"/>
      <c r="H1624" s="10">
        <f>IF(AND(B1624="",C1624=""),"",IF(G1624&lt;&gt;"","Void",IF(OR(B1624="",E1624=""),"Needs child",IF(D1624="","Needs level","OK"))))</f>
        <v/>
      </c>
    </row>
    <row r="1625">
      <c r="A1625" s="6" t="n"/>
      <c r="B1625" s="6" t="n"/>
      <c r="C1625" s="6" t="n"/>
      <c r="D1625" s="11">
        <f>IF(C1625="","",IFERROR(INDEX(Levels!$A$2:$A$30,MATCH(C1625,Levels!$B$2:$B$30,0)),""))</f>
        <v/>
      </c>
      <c r="E1625" s="10">
        <f>IF(B1625="","",IFERROR(INDEX(Roster!$A$2:$A$600,MATCH(B1625,Roster!$E$2:$E$600,0)),""))</f>
        <v/>
      </c>
      <c r="F1625" s="10">
        <f>IF(C1625="","",IFERROR(INDEX(Levels!$C$2:$C$30,MATCH(C1625,Levels!$B$2:$B$30,0)),""))</f>
        <v/>
      </c>
      <c r="G1625" s="6" t="n"/>
      <c r="H1625" s="10">
        <f>IF(AND(B1625="",C1625=""),"",IF(G1625&lt;&gt;"","Void",IF(OR(B1625="",E1625=""),"Needs child",IF(D1625="","Needs level","OK"))))</f>
        <v/>
      </c>
    </row>
    <row r="1626">
      <c r="A1626" s="6" t="n"/>
      <c r="B1626" s="6" t="n"/>
      <c r="C1626" s="6" t="n"/>
      <c r="D1626" s="11">
        <f>IF(C1626="","",IFERROR(INDEX(Levels!$A$2:$A$30,MATCH(C1626,Levels!$B$2:$B$30,0)),""))</f>
        <v/>
      </c>
      <c r="E1626" s="10">
        <f>IF(B1626="","",IFERROR(INDEX(Roster!$A$2:$A$600,MATCH(B1626,Roster!$E$2:$E$600,0)),""))</f>
        <v/>
      </c>
      <c r="F1626" s="10">
        <f>IF(C1626="","",IFERROR(INDEX(Levels!$C$2:$C$30,MATCH(C1626,Levels!$B$2:$B$30,0)),""))</f>
        <v/>
      </c>
      <c r="G1626" s="6" t="n"/>
      <c r="H1626" s="10">
        <f>IF(AND(B1626="",C1626=""),"",IF(G1626&lt;&gt;"","Void",IF(OR(B1626="",E1626=""),"Needs child",IF(D1626="","Needs level","OK"))))</f>
        <v/>
      </c>
    </row>
    <row r="1627">
      <c r="A1627" s="6" t="n"/>
      <c r="B1627" s="6" t="n"/>
      <c r="C1627" s="6" t="n"/>
      <c r="D1627" s="11">
        <f>IF(C1627="","",IFERROR(INDEX(Levels!$A$2:$A$30,MATCH(C1627,Levels!$B$2:$B$30,0)),""))</f>
        <v/>
      </c>
      <c r="E1627" s="10">
        <f>IF(B1627="","",IFERROR(INDEX(Roster!$A$2:$A$600,MATCH(B1627,Roster!$E$2:$E$600,0)),""))</f>
        <v/>
      </c>
      <c r="F1627" s="10">
        <f>IF(C1627="","",IFERROR(INDEX(Levels!$C$2:$C$30,MATCH(C1627,Levels!$B$2:$B$30,0)),""))</f>
        <v/>
      </c>
      <c r="G1627" s="6" t="n"/>
      <c r="H1627" s="10">
        <f>IF(AND(B1627="",C1627=""),"",IF(G1627&lt;&gt;"","Void",IF(OR(B1627="",E1627=""),"Needs child",IF(D1627="","Needs level","OK"))))</f>
        <v/>
      </c>
    </row>
    <row r="1628">
      <c r="A1628" s="6" t="n"/>
      <c r="B1628" s="6" t="n"/>
      <c r="C1628" s="6" t="n"/>
      <c r="D1628" s="11">
        <f>IF(C1628="","",IFERROR(INDEX(Levels!$A$2:$A$30,MATCH(C1628,Levels!$B$2:$B$30,0)),""))</f>
        <v/>
      </c>
      <c r="E1628" s="10">
        <f>IF(B1628="","",IFERROR(INDEX(Roster!$A$2:$A$600,MATCH(B1628,Roster!$E$2:$E$600,0)),""))</f>
        <v/>
      </c>
      <c r="F1628" s="10">
        <f>IF(C1628="","",IFERROR(INDEX(Levels!$C$2:$C$30,MATCH(C1628,Levels!$B$2:$B$30,0)),""))</f>
        <v/>
      </c>
      <c r="G1628" s="6" t="n"/>
      <c r="H1628" s="10">
        <f>IF(AND(B1628="",C1628=""),"",IF(G1628&lt;&gt;"","Void",IF(OR(B1628="",E1628=""),"Needs child",IF(D1628="","Needs level","OK"))))</f>
        <v/>
      </c>
    </row>
    <row r="1629">
      <c r="A1629" s="6" t="n"/>
      <c r="B1629" s="6" t="n"/>
      <c r="C1629" s="6" t="n"/>
      <c r="D1629" s="11">
        <f>IF(C1629="","",IFERROR(INDEX(Levels!$A$2:$A$30,MATCH(C1629,Levels!$B$2:$B$30,0)),""))</f>
        <v/>
      </c>
      <c r="E1629" s="10">
        <f>IF(B1629="","",IFERROR(INDEX(Roster!$A$2:$A$600,MATCH(B1629,Roster!$E$2:$E$600,0)),""))</f>
        <v/>
      </c>
      <c r="F1629" s="10">
        <f>IF(C1629="","",IFERROR(INDEX(Levels!$C$2:$C$30,MATCH(C1629,Levels!$B$2:$B$30,0)),""))</f>
        <v/>
      </c>
      <c r="G1629" s="6" t="n"/>
      <c r="H1629" s="10">
        <f>IF(AND(B1629="",C1629=""),"",IF(G1629&lt;&gt;"","Void",IF(OR(B1629="",E1629=""),"Needs child",IF(D1629="","Needs level","OK"))))</f>
        <v/>
      </c>
    </row>
    <row r="1630">
      <c r="A1630" s="6" t="n"/>
      <c r="B1630" s="6" t="n"/>
      <c r="C1630" s="6" t="n"/>
      <c r="D1630" s="11">
        <f>IF(C1630="","",IFERROR(INDEX(Levels!$A$2:$A$30,MATCH(C1630,Levels!$B$2:$B$30,0)),""))</f>
        <v/>
      </c>
      <c r="E1630" s="10">
        <f>IF(B1630="","",IFERROR(INDEX(Roster!$A$2:$A$600,MATCH(B1630,Roster!$E$2:$E$600,0)),""))</f>
        <v/>
      </c>
      <c r="F1630" s="10">
        <f>IF(C1630="","",IFERROR(INDEX(Levels!$C$2:$C$30,MATCH(C1630,Levels!$B$2:$B$30,0)),""))</f>
        <v/>
      </c>
      <c r="G1630" s="6" t="n"/>
      <c r="H1630" s="10">
        <f>IF(AND(B1630="",C1630=""),"",IF(G1630&lt;&gt;"","Void",IF(OR(B1630="",E1630=""),"Needs child",IF(D1630="","Needs level","OK"))))</f>
        <v/>
      </c>
    </row>
    <row r="1631">
      <c r="A1631" s="6" t="n"/>
      <c r="B1631" s="6" t="n"/>
      <c r="C1631" s="6" t="n"/>
      <c r="D1631" s="11">
        <f>IF(C1631="","",IFERROR(INDEX(Levels!$A$2:$A$30,MATCH(C1631,Levels!$B$2:$B$30,0)),""))</f>
        <v/>
      </c>
      <c r="E1631" s="10">
        <f>IF(B1631="","",IFERROR(INDEX(Roster!$A$2:$A$600,MATCH(B1631,Roster!$E$2:$E$600,0)),""))</f>
        <v/>
      </c>
      <c r="F1631" s="10">
        <f>IF(C1631="","",IFERROR(INDEX(Levels!$C$2:$C$30,MATCH(C1631,Levels!$B$2:$B$30,0)),""))</f>
        <v/>
      </c>
      <c r="G1631" s="6" t="n"/>
      <c r="H1631" s="10">
        <f>IF(AND(B1631="",C1631=""),"",IF(G1631&lt;&gt;"","Void",IF(OR(B1631="",E1631=""),"Needs child",IF(D1631="","Needs level","OK"))))</f>
        <v/>
      </c>
    </row>
    <row r="1632">
      <c r="A1632" s="6" t="n"/>
      <c r="B1632" s="6" t="n"/>
      <c r="C1632" s="6" t="n"/>
      <c r="D1632" s="11">
        <f>IF(C1632="","",IFERROR(INDEX(Levels!$A$2:$A$30,MATCH(C1632,Levels!$B$2:$B$30,0)),""))</f>
        <v/>
      </c>
      <c r="E1632" s="10">
        <f>IF(B1632="","",IFERROR(INDEX(Roster!$A$2:$A$600,MATCH(B1632,Roster!$E$2:$E$600,0)),""))</f>
        <v/>
      </c>
      <c r="F1632" s="10">
        <f>IF(C1632="","",IFERROR(INDEX(Levels!$C$2:$C$30,MATCH(C1632,Levels!$B$2:$B$30,0)),""))</f>
        <v/>
      </c>
      <c r="G1632" s="6" t="n"/>
      <c r="H1632" s="10">
        <f>IF(AND(B1632="",C1632=""),"",IF(G1632&lt;&gt;"","Void",IF(OR(B1632="",E1632=""),"Needs child",IF(D1632="","Needs level","OK"))))</f>
        <v/>
      </c>
    </row>
    <row r="1633">
      <c r="A1633" s="6" t="n"/>
      <c r="B1633" s="6" t="n"/>
      <c r="C1633" s="6" t="n"/>
      <c r="D1633" s="11">
        <f>IF(C1633="","",IFERROR(INDEX(Levels!$A$2:$A$30,MATCH(C1633,Levels!$B$2:$B$30,0)),""))</f>
        <v/>
      </c>
      <c r="E1633" s="10">
        <f>IF(B1633="","",IFERROR(INDEX(Roster!$A$2:$A$600,MATCH(B1633,Roster!$E$2:$E$600,0)),""))</f>
        <v/>
      </c>
      <c r="F1633" s="10">
        <f>IF(C1633="","",IFERROR(INDEX(Levels!$C$2:$C$30,MATCH(C1633,Levels!$B$2:$B$30,0)),""))</f>
        <v/>
      </c>
      <c r="G1633" s="6" t="n"/>
      <c r="H1633" s="10">
        <f>IF(AND(B1633="",C1633=""),"",IF(G1633&lt;&gt;"","Void",IF(OR(B1633="",E1633=""),"Needs child",IF(D1633="","Needs level","OK"))))</f>
        <v/>
      </c>
    </row>
    <row r="1634">
      <c r="A1634" s="6" t="n"/>
      <c r="B1634" s="6" t="n"/>
      <c r="C1634" s="6" t="n"/>
      <c r="D1634" s="11">
        <f>IF(C1634="","",IFERROR(INDEX(Levels!$A$2:$A$30,MATCH(C1634,Levels!$B$2:$B$30,0)),""))</f>
        <v/>
      </c>
      <c r="E1634" s="10">
        <f>IF(B1634="","",IFERROR(INDEX(Roster!$A$2:$A$600,MATCH(B1634,Roster!$E$2:$E$600,0)),""))</f>
        <v/>
      </c>
      <c r="F1634" s="10">
        <f>IF(C1634="","",IFERROR(INDEX(Levels!$C$2:$C$30,MATCH(C1634,Levels!$B$2:$B$30,0)),""))</f>
        <v/>
      </c>
      <c r="G1634" s="6" t="n"/>
      <c r="H1634" s="10">
        <f>IF(AND(B1634="",C1634=""),"",IF(G1634&lt;&gt;"","Void",IF(OR(B1634="",E1634=""),"Needs child",IF(D1634="","Needs level","OK"))))</f>
        <v/>
      </c>
    </row>
    <row r="1635">
      <c r="A1635" s="6" t="n"/>
      <c r="B1635" s="6" t="n"/>
      <c r="C1635" s="6" t="n"/>
      <c r="D1635" s="11">
        <f>IF(C1635="","",IFERROR(INDEX(Levels!$A$2:$A$30,MATCH(C1635,Levels!$B$2:$B$30,0)),""))</f>
        <v/>
      </c>
      <c r="E1635" s="10">
        <f>IF(B1635="","",IFERROR(INDEX(Roster!$A$2:$A$600,MATCH(B1635,Roster!$E$2:$E$600,0)),""))</f>
        <v/>
      </c>
      <c r="F1635" s="10">
        <f>IF(C1635="","",IFERROR(INDEX(Levels!$C$2:$C$30,MATCH(C1635,Levels!$B$2:$B$30,0)),""))</f>
        <v/>
      </c>
      <c r="G1635" s="6" t="n"/>
      <c r="H1635" s="10">
        <f>IF(AND(B1635="",C1635=""),"",IF(G1635&lt;&gt;"","Void",IF(OR(B1635="",E1635=""),"Needs child",IF(D1635="","Needs level","OK"))))</f>
        <v/>
      </c>
    </row>
    <row r="1636">
      <c r="A1636" s="6" t="n"/>
      <c r="B1636" s="6" t="n"/>
      <c r="C1636" s="6" t="n"/>
      <c r="D1636" s="11">
        <f>IF(C1636="","",IFERROR(INDEX(Levels!$A$2:$A$30,MATCH(C1636,Levels!$B$2:$B$30,0)),""))</f>
        <v/>
      </c>
      <c r="E1636" s="10">
        <f>IF(B1636="","",IFERROR(INDEX(Roster!$A$2:$A$600,MATCH(B1636,Roster!$E$2:$E$600,0)),""))</f>
        <v/>
      </c>
      <c r="F1636" s="10">
        <f>IF(C1636="","",IFERROR(INDEX(Levels!$C$2:$C$30,MATCH(C1636,Levels!$B$2:$B$30,0)),""))</f>
        <v/>
      </c>
      <c r="G1636" s="6" t="n"/>
      <c r="H1636" s="10">
        <f>IF(AND(B1636="",C1636=""),"",IF(G1636&lt;&gt;"","Void",IF(OR(B1636="",E1636=""),"Needs child",IF(D1636="","Needs level","OK"))))</f>
        <v/>
      </c>
    </row>
    <row r="1637">
      <c r="A1637" s="6" t="n"/>
      <c r="B1637" s="6" t="n"/>
      <c r="C1637" s="6" t="n"/>
      <c r="D1637" s="11">
        <f>IF(C1637="","",IFERROR(INDEX(Levels!$A$2:$A$30,MATCH(C1637,Levels!$B$2:$B$30,0)),""))</f>
        <v/>
      </c>
      <c r="E1637" s="10">
        <f>IF(B1637="","",IFERROR(INDEX(Roster!$A$2:$A$600,MATCH(B1637,Roster!$E$2:$E$600,0)),""))</f>
        <v/>
      </c>
      <c r="F1637" s="10">
        <f>IF(C1637="","",IFERROR(INDEX(Levels!$C$2:$C$30,MATCH(C1637,Levels!$B$2:$B$30,0)),""))</f>
        <v/>
      </c>
      <c r="G1637" s="6" t="n"/>
      <c r="H1637" s="10">
        <f>IF(AND(B1637="",C1637=""),"",IF(G1637&lt;&gt;"","Void",IF(OR(B1637="",E1637=""),"Needs child",IF(D1637="","Needs level","OK"))))</f>
        <v/>
      </c>
    </row>
    <row r="1638">
      <c r="A1638" s="6" t="n"/>
      <c r="B1638" s="6" t="n"/>
      <c r="C1638" s="6" t="n"/>
      <c r="D1638" s="11">
        <f>IF(C1638="","",IFERROR(INDEX(Levels!$A$2:$A$30,MATCH(C1638,Levels!$B$2:$B$30,0)),""))</f>
        <v/>
      </c>
      <c r="E1638" s="10">
        <f>IF(B1638="","",IFERROR(INDEX(Roster!$A$2:$A$600,MATCH(B1638,Roster!$E$2:$E$600,0)),""))</f>
        <v/>
      </c>
      <c r="F1638" s="10">
        <f>IF(C1638="","",IFERROR(INDEX(Levels!$C$2:$C$30,MATCH(C1638,Levels!$B$2:$B$30,0)),""))</f>
        <v/>
      </c>
      <c r="G1638" s="6" t="n"/>
      <c r="H1638" s="10">
        <f>IF(AND(B1638="",C1638=""),"",IF(G1638&lt;&gt;"","Void",IF(OR(B1638="",E1638=""),"Needs child",IF(D1638="","Needs level","OK"))))</f>
        <v/>
      </c>
    </row>
    <row r="1639">
      <c r="A1639" s="6" t="n"/>
      <c r="B1639" s="6" t="n"/>
      <c r="C1639" s="6" t="n"/>
      <c r="D1639" s="11">
        <f>IF(C1639="","",IFERROR(INDEX(Levels!$A$2:$A$30,MATCH(C1639,Levels!$B$2:$B$30,0)),""))</f>
        <v/>
      </c>
      <c r="E1639" s="10">
        <f>IF(B1639="","",IFERROR(INDEX(Roster!$A$2:$A$600,MATCH(B1639,Roster!$E$2:$E$600,0)),""))</f>
        <v/>
      </c>
      <c r="F1639" s="10">
        <f>IF(C1639="","",IFERROR(INDEX(Levels!$C$2:$C$30,MATCH(C1639,Levels!$B$2:$B$30,0)),""))</f>
        <v/>
      </c>
      <c r="G1639" s="6" t="n"/>
      <c r="H1639" s="10">
        <f>IF(AND(B1639="",C1639=""),"",IF(G1639&lt;&gt;"","Void",IF(OR(B1639="",E1639=""),"Needs child",IF(D1639="","Needs level","OK"))))</f>
        <v/>
      </c>
    </row>
    <row r="1640">
      <c r="A1640" s="6" t="n"/>
      <c r="B1640" s="6" t="n"/>
      <c r="C1640" s="6" t="n"/>
      <c r="D1640" s="11">
        <f>IF(C1640="","",IFERROR(INDEX(Levels!$A$2:$A$30,MATCH(C1640,Levels!$B$2:$B$30,0)),""))</f>
        <v/>
      </c>
      <c r="E1640" s="10">
        <f>IF(B1640="","",IFERROR(INDEX(Roster!$A$2:$A$600,MATCH(B1640,Roster!$E$2:$E$600,0)),""))</f>
        <v/>
      </c>
      <c r="F1640" s="10">
        <f>IF(C1640="","",IFERROR(INDEX(Levels!$C$2:$C$30,MATCH(C1640,Levels!$B$2:$B$30,0)),""))</f>
        <v/>
      </c>
      <c r="G1640" s="6" t="n"/>
      <c r="H1640" s="10">
        <f>IF(AND(B1640="",C1640=""),"",IF(G1640&lt;&gt;"","Void",IF(OR(B1640="",E1640=""),"Needs child",IF(D1640="","Needs level","OK"))))</f>
        <v/>
      </c>
    </row>
    <row r="1641">
      <c r="A1641" s="6" t="n"/>
      <c r="B1641" s="6" t="n"/>
      <c r="C1641" s="6" t="n"/>
      <c r="D1641" s="11">
        <f>IF(C1641="","",IFERROR(INDEX(Levels!$A$2:$A$30,MATCH(C1641,Levels!$B$2:$B$30,0)),""))</f>
        <v/>
      </c>
      <c r="E1641" s="10">
        <f>IF(B1641="","",IFERROR(INDEX(Roster!$A$2:$A$600,MATCH(B1641,Roster!$E$2:$E$600,0)),""))</f>
        <v/>
      </c>
      <c r="F1641" s="10">
        <f>IF(C1641="","",IFERROR(INDEX(Levels!$C$2:$C$30,MATCH(C1641,Levels!$B$2:$B$30,0)),""))</f>
        <v/>
      </c>
      <c r="G1641" s="6" t="n"/>
      <c r="H1641" s="10">
        <f>IF(AND(B1641="",C1641=""),"",IF(G1641&lt;&gt;"","Void",IF(OR(B1641="",E1641=""),"Needs child",IF(D1641="","Needs level","OK"))))</f>
        <v/>
      </c>
    </row>
    <row r="1642">
      <c r="A1642" s="6" t="n"/>
      <c r="B1642" s="6" t="n"/>
      <c r="C1642" s="6" t="n"/>
      <c r="D1642" s="11">
        <f>IF(C1642="","",IFERROR(INDEX(Levels!$A$2:$A$30,MATCH(C1642,Levels!$B$2:$B$30,0)),""))</f>
        <v/>
      </c>
      <c r="E1642" s="10">
        <f>IF(B1642="","",IFERROR(INDEX(Roster!$A$2:$A$600,MATCH(B1642,Roster!$E$2:$E$600,0)),""))</f>
        <v/>
      </c>
      <c r="F1642" s="10">
        <f>IF(C1642="","",IFERROR(INDEX(Levels!$C$2:$C$30,MATCH(C1642,Levels!$B$2:$B$30,0)),""))</f>
        <v/>
      </c>
      <c r="G1642" s="6" t="n"/>
      <c r="H1642" s="10">
        <f>IF(AND(B1642="",C1642=""),"",IF(G1642&lt;&gt;"","Void",IF(OR(B1642="",E1642=""),"Needs child",IF(D1642="","Needs level","OK"))))</f>
        <v/>
      </c>
    </row>
    <row r="1643">
      <c r="A1643" s="6" t="n"/>
      <c r="B1643" s="6" t="n"/>
      <c r="C1643" s="6" t="n"/>
      <c r="D1643" s="11">
        <f>IF(C1643="","",IFERROR(INDEX(Levels!$A$2:$A$30,MATCH(C1643,Levels!$B$2:$B$30,0)),""))</f>
        <v/>
      </c>
      <c r="E1643" s="10">
        <f>IF(B1643="","",IFERROR(INDEX(Roster!$A$2:$A$600,MATCH(B1643,Roster!$E$2:$E$600,0)),""))</f>
        <v/>
      </c>
      <c r="F1643" s="10">
        <f>IF(C1643="","",IFERROR(INDEX(Levels!$C$2:$C$30,MATCH(C1643,Levels!$B$2:$B$30,0)),""))</f>
        <v/>
      </c>
      <c r="G1643" s="6" t="n"/>
      <c r="H1643" s="10">
        <f>IF(AND(B1643="",C1643=""),"",IF(G1643&lt;&gt;"","Void",IF(OR(B1643="",E1643=""),"Needs child",IF(D1643="","Needs level","OK"))))</f>
        <v/>
      </c>
    </row>
    <row r="1644">
      <c r="A1644" s="6" t="n"/>
      <c r="B1644" s="6" t="n"/>
      <c r="C1644" s="6" t="n"/>
      <c r="D1644" s="11">
        <f>IF(C1644="","",IFERROR(INDEX(Levels!$A$2:$A$30,MATCH(C1644,Levels!$B$2:$B$30,0)),""))</f>
        <v/>
      </c>
      <c r="E1644" s="10">
        <f>IF(B1644="","",IFERROR(INDEX(Roster!$A$2:$A$600,MATCH(B1644,Roster!$E$2:$E$600,0)),""))</f>
        <v/>
      </c>
      <c r="F1644" s="10">
        <f>IF(C1644="","",IFERROR(INDEX(Levels!$C$2:$C$30,MATCH(C1644,Levels!$B$2:$B$30,0)),""))</f>
        <v/>
      </c>
      <c r="G1644" s="6" t="n"/>
      <c r="H1644" s="10">
        <f>IF(AND(B1644="",C1644=""),"",IF(G1644&lt;&gt;"","Void",IF(OR(B1644="",E1644=""),"Needs child",IF(D1644="","Needs level","OK"))))</f>
        <v/>
      </c>
    </row>
    <row r="1645">
      <c r="A1645" s="6" t="n"/>
      <c r="B1645" s="6" t="n"/>
      <c r="C1645" s="6" t="n"/>
      <c r="D1645" s="11">
        <f>IF(C1645="","",IFERROR(INDEX(Levels!$A$2:$A$30,MATCH(C1645,Levels!$B$2:$B$30,0)),""))</f>
        <v/>
      </c>
      <c r="E1645" s="10">
        <f>IF(B1645="","",IFERROR(INDEX(Roster!$A$2:$A$600,MATCH(B1645,Roster!$E$2:$E$600,0)),""))</f>
        <v/>
      </c>
      <c r="F1645" s="10">
        <f>IF(C1645="","",IFERROR(INDEX(Levels!$C$2:$C$30,MATCH(C1645,Levels!$B$2:$B$30,0)),""))</f>
        <v/>
      </c>
      <c r="G1645" s="6" t="n"/>
      <c r="H1645" s="10">
        <f>IF(AND(B1645="",C1645=""),"",IF(G1645&lt;&gt;"","Void",IF(OR(B1645="",E1645=""),"Needs child",IF(D1645="","Needs level","OK"))))</f>
        <v/>
      </c>
    </row>
    <row r="1646">
      <c r="A1646" s="6" t="n"/>
      <c r="B1646" s="6" t="n"/>
      <c r="C1646" s="6" t="n"/>
      <c r="D1646" s="11">
        <f>IF(C1646="","",IFERROR(INDEX(Levels!$A$2:$A$30,MATCH(C1646,Levels!$B$2:$B$30,0)),""))</f>
        <v/>
      </c>
      <c r="E1646" s="10">
        <f>IF(B1646="","",IFERROR(INDEX(Roster!$A$2:$A$600,MATCH(B1646,Roster!$E$2:$E$600,0)),""))</f>
        <v/>
      </c>
      <c r="F1646" s="10">
        <f>IF(C1646="","",IFERROR(INDEX(Levels!$C$2:$C$30,MATCH(C1646,Levels!$B$2:$B$30,0)),""))</f>
        <v/>
      </c>
      <c r="G1646" s="6" t="n"/>
      <c r="H1646" s="10">
        <f>IF(AND(B1646="",C1646=""),"",IF(G1646&lt;&gt;"","Void",IF(OR(B1646="",E1646=""),"Needs child",IF(D1646="","Needs level","OK"))))</f>
        <v/>
      </c>
    </row>
    <row r="1647">
      <c r="A1647" s="6" t="n"/>
      <c r="B1647" s="6" t="n"/>
      <c r="C1647" s="6" t="n"/>
      <c r="D1647" s="11">
        <f>IF(C1647="","",IFERROR(INDEX(Levels!$A$2:$A$30,MATCH(C1647,Levels!$B$2:$B$30,0)),""))</f>
        <v/>
      </c>
      <c r="E1647" s="10">
        <f>IF(B1647="","",IFERROR(INDEX(Roster!$A$2:$A$600,MATCH(B1647,Roster!$E$2:$E$600,0)),""))</f>
        <v/>
      </c>
      <c r="F1647" s="10">
        <f>IF(C1647="","",IFERROR(INDEX(Levels!$C$2:$C$30,MATCH(C1647,Levels!$B$2:$B$30,0)),""))</f>
        <v/>
      </c>
      <c r="G1647" s="6" t="n"/>
      <c r="H1647" s="10">
        <f>IF(AND(B1647="",C1647=""),"",IF(G1647&lt;&gt;"","Void",IF(OR(B1647="",E1647=""),"Needs child",IF(D1647="","Needs level","OK"))))</f>
        <v/>
      </c>
    </row>
    <row r="1648">
      <c r="A1648" s="6" t="n"/>
      <c r="B1648" s="6" t="n"/>
      <c r="C1648" s="6" t="n"/>
      <c r="D1648" s="11">
        <f>IF(C1648="","",IFERROR(INDEX(Levels!$A$2:$A$30,MATCH(C1648,Levels!$B$2:$B$30,0)),""))</f>
        <v/>
      </c>
      <c r="E1648" s="10">
        <f>IF(B1648="","",IFERROR(INDEX(Roster!$A$2:$A$600,MATCH(B1648,Roster!$E$2:$E$600,0)),""))</f>
        <v/>
      </c>
      <c r="F1648" s="10">
        <f>IF(C1648="","",IFERROR(INDEX(Levels!$C$2:$C$30,MATCH(C1648,Levels!$B$2:$B$30,0)),""))</f>
        <v/>
      </c>
      <c r="G1648" s="6" t="n"/>
      <c r="H1648" s="10">
        <f>IF(AND(B1648="",C1648=""),"",IF(G1648&lt;&gt;"","Void",IF(OR(B1648="",E1648=""),"Needs child",IF(D1648="","Needs level","OK"))))</f>
        <v/>
      </c>
    </row>
    <row r="1649">
      <c r="A1649" s="6" t="n"/>
      <c r="B1649" s="6" t="n"/>
      <c r="C1649" s="6" t="n"/>
      <c r="D1649" s="11">
        <f>IF(C1649="","",IFERROR(INDEX(Levels!$A$2:$A$30,MATCH(C1649,Levels!$B$2:$B$30,0)),""))</f>
        <v/>
      </c>
      <c r="E1649" s="10">
        <f>IF(B1649="","",IFERROR(INDEX(Roster!$A$2:$A$600,MATCH(B1649,Roster!$E$2:$E$600,0)),""))</f>
        <v/>
      </c>
      <c r="F1649" s="10">
        <f>IF(C1649="","",IFERROR(INDEX(Levels!$C$2:$C$30,MATCH(C1649,Levels!$B$2:$B$30,0)),""))</f>
        <v/>
      </c>
      <c r="G1649" s="6" t="n"/>
      <c r="H1649" s="10">
        <f>IF(AND(B1649="",C1649=""),"",IF(G1649&lt;&gt;"","Void",IF(OR(B1649="",E1649=""),"Needs child",IF(D1649="","Needs level","OK"))))</f>
        <v/>
      </c>
    </row>
    <row r="1650">
      <c r="A1650" s="6" t="n"/>
      <c r="B1650" s="6" t="n"/>
      <c r="C1650" s="6" t="n"/>
      <c r="D1650" s="11">
        <f>IF(C1650="","",IFERROR(INDEX(Levels!$A$2:$A$30,MATCH(C1650,Levels!$B$2:$B$30,0)),""))</f>
        <v/>
      </c>
      <c r="E1650" s="10">
        <f>IF(B1650="","",IFERROR(INDEX(Roster!$A$2:$A$600,MATCH(B1650,Roster!$E$2:$E$600,0)),""))</f>
        <v/>
      </c>
      <c r="F1650" s="10">
        <f>IF(C1650="","",IFERROR(INDEX(Levels!$C$2:$C$30,MATCH(C1650,Levels!$B$2:$B$30,0)),""))</f>
        <v/>
      </c>
      <c r="G1650" s="6" t="n"/>
      <c r="H1650" s="10">
        <f>IF(AND(B1650="",C1650=""),"",IF(G1650&lt;&gt;"","Void",IF(OR(B1650="",E1650=""),"Needs child",IF(D1650="","Needs level","OK"))))</f>
        <v/>
      </c>
    </row>
    <row r="1651">
      <c r="A1651" s="6" t="n"/>
      <c r="B1651" s="6" t="n"/>
      <c r="C1651" s="6" t="n"/>
      <c r="D1651" s="11">
        <f>IF(C1651="","",IFERROR(INDEX(Levels!$A$2:$A$30,MATCH(C1651,Levels!$B$2:$B$30,0)),""))</f>
        <v/>
      </c>
      <c r="E1651" s="10">
        <f>IF(B1651="","",IFERROR(INDEX(Roster!$A$2:$A$600,MATCH(B1651,Roster!$E$2:$E$600,0)),""))</f>
        <v/>
      </c>
      <c r="F1651" s="10">
        <f>IF(C1651="","",IFERROR(INDEX(Levels!$C$2:$C$30,MATCH(C1651,Levels!$B$2:$B$30,0)),""))</f>
        <v/>
      </c>
      <c r="G1651" s="6" t="n"/>
      <c r="H1651" s="10">
        <f>IF(AND(B1651="",C1651=""),"",IF(G1651&lt;&gt;"","Void",IF(OR(B1651="",E1651=""),"Needs child",IF(D1651="","Needs level","OK"))))</f>
        <v/>
      </c>
    </row>
    <row r="1652">
      <c r="A1652" s="6" t="n"/>
      <c r="B1652" s="6" t="n"/>
      <c r="C1652" s="6" t="n"/>
      <c r="D1652" s="11">
        <f>IF(C1652="","",IFERROR(INDEX(Levels!$A$2:$A$30,MATCH(C1652,Levels!$B$2:$B$30,0)),""))</f>
        <v/>
      </c>
      <c r="E1652" s="10">
        <f>IF(B1652="","",IFERROR(INDEX(Roster!$A$2:$A$600,MATCH(B1652,Roster!$E$2:$E$600,0)),""))</f>
        <v/>
      </c>
      <c r="F1652" s="10">
        <f>IF(C1652="","",IFERROR(INDEX(Levels!$C$2:$C$30,MATCH(C1652,Levels!$B$2:$B$30,0)),""))</f>
        <v/>
      </c>
      <c r="G1652" s="6" t="n"/>
      <c r="H1652" s="10">
        <f>IF(AND(B1652="",C1652=""),"",IF(G1652&lt;&gt;"","Void",IF(OR(B1652="",E1652=""),"Needs child",IF(D1652="","Needs level","OK"))))</f>
        <v/>
      </c>
    </row>
    <row r="1653">
      <c r="A1653" s="6" t="n"/>
      <c r="B1653" s="6" t="n"/>
      <c r="C1653" s="6" t="n"/>
      <c r="D1653" s="11">
        <f>IF(C1653="","",IFERROR(INDEX(Levels!$A$2:$A$30,MATCH(C1653,Levels!$B$2:$B$30,0)),""))</f>
        <v/>
      </c>
      <c r="E1653" s="10">
        <f>IF(B1653="","",IFERROR(INDEX(Roster!$A$2:$A$600,MATCH(B1653,Roster!$E$2:$E$600,0)),""))</f>
        <v/>
      </c>
      <c r="F1653" s="10">
        <f>IF(C1653="","",IFERROR(INDEX(Levels!$C$2:$C$30,MATCH(C1653,Levels!$B$2:$B$30,0)),""))</f>
        <v/>
      </c>
      <c r="G1653" s="6" t="n"/>
      <c r="H1653" s="10">
        <f>IF(AND(B1653="",C1653=""),"",IF(G1653&lt;&gt;"","Void",IF(OR(B1653="",E1653=""),"Needs child",IF(D1653="","Needs level","OK"))))</f>
        <v/>
      </c>
    </row>
    <row r="1654">
      <c r="A1654" s="6" t="n"/>
      <c r="B1654" s="6" t="n"/>
      <c r="C1654" s="6" t="n"/>
      <c r="D1654" s="11">
        <f>IF(C1654="","",IFERROR(INDEX(Levels!$A$2:$A$30,MATCH(C1654,Levels!$B$2:$B$30,0)),""))</f>
        <v/>
      </c>
      <c r="E1654" s="10">
        <f>IF(B1654="","",IFERROR(INDEX(Roster!$A$2:$A$600,MATCH(B1654,Roster!$E$2:$E$600,0)),""))</f>
        <v/>
      </c>
      <c r="F1654" s="10">
        <f>IF(C1654="","",IFERROR(INDEX(Levels!$C$2:$C$30,MATCH(C1654,Levels!$B$2:$B$30,0)),""))</f>
        <v/>
      </c>
      <c r="G1654" s="6" t="n"/>
      <c r="H1654" s="10">
        <f>IF(AND(B1654="",C1654=""),"",IF(G1654&lt;&gt;"","Void",IF(OR(B1654="",E1654=""),"Needs child",IF(D1654="","Needs level","OK"))))</f>
        <v/>
      </c>
    </row>
    <row r="1655">
      <c r="A1655" s="6" t="n"/>
      <c r="B1655" s="6" t="n"/>
      <c r="C1655" s="6" t="n"/>
      <c r="D1655" s="11">
        <f>IF(C1655="","",IFERROR(INDEX(Levels!$A$2:$A$30,MATCH(C1655,Levels!$B$2:$B$30,0)),""))</f>
        <v/>
      </c>
      <c r="E1655" s="10">
        <f>IF(B1655="","",IFERROR(INDEX(Roster!$A$2:$A$600,MATCH(B1655,Roster!$E$2:$E$600,0)),""))</f>
        <v/>
      </c>
      <c r="F1655" s="10">
        <f>IF(C1655="","",IFERROR(INDEX(Levels!$C$2:$C$30,MATCH(C1655,Levels!$B$2:$B$30,0)),""))</f>
        <v/>
      </c>
      <c r="G1655" s="6" t="n"/>
      <c r="H1655" s="10">
        <f>IF(AND(B1655="",C1655=""),"",IF(G1655&lt;&gt;"","Void",IF(OR(B1655="",E1655=""),"Needs child",IF(D1655="","Needs level","OK"))))</f>
        <v/>
      </c>
    </row>
    <row r="1656">
      <c r="A1656" s="6" t="n"/>
      <c r="B1656" s="6" t="n"/>
      <c r="C1656" s="6" t="n"/>
      <c r="D1656" s="11">
        <f>IF(C1656="","",IFERROR(INDEX(Levels!$A$2:$A$30,MATCH(C1656,Levels!$B$2:$B$30,0)),""))</f>
        <v/>
      </c>
      <c r="E1656" s="10">
        <f>IF(B1656="","",IFERROR(INDEX(Roster!$A$2:$A$600,MATCH(B1656,Roster!$E$2:$E$600,0)),""))</f>
        <v/>
      </c>
      <c r="F1656" s="10">
        <f>IF(C1656="","",IFERROR(INDEX(Levels!$C$2:$C$30,MATCH(C1656,Levels!$B$2:$B$30,0)),""))</f>
        <v/>
      </c>
      <c r="G1656" s="6" t="n"/>
      <c r="H1656" s="10">
        <f>IF(AND(B1656="",C1656=""),"",IF(G1656&lt;&gt;"","Void",IF(OR(B1656="",E1656=""),"Needs child",IF(D1656="","Needs level","OK"))))</f>
        <v/>
      </c>
    </row>
    <row r="1657">
      <c r="A1657" s="6" t="n"/>
      <c r="B1657" s="6" t="n"/>
      <c r="C1657" s="6" t="n"/>
      <c r="D1657" s="11">
        <f>IF(C1657="","",IFERROR(INDEX(Levels!$A$2:$A$30,MATCH(C1657,Levels!$B$2:$B$30,0)),""))</f>
        <v/>
      </c>
      <c r="E1657" s="10">
        <f>IF(B1657="","",IFERROR(INDEX(Roster!$A$2:$A$600,MATCH(B1657,Roster!$E$2:$E$600,0)),""))</f>
        <v/>
      </c>
      <c r="F1657" s="10">
        <f>IF(C1657="","",IFERROR(INDEX(Levels!$C$2:$C$30,MATCH(C1657,Levels!$B$2:$B$30,0)),""))</f>
        <v/>
      </c>
      <c r="G1657" s="6" t="n"/>
      <c r="H1657" s="10">
        <f>IF(AND(B1657="",C1657=""),"",IF(G1657&lt;&gt;"","Void",IF(OR(B1657="",E1657=""),"Needs child",IF(D1657="","Needs level","OK"))))</f>
        <v/>
      </c>
    </row>
    <row r="1658">
      <c r="A1658" s="6" t="n"/>
      <c r="B1658" s="6" t="n"/>
      <c r="C1658" s="6" t="n"/>
      <c r="D1658" s="11">
        <f>IF(C1658="","",IFERROR(INDEX(Levels!$A$2:$A$30,MATCH(C1658,Levels!$B$2:$B$30,0)),""))</f>
        <v/>
      </c>
      <c r="E1658" s="10">
        <f>IF(B1658="","",IFERROR(INDEX(Roster!$A$2:$A$600,MATCH(B1658,Roster!$E$2:$E$600,0)),""))</f>
        <v/>
      </c>
      <c r="F1658" s="10">
        <f>IF(C1658="","",IFERROR(INDEX(Levels!$C$2:$C$30,MATCH(C1658,Levels!$B$2:$B$30,0)),""))</f>
        <v/>
      </c>
      <c r="G1658" s="6" t="n"/>
      <c r="H1658" s="10">
        <f>IF(AND(B1658="",C1658=""),"",IF(G1658&lt;&gt;"","Void",IF(OR(B1658="",E1658=""),"Needs child",IF(D1658="","Needs level","OK"))))</f>
        <v/>
      </c>
    </row>
    <row r="1659">
      <c r="A1659" s="6" t="n"/>
      <c r="B1659" s="6" t="n"/>
      <c r="C1659" s="6" t="n"/>
      <c r="D1659" s="11">
        <f>IF(C1659="","",IFERROR(INDEX(Levels!$A$2:$A$30,MATCH(C1659,Levels!$B$2:$B$30,0)),""))</f>
        <v/>
      </c>
      <c r="E1659" s="10">
        <f>IF(B1659="","",IFERROR(INDEX(Roster!$A$2:$A$600,MATCH(B1659,Roster!$E$2:$E$600,0)),""))</f>
        <v/>
      </c>
      <c r="F1659" s="10">
        <f>IF(C1659="","",IFERROR(INDEX(Levels!$C$2:$C$30,MATCH(C1659,Levels!$B$2:$B$30,0)),""))</f>
        <v/>
      </c>
      <c r="G1659" s="6" t="n"/>
      <c r="H1659" s="10">
        <f>IF(AND(B1659="",C1659=""),"",IF(G1659&lt;&gt;"","Void",IF(OR(B1659="",E1659=""),"Needs child",IF(D1659="","Needs level","OK"))))</f>
        <v/>
      </c>
    </row>
    <row r="1660">
      <c r="A1660" s="6" t="n"/>
      <c r="B1660" s="6" t="n"/>
      <c r="C1660" s="6" t="n"/>
      <c r="D1660" s="11">
        <f>IF(C1660="","",IFERROR(INDEX(Levels!$A$2:$A$30,MATCH(C1660,Levels!$B$2:$B$30,0)),""))</f>
        <v/>
      </c>
      <c r="E1660" s="10">
        <f>IF(B1660="","",IFERROR(INDEX(Roster!$A$2:$A$600,MATCH(B1660,Roster!$E$2:$E$600,0)),""))</f>
        <v/>
      </c>
      <c r="F1660" s="10">
        <f>IF(C1660="","",IFERROR(INDEX(Levels!$C$2:$C$30,MATCH(C1660,Levels!$B$2:$B$30,0)),""))</f>
        <v/>
      </c>
      <c r="G1660" s="6" t="n"/>
      <c r="H1660" s="10">
        <f>IF(AND(B1660="",C1660=""),"",IF(G1660&lt;&gt;"","Void",IF(OR(B1660="",E1660=""),"Needs child",IF(D1660="","Needs level","OK"))))</f>
        <v/>
      </c>
    </row>
    <row r="1661">
      <c r="A1661" s="6" t="n"/>
      <c r="B1661" s="6" t="n"/>
      <c r="C1661" s="6" t="n"/>
      <c r="D1661" s="11">
        <f>IF(C1661="","",IFERROR(INDEX(Levels!$A$2:$A$30,MATCH(C1661,Levels!$B$2:$B$30,0)),""))</f>
        <v/>
      </c>
      <c r="E1661" s="10">
        <f>IF(B1661="","",IFERROR(INDEX(Roster!$A$2:$A$600,MATCH(B1661,Roster!$E$2:$E$600,0)),""))</f>
        <v/>
      </c>
      <c r="F1661" s="10">
        <f>IF(C1661="","",IFERROR(INDEX(Levels!$C$2:$C$30,MATCH(C1661,Levels!$B$2:$B$30,0)),""))</f>
        <v/>
      </c>
      <c r="G1661" s="6" t="n"/>
      <c r="H1661" s="10">
        <f>IF(AND(B1661="",C1661=""),"",IF(G1661&lt;&gt;"","Void",IF(OR(B1661="",E1661=""),"Needs child",IF(D1661="","Needs level","OK"))))</f>
        <v/>
      </c>
    </row>
    <row r="1662">
      <c r="A1662" s="6" t="n"/>
      <c r="B1662" s="6" t="n"/>
      <c r="C1662" s="6" t="n"/>
      <c r="D1662" s="11">
        <f>IF(C1662="","",IFERROR(INDEX(Levels!$A$2:$A$30,MATCH(C1662,Levels!$B$2:$B$30,0)),""))</f>
        <v/>
      </c>
      <c r="E1662" s="10">
        <f>IF(B1662="","",IFERROR(INDEX(Roster!$A$2:$A$600,MATCH(B1662,Roster!$E$2:$E$600,0)),""))</f>
        <v/>
      </c>
      <c r="F1662" s="10">
        <f>IF(C1662="","",IFERROR(INDEX(Levels!$C$2:$C$30,MATCH(C1662,Levels!$B$2:$B$30,0)),""))</f>
        <v/>
      </c>
      <c r="G1662" s="6" t="n"/>
      <c r="H1662" s="10">
        <f>IF(AND(B1662="",C1662=""),"",IF(G1662&lt;&gt;"","Void",IF(OR(B1662="",E1662=""),"Needs child",IF(D1662="","Needs level","OK"))))</f>
        <v/>
      </c>
    </row>
    <row r="1663">
      <c r="A1663" s="6" t="n"/>
      <c r="B1663" s="6" t="n"/>
      <c r="C1663" s="6" t="n"/>
      <c r="D1663" s="11">
        <f>IF(C1663="","",IFERROR(INDEX(Levels!$A$2:$A$30,MATCH(C1663,Levels!$B$2:$B$30,0)),""))</f>
        <v/>
      </c>
      <c r="E1663" s="10">
        <f>IF(B1663="","",IFERROR(INDEX(Roster!$A$2:$A$600,MATCH(B1663,Roster!$E$2:$E$600,0)),""))</f>
        <v/>
      </c>
      <c r="F1663" s="10">
        <f>IF(C1663="","",IFERROR(INDEX(Levels!$C$2:$C$30,MATCH(C1663,Levels!$B$2:$B$30,0)),""))</f>
        <v/>
      </c>
      <c r="G1663" s="6" t="n"/>
      <c r="H1663" s="10">
        <f>IF(AND(B1663="",C1663=""),"",IF(G1663&lt;&gt;"","Void",IF(OR(B1663="",E1663=""),"Needs child",IF(D1663="","Needs level","OK"))))</f>
        <v/>
      </c>
    </row>
    <row r="1664">
      <c r="A1664" s="6" t="n"/>
      <c r="B1664" s="6" t="n"/>
      <c r="C1664" s="6" t="n"/>
      <c r="D1664" s="11">
        <f>IF(C1664="","",IFERROR(INDEX(Levels!$A$2:$A$30,MATCH(C1664,Levels!$B$2:$B$30,0)),""))</f>
        <v/>
      </c>
      <c r="E1664" s="10">
        <f>IF(B1664="","",IFERROR(INDEX(Roster!$A$2:$A$600,MATCH(B1664,Roster!$E$2:$E$600,0)),""))</f>
        <v/>
      </c>
      <c r="F1664" s="10">
        <f>IF(C1664="","",IFERROR(INDEX(Levels!$C$2:$C$30,MATCH(C1664,Levels!$B$2:$B$30,0)),""))</f>
        <v/>
      </c>
      <c r="G1664" s="6" t="n"/>
      <c r="H1664" s="10">
        <f>IF(AND(B1664="",C1664=""),"",IF(G1664&lt;&gt;"","Void",IF(OR(B1664="",E1664=""),"Needs child",IF(D1664="","Needs level","OK"))))</f>
        <v/>
      </c>
    </row>
    <row r="1665">
      <c r="A1665" s="6" t="n"/>
      <c r="B1665" s="6" t="n"/>
      <c r="C1665" s="6" t="n"/>
      <c r="D1665" s="11">
        <f>IF(C1665="","",IFERROR(INDEX(Levels!$A$2:$A$30,MATCH(C1665,Levels!$B$2:$B$30,0)),""))</f>
        <v/>
      </c>
      <c r="E1665" s="10">
        <f>IF(B1665="","",IFERROR(INDEX(Roster!$A$2:$A$600,MATCH(B1665,Roster!$E$2:$E$600,0)),""))</f>
        <v/>
      </c>
      <c r="F1665" s="10">
        <f>IF(C1665="","",IFERROR(INDEX(Levels!$C$2:$C$30,MATCH(C1665,Levels!$B$2:$B$30,0)),""))</f>
        <v/>
      </c>
      <c r="G1665" s="6" t="n"/>
      <c r="H1665" s="10">
        <f>IF(AND(B1665="",C1665=""),"",IF(G1665&lt;&gt;"","Void",IF(OR(B1665="",E1665=""),"Needs child",IF(D1665="","Needs level","OK"))))</f>
        <v/>
      </c>
    </row>
    <row r="1666">
      <c r="A1666" s="6" t="n"/>
      <c r="B1666" s="6" t="n"/>
      <c r="C1666" s="6" t="n"/>
      <c r="D1666" s="11">
        <f>IF(C1666="","",IFERROR(INDEX(Levels!$A$2:$A$30,MATCH(C1666,Levels!$B$2:$B$30,0)),""))</f>
        <v/>
      </c>
      <c r="E1666" s="10">
        <f>IF(B1666="","",IFERROR(INDEX(Roster!$A$2:$A$600,MATCH(B1666,Roster!$E$2:$E$600,0)),""))</f>
        <v/>
      </c>
      <c r="F1666" s="10">
        <f>IF(C1666="","",IFERROR(INDEX(Levels!$C$2:$C$30,MATCH(C1666,Levels!$B$2:$B$30,0)),""))</f>
        <v/>
      </c>
      <c r="G1666" s="6" t="n"/>
      <c r="H1666" s="10">
        <f>IF(AND(B1666="",C1666=""),"",IF(G1666&lt;&gt;"","Void",IF(OR(B1666="",E1666=""),"Needs child",IF(D1666="","Needs level","OK"))))</f>
        <v/>
      </c>
    </row>
    <row r="1667">
      <c r="A1667" s="6" t="n"/>
      <c r="B1667" s="6" t="n"/>
      <c r="C1667" s="6" t="n"/>
      <c r="D1667" s="11">
        <f>IF(C1667="","",IFERROR(INDEX(Levels!$A$2:$A$30,MATCH(C1667,Levels!$B$2:$B$30,0)),""))</f>
        <v/>
      </c>
      <c r="E1667" s="10">
        <f>IF(B1667="","",IFERROR(INDEX(Roster!$A$2:$A$600,MATCH(B1667,Roster!$E$2:$E$600,0)),""))</f>
        <v/>
      </c>
      <c r="F1667" s="10">
        <f>IF(C1667="","",IFERROR(INDEX(Levels!$C$2:$C$30,MATCH(C1667,Levels!$B$2:$B$30,0)),""))</f>
        <v/>
      </c>
      <c r="G1667" s="6" t="n"/>
      <c r="H1667" s="10">
        <f>IF(AND(B1667="",C1667=""),"",IF(G1667&lt;&gt;"","Void",IF(OR(B1667="",E1667=""),"Needs child",IF(D1667="","Needs level","OK"))))</f>
        <v/>
      </c>
    </row>
    <row r="1668">
      <c r="A1668" s="6" t="n"/>
      <c r="B1668" s="6" t="n"/>
      <c r="C1668" s="6" t="n"/>
      <c r="D1668" s="11">
        <f>IF(C1668="","",IFERROR(INDEX(Levels!$A$2:$A$30,MATCH(C1668,Levels!$B$2:$B$30,0)),""))</f>
        <v/>
      </c>
      <c r="E1668" s="10">
        <f>IF(B1668="","",IFERROR(INDEX(Roster!$A$2:$A$600,MATCH(B1668,Roster!$E$2:$E$600,0)),""))</f>
        <v/>
      </c>
      <c r="F1668" s="10">
        <f>IF(C1668="","",IFERROR(INDEX(Levels!$C$2:$C$30,MATCH(C1668,Levels!$B$2:$B$30,0)),""))</f>
        <v/>
      </c>
      <c r="G1668" s="6" t="n"/>
      <c r="H1668" s="10">
        <f>IF(AND(B1668="",C1668=""),"",IF(G1668&lt;&gt;"","Void",IF(OR(B1668="",E1668=""),"Needs child",IF(D1668="","Needs level","OK"))))</f>
        <v/>
      </c>
    </row>
    <row r="1669">
      <c r="A1669" s="6" t="n"/>
      <c r="B1669" s="6" t="n"/>
      <c r="C1669" s="6" t="n"/>
      <c r="D1669" s="11">
        <f>IF(C1669="","",IFERROR(INDEX(Levels!$A$2:$A$30,MATCH(C1669,Levels!$B$2:$B$30,0)),""))</f>
        <v/>
      </c>
      <c r="E1669" s="10">
        <f>IF(B1669="","",IFERROR(INDEX(Roster!$A$2:$A$600,MATCH(B1669,Roster!$E$2:$E$600,0)),""))</f>
        <v/>
      </c>
      <c r="F1669" s="10">
        <f>IF(C1669="","",IFERROR(INDEX(Levels!$C$2:$C$30,MATCH(C1669,Levels!$B$2:$B$30,0)),""))</f>
        <v/>
      </c>
      <c r="G1669" s="6" t="n"/>
      <c r="H1669" s="10">
        <f>IF(AND(B1669="",C1669=""),"",IF(G1669&lt;&gt;"","Void",IF(OR(B1669="",E1669=""),"Needs child",IF(D1669="","Needs level","OK"))))</f>
        <v/>
      </c>
    </row>
    <row r="1670">
      <c r="A1670" s="6" t="n"/>
      <c r="B1670" s="6" t="n"/>
      <c r="C1670" s="6" t="n"/>
      <c r="D1670" s="11">
        <f>IF(C1670="","",IFERROR(INDEX(Levels!$A$2:$A$30,MATCH(C1670,Levels!$B$2:$B$30,0)),""))</f>
        <v/>
      </c>
      <c r="E1670" s="10">
        <f>IF(B1670="","",IFERROR(INDEX(Roster!$A$2:$A$600,MATCH(B1670,Roster!$E$2:$E$600,0)),""))</f>
        <v/>
      </c>
      <c r="F1670" s="10">
        <f>IF(C1670="","",IFERROR(INDEX(Levels!$C$2:$C$30,MATCH(C1670,Levels!$B$2:$B$30,0)),""))</f>
        <v/>
      </c>
      <c r="G1670" s="6" t="n"/>
      <c r="H1670" s="10">
        <f>IF(AND(B1670="",C1670=""),"",IF(G1670&lt;&gt;"","Void",IF(OR(B1670="",E1670=""),"Needs child",IF(D1670="","Needs level","OK"))))</f>
        <v/>
      </c>
    </row>
    <row r="1671">
      <c r="A1671" s="6" t="n"/>
      <c r="B1671" s="6" t="n"/>
      <c r="C1671" s="6" t="n"/>
      <c r="D1671" s="11">
        <f>IF(C1671="","",IFERROR(INDEX(Levels!$A$2:$A$30,MATCH(C1671,Levels!$B$2:$B$30,0)),""))</f>
        <v/>
      </c>
      <c r="E1671" s="10">
        <f>IF(B1671="","",IFERROR(INDEX(Roster!$A$2:$A$600,MATCH(B1671,Roster!$E$2:$E$600,0)),""))</f>
        <v/>
      </c>
      <c r="F1671" s="10">
        <f>IF(C1671="","",IFERROR(INDEX(Levels!$C$2:$C$30,MATCH(C1671,Levels!$B$2:$B$30,0)),""))</f>
        <v/>
      </c>
      <c r="G1671" s="6" t="n"/>
      <c r="H1671" s="10">
        <f>IF(AND(B1671="",C1671=""),"",IF(G1671&lt;&gt;"","Void",IF(OR(B1671="",E1671=""),"Needs child",IF(D1671="","Needs level","OK"))))</f>
        <v/>
      </c>
    </row>
    <row r="1672">
      <c r="A1672" s="6" t="n"/>
      <c r="B1672" s="6" t="n"/>
      <c r="C1672" s="6" t="n"/>
      <c r="D1672" s="11">
        <f>IF(C1672="","",IFERROR(INDEX(Levels!$A$2:$A$30,MATCH(C1672,Levels!$B$2:$B$30,0)),""))</f>
        <v/>
      </c>
      <c r="E1672" s="10">
        <f>IF(B1672="","",IFERROR(INDEX(Roster!$A$2:$A$600,MATCH(B1672,Roster!$E$2:$E$600,0)),""))</f>
        <v/>
      </c>
      <c r="F1672" s="10">
        <f>IF(C1672="","",IFERROR(INDEX(Levels!$C$2:$C$30,MATCH(C1672,Levels!$B$2:$B$30,0)),""))</f>
        <v/>
      </c>
      <c r="G1672" s="6" t="n"/>
      <c r="H1672" s="10">
        <f>IF(AND(B1672="",C1672=""),"",IF(G1672&lt;&gt;"","Void",IF(OR(B1672="",E1672=""),"Needs child",IF(D1672="","Needs level","OK"))))</f>
        <v/>
      </c>
    </row>
    <row r="1673">
      <c r="A1673" s="6" t="n"/>
      <c r="B1673" s="6" t="n"/>
      <c r="C1673" s="6" t="n"/>
      <c r="D1673" s="11">
        <f>IF(C1673="","",IFERROR(INDEX(Levels!$A$2:$A$30,MATCH(C1673,Levels!$B$2:$B$30,0)),""))</f>
        <v/>
      </c>
      <c r="E1673" s="10">
        <f>IF(B1673="","",IFERROR(INDEX(Roster!$A$2:$A$600,MATCH(B1673,Roster!$E$2:$E$600,0)),""))</f>
        <v/>
      </c>
      <c r="F1673" s="10">
        <f>IF(C1673="","",IFERROR(INDEX(Levels!$C$2:$C$30,MATCH(C1673,Levels!$B$2:$B$30,0)),""))</f>
        <v/>
      </c>
      <c r="G1673" s="6" t="n"/>
      <c r="H1673" s="10">
        <f>IF(AND(B1673="",C1673=""),"",IF(G1673&lt;&gt;"","Void",IF(OR(B1673="",E1673=""),"Needs child",IF(D1673="","Needs level","OK"))))</f>
        <v/>
      </c>
    </row>
    <row r="1674">
      <c r="A1674" s="6" t="n"/>
      <c r="B1674" s="6" t="n"/>
      <c r="C1674" s="6" t="n"/>
      <c r="D1674" s="11">
        <f>IF(C1674="","",IFERROR(INDEX(Levels!$A$2:$A$30,MATCH(C1674,Levels!$B$2:$B$30,0)),""))</f>
        <v/>
      </c>
      <c r="E1674" s="10">
        <f>IF(B1674="","",IFERROR(INDEX(Roster!$A$2:$A$600,MATCH(B1674,Roster!$E$2:$E$600,0)),""))</f>
        <v/>
      </c>
      <c r="F1674" s="10">
        <f>IF(C1674="","",IFERROR(INDEX(Levels!$C$2:$C$30,MATCH(C1674,Levels!$B$2:$B$30,0)),""))</f>
        <v/>
      </c>
      <c r="G1674" s="6" t="n"/>
      <c r="H1674" s="10">
        <f>IF(AND(B1674="",C1674=""),"",IF(G1674&lt;&gt;"","Void",IF(OR(B1674="",E1674=""),"Needs child",IF(D1674="","Needs level","OK"))))</f>
        <v/>
      </c>
    </row>
    <row r="1675">
      <c r="A1675" s="6" t="n"/>
      <c r="B1675" s="6" t="n"/>
      <c r="C1675" s="6" t="n"/>
      <c r="D1675" s="11">
        <f>IF(C1675="","",IFERROR(INDEX(Levels!$A$2:$A$30,MATCH(C1675,Levels!$B$2:$B$30,0)),""))</f>
        <v/>
      </c>
      <c r="E1675" s="10">
        <f>IF(B1675="","",IFERROR(INDEX(Roster!$A$2:$A$600,MATCH(B1675,Roster!$E$2:$E$600,0)),""))</f>
        <v/>
      </c>
      <c r="F1675" s="10">
        <f>IF(C1675="","",IFERROR(INDEX(Levels!$C$2:$C$30,MATCH(C1675,Levels!$B$2:$B$30,0)),""))</f>
        <v/>
      </c>
      <c r="G1675" s="6" t="n"/>
      <c r="H1675" s="10">
        <f>IF(AND(B1675="",C1675=""),"",IF(G1675&lt;&gt;"","Void",IF(OR(B1675="",E1675=""),"Needs child",IF(D1675="","Needs level","OK"))))</f>
        <v/>
      </c>
    </row>
    <row r="1676">
      <c r="A1676" s="6" t="n"/>
      <c r="B1676" s="6" t="n"/>
      <c r="C1676" s="6" t="n"/>
      <c r="D1676" s="11">
        <f>IF(C1676="","",IFERROR(INDEX(Levels!$A$2:$A$30,MATCH(C1676,Levels!$B$2:$B$30,0)),""))</f>
        <v/>
      </c>
      <c r="E1676" s="10">
        <f>IF(B1676="","",IFERROR(INDEX(Roster!$A$2:$A$600,MATCH(B1676,Roster!$E$2:$E$600,0)),""))</f>
        <v/>
      </c>
      <c r="F1676" s="10">
        <f>IF(C1676="","",IFERROR(INDEX(Levels!$C$2:$C$30,MATCH(C1676,Levels!$B$2:$B$30,0)),""))</f>
        <v/>
      </c>
      <c r="G1676" s="6" t="n"/>
      <c r="H1676" s="10">
        <f>IF(AND(B1676="",C1676=""),"",IF(G1676&lt;&gt;"","Void",IF(OR(B1676="",E1676=""),"Needs child",IF(D1676="","Needs level","OK"))))</f>
        <v/>
      </c>
    </row>
    <row r="1677">
      <c r="A1677" s="6" t="n"/>
      <c r="B1677" s="6" t="n"/>
      <c r="C1677" s="6" t="n"/>
      <c r="D1677" s="11">
        <f>IF(C1677="","",IFERROR(INDEX(Levels!$A$2:$A$30,MATCH(C1677,Levels!$B$2:$B$30,0)),""))</f>
        <v/>
      </c>
      <c r="E1677" s="10">
        <f>IF(B1677="","",IFERROR(INDEX(Roster!$A$2:$A$600,MATCH(B1677,Roster!$E$2:$E$600,0)),""))</f>
        <v/>
      </c>
      <c r="F1677" s="10">
        <f>IF(C1677="","",IFERROR(INDEX(Levels!$C$2:$C$30,MATCH(C1677,Levels!$B$2:$B$30,0)),""))</f>
        <v/>
      </c>
      <c r="G1677" s="6" t="n"/>
      <c r="H1677" s="10">
        <f>IF(AND(B1677="",C1677=""),"",IF(G1677&lt;&gt;"","Void",IF(OR(B1677="",E1677=""),"Needs child",IF(D1677="","Needs level","OK"))))</f>
        <v/>
      </c>
    </row>
    <row r="1678">
      <c r="A1678" s="6" t="n"/>
      <c r="B1678" s="6" t="n"/>
      <c r="C1678" s="6" t="n"/>
      <c r="D1678" s="11">
        <f>IF(C1678="","",IFERROR(INDEX(Levels!$A$2:$A$30,MATCH(C1678,Levels!$B$2:$B$30,0)),""))</f>
        <v/>
      </c>
      <c r="E1678" s="10">
        <f>IF(B1678="","",IFERROR(INDEX(Roster!$A$2:$A$600,MATCH(B1678,Roster!$E$2:$E$600,0)),""))</f>
        <v/>
      </c>
      <c r="F1678" s="10">
        <f>IF(C1678="","",IFERROR(INDEX(Levels!$C$2:$C$30,MATCH(C1678,Levels!$B$2:$B$30,0)),""))</f>
        <v/>
      </c>
      <c r="G1678" s="6" t="n"/>
      <c r="H1678" s="10">
        <f>IF(AND(B1678="",C1678=""),"",IF(G1678&lt;&gt;"","Void",IF(OR(B1678="",E1678=""),"Needs child",IF(D1678="","Needs level","OK"))))</f>
        <v/>
      </c>
    </row>
    <row r="1679">
      <c r="A1679" s="6" t="n"/>
      <c r="B1679" s="6" t="n"/>
      <c r="C1679" s="6" t="n"/>
      <c r="D1679" s="11">
        <f>IF(C1679="","",IFERROR(INDEX(Levels!$A$2:$A$30,MATCH(C1679,Levels!$B$2:$B$30,0)),""))</f>
        <v/>
      </c>
      <c r="E1679" s="10">
        <f>IF(B1679="","",IFERROR(INDEX(Roster!$A$2:$A$600,MATCH(B1679,Roster!$E$2:$E$600,0)),""))</f>
        <v/>
      </c>
      <c r="F1679" s="10">
        <f>IF(C1679="","",IFERROR(INDEX(Levels!$C$2:$C$30,MATCH(C1679,Levels!$B$2:$B$30,0)),""))</f>
        <v/>
      </c>
      <c r="G1679" s="6" t="n"/>
      <c r="H1679" s="10">
        <f>IF(AND(B1679="",C1679=""),"",IF(G1679&lt;&gt;"","Void",IF(OR(B1679="",E1679=""),"Needs child",IF(D1679="","Needs level","OK"))))</f>
        <v/>
      </c>
    </row>
    <row r="1680">
      <c r="A1680" s="6" t="n"/>
      <c r="B1680" s="6" t="n"/>
      <c r="C1680" s="6" t="n"/>
      <c r="D1680" s="11">
        <f>IF(C1680="","",IFERROR(INDEX(Levels!$A$2:$A$30,MATCH(C1680,Levels!$B$2:$B$30,0)),""))</f>
        <v/>
      </c>
      <c r="E1680" s="10">
        <f>IF(B1680="","",IFERROR(INDEX(Roster!$A$2:$A$600,MATCH(B1680,Roster!$E$2:$E$600,0)),""))</f>
        <v/>
      </c>
      <c r="F1680" s="10">
        <f>IF(C1680="","",IFERROR(INDEX(Levels!$C$2:$C$30,MATCH(C1680,Levels!$B$2:$B$30,0)),""))</f>
        <v/>
      </c>
      <c r="G1680" s="6" t="n"/>
      <c r="H1680" s="10">
        <f>IF(AND(B1680="",C1680=""),"",IF(G1680&lt;&gt;"","Void",IF(OR(B1680="",E1680=""),"Needs child",IF(D1680="","Needs level","OK"))))</f>
        <v/>
      </c>
    </row>
    <row r="1681">
      <c r="A1681" s="6" t="n"/>
      <c r="B1681" s="6" t="n"/>
      <c r="C1681" s="6" t="n"/>
      <c r="D1681" s="11">
        <f>IF(C1681="","",IFERROR(INDEX(Levels!$A$2:$A$30,MATCH(C1681,Levels!$B$2:$B$30,0)),""))</f>
        <v/>
      </c>
      <c r="E1681" s="10">
        <f>IF(B1681="","",IFERROR(INDEX(Roster!$A$2:$A$600,MATCH(B1681,Roster!$E$2:$E$600,0)),""))</f>
        <v/>
      </c>
      <c r="F1681" s="10">
        <f>IF(C1681="","",IFERROR(INDEX(Levels!$C$2:$C$30,MATCH(C1681,Levels!$B$2:$B$30,0)),""))</f>
        <v/>
      </c>
      <c r="G1681" s="6" t="n"/>
      <c r="H1681" s="10">
        <f>IF(AND(B1681="",C1681=""),"",IF(G1681&lt;&gt;"","Void",IF(OR(B1681="",E1681=""),"Needs child",IF(D1681="","Needs level","OK"))))</f>
        <v/>
      </c>
    </row>
    <row r="1682">
      <c r="A1682" s="6" t="n"/>
      <c r="B1682" s="6" t="n"/>
      <c r="C1682" s="6" t="n"/>
      <c r="D1682" s="11">
        <f>IF(C1682="","",IFERROR(INDEX(Levels!$A$2:$A$30,MATCH(C1682,Levels!$B$2:$B$30,0)),""))</f>
        <v/>
      </c>
      <c r="E1682" s="10">
        <f>IF(B1682="","",IFERROR(INDEX(Roster!$A$2:$A$600,MATCH(B1682,Roster!$E$2:$E$600,0)),""))</f>
        <v/>
      </c>
      <c r="F1682" s="10">
        <f>IF(C1682="","",IFERROR(INDEX(Levels!$C$2:$C$30,MATCH(C1682,Levels!$B$2:$B$30,0)),""))</f>
        <v/>
      </c>
      <c r="G1682" s="6" t="n"/>
      <c r="H1682" s="10">
        <f>IF(AND(B1682="",C1682=""),"",IF(G1682&lt;&gt;"","Void",IF(OR(B1682="",E1682=""),"Needs child",IF(D1682="","Needs level","OK"))))</f>
        <v/>
      </c>
    </row>
    <row r="1683">
      <c r="A1683" s="6" t="n"/>
      <c r="B1683" s="6" t="n"/>
      <c r="C1683" s="6" t="n"/>
      <c r="D1683" s="11">
        <f>IF(C1683="","",IFERROR(INDEX(Levels!$A$2:$A$30,MATCH(C1683,Levels!$B$2:$B$30,0)),""))</f>
        <v/>
      </c>
      <c r="E1683" s="10">
        <f>IF(B1683="","",IFERROR(INDEX(Roster!$A$2:$A$600,MATCH(B1683,Roster!$E$2:$E$600,0)),""))</f>
        <v/>
      </c>
      <c r="F1683" s="10">
        <f>IF(C1683="","",IFERROR(INDEX(Levels!$C$2:$C$30,MATCH(C1683,Levels!$B$2:$B$30,0)),""))</f>
        <v/>
      </c>
      <c r="G1683" s="6" t="n"/>
      <c r="H1683" s="10">
        <f>IF(AND(B1683="",C1683=""),"",IF(G1683&lt;&gt;"","Void",IF(OR(B1683="",E1683=""),"Needs child",IF(D1683="","Needs level","OK"))))</f>
        <v/>
      </c>
    </row>
    <row r="1684">
      <c r="A1684" s="6" t="n"/>
      <c r="B1684" s="6" t="n"/>
      <c r="C1684" s="6" t="n"/>
      <c r="D1684" s="11">
        <f>IF(C1684="","",IFERROR(INDEX(Levels!$A$2:$A$30,MATCH(C1684,Levels!$B$2:$B$30,0)),""))</f>
        <v/>
      </c>
      <c r="E1684" s="10">
        <f>IF(B1684="","",IFERROR(INDEX(Roster!$A$2:$A$600,MATCH(B1684,Roster!$E$2:$E$600,0)),""))</f>
        <v/>
      </c>
      <c r="F1684" s="10">
        <f>IF(C1684="","",IFERROR(INDEX(Levels!$C$2:$C$30,MATCH(C1684,Levels!$B$2:$B$30,0)),""))</f>
        <v/>
      </c>
      <c r="G1684" s="6" t="n"/>
      <c r="H1684" s="10">
        <f>IF(AND(B1684="",C1684=""),"",IF(G1684&lt;&gt;"","Void",IF(OR(B1684="",E1684=""),"Needs child",IF(D1684="","Needs level","OK"))))</f>
        <v/>
      </c>
    </row>
    <row r="1685">
      <c r="A1685" s="6" t="n"/>
      <c r="B1685" s="6" t="n"/>
      <c r="C1685" s="6" t="n"/>
      <c r="D1685" s="11">
        <f>IF(C1685="","",IFERROR(INDEX(Levels!$A$2:$A$30,MATCH(C1685,Levels!$B$2:$B$30,0)),""))</f>
        <v/>
      </c>
      <c r="E1685" s="10">
        <f>IF(B1685="","",IFERROR(INDEX(Roster!$A$2:$A$600,MATCH(B1685,Roster!$E$2:$E$600,0)),""))</f>
        <v/>
      </c>
      <c r="F1685" s="10">
        <f>IF(C1685="","",IFERROR(INDEX(Levels!$C$2:$C$30,MATCH(C1685,Levels!$B$2:$B$30,0)),""))</f>
        <v/>
      </c>
      <c r="G1685" s="6" t="n"/>
      <c r="H1685" s="10">
        <f>IF(AND(B1685="",C1685=""),"",IF(G1685&lt;&gt;"","Void",IF(OR(B1685="",E1685=""),"Needs child",IF(D1685="","Needs level","OK"))))</f>
        <v/>
      </c>
    </row>
    <row r="1686">
      <c r="A1686" s="6" t="n"/>
      <c r="B1686" s="6" t="n"/>
      <c r="C1686" s="6" t="n"/>
      <c r="D1686" s="11">
        <f>IF(C1686="","",IFERROR(INDEX(Levels!$A$2:$A$30,MATCH(C1686,Levels!$B$2:$B$30,0)),""))</f>
        <v/>
      </c>
      <c r="E1686" s="10">
        <f>IF(B1686="","",IFERROR(INDEX(Roster!$A$2:$A$600,MATCH(B1686,Roster!$E$2:$E$600,0)),""))</f>
        <v/>
      </c>
      <c r="F1686" s="10">
        <f>IF(C1686="","",IFERROR(INDEX(Levels!$C$2:$C$30,MATCH(C1686,Levels!$B$2:$B$30,0)),""))</f>
        <v/>
      </c>
      <c r="G1686" s="6" t="n"/>
      <c r="H1686" s="10">
        <f>IF(AND(B1686="",C1686=""),"",IF(G1686&lt;&gt;"","Void",IF(OR(B1686="",E1686=""),"Needs child",IF(D1686="","Needs level","OK"))))</f>
        <v/>
      </c>
    </row>
    <row r="1687">
      <c r="A1687" s="6" t="n"/>
      <c r="B1687" s="6" t="n"/>
      <c r="C1687" s="6" t="n"/>
      <c r="D1687" s="11">
        <f>IF(C1687="","",IFERROR(INDEX(Levels!$A$2:$A$30,MATCH(C1687,Levels!$B$2:$B$30,0)),""))</f>
        <v/>
      </c>
      <c r="E1687" s="10">
        <f>IF(B1687="","",IFERROR(INDEX(Roster!$A$2:$A$600,MATCH(B1687,Roster!$E$2:$E$600,0)),""))</f>
        <v/>
      </c>
      <c r="F1687" s="10">
        <f>IF(C1687="","",IFERROR(INDEX(Levels!$C$2:$C$30,MATCH(C1687,Levels!$B$2:$B$30,0)),""))</f>
        <v/>
      </c>
      <c r="G1687" s="6" t="n"/>
      <c r="H1687" s="10">
        <f>IF(AND(B1687="",C1687=""),"",IF(G1687&lt;&gt;"","Void",IF(OR(B1687="",E1687=""),"Needs child",IF(D1687="","Needs level","OK"))))</f>
        <v/>
      </c>
    </row>
    <row r="1688">
      <c r="A1688" s="6" t="n"/>
      <c r="B1688" s="6" t="n"/>
      <c r="C1688" s="6" t="n"/>
      <c r="D1688" s="11">
        <f>IF(C1688="","",IFERROR(INDEX(Levels!$A$2:$A$30,MATCH(C1688,Levels!$B$2:$B$30,0)),""))</f>
        <v/>
      </c>
      <c r="E1688" s="10">
        <f>IF(B1688="","",IFERROR(INDEX(Roster!$A$2:$A$600,MATCH(B1688,Roster!$E$2:$E$600,0)),""))</f>
        <v/>
      </c>
      <c r="F1688" s="10">
        <f>IF(C1688="","",IFERROR(INDEX(Levels!$C$2:$C$30,MATCH(C1688,Levels!$B$2:$B$30,0)),""))</f>
        <v/>
      </c>
      <c r="G1688" s="6" t="n"/>
      <c r="H1688" s="10">
        <f>IF(AND(B1688="",C1688=""),"",IF(G1688&lt;&gt;"","Void",IF(OR(B1688="",E1688=""),"Needs child",IF(D1688="","Needs level","OK"))))</f>
        <v/>
      </c>
    </row>
    <row r="1689">
      <c r="A1689" s="6" t="n"/>
      <c r="B1689" s="6" t="n"/>
      <c r="C1689" s="6" t="n"/>
      <c r="D1689" s="11">
        <f>IF(C1689="","",IFERROR(INDEX(Levels!$A$2:$A$30,MATCH(C1689,Levels!$B$2:$B$30,0)),""))</f>
        <v/>
      </c>
      <c r="E1689" s="10">
        <f>IF(B1689="","",IFERROR(INDEX(Roster!$A$2:$A$600,MATCH(B1689,Roster!$E$2:$E$600,0)),""))</f>
        <v/>
      </c>
      <c r="F1689" s="10">
        <f>IF(C1689="","",IFERROR(INDEX(Levels!$C$2:$C$30,MATCH(C1689,Levels!$B$2:$B$30,0)),""))</f>
        <v/>
      </c>
      <c r="G1689" s="6" t="n"/>
      <c r="H1689" s="10">
        <f>IF(AND(B1689="",C1689=""),"",IF(G1689&lt;&gt;"","Void",IF(OR(B1689="",E1689=""),"Needs child",IF(D1689="","Needs level","OK"))))</f>
        <v/>
      </c>
    </row>
    <row r="1690">
      <c r="A1690" s="6" t="n"/>
      <c r="B1690" s="6" t="n"/>
      <c r="C1690" s="6" t="n"/>
      <c r="D1690" s="11">
        <f>IF(C1690="","",IFERROR(INDEX(Levels!$A$2:$A$30,MATCH(C1690,Levels!$B$2:$B$30,0)),""))</f>
        <v/>
      </c>
      <c r="E1690" s="10">
        <f>IF(B1690="","",IFERROR(INDEX(Roster!$A$2:$A$600,MATCH(B1690,Roster!$E$2:$E$600,0)),""))</f>
        <v/>
      </c>
      <c r="F1690" s="10">
        <f>IF(C1690="","",IFERROR(INDEX(Levels!$C$2:$C$30,MATCH(C1690,Levels!$B$2:$B$30,0)),""))</f>
        <v/>
      </c>
      <c r="G1690" s="6" t="n"/>
      <c r="H1690" s="10">
        <f>IF(AND(B1690="",C1690=""),"",IF(G1690&lt;&gt;"","Void",IF(OR(B1690="",E1690=""),"Needs child",IF(D1690="","Needs level","OK"))))</f>
        <v/>
      </c>
    </row>
    <row r="1691">
      <c r="A1691" s="6" t="n"/>
      <c r="B1691" s="6" t="n"/>
      <c r="C1691" s="6" t="n"/>
      <c r="D1691" s="11">
        <f>IF(C1691="","",IFERROR(INDEX(Levels!$A$2:$A$30,MATCH(C1691,Levels!$B$2:$B$30,0)),""))</f>
        <v/>
      </c>
      <c r="E1691" s="10">
        <f>IF(B1691="","",IFERROR(INDEX(Roster!$A$2:$A$600,MATCH(B1691,Roster!$E$2:$E$600,0)),""))</f>
        <v/>
      </c>
      <c r="F1691" s="10">
        <f>IF(C1691="","",IFERROR(INDEX(Levels!$C$2:$C$30,MATCH(C1691,Levels!$B$2:$B$30,0)),""))</f>
        <v/>
      </c>
      <c r="G1691" s="6" t="n"/>
      <c r="H1691" s="10">
        <f>IF(AND(B1691="",C1691=""),"",IF(G1691&lt;&gt;"","Void",IF(OR(B1691="",E1691=""),"Needs child",IF(D1691="","Needs level","OK"))))</f>
        <v/>
      </c>
    </row>
    <row r="1692">
      <c r="A1692" s="6" t="n"/>
      <c r="B1692" s="6" t="n"/>
      <c r="C1692" s="6" t="n"/>
      <c r="D1692" s="11">
        <f>IF(C1692="","",IFERROR(INDEX(Levels!$A$2:$A$30,MATCH(C1692,Levels!$B$2:$B$30,0)),""))</f>
        <v/>
      </c>
      <c r="E1692" s="10">
        <f>IF(B1692="","",IFERROR(INDEX(Roster!$A$2:$A$600,MATCH(B1692,Roster!$E$2:$E$600,0)),""))</f>
        <v/>
      </c>
      <c r="F1692" s="10">
        <f>IF(C1692="","",IFERROR(INDEX(Levels!$C$2:$C$30,MATCH(C1692,Levels!$B$2:$B$30,0)),""))</f>
        <v/>
      </c>
      <c r="G1692" s="6" t="n"/>
      <c r="H1692" s="10">
        <f>IF(AND(B1692="",C1692=""),"",IF(G1692&lt;&gt;"","Void",IF(OR(B1692="",E1692=""),"Needs child",IF(D1692="","Needs level","OK"))))</f>
        <v/>
      </c>
    </row>
    <row r="1693">
      <c r="A1693" s="6" t="n"/>
      <c r="B1693" s="6" t="n"/>
      <c r="C1693" s="6" t="n"/>
      <c r="D1693" s="11">
        <f>IF(C1693="","",IFERROR(INDEX(Levels!$A$2:$A$30,MATCH(C1693,Levels!$B$2:$B$30,0)),""))</f>
        <v/>
      </c>
      <c r="E1693" s="10">
        <f>IF(B1693="","",IFERROR(INDEX(Roster!$A$2:$A$600,MATCH(B1693,Roster!$E$2:$E$600,0)),""))</f>
        <v/>
      </c>
      <c r="F1693" s="10">
        <f>IF(C1693="","",IFERROR(INDEX(Levels!$C$2:$C$30,MATCH(C1693,Levels!$B$2:$B$30,0)),""))</f>
        <v/>
      </c>
      <c r="G1693" s="6" t="n"/>
      <c r="H1693" s="10">
        <f>IF(AND(B1693="",C1693=""),"",IF(G1693&lt;&gt;"","Void",IF(OR(B1693="",E1693=""),"Needs child",IF(D1693="","Needs level","OK"))))</f>
        <v/>
      </c>
    </row>
    <row r="1694">
      <c r="A1694" s="6" t="n"/>
      <c r="B1694" s="6" t="n"/>
      <c r="C1694" s="6" t="n"/>
      <c r="D1694" s="11">
        <f>IF(C1694="","",IFERROR(INDEX(Levels!$A$2:$A$30,MATCH(C1694,Levels!$B$2:$B$30,0)),""))</f>
        <v/>
      </c>
      <c r="E1694" s="10">
        <f>IF(B1694="","",IFERROR(INDEX(Roster!$A$2:$A$600,MATCH(B1694,Roster!$E$2:$E$600,0)),""))</f>
        <v/>
      </c>
      <c r="F1694" s="10">
        <f>IF(C1694="","",IFERROR(INDEX(Levels!$C$2:$C$30,MATCH(C1694,Levels!$B$2:$B$30,0)),""))</f>
        <v/>
      </c>
      <c r="G1694" s="6" t="n"/>
      <c r="H1694" s="10">
        <f>IF(AND(B1694="",C1694=""),"",IF(G1694&lt;&gt;"","Void",IF(OR(B1694="",E1694=""),"Needs child",IF(D1694="","Needs level","OK"))))</f>
        <v/>
      </c>
    </row>
    <row r="1695">
      <c r="A1695" s="6" t="n"/>
      <c r="B1695" s="6" t="n"/>
      <c r="C1695" s="6" t="n"/>
      <c r="D1695" s="11">
        <f>IF(C1695="","",IFERROR(INDEX(Levels!$A$2:$A$30,MATCH(C1695,Levels!$B$2:$B$30,0)),""))</f>
        <v/>
      </c>
      <c r="E1695" s="10">
        <f>IF(B1695="","",IFERROR(INDEX(Roster!$A$2:$A$600,MATCH(B1695,Roster!$E$2:$E$600,0)),""))</f>
        <v/>
      </c>
      <c r="F1695" s="10">
        <f>IF(C1695="","",IFERROR(INDEX(Levels!$C$2:$C$30,MATCH(C1695,Levels!$B$2:$B$30,0)),""))</f>
        <v/>
      </c>
      <c r="G1695" s="6" t="n"/>
      <c r="H1695" s="10">
        <f>IF(AND(B1695="",C1695=""),"",IF(G1695&lt;&gt;"","Void",IF(OR(B1695="",E1695=""),"Needs child",IF(D1695="","Needs level","OK"))))</f>
        <v/>
      </c>
    </row>
    <row r="1696">
      <c r="A1696" s="6" t="n"/>
      <c r="B1696" s="6" t="n"/>
      <c r="C1696" s="6" t="n"/>
      <c r="D1696" s="11">
        <f>IF(C1696="","",IFERROR(INDEX(Levels!$A$2:$A$30,MATCH(C1696,Levels!$B$2:$B$30,0)),""))</f>
        <v/>
      </c>
      <c r="E1696" s="10">
        <f>IF(B1696="","",IFERROR(INDEX(Roster!$A$2:$A$600,MATCH(B1696,Roster!$E$2:$E$600,0)),""))</f>
        <v/>
      </c>
      <c r="F1696" s="10">
        <f>IF(C1696="","",IFERROR(INDEX(Levels!$C$2:$C$30,MATCH(C1696,Levels!$B$2:$B$30,0)),""))</f>
        <v/>
      </c>
      <c r="G1696" s="6" t="n"/>
      <c r="H1696" s="10">
        <f>IF(AND(B1696="",C1696=""),"",IF(G1696&lt;&gt;"","Void",IF(OR(B1696="",E1696=""),"Needs child",IF(D1696="","Needs level","OK"))))</f>
        <v/>
      </c>
    </row>
    <row r="1697">
      <c r="A1697" s="6" t="n"/>
      <c r="B1697" s="6" t="n"/>
      <c r="C1697" s="6" t="n"/>
      <c r="D1697" s="11">
        <f>IF(C1697="","",IFERROR(INDEX(Levels!$A$2:$A$30,MATCH(C1697,Levels!$B$2:$B$30,0)),""))</f>
        <v/>
      </c>
      <c r="E1697" s="10">
        <f>IF(B1697="","",IFERROR(INDEX(Roster!$A$2:$A$600,MATCH(B1697,Roster!$E$2:$E$600,0)),""))</f>
        <v/>
      </c>
      <c r="F1697" s="10">
        <f>IF(C1697="","",IFERROR(INDEX(Levels!$C$2:$C$30,MATCH(C1697,Levels!$B$2:$B$30,0)),""))</f>
        <v/>
      </c>
      <c r="G1697" s="6" t="n"/>
      <c r="H1697" s="10">
        <f>IF(AND(B1697="",C1697=""),"",IF(G1697&lt;&gt;"","Void",IF(OR(B1697="",E1697=""),"Needs child",IF(D1697="","Needs level","OK"))))</f>
        <v/>
      </c>
    </row>
    <row r="1698">
      <c r="A1698" s="6" t="n"/>
      <c r="B1698" s="6" t="n"/>
      <c r="C1698" s="6" t="n"/>
      <c r="D1698" s="11">
        <f>IF(C1698="","",IFERROR(INDEX(Levels!$A$2:$A$30,MATCH(C1698,Levels!$B$2:$B$30,0)),""))</f>
        <v/>
      </c>
      <c r="E1698" s="10">
        <f>IF(B1698="","",IFERROR(INDEX(Roster!$A$2:$A$600,MATCH(B1698,Roster!$E$2:$E$600,0)),""))</f>
        <v/>
      </c>
      <c r="F1698" s="10">
        <f>IF(C1698="","",IFERROR(INDEX(Levels!$C$2:$C$30,MATCH(C1698,Levels!$B$2:$B$30,0)),""))</f>
        <v/>
      </c>
      <c r="G1698" s="6" t="n"/>
      <c r="H1698" s="10">
        <f>IF(AND(B1698="",C1698=""),"",IF(G1698&lt;&gt;"","Void",IF(OR(B1698="",E1698=""),"Needs child",IF(D1698="","Needs level","OK"))))</f>
        <v/>
      </c>
    </row>
    <row r="1699">
      <c r="A1699" s="6" t="n"/>
      <c r="B1699" s="6" t="n"/>
      <c r="C1699" s="6" t="n"/>
      <c r="D1699" s="11">
        <f>IF(C1699="","",IFERROR(INDEX(Levels!$A$2:$A$30,MATCH(C1699,Levels!$B$2:$B$30,0)),""))</f>
        <v/>
      </c>
      <c r="E1699" s="10">
        <f>IF(B1699="","",IFERROR(INDEX(Roster!$A$2:$A$600,MATCH(B1699,Roster!$E$2:$E$600,0)),""))</f>
        <v/>
      </c>
      <c r="F1699" s="10">
        <f>IF(C1699="","",IFERROR(INDEX(Levels!$C$2:$C$30,MATCH(C1699,Levels!$B$2:$B$30,0)),""))</f>
        <v/>
      </c>
      <c r="G1699" s="6" t="n"/>
      <c r="H1699" s="10">
        <f>IF(AND(B1699="",C1699=""),"",IF(G1699&lt;&gt;"","Void",IF(OR(B1699="",E1699=""),"Needs child",IF(D1699="","Needs level","OK"))))</f>
        <v/>
      </c>
    </row>
    <row r="1700">
      <c r="A1700" s="6" t="n"/>
      <c r="B1700" s="6" t="n"/>
      <c r="C1700" s="6" t="n"/>
      <c r="D1700" s="11">
        <f>IF(C1700="","",IFERROR(INDEX(Levels!$A$2:$A$30,MATCH(C1700,Levels!$B$2:$B$30,0)),""))</f>
        <v/>
      </c>
      <c r="E1700" s="10">
        <f>IF(B1700="","",IFERROR(INDEX(Roster!$A$2:$A$600,MATCH(B1700,Roster!$E$2:$E$600,0)),""))</f>
        <v/>
      </c>
      <c r="F1700" s="10">
        <f>IF(C1700="","",IFERROR(INDEX(Levels!$C$2:$C$30,MATCH(C1700,Levels!$B$2:$B$30,0)),""))</f>
        <v/>
      </c>
      <c r="G1700" s="6" t="n"/>
      <c r="H1700" s="10">
        <f>IF(AND(B1700="",C1700=""),"",IF(G1700&lt;&gt;"","Void",IF(OR(B1700="",E1700=""),"Needs child",IF(D1700="","Needs level","OK"))))</f>
        <v/>
      </c>
    </row>
    <row r="1701">
      <c r="A1701" s="6" t="n"/>
      <c r="B1701" s="6" t="n"/>
      <c r="C1701" s="6" t="n"/>
      <c r="D1701" s="11">
        <f>IF(C1701="","",IFERROR(INDEX(Levels!$A$2:$A$30,MATCH(C1701,Levels!$B$2:$B$30,0)),""))</f>
        <v/>
      </c>
      <c r="E1701" s="10">
        <f>IF(B1701="","",IFERROR(INDEX(Roster!$A$2:$A$600,MATCH(B1701,Roster!$E$2:$E$600,0)),""))</f>
        <v/>
      </c>
      <c r="F1701" s="10">
        <f>IF(C1701="","",IFERROR(INDEX(Levels!$C$2:$C$30,MATCH(C1701,Levels!$B$2:$B$30,0)),""))</f>
        <v/>
      </c>
      <c r="G1701" s="6" t="n"/>
      <c r="H1701" s="10">
        <f>IF(AND(B1701="",C1701=""),"",IF(G1701&lt;&gt;"","Void",IF(OR(B1701="",E1701=""),"Needs child",IF(D1701="","Needs level","OK"))))</f>
        <v/>
      </c>
    </row>
    <row r="1702">
      <c r="A1702" s="6" t="n"/>
      <c r="B1702" s="6" t="n"/>
      <c r="C1702" s="6" t="n"/>
      <c r="D1702" s="11">
        <f>IF(C1702="","",IFERROR(INDEX(Levels!$A$2:$A$30,MATCH(C1702,Levels!$B$2:$B$30,0)),""))</f>
        <v/>
      </c>
      <c r="E1702" s="10">
        <f>IF(B1702="","",IFERROR(INDEX(Roster!$A$2:$A$600,MATCH(B1702,Roster!$E$2:$E$600,0)),""))</f>
        <v/>
      </c>
      <c r="F1702" s="10">
        <f>IF(C1702="","",IFERROR(INDEX(Levels!$C$2:$C$30,MATCH(C1702,Levels!$B$2:$B$30,0)),""))</f>
        <v/>
      </c>
      <c r="G1702" s="6" t="n"/>
      <c r="H1702" s="10">
        <f>IF(AND(B1702="",C1702=""),"",IF(G1702&lt;&gt;"","Void",IF(OR(B1702="",E1702=""),"Needs child",IF(D1702="","Needs level","OK"))))</f>
        <v/>
      </c>
    </row>
    <row r="1703">
      <c r="A1703" s="6" t="n"/>
      <c r="B1703" s="6" t="n"/>
      <c r="C1703" s="6" t="n"/>
      <c r="D1703" s="11">
        <f>IF(C1703="","",IFERROR(INDEX(Levels!$A$2:$A$30,MATCH(C1703,Levels!$B$2:$B$30,0)),""))</f>
        <v/>
      </c>
      <c r="E1703" s="10">
        <f>IF(B1703="","",IFERROR(INDEX(Roster!$A$2:$A$600,MATCH(B1703,Roster!$E$2:$E$600,0)),""))</f>
        <v/>
      </c>
      <c r="F1703" s="10">
        <f>IF(C1703="","",IFERROR(INDEX(Levels!$C$2:$C$30,MATCH(C1703,Levels!$B$2:$B$30,0)),""))</f>
        <v/>
      </c>
      <c r="G1703" s="6" t="n"/>
      <c r="H1703" s="10">
        <f>IF(AND(B1703="",C1703=""),"",IF(G1703&lt;&gt;"","Void",IF(OR(B1703="",E1703=""),"Needs child",IF(D1703="","Needs level","OK"))))</f>
        <v/>
      </c>
    </row>
    <row r="1704">
      <c r="A1704" s="6" t="n"/>
      <c r="B1704" s="6" t="n"/>
      <c r="C1704" s="6" t="n"/>
      <c r="D1704" s="11">
        <f>IF(C1704="","",IFERROR(INDEX(Levels!$A$2:$A$30,MATCH(C1704,Levels!$B$2:$B$30,0)),""))</f>
        <v/>
      </c>
      <c r="E1704" s="10">
        <f>IF(B1704="","",IFERROR(INDEX(Roster!$A$2:$A$600,MATCH(B1704,Roster!$E$2:$E$600,0)),""))</f>
        <v/>
      </c>
      <c r="F1704" s="10">
        <f>IF(C1704="","",IFERROR(INDEX(Levels!$C$2:$C$30,MATCH(C1704,Levels!$B$2:$B$30,0)),""))</f>
        <v/>
      </c>
      <c r="G1704" s="6" t="n"/>
      <c r="H1704" s="10">
        <f>IF(AND(B1704="",C1704=""),"",IF(G1704&lt;&gt;"","Void",IF(OR(B1704="",E1704=""),"Needs child",IF(D1704="","Needs level","OK"))))</f>
        <v/>
      </c>
    </row>
    <row r="1705">
      <c r="A1705" s="6" t="n"/>
      <c r="B1705" s="6" t="n"/>
      <c r="C1705" s="6" t="n"/>
      <c r="D1705" s="11">
        <f>IF(C1705="","",IFERROR(INDEX(Levels!$A$2:$A$30,MATCH(C1705,Levels!$B$2:$B$30,0)),""))</f>
        <v/>
      </c>
      <c r="E1705" s="10">
        <f>IF(B1705="","",IFERROR(INDEX(Roster!$A$2:$A$600,MATCH(B1705,Roster!$E$2:$E$600,0)),""))</f>
        <v/>
      </c>
      <c r="F1705" s="10">
        <f>IF(C1705="","",IFERROR(INDEX(Levels!$C$2:$C$30,MATCH(C1705,Levels!$B$2:$B$30,0)),""))</f>
        <v/>
      </c>
      <c r="G1705" s="6" t="n"/>
      <c r="H1705" s="10">
        <f>IF(AND(B1705="",C1705=""),"",IF(G1705&lt;&gt;"","Void",IF(OR(B1705="",E1705=""),"Needs child",IF(D1705="","Needs level","OK"))))</f>
        <v/>
      </c>
    </row>
    <row r="1706">
      <c r="A1706" s="6" t="n"/>
      <c r="B1706" s="6" t="n"/>
      <c r="C1706" s="6" t="n"/>
      <c r="D1706" s="11">
        <f>IF(C1706="","",IFERROR(INDEX(Levels!$A$2:$A$30,MATCH(C1706,Levels!$B$2:$B$30,0)),""))</f>
        <v/>
      </c>
      <c r="E1706" s="10">
        <f>IF(B1706="","",IFERROR(INDEX(Roster!$A$2:$A$600,MATCH(B1706,Roster!$E$2:$E$600,0)),""))</f>
        <v/>
      </c>
      <c r="F1706" s="10">
        <f>IF(C1706="","",IFERROR(INDEX(Levels!$C$2:$C$30,MATCH(C1706,Levels!$B$2:$B$30,0)),""))</f>
        <v/>
      </c>
      <c r="G1706" s="6" t="n"/>
      <c r="H1706" s="10">
        <f>IF(AND(B1706="",C1706=""),"",IF(G1706&lt;&gt;"","Void",IF(OR(B1706="",E1706=""),"Needs child",IF(D1706="","Needs level","OK"))))</f>
        <v/>
      </c>
    </row>
    <row r="1707">
      <c r="A1707" s="6" t="n"/>
      <c r="B1707" s="6" t="n"/>
      <c r="C1707" s="6" t="n"/>
      <c r="D1707" s="11">
        <f>IF(C1707="","",IFERROR(INDEX(Levels!$A$2:$A$30,MATCH(C1707,Levels!$B$2:$B$30,0)),""))</f>
        <v/>
      </c>
      <c r="E1707" s="10">
        <f>IF(B1707="","",IFERROR(INDEX(Roster!$A$2:$A$600,MATCH(B1707,Roster!$E$2:$E$600,0)),""))</f>
        <v/>
      </c>
      <c r="F1707" s="10">
        <f>IF(C1707="","",IFERROR(INDEX(Levels!$C$2:$C$30,MATCH(C1707,Levels!$B$2:$B$30,0)),""))</f>
        <v/>
      </c>
      <c r="G1707" s="6" t="n"/>
      <c r="H1707" s="10">
        <f>IF(AND(B1707="",C1707=""),"",IF(G1707&lt;&gt;"","Void",IF(OR(B1707="",E1707=""),"Needs child",IF(D1707="","Needs level","OK"))))</f>
        <v/>
      </c>
    </row>
    <row r="1708">
      <c r="A1708" s="6" t="n"/>
      <c r="B1708" s="6" t="n"/>
      <c r="C1708" s="6" t="n"/>
      <c r="D1708" s="11">
        <f>IF(C1708="","",IFERROR(INDEX(Levels!$A$2:$A$30,MATCH(C1708,Levels!$B$2:$B$30,0)),""))</f>
        <v/>
      </c>
      <c r="E1708" s="10">
        <f>IF(B1708="","",IFERROR(INDEX(Roster!$A$2:$A$600,MATCH(B1708,Roster!$E$2:$E$600,0)),""))</f>
        <v/>
      </c>
      <c r="F1708" s="10">
        <f>IF(C1708="","",IFERROR(INDEX(Levels!$C$2:$C$30,MATCH(C1708,Levels!$B$2:$B$30,0)),""))</f>
        <v/>
      </c>
      <c r="G1708" s="6" t="n"/>
      <c r="H1708" s="10">
        <f>IF(AND(B1708="",C1708=""),"",IF(G1708&lt;&gt;"","Void",IF(OR(B1708="",E1708=""),"Needs child",IF(D1708="","Needs level","OK"))))</f>
        <v/>
      </c>
    </row>
    <row r="1709">
      <c r="A1709" s="6" t="n"/>
      <c r="B1709" s="6" t="n"/>
      <c r="C1709" s="6" t="n"/>
      <c r="D1709" s="11">
        <f>IF(C1709="","",IFERROR(INDEX(Levels!$A$2:$A$30,MATCH(C1709,Levels!$B$2:$B$30,0)),""))</f>
        <v/>
      </c>
      <c r="E1709" s="10">
        <f>IF(B1709="","",IFERROR(INDEX(Roster!$A$2:$A$600,MATCH(B1709,Roster!$E$2:$E$600,0)),""))</f>
        <v/>
      </c>
      <c r="F1709" s="10">
        <f>IF(C1709="","",IFERROR(INDEX(Levels!$C$2:$C$30,MATCH(C1709,Levels!$B$2:$B$30,0)),""))</f>
        <v/>
      </c>
      <c r="G1709" s="6" t="n"/>
      <c r="H1709" s="10">
        <f>IF(AND(B1709="",C1709=""),"",IF(G1709&lt;&gt;"","Void",IF(OR(B1709="",E1709=""),"Needs child",IF(D1709="","Needs level","OK"))))</f>
        <v/>
      </c>
    </row>
    <row r="1710">
      <c r="A1710" s="6" t="n"/>
      <c r="B1710" s="6" t="n"/>
      <c r="C1710" s="6" t="n"/>
      <c r="D1710" s="11">
        <f>IF(C1710="","",IFERROR(INDEX(Levels!$A$2:$A$30,MATCH(C1710,Levels!$B$2:$B$30,0)),""))</f>
        <v/>
      </c>
      <c r="E1710" s="10">
        <f>IF(B1710="","",IFERROR(INDEX(Roster!$A$2:$A$600,MATCH(B1710,Roster!$E$2:$E$600,0)),""))</f>
        <v/>
      </c>
      <c r="F1710" s="10">
        <f>IF(C1710="","",IFERROR(INDEX(Levels!$C$2:$C$30,MATCH(C1710,Levels!$B$2:$B$30,0)),""))</f>
        <v/>
      </c>
      <c r="G1710" s="6" t="n"/>
      <c r="H1710" s="10">
        <f>IF(AND(B1710="",C1710=""),"",IF(G1710&lt;&gt;"","Void",IF(OR(B1710="",E1710=""),"Needs child",IF(D1710="","Needs level","OK"))))</f>
        <v/>
      </c>
    </row>
    <row r="1711">
      <c r="A1711" s="6" t="n"/>
      <c r="B1711" s="6" t="n"/>
      <c r="C1711" s="6" t="n"/>
      <c r="D1711" s="11">
        <f>IF(C1711="","",IFERROR(INDEX(Levels!$A$2:$A$30,MATCH(C1711,Levels!$B$2:$B$30,0)),""))</f>
        <v/>
      </c>
      <c r="E1711" s="10">
        <f>IF(B1711="","",IFERROR(INDEX(Roster!$A$2:$A$600,MATCH(B1711,Roster!$E$2:$E$600,0)),""))</f>
        <v/>
      </c>
      <c r="F1711" s="10">
        <f>IF(C1711="","",IFERROR(INDEX(Levels!$C$2:$C$30,MATCH(C1711,Levels!$B$2:$B$30,0)),""))</f>
        <v/>
      </c>
      <c r="G1711" s="6" t="n"/>
      <c r="H1711" s="10">
        <f>IF(AND(B1711="",C1711=""),"",IF(G1711&lt;&gt;"","Void",IF(OR(B1711="",E1711=""),"Needs child",IF(D1711="","Needs level","OK"))))</f>
        <v/>
      </c>
    </row>
    <row r="1712">
      <c r="A1712" s="6" t="n"/>
      <c r="B1712" s="6" t="n"/>
      <c r="C1712" s="6" t="n"/>
      <c r="D1712" s="11">
        <f>IF(C1712="","",IFERROR(INDEX(Levels!$A$2:$A$30,MATCH(C1712,Levels!$B$2:$B$30,0)),""))</f>
        <v/>
      </c>
      <c r="E1712" s="10">
        <f>IF(B1712="","",IFERROR(INDEX(Roster!$A$2:$A$600,MATCH(B1712,Roster!$E$2:$E$600,0)),""))</f>
        <v/>
      </c>
      <c r="F1712" s="10">
        <f>IF(C1712="","",IFERROR(INDEX(Levels!$C$2:$C$30,MATCH(C1712,Levels!$B$2:$B$30,0)),""))</f>
        <v/>
      </c>
      <c r="G1712" s="6" t="n"/>
      <c r="H1712" s="10">
        <f>IF(AND(B1712="",C1712=""),"",IF(G1712&lt;&gt;"","Void",IF(OR(B1712="",E1712=""),"Needs child",IF(D1712="","Needs level","OK"))))</f>
        <v/>
      </c>
    </row>
    <row r="1713">
      <c r="A1713" s="6" t="n"/>
      <c r="B1713" s="6" t="n"/>
      <c r="C1713" s="6" t="n"/>
      <c r="D1713" s="11">
        <f>IF(C1713="","",IFERROR(INDEX(Levels!$A$2:$A$30,MATCH(C1713,Levels!$B$2:$B$30,0)),""))</f>
        <v/>
      </c>
      <c r="E1713" s="10">
        <f>IF(B1713="","",IFERROR(INDEX(Roster!$A$2:$A$600,MATCH(B1713,Roster!$E$2:$E$600,0)),""))</f>
        <v/>
      </c>
      <c r="F1713" s="10">
        <f>IF(C1713="","",IFERROR(INDEX(Levels!$C$2:$C$30,MATCH(C1713,Levels!$B$2:$B$30,0)),""))</f>
        <v/>
      </c>
      <c r="G1713" s="6" t="n"/>
      <c r="H1713" s="10">
        <f>IF(AND(B1713="",C1713=""),"",IF(G1713&lt;&gt;"","Void",IF(OR(B1713="",E1713=""),"Needs child",IF(D1713="","Needs level","OK"))))</f>
        <v/>
      </c>
    </row>
    <row r="1714">
      <c r="A1714" s="6" t="n"/>
      <c r="B1714" s="6" t="n"/>
      <c r="C1714" s="6" t="n"/>
      <c r="D1714" s="11">
        <f>IF(C1714="","",IFERROR(INDEX(Levels!$A$2:$A$30,MATCH(C1714,Levels!$B$2:$B$30,0)),""))</f>
        <v/>
      </c>
      <c r="E1714" s="10">
        <f>IF(B1714="","",IFERROR(INDEX(Roster!$A$2:$A$600,MATCH(B1714,Roster!$E$2:$E$600,0)),""))</f>
        <v/>
      </c>
      <c r="F1714" s="10">
        <f>IF(C1714="","",IFERROR(INDEX(Levels!$C$2:$C$30,MATCH(C1714,Levels!$B$2:$B$30,0)),""))</f>
        <v/>
      </c>
      <c r="G1714" s="6" t="n"/>
      <c r="H1714" s="10">
        <f>IF(AND(B1714="",C1714=""),"",IF(G1714&lt;&gt;"","Void",IF(OR(B1714="",E1714=""),"Needs child",IF(D1714="","Needs level","OK"))))</f>
        <v/>
      </c>
    </row>
    <row r="1715">
      <c r="A1715" s="6" t="n"/>
      <c r="B1715" s="6" t="n"/>
      <c r="C1715" s="6" t="n"/>
      <c r="D1715" s="11">
        <f>IF(C1715="","",IFERROR(INDEX(Levels!$A$2:$A$30,MATCH(C1715,Levels!$B$2:$B$30,0)),""))</f>
        <v/>
      </c>
      <c r="E1715" s="10">
        <f>IF(B1715="","",IFERROR(INDEX(Roster!$A$2:$A$600,MATCH(B1715,Roster!$E$2:$E$600,0)),""))</f>
        <v/>
      </c>
      <c r="F1715" s="10">
        <f>IF(C1715="","",IFERROR(INDEX(Levels!$C$2:$C$30,MATCH(C1715,Levels!$B$2:$B$30,0)),""))</f>
        <v/>
      </c>
      <c r="G1715" s="6" t="n"/>
      <c r="H1715" s="10">
        <f>IF(AND(B1715="",C1715=""),"",IF(G1715&lt;&gt;"","Void",IF(OR(B1715="",E1715=""),"Needs child",IF(D1715="","Needs level","OK"))))</f>
        <v/>
      </c>
    </row>
    <row r="1716">
      <c r="A1716" s="6" t="n"/>
      <c r="B1716" s="6" t="n"/>
      <c r="C1716" s="6" t="n"/>
      <c r="D1716" s="11">
        <f>IF(C1716="","",IFERROR(INDEX(Levels!$A$2:$A$30,MATCH(C1716,Levels!$B$2:$B$30,0)),""))</f>
        <v/>
      </c>
      <c r="E1716" s="10">
        <f>IF(B1716="","",IFERROR(INDEX(Roster!$A$2:$A$600,MATCH(B1716,Roster!$E$2:$E$600,0)),""))</f>
        <v/>
      </c>
      <c r="F1716" s="10">
        <f>IF(C1716="","",IFERROR(INDEX(Levels!$C$2:$C$30,MATCH(C1716,Levels!$B$2:$B$30,0)),""))</f>
        <v/>
      </c>
      <c r="G1716" s="6" t="n"/>
      <c r="H1716" s="10">
        <f>IF(AND(B1716="",C1716=""),"",IF(G1716&lt;&gt;"","Void",IF(OR(B1716="",E1716=""),"Needs child",IF(D1716="","Needs level","OK"))))</f>
        <v/>
      </c>
    </row>
    <row r="1717">
      <c r="A1717" s="6" t="n"/>
      <c r="B1717" s="6" t="n"/>
      <c r="C1717" s="6" t="n"/>
      <c r="D1717" s="11">
        <f>IF(C1717="","",IFERROR(INDEX(Levels!$A$2:$A$30,MATCH(C1717,Levels!$B$2:$B$30,0)),""))</f>
        <v/>
      </c>
      <c r="E1717" s="10">
        <f>IF(B1717="","",IFERROR(INDEX(Roster!$A$2:$A$600,MATCH(B1717,Roster!$E$2:$E$600,0)),""))</f>
        <v/>
      </c>
      <c r="F1717" s="10">
        <f>IF(C1717="","",IFERROR(INDEX(Levels!$C$2:$C$30,MATCH(C1717,Levels!$B$2:$B$30,0)),""))</f>
        <v/>
      </c>
      <c r="G1717" s="6" t="n"/>
      <c r="H1717" s="10">
        <f>IF(AND(B1717="",C1717=""),"",IF(G1717&lt;&gt;"","Void",IF(OR(B1717="",E1717=""),"Needs child",IF(D1717="","Needs level","OK"))))</f>
        <v/>
      </c>
    </row>
    <row r="1718">
      <c r="A1718" s="6" t="n"/>
      <c r="B1718" s="6" t="n"/>
      <c r="C1718" s="6" t="n"/>
      <c r="D1718" s="11">
        <f>IF(C1718="","",IFERROR(INDEX(Levels!$A$2:$A$30,MATCH(C1718,Levels!$B$2:$B$30,0)),""))</f>
        <v/>
      </c>
      <c r="E1718" s="10">
        <f>IF(B1718="","",IFERROR(INDEX(Roster!$A$2:$A$600,MATCH(B1718,Roster!$E$2:$E$600,0)),""))</f>
        <v/>
      </c>
      <c r="F1718" s="10">
        <f>IF(C1718="","",IFERROR(INDEX(Levels!$C$2:$C$30,MATCH(C1718,Levels!$B$2:$B$30,0)),""))</f>
        <v/>
      </c>
      <c r="G1718" s="6" t="n"/>
      <c r="H1718" s="10">
        <f>IF(AND(B1718="",C1718=""),"",IF(G1718&lt;&gt;"","Void",IF(OR(B1718="",E1718=""),"Needs child",IF(D1718="","Needs level","OK"))))</f>
        <v/>
      </c>
    </row>
    <row r="1719">
      <c r="A1719" s="6" t="n"/>
      <c r="B1719" s="6" t="n"/>
      <c r="C1719" s="6" t="n"/>
      <c r="D1719" s="11">
        <f>IF(C1719="","",IFERROR(INDEX(Levels!$A$2:$A$30,MATCH(C1719,Levels!$B$2:$B$30,0)),""))</f>
        <v/>
      </c>
      <c r="E1719" s="10">
        <f>IF(B1719="","",IFERROR(INDEX(Roster!$A$2:$A$600,MATCH(B1719,Roster!$E$2:$E$600,0)),""))</f>
        <v/>
      </c>
      <c r="F1719" s="10">
        <f>IF(C1719="","",IFERROR(INDEX(Levels!$C$2:$C$30,MATCH(C1719,Levels!$B$2:$B$30,0)),""))</f>
        <v/>
      </c>
      <c r="G1719" s="6" t="n"/>
      <c r="H1719" s="10">
        <f>IF(AND(B1719="",C1719=""),"",IF(G1719&lt;&gt;"","Void",IF(OR(B1719="",E1719=""),"Needs child",IF(D1719="","Needs level","OK"))))</f>
        <v/>
      </c>
    </row>
    <row r="1720">
      <c r="A1720" s="6" t="n"/>
      <c r="B1720" s="6" t="n"/>
      <c r="C1720" s="6" t="n"/>
      <c r="D1720" s="11">
        <f>IF(C1720="","",IFERROR(INDEX(Levels!$A$2:$A$30,MATCH(C1720,Levels!$B$2:$B$30,0)),""))</f>
        <v/>
      </c>
      <c r="E1720" s="10">
        <f>IF(B1720="","",IFERROR(INDEX(Roster!$A$2:$A$600,MATCH(B1720,Roster!$E$2:$E$600,0)),""))</f>
        <v/>
      </c>
      <c r="F1720" s="10">
        <f>IF(C1720="","",IFERROR(INDEX(Levels!$C$2:$C$30,MATCH(C1720,Levels!$B$2:$B$30,0)),""))</f>
        <v/>
      </c>
      <c r="G1720" s="6" t="n"/>
      <c r="H1720" s="10">
        <f>IF(AND(B1720="",C1720=""),"",IF(G1720&lt;&gt;"","Void",IF(OR(B1720="",E1720=""),"Needs child",IF(D1720="","Needs level","OK"))))</f>
        <v/>
      </c>
    </row>
    <row r="1721">
      <c r="A1721" s="6" t="n"/>
      <c r="B1721" s="6" t="n"/>
      <c r="C1721" s="6" t="n"/>
      <c r="D1721" s="11">
        <f>IF(C1721="","",IFERROR(INDEX(Levels!$A$2:$A$30,MATCH(C1721,Levels!$B$2:$B$30,0)),""))</f>
        <v/>
      </c>
      <c r="E1721" s="10">
        <f>IF(B1721="","",IFERROR(INDEX(Roster!$A$2:$A$600,MATCH(B1721,Roster!$E$2:$E$600,0)),""))</f>
        <v/>
      </c>
      <c r="F1721" s="10">
        <f>IF(C1721="","",IFERROR(INDEX(Levels!$C$2:$C$30,MATCH(C1721,Levels!$B$2:$B$30,0)),""))</f>
        <v/>
      </c>
      <c r="G1721" s="6" t="n"/>
      <c r="H1721" s="10">
        <f>IF(AND(B1721="",C1721=""),"",IF(G1721&lt;&gt;"","Void",IF(OR(B1721="",E1721=""),"Needs child",IF(D1721="","Needs level","OK"))))</f>
        <v/>
      </c>
    </row>
    <row r="1722">
      <c r="A1722" s="6" t="n"/>
      <c r="B1722" s="6" t="n"/>
      <c r="C1722" s="6" t="n"/>
      <c r="D1722" s="11">
        <f>IF(C1722="","",IFERROR(INDEX(Levels!$A$2:$A$30,MATCH(C1722,Levels!$B$2:$B$30,0)),""))</f>
        <v/>
      </c>
      <c r="E1722" s="10">
        <f>IF(B1722="","",IFERROR(INDEX(Roster!$A$2:$A$600,MATCH(B1722,Roster!$E$2:$E$600,0)),""))</f>
        <v/>
      </c>
      <c r="F1722" s="10">
        <f>IF(C1722="","",IFERROR(INDEX(Levels!$C$2:$C$30,MATCH(C1722,Levels!$B$2:$B$30,0)),""))</f>
        <v/>
      </c>
      <c r="G1722" s="6" t="n"/>
      <c r="H1722" s="10">
        <f>IF(AND(B1722="",C1722=""),"",IF(G1722&lt;&gt;"","Void",IF(OR(B1722="",E1722=""),"Needs child",IF(D1722="","Needs level","OK"))))</f>
        <v/>
      </c>
    </row>
    <row r="1723">
      <c r="A1723" s="6" t="n"/>
      <c r="B1723" s="6" t="n"/>
      <c r="C1723" s="6" t="n"/>
      <c r="D1723" s="11">
        <f>IF(C1723="","",IFERROR(INDEX(Levels!$A$2:$A$30,MATCH(C1723,Levels!$B$2:$B$30,0)),""))</f>
        <v/>
      </c>
      <c r="E1723" s="10">
        <f>IF(B1723="","",IFERROR(INDEX(Roster!$A$2:$A$600,MATCH(B1723,Roster!$E$2:$E$600,0)),""))</f>
        <v/>
      </c>
      <c r="F1723" s="10">
        <f>IF(C1723="","",IFERROR(INDEX(Levels!$C$2:$C$30,MATCH(C1723,Levels!$B$2:$B$30,0)),""))</f>
        <v/>
      </c>
      <c r="G1723" s="6" t="n"/>
      <c r="H1723" s="10">
        <f>IF(AND(B1723="",C1723=""),"",IF(G1723&lt;&gt;"","Void",IF(OR(B1723="",E1723=""),"Needs child",IF(D1723="","Needs level","OK"))))</f>
        <v/>
      </c>
    </row>
    <row r="1724">
      <c r="A1724" s="6" t="n"/>
      <c r="B1724" s="6" t="n"/>
      <c r="C1724" s="6" t="n"/>
      <c r="D1724" s="11">
        <f>IF(C1724="","",IFERROR(INDEX(Levels!$A$2:$A$30,MATCH(C1724,Levels!$B$2:$B$30,0)),""))</f>
        <v/>
      </c>
      <c r="E1724" s="10">
        <f>IF(B1724="","",IFERROR(INDEX(Roster!$A$2:$A$600,MATCH(B1724,Roster!$E$2:$E$600,0)),""))</f>
        <v/>
      </c>
      <c r="F1724" s="10">
        <f>IF(C1724="","",IFERROR(INDEX(Levels!$C$2:$C$30,MATCH(C1724,Levels!$B$2:$B$30,0)),""))</f>
        <v/>
      </c>
      <c r="G1724" s="6" t="n"/>
      <c r="H1724" s="10">
        <f>IF(AND(B1724="",C1724=""),"",IF(G1724&lt;&gt;"","Void",IF(OR(B1724="",E1724=""),"Needs child",IF(D1724="","Needs level","OK"))))</f>
        <v/>
      </c>
    </row>
    <row r="1725">
      <c r="A1725" s="6" t="n"/>
      <c r="B1725" s="6" t="n"/>
      <c r="C1725" s="6" t="n"/>
      <c r="D1725" s="11">
        <f>IF(C1725="","",IFERROR(INDEX(Levels!$A$2:$A$30,MATCH(C1725,Levels!$B$2:$B$30,0)),""))</f>
        <v/>
      </c>
      <c r="E1725" s="10">
        <f>IF(B1725="","",IFERROR(INDEX(Roster!$A$2:$A$600,MATCH(B1725,Roster!$E$2:$E$600,0)),""))</f>
        <v/>
      </c>
      <c r="F1725" s="10">
        <f>IF(C1725="","",IFERROR(INDEX(Levels!$C$2:$C$30,MATCH(C1725,Levels!$B$2:$B$30,0)),""))</f>
        <v/>
      </c>
      <c r="G1725" s="6" t="n"/>
      <c r="H1725" s="10">
        <f>IF(AND(B1725="",C1725=""),"",IF(G1725&lt;&gt;"","Void",IF(OR(B1725="",E1725=""),"Needs child",IF(D1725="","Needs level","OK"))))</f>
        <v/>
      </c>
    </row>
    <row r="1726">
      <c r="A1726" s="6" t="n"/>
      <c r="B1726" s="6" t="n"/>
      <c r="C1726" s="6" t="n"/>
      <c r="D1726" s="11">
        <f>IF(C1726="","",IFERROR(INDEX(Levels!$A$2:$A$30,MATCH(C1726,Levels!$B$2:$B$30,0)),""))</f>
        <v/>
      </c>
      <c r="E1726" s="10">
        <f>IF(B1726="","",IFERROR(INDEX(Roster!$A$2:$A$600,MATCH(B1726,Roster!$E$2:$E$600,0)),""))</f>
        <v/>
      </c>
      <c r="F1726" s="10">
        <f>IF(C1726="","",IFERROR(INDEX(Levels!$C$2:$C$30,MATCH(C1726,Levels!$B$2:$B$30,0)),""))</f>
        <v/>
      </c>
      <c r="G1726" s="6" t="n"/>
      <c r="H1726" s="10">
        <f>IF(AND(B1726="",C1726=""),"",IF(G1726&lt;&gt;"","Void",IF(OR(B1726="",E1726=""),"Needs child",IF(D1726="","Needs level","OK"))))</f>
        <v/>
      </c>
    </row>
    <row r="1727">
      <c r="A1727" s="6" t="n"/>
      <c r="B1727" s="6" t="n"/>
      <c r="C1727" s="6" t="n"/>
      <c r="D1727" s="11">
        <f>IF(C1727="","",IFERROR(INDEX(Levels!$A$2:$A$30,MATCH(C1727,Levels!$B$2:$B$30,0)),""))</f>
        <v/>
      </c>
      <c r="E1727" s="10">
        <f>IF(B1727="","",IFERROR(INDEX(Roster!$A$2:$A$600,MATCH(B1727,Roster!$E$2:$E$600,0)),""))</f>
        <v/>
      </c>
      <c r="F1727" s="10">
        <f>IF(C1727="","",IFERROR(INDEX(Levels!$C$2:$C$30,MATCH(C1727,Levels!$B$2:$B$30,0)),""))</f>
        <v/>
      </c>
      <c r="G1727" s="6" t="n"/>
      <c r="H1727" s="10">
        <f>IF(AND(B1727="",C1727=""),"",IF(G1727&lt;&gt;"","Void",IF(OR(B1727="",E1727=""),"Needs child",IF(D1727="","Needs level","OK"))))</f>
        <v/>
      </c>
    </row>
    <row r="1728">
      <c r="A1728" s="6" t="n"/>
      <c r="B1728" s="6" t="n"/>
      <c r="C1728" s="6" t="n"/>
      <c r="D1728" s="11">
        <f>IF(C1728="","",IFERROR(INDEX(Levels!$A$2:$A$30,MATCH(C1728,Levels!$B$2:$B$30,0)),""))</f>
        <v/>
      </c>
      <c r="E1728" s="10">
        <f>IF(B1728="","",IFERROR(INDEX(Roster!$A$2:$A$600,MATCH(B1728,Roster!$E$2:$E$600,0)),""))</f>
        <v/>
      </c>
      <c r="F1728" s="10">
        <f>IF(C1728="","",IFERROR(INDEX(Levels!$C$2:$C$30,MATCH(C1728,Levels!$B$2:$B$30,0)),""))</f>
        <v/>
      </c>
      <c r="G1728" s="6" t="n"/>
      <c r="H1728" s="10">
        <f>IF(AND(B1728="",C1728=""),"",IF(G1728&lt;&gt;"","Void",IF(OR(B1728="",E1728=""),"Needs child",IF(D1728="","Needs level","OK"))))</f>
        <v/>
      </c>
    </row>
    <row r="1729">
      <c r="A1729" s="6" t="n"/>
      <c r="B1729" s="6" t="n"/>
      <c r="C1729" s="6" t="n"/>
      <c r="D1729" s="11">
        <f>IF(C1729="","",IFERROR(INDEX(Levels!$A$2:$A$30,MATCH(C1729,Levels!$B$2:$B$30,0)),""))</f>
        <v/>
      </c>
      <c r="E1729" s="10">
        <f>IF(B1729="","",IFERROR(INDEX(Roster!$A$2:$A$600,MATCH(B1729,Roster!$E$2:$E$600,0)),""))</f>
        <v/>
      </c>
      <c r="F1729" s="10">
        <f>IF(C1729="","",IFERROR(INDEX(Levels!$C$2:$C$30,MATCH(C1729,Levels!$B$2:$B$30,0)),""))</f>
        <v/>
      </c>
      <c r="G1729" s="6" t="n"/>
      <c r="H1729" s="10">
        <f>IF(AND(B1729="",C1729=""),"",IF(G1729&lt;&gt;"","Void",IF(OR(B1729="",E1729=""),"Needs child",IF(D1729="","Needs level","OK"))))</f>
        <v/>
      </c>
    </row>
    <row r="1730">
      <c r="A1730" s="6" t="n"/>
      <c r="B1730" s="6" t="n"/>
      <c r="C1730" s="6" t="n"/>
      <c r="D1730" s="11">
        <f>IF(C1730="","",IFERROR(INDEX(Levels!$A$2:$A$30,MATCH(C1730,Levels!$B$2:$B$30,0)),""))</f>
        <v/>
      </c>
      <c r="E1730" s="10">
        <f>IF(B1730="","",IFERROR(INDEX(Roster!$A$2:$A$600,MATCH(B1730,Roster!$E$2:$E$600,0)),""))</f>
        <v/>
      </c>
      <c r="F1730" s="10">
        <f>IF(C1730="","",IFERROR(INDEX(Levels!$C$2:$C$30,MATCH(C1730,Levels!$B$2:$B$30,0)),""))</f>
        <v/>
      </c>
      <c r="G1730" s="6" t="n"/>
      <c r="H1730" s="10">
        <f>IF(AND(B1730="",C1730=""),"",IF(G1730&lt;&gt;"","Void",IF(OR(B1730="",E1730=""),"Needs child",IF(D1730="","Needs level","OK"))))</f>
        <v/>
      </c>
    </row>
    <row r="1731">
      <c r="A1731" s="6" t="n"/>
      <c r="B1731" s="6" t="n"/>
      <c r="C1731" s="6" t="n"/>
      <c r="D1731" s="11">
        <f>IF(C1731="","",IFERROR(INDEX(Levels!$A$2:$A$30,MATCH(C1731,Levels!$B$2:$B$30,0)),""))</f>
        <v/>
      </c>
      <c r="E1731" s="10">
        <f>IF(B1731="","",IFERROR(INDEX(Roster!$A$2:$A$600,MATCH(B1731,Roster!$E$2:$E$600,0)),""))</f>
        <v/>
      </c>
      <c r="F1731" s="10">
        <f>IF(C1731="","",IFERROR(INDEX(Levels!$C$2:$C$30,MATCH(C1731,Levels!$B$2:$B$30,0)),""))</f>
        <v/>
      </c>
      <c r="G1731" s="6" t="n"/>
      <c r="H1731" s="10">
        <f>IF(AND(B1731="",C1731=""),"",IF(G1731&lt;&gt;"","Void",IF(OR(B1731="",E1731=""),"Needs child",IF(D1731="","Needs level","OK"))))</f>
        <v/>
      </c>
    </row>
    <row r="1732">
      <c r="A1732" s="6" t="n"/>
      <c r="B1732" s="6" t="n"/>
      <c r="C1732" s="6" t="n"/>
      <c r="D1732" s="11">
        <f>IF(C1732="","",IFERROR(INDEX(Levels!$A$2:$A$30,MATCH(C1732,Levels!$B$2:$B$30,0)),""))</f>
        <v/>
      </c>
      <c r="E1732" s="10">
        <f>IF(B1732="","",IFERROR(INDEX(Roster!$A$2:$A$600,MATCH(B1732,Roster!$E$2:$E$600,0)),""))</f>
        <v/>
      </c>
      <c r="F1732" s="10">
        <f>IF(C1732="","",IFERROR(INDEX(Levels!$C$2:$C$30,MATCH(C1732,Levels!$B$2:$B$30,0)),""))</f>
        <v/>
      </c>
      <c r="G1732" s="6" t="n"/>
      <c r="H1732" s="10">
        <f>IF(AND(B1732="",C1732=""),"",IF(G1732&lt;&gt;"","Void",IF(OR(B1732="",E1732=""),"Needs child",IF(D1732="","Needs level","OK"))))</f>
        <v/>
      </c>
    </row>
    <row r="1733">
      <c r="A1733" s="6" t="n"/>
      <c r="B1733" s="6" t="n"/>
      <c r="C1733" s="6" t="n"/>
      <c r="D1733" s="11">
        <f>IF(C1733="","",IFERROR(INDEX(Levels!$A$2:$A$30,MATCH(C1733,Levels!$B$2:$B$30,0)),""))</f>
        <v/>
      </c>
      <c r="E1733" s="10">
        <f>IF(B1733="","",IFERROR(INDEX(Roster!$A$2:$A$600,MATCH(B1733,Roster!$E$2:$E$600,0)),""))</f>
        <v/>
      </c>
      <c r="F1733" s="10">
        <f>IF(C1733="","",IFERROR(INDEX(Levels!$C$2:$C$30,MATCH(C1733,Levels!$B$2:$B$30,0)),""))</f>
        <v/>
      </c>
      <c r="G1733" s="6" t="n"/>
      <c r="H1733" s="10">
        <f>IF(AND(B1733="",C1733=""),"",IF(G1733&lt;&gt;"","Void",IF(OR(B1733="",E1733=""),"Needs child",IF(D1733="","Needs level","OK"))))</f>
        <v/>
      </c>
    </row>
    <row r="1734">
      <c r="A1734" s="6" t="n"/>
      <c r="B1734" s="6" t="n"/>
      <c r="C1734" s="6" t="n"/>
      <c r="D1734" s="11">
        <f>IF(C1734="","",IFERROR(INDEX(Levels!$A$2:$A$30,MATCH(C1734,Levels!$B$2:$B$30,0)),""))</f>
        <v/>
      </c>
      <c r="E1734" s="10">
        <f>IF(B1734="","",IFERROR(INDEX(Roster!$A$2:$A$600,MATCH(B1734,Roster!$E$2:$E$600,0)),""))</f>
        <v/>
      </c>
      <c r="F1734" s="10">
        <f>IF(C1734="","",IFERROR(INDEX(Levels!$C$2:$C$30,MATCH(C1734,Levels!$B$2:$B$30,0)),""))</f>
        <v/>
      </c>
      <c r="G1734" s="6" t="n"/>
      <c r="H1734" s="10">
        <f>IF(AND(B1734="",C1734=""),"",IF(G1734&lt;&gt;"","Void",IF(OR(B1734="",E1734=""),"Needs child",IF(D1734="","Needs level","OK"))))</f>
        <v/>
      </c>
    </row>
    <row r="1735">
      <c r="A1735" s="6" t="n"/>
      <c r="B1735" s="6" t="n"/>
      <c r="C1735" s="6" t="n"/>
      <c r="D1735" s="11">
        <f>IF(C1735="","",IFERROR(INDEX(Levels!$A$2:$A$30,MATCH(C1735,Levels!$B$2:$B$30,0)),""))</f>
        <v/>
      </c>
      <c r="E1735" s="10">
        <f>IF(B1735="","",IFERROR(INDEX(Roster!$A$2:$A$600,MATCH(B1735,Roster!$E$2:$E$600,0)),""))</f>
        <v/>
      </c>
      <c r="F1735" s="10">
        <f>IF(C1735="","",IFERROR(INDEX(Levels!$C$2:$C$30,MATCH(C1735,Levels!$B$2:$B$30,0)),""))</f>
        <v/>
      </c>
      <c r="G1735" s="6" t="n"/>
      <c r="H1735" s="10">
        <f>IF(AND(B1735="",C1735=""),"",IF(G1735&lt;&gt;"","Void",IF(OR(B1735="",E1735=""),"Needs child",IF(D1735="","Needs level","OK"))))</f>
        <v/>
      </c>
    </row>
    <row r="1736">
      <c r="A1736" s="6" t="n"/>
      <c r="B1736" s="6" t="n"/>
      <c r="C1736" s="6" t="n"/>
      <c r="D1736" s="11">
        <f>IF(C1736="","",IFERROR(INDEX(Levels!$A$2:$A$30,MATCH(C1736,Levels!$B$2:$B$30,0)),""))</f>
        <v/>
      </c>
      <c r="E1736" s="10">
        <f>IF(B1736="","",IFERROR(INDEX(Roster!$A$2:$A$600,MATCH(B1736,Roster!$E$2:$E$600,0)),""))</f>
        <v/>
      </c>
      <c r="F1736" s="10">
        <f>IF(C1736="","",IFERROR(INDEX(Levels!$C$2:$C$30,MATCH(C1736,Levels!$B$2:$B$30,0)),""))</f>
        <v/>
      </c>
      <c r="G1736" s="6" t="n"/>
      <c r="H1736" s="10">
        <f>IF(AND(B1736="",C1736=""),"",IF(G1736&lt;&gt;"","Void",IF(OR(B1736="",E1736=""),"Needs child",IF(D1736="","Needs level","OK"))))</f>
        <v/>
      </c>
    </row>
    <row r="1737">
      <c r="A1737" s="6" t="n"/>
      <c r="B1737" s="6" t="n"/>
      <c r="C1737" s="6" t="n"/>
      <c r="D1737" s="11">
        <f>IF(C1737="","",IFERROR(INDEX(Levels!$A$2:$A$30,MATCH(C1737,Levels!$B$2:$B$30,0)),""))</f>
        <v/>
      </c>
      <c r="E1737" s="10">
        <f>IF(B1737="","",IFERROR(INDEX(Roster!$A$2:$A$600,MATCH(B1737,Roster!$E$2:$E$600,0)),""))</f>
        <v/>
      </c>
      <c r="F1737" s="10">
        <f>IF(C1737="","",IFERROR(INDEX(Levels!$C$2:$C$30,MATCH(C1737,Levels!$B$2:$B$30,0)),""))</f>
        <v/>
      </c>
      <c r="G1737" s="6" t="n"/>
      <c r="H1737" s="10">
        <f>IF(AND(B1737="",C1737=""),"",IF(G1737&lt;&gt;"","Void",IF(OR(B1737="",E1737=""),"Needs child",IF(D1737="","Needs level","OK"))))</f>
        <v/>
      </c>
    </row>
    <row r="1738">
      <c r="A1738" s="6" t="n"/>
      <c r="B1738" s="6" t="n"/>
      <c r="C1738" s="6" t="n"/>
      <c r="D1738" s="11">
        <f>IF(C1738="","",IFERROR(INDEX(Levels!$A$2:$A$30,MATCH(C1738,Levels!$B$2:$B$30,0)),""))</f>
        <v/>
      </c>
      <c r="E1738" s="10">
        <f>IF(B1738="","",IFERROR(INDEX(Roster!$A$2:$A$600,MATCH(B1738,Roster!$E$2:$E$600,0)),""))</f>
        <v/>
      </c>
      <c r="F1738" s="10">
        <f>IF(C1738="","",IFERROR(INDEX(Levels!$C$2:$C$30,MATCH(C1738,Levels!$B$2:$B$30,0)),""))</f>
        <v/>
      </c>
      <c r="G1738" s="6" t="n"/>
      <c r="H1738" s="10">
        <f>IF(AND(B1738="",C1738=""),"",IF(G1738&lt;&gt;"","Void",IF(OR(B1738="",E1738=""),"Needs child",IF(D1738="","Needs level","OK"))))</f>
        <v/>
      </c>
    </row>
    <row r="1739">
      <c r="A1739" s="6" t="n"/>
      <c r="B1739" s="6" t="n"/>
      <c r="C1739" s="6" t="n"/>
      <c r="D1739" s="11">
        <f>IF(C1739="","",IFERROR(INDEX(Levels!$A$2:$A$30,MATCH(C1739,Levels!$B$2:$B$30,0)),""))</f>
        <v/>
      </c>
      <c r="E1739" s="10">
        <f>IF(B1739="","",IFERROR(INDEX(Roster!$A$2:$A$600,MATCH(B1739,Roster!$E$2:$E$600,0)),""))</f>
        <v/>
      </c>
      <c r="F1739" s="10">
        <f>IF(C1739="","",IFERROR(INDEX(Levels!$C$2:$C$30,MATCH(C1739,Levels!$B$2:$B$30,0)),""))</f>
        <v/>
      </c>
      <c r="G1739" s="6" t="n"/>
      <c r="H1739" s="10">
        <f>IF(AND(B1739="",C1739=""),"",IF(G1739&lt;&gt;"","Void",IF(OR(B1739="",E1739=""),"Needs child",IF(D1739="","Needs level","OK"))))</f>
        <v/>
      </c>
    </row>
    <row r="1740">
      <c r="A1740" s="6" t="n"/>
      <c r="B1740" s="6" t="n"/>
      <c r="C1740" s="6" t="n"/>
      <c r="D1740" s="11">
        <f>IF(C1740="","",IFERROR(INDEX(Levels!$A$2:$A$30,MATCH(C1740,Levels!$B$2:$B$30,0)),""))</f>
        <v/>
      </c>
      <c r="E1740" s="10">
        <f>IF(B1740="","",IFERROR(INDEX(Roster!$A$2:$A$600,MATCH(B1740,Roster!$E$2:$E$600,0)),""))</f>
        <v/>
      </c>
      <c r="F1740" s="10">
        <f>IF(C1740="","",IFERROR(INDEX(Levels!$C$2:$C$30,MATCH(C1740,Levels!$B$2:$B$30,0)),""))</f>
        <v/>
      </c>
      <c r="G1740" s="6" t="n"/>
      <c r="H1740" s="10">
        <f>IF(AND(B1740="",C1740=""),"",IF(G1740&lt;&gt;"","Void",IF(OR(B1740="",E1740=""),"Needs child",IF(D1740="","Needs level","OK"))))</f>
        <v/>
      </c>
    </row>
    <row r="1741">
      <c r="A1741" s="6" t="n"/>
      <c r="B1741" s="6" t="n"/>
      <c r="C1741" s="6" t="n"/>
      <c r="D1741" s="11">
        <f>IF(C1741="","",IFERROR(INDEX(Levels!$A$2:$A$30,MATCH(C1741,Levels!$B$2:$B$30,0)),""))</f>
        <v/>
      </c>
      <c r="E1741" s="10">
        <f>IF(B1741="","",IFERROR(INDEX(Roster!$A$2:$A$600,MATCH(B1741,Roster!$E$2:$E$600,0)),""))</f>
        <v/>
      </c>
      <c r="F1741" s="10">
        <f>IF(C1741="","",IFERROR(INDEX(Levels!$C$2:$C$30,MATCH(C1741,Levels!$B$2:$B$30,0)),""))</f>
        <v/>
      </c>
      <c r="G1741" s="6" t="n"/>
      <c r="H1741" s="10">
        <f>IF(AND(B1741="",C1741=""),"",IF(G1741&lt;&gt;"","Void",IF(OR(B1741="",E1741=""),"Needs child",IF(D1741="","Needs level","OK"))))</f>
        <v/>
      </c>
    </row>
    <row r="1742">
      <c r="A1742" s="6" t="n"/>
      <c r="B1742" s="6" t="n"/>
      <c r="C1742" s="6" t="n"/>
      <c r="D1742" s="11">
        <f>IF(C1742="","",IFERROR(INDEX(Levels!$A$2:$A$30,MATCH(C1742,Levels!$B$2:$B$30,0)),""))</f>
        <v/>
      </c>
      <c r="E1742" s="10">
        <f>IF(B1742="","",IFERROR(INDEX(Roster!$A$2:$A$600,MATCH(B1742,Roster!$E$2:$E$600,0)),""))</f>
        <v/>
      </c>
      <c r="F1742" s="10">
        <f>IF(C1742="","",IFERROR(INDEX(Levels!$C$2:$C$30,MATCH(C1742,Levels!$B$2:$B$30,0)),""))</f>
        <v/>
      </c>
      <c r="G1742" s="6" t="n"/>
      <c r="H1742" s="10">
        <f>IF(AND(B1742="",C1742=""),"",IF(G1742&lt;&gt;"","Void",IF(OR(B1742="",E1742=""),"Needs child",IF(D1742="","Needs level","OK"))))</f>
        <v/>
      </c>
    </row>
    <row r="1743">
      <c r="A1743" s="6" t="n"/>
      <c r="B1743" s="6" t="n"/>
      <c r="C1743" s="6" t="n"/>
      <c r="D1743" s="11">
        <f>IF(C1743="","",IFERROR(INDEX(Levels!$A$2:$A$30,MATCH(C1743,Levels!$B$2:$B$30,0)),""))</f>
        <v/>
      </c>
      <c r="E1743" s="10">
        <f>IF(B1743="","",IFERROR(INDEX(Roster!$A$2:$A$600,MATCH(B1743,Roster!$E$2:$E$600,0)),""))</f>
        <v/>
      </c>
      <c r="F1743" s="10">
        <f>IF(C1743="","",IFERROR(INDEX(Levels!$C$2:$C$30,MATCH(C1743,Levels!$B$2:$B$30,0)),""))</f>
        <v/>
      </c>
      <c r="G1743" s="6" t="n"/>
      <c r="H1743" s="10">
        <f>IF(AND(B1743="",C1743=""),"",IF(G1743&lt;&gt;"","Void",IF(OR(B1743="",E1743=""),"Needs child",IF(D1743="","Needs level","OK"))))</f>
        <v/>
      </c>
    </row>
    <row r="1744">
      <c r="A1744" s="6" t="n"/>
      <c r="B1744" s="6" t="n"/>
      <c r="C1744" s="6" t="n"/>
      <c r="D1744" s="11">
        <f>IF(C1744="","",IFERROR(INDEX(Levels!$A$2:$A$30,MATCH(C1744,Levels!$B$2:$B$30,0)),""))</f>
        <v/>
      </c>
      <c r="E1744" s="10">
        <f>IF(B1744="","",IFERROR(INDEX(Roster!$A$2:$A$600,MATCH(B1744,Roster!$E$2:$E$600,0)),""))</f>
        <v/>
      </c>
      <c r="F1744" s="10">
        <f>IF(C1744="","",IFERROR(INDEX(Levels!$C$2:$C$30,MATCH(C1744,Levels!$B$2:$B$30,0)),""))</f>
        <v/>
      </c>
      <c r="G1744" s="6" t="n"/>
      <c r="H1744" s="10">
        <f>IF(AND(B1744="",C1744=""),"",IF(G1744&lt;&gt;"","Void",IF(OR(B1744="",E1744=""),"Needs child",IF(D1744="","Needs level","OK"))))</f>
        <v/>
      </c>
    </row>
    <row r="1745">
      <c r="A1745" s="6" t="n"/>
      <c r="B1745" s="6" t="n"/>
      <c r="C1745" s="6" t="n"/>
      <c r="D1745" s="11">
        <f>IF(C1745="","",IFERROR(INDEX(Levels!$A$2:$A$30,MATCH(C1745,Levels!$B$2:$B$30,0)),""))</f>
        <v/>
      </c>
      <c r="E1745" s="10">
        <f>IF(B1745="","",IFERROR(INDEX(Roster!$A$2:$A$600,MATCH(B1745,Roster!$E$2:$E$600,0)),""))</f>
        <v/>
      </c>
      <c r="F1745" s="10">
        <f>IF(C1745="","",IFERROR(INDEX(Levels!$C$2:$C$30,MATCH(C1745,Levels!$B$2:$B$30,0)),""))</f>
        <v/>
      </c>
      <c r="G1745" s="6" t="n"/>
      <c r="H1745" s="10">
        <f>IF(AND(B1745="",C1745=""),"",IF(G1745&lt;&gt;"","Void",IF(OR(B1745="",E1745=""),"Needs child",IF(D1745="","Needs level","OK"))))</f>
        <v/>
      </c>
    </row>
    <row r="1746">
      <c r="A1746" s="6" t="n"/>
      <c r="B1746" s="6" t="n"/>
      <c r="C1746" s="6" t="n"/>
      <c r="D1746" s="11">
        <f>IF(C1746="","",IFERROR(INDEX(Levels!$A$2:$A$30,MATCH(C1746,Levels!$B$2:$B$30,0)),""))</f>
        <v/>
      </c>
      <c r="E1746" s="10">
        <f>IF(B1746="","",IFERROR(INDEX(Roster!$A$2:$A$600,MATCH(B1746,Roster!$E$2:$E$600,0)),""))</f>
        <v/>
      </c>
      <c r="F1746" s="10">
        <f>IF(C1746="","",IFERROR(INDEX(Levels!$C$2:$C$30,MATCH(C1746,Levels!$B$2:$B$30,0)),""))</f>
        <v/>
      </c>
      <c r="G1746" s="6" t="n"/>
      <c r="H1746" s="10">
        <f>IF(AND(B1746="",C1746=""),"",IF(G1746&lt;&gt;"","Void",IF(OR(B1746="",E1746=""),"Needs child",IF(D1746="","Needs level","OK"))))</f>
        <v/>
      </c>
    </row>
    <row r="1747">
      <c r="A1747" s="6" t="n"/>
      <c r="B1747" s="6" t="n"/>
      <c r="C1747" s="6" t="n"/>
      <c r="D1747" s="11">
        <f>IF(C1747="","",IFERROR(INDEX(Levels!$A$2:$A$30,MATCH(C1747,Levels!$B$2:$B$30,0)),""))</f>
        <v/>
      </c>
      <c r="E1747" s="10">
        <f>IF(B1747="","",IFERROR(INDEX(Roster!$A$2:$A$600,MATCH(B1747,Roster!$E$2:$E$600,0)),""))</f>
        <v/>
      </c>
      <c r="F1747" s="10">
        <f>IF(C1747="","",IFERROR(INDEX(Levels!$C$2:$C$30,MATCH(C1747,Levels!$B$2:$B$30,0)),""))</f>
        <v/>
      </c>
      <c r="G1747" s="6" t="n"/>
      <c r="H1747" s="10">
        <f>IF(AND(B1747="",C1747=""),"",IF(G1747&lt;&gt;"","Void",IF(OR(B1747="",E1747=""),"Needs child",IF(D1747="","Needs level","OK"))))</f>
        <v/>
      </c>
    </row>
    <row r="1748">
      <c r="A1748" s="6" t="n"/>
      <c r="B1748" s="6" t="n"/>
      <c r="C1748" s="6" t="n"/>
      <c r="D1748" s="11">
        <f>IF(C1748="","",IFERROR(INDEX(Levels!$A$2:$A$30,MATCH(C1748,Levels!$B$2:$B$30,0)),""))</f>
        <v/>
      </c>
      <c r="E1748" s="10">
        <f>IF(B1748="","",IFERROR(INDEX(Roster!$A$2:$A$600,MATCH(B1748,Roster!$E$2:$E$600,0)),""))</f>
        <v/>
      </c>
      <c r="F1748" s="10">
        <f>IF(C1748="","",IFERROR(INDEX(Levels!$C$2:$C$30,MATCH(C1748,Levels!$B$2:$B$30,0)),""))</f>
        <v/>
      </c>
      <c r="G1748" s="6" t="n"/>
      <c r="H1748" s="10">
        <f>IF(AND(B1748="",C1748=""),"",IF(G1748&lt;&gt;"","Void",IF(OR(B1748="",E1748=""),"Needs child",IF(D1748="","Needs level","OK"))))</f>
        <v/>
      </c>
    </row>
    <row r="1749">
      <c r="A1749" s="6" t="n"/>
      <c r="B1749" s="6" t="n"/>
      <c r="C1749" s="6" t="n"/>
      <c r="D1749" s="11">
        <f>IF(C1749="","",IFERROR(INDEX(Levels!$A$2:$A$30,MATCH(C1749,Levels!$B$2:$B$30,0)),""))</f>
        <v/>
      </c>
      <c r="E1749" s="10">
        <f>IF(B1749="","",IFERROR(INDEX(Roster!$A$2:$A$600,MATCH(B1749,Roster!$E$2:$E$600,0)),""))</f>
        <v/>
      </c>
      <c r="F1749" s="10">
        <f>IF(C1749="","",IFERROR(INDEX(Levels!$C$2:$C$30,MATCH(C1749,Levels!$B$2:$B$30,0)),""))</f>
        <v/>
      </c>
      <c r="G1749" s="6" t="n"/>
      <c r="H1749" s="10">
        <f>IF(AND(B1749="",C1749=""),"",IF(G1749&lt;&gt;"","Void",IF(OR(B1749="",E1749=""),"Needs child",IF(D1749="","Needs level","OK"))))</f>
        <v/>
      </c>
    </row>
    <row r="1750">
      <c r="A1750" s="6" t="n"/>
      <c r="B1750" s="6" t="n"/>
      <c r="C1750" s="6" t="n"/>
      <c r="D1750" s="11">
        <f>IF(C1750="","",IFERROR(INDEX(Levels!$A$2:$A$30,MATCH(C1750,Levels!$B$2:$B$30,0)),""))</f>
        <v/>
      </c>
      <c r="E1750" s="10">
        <f>IF(B1750="","",IFERROR(INDEX(Roster!$A$2:$A$600,MATCH(B1750,Roster!$E$2:$E$600,0)),""))</f>
        <v/>
      </c>
      <c r="F1750" s="10">
        <f>IF(C1750="","",IFERROR(INDEX(Levels!$C$2:$C$30,MATCH(C1750,Levels!$B$2:$B$30,0)),""))</f>
        <v/>
      </c>
      <c r="G1750" s="6" t="n"/>
      <c r="H1750" s="10">
        <f>IF(AND(B1750="",C1750=""),"",IF(G1750&lt;&gt;"","Void",IF(OR(B1750="",E1750=""),"Needs child",IF(D1750="","Needs level","OK"))))</f>
        <v/>
      </c>
    </row>
    <row r="1751">
      <c r="A1751" s="6" t="n"/>
      <c r="B1751" s="6" t="n"/>
      <c r="C1751" s="6" t="n"/>
      <c r="D1751" s="11">
        <f>IF(C1751="","",IFERROR(INDEX(Levels!$A$2:$A$30,MATCH(C1751,Levels!$B$2:$B$30,0)),""))</f>
        <v/>
      </c>
      <c r="E1751" s="10">
        <f>IF(B1751="","",IFERROR(INDEX(Roster!$A$2:$A$600,MATCH(B1751,Roster!$E$2:$E$600,0)),""))</f>
        <v/>
      </c>
      <c r="F1751" s="10">
        <f>IF(C1751="","",IFERROR(INDEX(Levels!$C$2:$C$30,MATCH(C1751,Levels!$B$2:$B$30,0)),""))</f>
        <v/>
      </c>
      <c r="G1751" s="6" t="n"/>
      <c r="H1751" s="10">
        <f>IF(AND(B1751="",C1751=""),"",IF(G1751&lt;&gt;"","Void",IF(OR(B1751="",E1751=""),"Needs child",IF(D1751="","Needs level","OK"))))</f>
        <v/>
      </c>
    </row>
    <row r="1752">
      <c r="A1752" s="6" t="n"/>
      <c r="B1752" s="6" t="n"/>
      <c r="C1752" s="6" t="n"/>
      <c r="D1752" s="11">
        <f>IF(C1752="","",IFERROR(INDEX(Levels!$A$2:$A$30,MATCH(C1752,Levels!$B$2:$B$30,0)),""))</f>
        <v/>
      </c>
      <c r="E1752" s="10">
        <f>IF(B1752="","",IFERROR(INDEX(Roster!$A$2:$A$600,MATCH(B1752,Roster!$E$2:$E$600,0)),""))</f>
        <v/>
      </c>
      <c r="F1752" s="10">
        <f>IF(C1752="","",IFERROR(INDEX(Levels!$C$2:$C$30,MATCH(C1752,Levels!$B$2:$B$30,0)),""))</f>
        <v/>
      </c>
      <c r="G1752" s="6" t="n"/>
      <c r="H1752" s="10">
        <f>IF(AND(B1752="",C1752=""),"",IF(G1752&lt;&gt;"","Void",IF(OR(B1752="",E1752=""),"Needs child",IF(D1752="","Needs level","OK"))))</f>
        <v/>
      </c>
    </row>
    <row r="1753">
      <c r="A1753" s="6" t="n"/>
      <c r="B1753" s="6" t="n"/>
      <c r="C1753" s="6" t="n"/>
      <c r="D1753" s="11">
        <f>IF(C1753="","",IFERROR(INDEX(Levels!$A$2:$A$30,MATCH(C1753,Levels!$B$2:$B$30,0)),""))</f>
        <v/>
      </c>
      <c r="E1753" s="10">
        <f>IF(B1753="","",IFERROR(INDEX(Roster!$A$2:$A$600,MATCH(B1753,Roster!$E$2:$E$600,0)),""))</f>
        <v/>
      </c>
      <c r="F1753" s="10">
        <f>IF(C1753="","",IFERROR(INDEX(Levels!$C$2:$C$30,MATCH(C1753,Levels!$B$2:$B$30,0)),""))</f>
        <v/>
      </c>
      <c r="G1753" s="6" t="n"/>
      <c r="H1753" s="10">
        <f>IF(AND(B1753="",C1753=""),"",IF(G1753&lt;&gt;"","Void",IF(OR(B1753="",E1753=""),"Needs child",IF(D1753="","Needs level","OK"))))</f>
        <v/>
      </c>
    </row>
    <row r="1754">
      <c r="A1754" s="6" t="n"/>
      <c r="B1754" s="6" t="n"/>
      <c r="C1754" s="6" t="n"/>
      <c r="D1754" s="11">
        <f>IF(C1754="","",IFERROR(INDEX(Levels!$A$2:$A$30,MATCH(C1754,Levels!$B$2:$B$30,0)),""))</f>
        <v/>
      </c>
      <c r="E1754" s="10">
        <f>IF(B1754="","",IFERROR(INDEX(Roster!$A$2:$A$600,MATCH(B1754,Roster!$E$2:$E$600,0)),""))</f>
        <v/>
      </c>
      <c r="F1754" s="10">
        <f>IF(C1754="","",IFERROR(INDEX(Levels!$C$2:$C$30,MATCH(C1754,Levels!$B$2:$B$30,0)),""))</f>
        <v/>
      </c>
      <c r="G1754" s="6" t="n"/>
      <c r="H1754" s="10">
        <f>IF(AND(B1754="",C1754=""),"",IF(G1754&lt;&gt;"","Void",IF(OR(B1754="",E1754=""),"Needs child",IF(D1754="","Needs level","OK"))))</f>
        <v/>
      </c>
    </row>
    <row r="1755">
      <c r="A1755" s="6" t="n"/>
      <c r="B1755" s="6" t="n"/>
      <c r="C1755" s="6" t="n"/>
      <c r="D1755" s="11">
        <f>IF(C1755="","",IFERROR(INDEX(Levels!$A$2:$A$30,MATCH(C1755,Levels!$B$2:$B$30,0)),""))</f>
        <v/>
      </c>
      <c r="E1755" s="10">
        <f>IF(B1755="","",IFERROR(INDEX(Roster!$A$2:$A$600,MATCH(B1755,Roster!$E$2:$E$600,0)),""))</f>
        <v/>
      </c>
      <c r="F1755" s="10">
        <f>IF(C1755="","",IFERROR(INDEX(Levels!$C$2:$C$30,MATCH(C1755,Levels!$B$2:$B$30,0)),""))</f>
        <v/>
      </c>
      <c r="G1755" s="6" t="n"/>
      <c r="H1755" s="10">
        <f>IF(AND(B1755="",C1755=""),"",IF(G1755&lt;&gt;"","Void",IF(OR(B1755="",E1755=""),"Needs child",IF(D1755="","Needs level","OK"))))</f>
        <v/>
      </c>
    </row>
    <row r="1756">
      <c r="A1756" s="6" t="n"/>
      <c r="B1756" s="6" t="n"/>
      <c r="C1756" s="6" t="n"/>
      <c r="D1756" s="11">
        <f>IF(C1756="","",IFERROR(INDEX(Levels!$A$2:$A$30,MATCH(C1756,Levels!$B$2:$B$30,0)),""))</f>
        <v/>
      </c>
      <c r="E1756" s="10">
        <f>IF(B1756="","",IFERROR(INDEX(Roster!$A$2:$A$600,MATCH(B1756,Roster!$E$2:$E$600,0)),""))</f>
        <v/>
      </c>
      <c r="F1756" s="10">
        <f>IF(C1756="","",IFERROR(INDEX(Levels!$C$2:$C$30,MATCH(C1756,Levels!$B$2:$B$30,0)),""))</f>
        <v/>
      </c>
      <c r="G1756" s="6" t="n"/>
      <c r="H1756" s="10">
        <f>IF(AND(B1756="",C1756=""),"",IF(G1756&lt;&gt;"","Void",IF(OR(B1756="",E1756=""),"Needs child",IF(D1756="","Needs level","OK"))))</f>
        <v/>
      </c>
    </row>
    <row r="1757">
      <c r="A1757" s="6" t="n"/>
      <c r="B1757" s="6" t="n"/>
      <c r="C1757" s="6" t="n"/>
      <c r="D1757" s="11">
        <f>IF(C1757="","",IFERROR(INDEX(Levels!$A$2:$A$30,MATCH(C1757,Levels!$B$2:$B$30,0)),""))</f>
        <v/>
      </c>
      <c r="E1757" s="10">
        <f>IF(B1757="","",IFERROR(INDEX(Roster!$A$2:$A$600,MATCH(B1757,Roster!$E$2:$E$600,0)),""))</f>
        <v/>
      </c>
      <c r="F1757" s="10">
        <f>IF(C1757="","",IFERROR(INDEX(Levels!$C$2:$C$30,MATCH(C1757,Levels!$B$2:$B$30,0)),""))</f>
        <v/>
      </c>
      <c r="G1757" s="6" t="n"/>
      <c r="H1757" s="10">
        <f>IF(AND(B1757="",C1757=""),"",IF(G1757&lt;&gt;"","Void",IF(OR(B1757="",E1757=""),"Needs child",IF(D1757="","Needs level","OK"))))</f>
        <v/>
      </c>
    </row>
    <row r="1758">
      <c r="A1758" s="6" t="n"/>
      <c r="B1758" s="6" t="n"/>
      <c r="C1758" s="6" t="n"/>
      <c r="D1758" s="11">
        <f>IF(C1758="","",IFERROR(INDEX(Levels!$A$2:$A$30,MATCH(C1758,Levels!$B$2:$B$30,0)),""))</f>
        <v/>
      </c>
      <c r="E1758" s="10">
        <f>IF(B1758="","",IFERROR(INDEX(Roster!$A$2:$A$600,MATCH(B1758,Roster!$E$2:$E$600,0)),""))</f>
        <v/>
      </c>
      <c r="F1758" s="10">
        <f>IF(C1758="","",IFERROR(INDEX(Levels!$C$2:$C$30,MATCH(C1758,Levels!$B$2:$B$30,0)),""))</f>
        <v/>
      </c>
      <c r="G1758" s="6" t="n"/>
      <c r="H1758" s="10">
        <f>IF(AND(B1758="",C1758=""),"",IF(G1758&lt;&gt;"","Void",IF(OR(B1758="",E1758=""),"Needs child",IF(D1758="","Needs level","OK"))))</f>
        <v/>
      </c>
    </row>
    <row r="1759">
      <c r="A1759" s="6" t="n"/>
      <c r="B1759" s="6" t="n"/>
      <c r="C1759" s="6" t="n"/>
      <c r="D1759" s="11">
        <f>IF(C1759="","",IFERROR(INDEX(Levels!$A$2:$A$30,MATCH(C1759,Levels!$B$2:$B$30,0)),""))</f>
        <v/>
      </c>
      <c r="E1759" s="10">
        <f>IF(B1759="","",IFERROR(INDEX(Roster!$A$2:$A$600,MATCH(B1759,Roster!$E$2:$E$600,0)),""))</f>
        <v/>
      </c>
      <c r="F1759" s="10">
        <f>IF(C1759="","",IFERROR(INDEX(Levels!$C$2:$C$30,MATCH(C1759,Levels!$B$2:$B$30,0)),""))</f>
        <v/>
      </c>
      <c r="G1759" s="6" t="n"/>
      <c r="H1759" s="10">
        <f>IF(AND(B1759="",C1759=""),"",IF(G1759&lt;&gt;"","Void",IF(OR(B1759="",E1759=""),"Needs child",IF(D1759="","Needs level","OK"))))</f>
        <v/>
      </c>
    </row>
    <row r="1760">
      <c r="A1760" s="6" t="n"/>
      <c r="B1760" s="6" t="n"/>
      <c r="C1760" s="6" t="n"/>
      <c r="D1760" s="11">
        <f>IF(C1760="","",IFERROR(INDEX(Levels!$A$2:$A$30,MATCH(C1760,Levels!$B$2:$B$30,0)),""))</f>
        <v/>
      </c>
      <c r="E1760" s="10">
        <f>IF(B1760="","",IFERROR(INDEX(Roster!$A$2:$A$600,MATCH(B1760,Roster!$E$2:$E$600,0)),""))</f>
        <v/>
      </c>
      <c r="F1760" s="10">
        <f>IF(C1760="","",IFERROR(INDEX(Levels!$C$2:$C$30,MATCH(C1760,Levels!$B$2:$B$30,0)),""))</f>
        <v/>
      </c>
      <c r="G1760" s="6" t="n"/>
      <c r="H1760" s="10">
        <f>IF(AND(B1760="",C1760=""),"",IF(G1760&lt;&gt;"","Void",IF(OR(B1760="",E1760=""),"Needs child",IF(D1760="","Needs level","OK"))))</f>
        <v/>
      </c>
    </row>
    <row r="1761">
      <c r="A1761" s="6" t="n"/>
      <c r="B1761" s="6" t="n"/>
      <c r="C1761" s="6" t="n"/>
      <c r="D1761" s="11">
        <f>IF(C1761="","",IFERROR(INDEX(Levels!$A$2:$A$30,MATCH(C1761,Levels!$B$2:$B$30,0)),""))</f>
        <v/>
      </c>
      <c r="E1761" s="10">
        <f>IF(B1761="","",IFERROR(INDEX(Roster!$A$2:$A$600,MATCH(B1761,Roster!$E$2:$E$600,0)),""))</f>
        <v/>
      </c>
      <c r="F1761" s="10">
        <f>IF(C1761="","",IFERROR(INDEX(Levels!$C$2:$C$30,MATCH(C1761,Levels!$B$2:$B$30,0)),""))</f>
        <v/>
      </c>
      <c r="G1761" s="6" t="n"/>
      <c r="H1761" s="10">
        <f>IF(AND(B1761="",C1761=""),"",IF(G1761&lt;&gt;"","Void",IF(OR(B1761="",E1761=""),"Needs child",IF(D1761="","Needs level","OK"))))</f>
        <v/>
      </c>
    </row>
    <row r="1762">
      <c r="A1762" s="6" t="n"/>
      <c r="B1762" s="6" t="n"/>
      <c r="C1762" s="6" t="n"/>
      <c r="D1762" s="11">
        <f>IF(C1762="","",IFERROR(INDEX(Levels!$A$2:$A$30,MATCH(C1762,Levels!$B$2:$B$30,0)),""))</f>
        <v/>
      </c>
      <c r="E1762" s="10">
        <f>IF(B1762="","",IFERROR(INDEX(Roster!$A$2:$A$600,MATCH(B1762,Roster!$E$2:$E$600,0)),""))</f>
        <v/>
      </c>
      <c r="F1762" s="10">
        <f>IF(C1762="","",IFERROR(INDEX(Levels!$C$2:$C$30,MATCH(C1762,Levels!$B$2:$B$30,0)),""))</f>
        <v/>
      </c>
      <c r="G1762" s="6" t="n"/>
      <c r="H1762" s="10">
        <f>IF(AND(B1762="",C1762=""),"",IF(G1762&lt;&gt;"","Void",IF(OR(B1762="",E1762=""),"Needs child",IF(D1762="","Needs level","OK"))))</f>
        <v/>
      </c>
    </row>
    <row r="1763">
      <c r="A1763" s="6" t="n"/>
      <c r="B1763" s="6" t="n"/>
      <c r="C1763" s="6" t="n"/>
      <c r="D1763" s="11">
        <f>IF(C1763="","",IFERROR(INDEX(Levels!$A$2:$A$30,MATCH(C1763,Levels!$B$2:$B$30,0)),""))</f>
        <v/>
      </c>
      <c r="E1763" s="10">
        <f>IF(B1763="","",IFERROR(INDEX(Roster!$A$2:$A$600,MATCH(B1763,Roster!$E$2:$E$600,0)),""))</f>
        <v/>
      </c>
      <c r="F1763" s="10">
        <f>IF(C1763="","",IFERROR(INDEX(Levels!$C$2:$C$30,MATCH(C1763,Levels!$B$2:$B$30,0)),""))</f>
        <v/>
      </c>
      <c r="G1763" s="6" t="n"/>
      <c r="H1763" s="10">
        <f>IF(AND(B1763="",C1763=""),"",IF(G1763&lt;&gt;"","Void",IF(OR(B1763="",E1763=""),"Needs child",IF(D1763="","Needs level","OK"))))</f>
        <v/>
      </c>
    </row>
    <row r="1764">
      <c r="A1764" s="6" t="n"/>
      <c r="B1764" s="6" t="n"/>
      <c r="C1764" s="6" t="n"/>
      <c r="D1764" s="11">
        <f>IF(C1764="","",IFERROR(INDEX(Levels!$A$2:$A$30,MATCH(C1764,Levels!$B$2:$B$30,0)),""))</f>
        <v/>
      </c>
      <c r="E1764" s="10">
        <f>IF(B1764="","",IFERROR(INDEX(Roster!$A$2:$A$600,MATCH(B1764,Roster!$E$2:$E$600,0)),""))</f>
        <v/>
      </c>
      <c r="F1764" s="10">
        <f>IF(C1764="","",IFERROR(INDEX(Levels!$C$2:$C$30,MATCH(C1764,Levels!$B$2:$B$30,0)),""))</f>
        <v/>
      </c>
      <c r="G1764" s="6" t="n"/>
      <c r="H1764" s="10">
        <f>IF(AND(B1764="",C1764=""),"",IF(G1764&lt;&gt;"","Void",IF(OR(B1764="",E1764=""),"Needs child",IF(D1764="","Needs level","OK"))))</f>
        <v/>
      </c>
    </row>
    <row r="1765">
      <c r="A1765" s="6" t="n"/>
      <c r="B1765" s="6" t="n"/>
      <c r="C1765" s="6" t="n"/>
      <c r="D1765" s="11">
        <f>IF(C1765="","",IFERROR(INDEX(Levels!$A$2:$A$30,MATCH(C1765,Levels!$B$2:$B$30,0)),""))</f>
        <v/>
      </c>
      <c r="E1765" s="10">
        <f>IF(B1765="","",IFERROR(INDEX(Roster!$A$2:$A$600,MATCH(B1765,Roster!$E$2:$E$600,0)),""))</f>
        <v/>
      </c>
      <c r="F1765" s="10">
        <f>IF(C1765="","",IFERROR(INDEX(Levels!$C$2:$C$30,MATCH(C1765,Levels!$B$2:$B$30,0)),""))</f>
        <v/>
      </c>
      <c r="G1765" s="6" t="n"/>
      <c r="H1765" s="10">
        <f>IF(AND(B1765="",C1765=""),"",IF(G1765&lt;&gt;"","Void",IF(OR(B1765="",E1765=""),"Needs child",IF(D1765="","Needs level","OK"))))</f>
        <v/>
      </c>
    </row>
    <row r="1766">
      <c r="A1766" s="6" t="n"/>
      <c r="B1766" s="6" t="n"/>
      <c r="C1766" s="6" t="n"/>
      <c r="D1766" s="11">
        <f>IF(C1766="","",IFERROR(INDEX(Levels!$A$2:$A$30,MATCH(C1766,Levels!$B$2:$B$30,0)),""))</f>
        <v/>
      </c>
      <c r="E1766" s="10">
        <f>IF(B1766="","",IFERROR(INDEX(Roster!$A$2:$A$600,MATCH(B1766,Roster!$E$2:$E$600,0)),""))</f>
        <v/>
      </c>
      <c r="F1766" s="10">
        <f>IF(C1766="","",IFERROR(INDEX(Levels!$C$2:$C$30,MATCH(C1766,Levels!$B$2:$B$30,0)),""))</f>
        <v/>
      </c>
      <c r="G1766" s="6" t="n"/>
      <c r="H1766" s="10">
        <f>IF(AND(B1766="",C1766=""),"",IF(G1766&lt;&gt;"","Void",IF(OR(B1766="",E1766=""),"Needs child",IF(D1766="","Needs level","OK"))))</f>
        <v/>
      </c>
    </row>
    <row r="1767">
      <c r="A1767" s="6" t="n"/>
      <c r="B1767" s="6" t="n"/>
      <c r="C1767" s="6" t="n"/>
      <c r="D1767" s="11">
        <f>IF(C1767="","",IFERROR(INDEX(Levels!$A$2:$A$30,MATCH(C1767,Levels!$B$2:$B$30,0)),""))</f>
        <v/>
      </c>
      <c r="E1767" s="10">
        <f>IF(B1767="","",IFERROR(INDEX(Roster!$A$2:$A$600,MATCH(B1767,Roster!$E$2:$E$600,0)),""))</f>
        <v/>
      </c>
      <c r="F1767" s="10">
        <f>IF(C1767="","",IFERROR(INDEX(Levels!$C$2:$C$30,MATCH(C1767,Levels!$B$2:$B$30,0)),""))</f>
        <v/>
      </c>
      <c r="G1767" s="6" t="n"/>
      <c r="H1767" s="10">
        <f>IF(AND(B1767="",C1767=""),"",IF(G1767&lt;&gt;"","Void",IF(OR(B1767="",E1767=""),"Needs child",IF(D1767="","Needs level","OK"))))</f>
        <v/>
      </c>
    </row>
    <row r="1768">
      <c r="A1768" s="6" t="n"/>
      <c r="B1768" s="6" t="n"/>
      <c r="C1768" s="6" t="n"/>
      <c r="D1768" s="11">
        <f>IF(C1768="","",IFERROR(INDEX(Levels!$A$2:$A$30,MATCH(C1768,Levels!$B$2:$B$30,0)),""))</f>
        <v/>
      </c>
      <c r="E1768" s="10">
        <f>IF(B1768="","",IFERROR(INDEX(Roster!$A$2:$A$600,MATCH(B1768,Roster!$E$2:$E$600,0)),""))</f>
        <v/>
      </c>
      <c r="F1768" s="10">
        <f>IF(C1768="","",IFERROR(INDEX(Levels!$C$2:$C$30,MATCH(C1768,Levels!$B$2:$B$30,0)),""))</f>
        <v/>
      </c>
      <c r="G1768" s="6" t="n"/>
      <c r="H1768" s="10">
        <f>IF(AND(B1768="",C1768=""),"",IF(G1768&lt;&gt;"","Void",IF(OR(B1768="",E1768=""),"Needs child",IF(D1768="","Needs level","OK"))))</f>
        <v/>
      </c>
    </row>
    <row r="1769">
      <c r="A1769" s="6" t="n"/>
      <c r="B1769" s="6" t="n"/>
      <c r="C1769" s="6" t="n"/>
      <c r="D1769" s="11">
        <f>IF(C1769="","",IFERROR(INDEX(Levels!$A$2:$A$30,MATCH(C1769,Levels!$B$2:$B$30,0)),""))</f>
        <v/>
      </c>
      <c r="E1769" s="10">
        <f>IF(B1769="","",IFERROR(INDEX(Roster!$A$2:$A$600,MATCH(B1769,Roster!$E$2:$E$600,0)),""))</f>
        <v/>
      </c>
      <c r="F1769" s="10">
        <f>IF(C1769="","",IFERROR(INDEX(Levels!$C$2:$C$30,MATCH(C1769,Levels!$B$2:$B$30,0)),""))</f>
        <v/>
      </c>
      <c r="G1769" s="6" t="n"/>
      <c r="H1769" s="10">
        <f>IF(AND(B1769="",C1769=""),"",IF(G1769&lt;&gt;"","Void",IF(OR(B1769="",E1769=""),"Needs child",IF(D1769="","Needs level","OK"))))</f>
        <v/>
      </c>
    </row>
    <row r="1770">
      <c r="A1770" s="6" t="n"/>
      <c r="B1770" s="6" t="n"/>
      <c r="C1770" s="6" t="n"/>
      <c r="D1770" s="11">
        <f>IF(C1770="","",IFERROR(INDEX(Levels!$A$2:$A$30,MATCH(C1770,Levels!$B$2:$B$30,0)),""))</f>
        <v/>
      </c>
      <c r="E1770" s="10">
        <f>IF(B1770="","",IFERROR(INDEX(Roster!$A$2:$A$600,MATCH(B1770,Roster!$E$2:$E$600,0)),""))</f>
        <v/>
      </c>
      <c r="F1770" s="10">
        <f>IF(C1770="","",IFERROR(INDEX(Levels!$C$2:$C$30,MATCH(C1770,Levels!$B$2:$B$30,0)),""))</f>
        <v/>
      </c>
      <c r="G1770" s="6" t="n"/>
      <c r="H1770" s="10">
        <f>IF(AND(B1770="",C1770=""),"",IF(G1770&lt;&gt;"","Void",IF(OR(B1770="",E1770=""),"Needs child",IF(D1770="","Needs level","OK"))))</f>
        <v/>
      </c>
    </row>
    <row r="1771">
      <c r="A1771" s="6" t="n"/>
      <c r="B1771" s="6" t="n"/>
      <c r="C1771" s="6" t="n"/>
      <c r="D1771" s="11">
        <f>IF(C1771="","",IFERROR(INDEX(Levels!$A$2:$A$30,MATCH(C1771,Levels!$B$2:$B$30,0)),""))</f>
        <v/>
      </c>
      <c r="E1771" s="10">
        <f>IF(B1771="","",IFERROR(INDEX(Roster!$A$2:$A$600,MATCH(B1771,Roster!$E$2:$E$600,0)),""))</f>
        <v/>
      </c>
      <c r="F1771" s="10">
        <f>IF(C1771="","",IFERROR(INDEX(Levels!$C$2:$C$30,MATCH(C1771,Levels!$B$2:$B$30,0)),""))</f>
        <v/>
      </c>
      <c r="G1771" s="6" t="n"/>
      <c r="H1771" s="10">
        <f>IF(AND(B1771="",C1771=""),"",IF(G1771&lt;&gt;"","Void",IF(OR(B1771="",E1771=""),"Needs child",IF(D1771="","Needs level","OK"))))</f>
        <v/>
      </c>
    </row>
    <row r="1772">
      <c r="A1772" s="6" t="n"/>
      <c r="B1772" s="6" t="n"/>
      <c r="C1772" s="6" t="n"/>
      <c r="D1772" s="11">
        <f>IF(C1772="","",IFERROR(INDEX(Levels!$A$2:$A$30,MATCH(C1772,Levels!$B$2:$B$30,0)),""))</f>
        <v/>
      </c>
      <c r="E1772" s="10">
        <f>IF(B1772="","",IFERROR(INDEX(Roster!$A$2:$A$600,MATCH(B1772,Roster!$E$2:$E$600,0)),""))</f>
        <v/>
      </c>
      <c r="F1772" s="10">
        <f>IF(C1772="","",IFERROR(INDEX(Levels!$C$2:$C$30,MATCH(C1772,Levels!$B$2:$B$30,0)),""))</f>
        <v/>
      </c>
      <c r="G1772" s="6" t="n"/>
      <c r="H1772" s="10">
        <f>IF(AND(B1772="",C1772=""),"",IF(G1772&lt;&gt;"","Void",IF(OR(B1772="",E1772=""),"Needs child",IF(D1772="","Needs level","OK"))))</f>
        <v/>
      </c>
    </row>
    <row r="1773">
      <c r="A1773" s="6" t="n"/>
      <c r="B1773" s="6" t="n"/>
      <c r="C1773" s="6" t="n"/>
      <c r="D1773" s="11">
        <f>IF(C1773="","",IFERROR(INDEX(Levels!$A$2:$A$30,MATCH(C1773,Levels!$B$2:$B$30,0)),""))</f>
        <v/>
      </c>
      <c r="E1773" s="10">
        <f>IF(B1773="","",IFERROR(INDEX(Roster!$A$2:$A$600,MATCH(B1773,Roster!$E$2:$E$600,0)),""))</f>
        <v/>
      </c>
      <c r="F1773" s="10">
        <f>IF(C1773="","",IFERROR(INDEX(Levels!$C$2:$C$30,MATCH(C1773,Levels!$B$2:$B$30,0)),""))</f>
        <v/>
      </c>
      <c r="G1773" s="6" t="n"/>
      <c r="H1773" s="10">
        <f>IF(AND(B1773="",C1773=""),"",IF(G1773&lt;&gt;"","Void",IF(OR(B1773="",E1773=""),"Needs child",IF(D1773="","Needs level","OK"))))</f>
        <v/>
      </c>
    </row>
    <row r="1774">
      <c r="A1774" s="6" t="n"/>
      <c r="B1774" s="6" t="n"/>
      <c r="C1774" s="6" t="n"/>
      <c r="D1774" s="11">
        <f>IF(C1774="","",IFERROR(INDEX(Levels!$A$2:$A$30,MATCH(C1774,Levels!$B$2:$B$30,0)),""))</f>
        <v/>
      </c>
      <c r="E1774" s="10">
        <f>IF(B1774="","",IFERROR(INDEX(Roster!$A$2:$A$600,MATCH(B1774,Roster!$E$2:$E$600,0)),""))</f>
        <v/>
      </c>
      <c r="F1774" s="10">
        <f>IF(C1774="","",IFERROR(INDEX(Levels!$C$2:$C$30,MATCH(C1774,Levels!$B$2:$B$30,0)),""))</f>
        <v/>
      </c>
      <c r="G1774" s="6" t="n"/>
      <c r="H1774" s="10">
        <f>IF(AND(B1774="",C1774=""),"",IF(G1774&lt;&gt;"","Void",IF(OR(B1774="",E1774=""),"Needs child",IF(D1774="","Needs level","OK"))))</f>
        <v/>
      </c>
    </row>
    <row r="1775">
      <c r="A1775" s="6" t="n"/>
      <c r="B1775" s="6" t="n"/>
      <c r="C1775" s="6" t="n"/>
      <c r="D1775" s="11">
        <f>IF(C1775="","",IFERROR(INDEX(Levels!$A$2:$A$30,MATCH(C1775,Levels!$B$2:$B$30,0)),""))</f>
        <v/>
      </c>
      <c r="E1775" s="10">
        <f>IF(B1775="","",IFERROR(INDEX(Roster!$A$2:$A$600,MATCH(B1775,Roster!$E$2:$E$600,0)),""))</f>
        <v/>
      </c>
      <c r="F1775" s="10">
        <f>IF(C1775="","",IFERROR(INDEX(Levels!$C$2:$C$30,MATCH(C1775,Levels!$B$2:$B$30,0)),""))</f>
        <v/>
      </c>
      <c r="G1775" s="6" t="n"/>
      <c r="H1775" s="10">
        <f>IF(AND(B1775="",C1775=""),"",IF(G1775&lt;&gt;"","Void",IF(OR(B1775="",E1775=""),"Needs child",IF(D1775="","Needs level","OK"))))</f>
        <v/>
      </c>
    </row>
    <row r="1776">
      <c r="A1776" s="6" t="n"/>
      <c r="B1776" s="6" t="n"/>
      <c r="C1776" s="6" t="n"/>
      <c r="D1776" s="11">
        <f>IF(C1776="","",IFERROR(INDEX(Levels!$A$2:$A$30,MATCH(C1776,Levels!$B$2:$B$30,0)),""))</f>
        <v/>
      </c>
      <c r="E1776" s="10">
        <f>IF(B1776="","",IFERROR(INDEX(Roster!$A$2:$A$600,MATCH(B1776,Roster!$E$2:$E$600,0)),""))</f>
        <v/>
      </c>
      <c r="F1776" s="10">
        <f>IF(C1776="","",IFERROR(INDEX(Levels!$C$2:$C$30,MATCH(C1776,Levels!$B$2:$B$30,0)),""))</f>
        <v/>
      </c>
      <c r="G1776" s="6" t="n"/>
      <c r="H1776" s="10">
        <f>IF(AND(B1776="",C1776=""),"",IF(G1776&lt;&gt;"","Void",IF(OR(B1776="",E1776=""),"Needs child",IF(D1776="","Needs level","OK"))))</f>
        <v/>
      </c>
    </row>
    <row r="1777">
      <c r="A1777" s="6" t="n"/>
      <c r="B1777" s="6" t="n"/>
      <c r="C1777" s="6" t="n"/>
      <c r="D1777" s="11">
        <f>IF(C1777="","",IFERROR(INDEX(Levels!$A$2:$A$30,MATCH(C1777,Levels!$B$2:$B$30,0)),""))</f>
        <v/>
      </c>
      <c r="E1777" s="10">
        <f>IF(B1777="","",IFERROR(INDEX(Roster!$A$2:$A$600,MATCH(B1777,Roster!$E$2:$E$600,0)),""))</f>
        <v/>
      </c>
      <c r="F1777" s="10">
        <f>IF(C1777="","",IFERROR(INDEX(Levels!$C$2:$C$30,MATCH(C1777,Levels!$B$2:$B$30,0)),""))</f>
        <v/>
      </c>
      <c r="G1777" s="6" t="n"/>
      <c r="H1777" s="10">
        <f>IF(AND(B1777="",C1777=""),"",IF(G1777&lt;&gt;"","Void",IF(OR(B1777="",E1777=""),"Needs child",IF(D1777="","Needs level","OK"))))</f>
        <v/>
      </c>
    </row>
    <row r="1778">
      <c r="A1778" s="6" t="n"/>
      <c r="B1778" s="6" t="n"/>
      <c r="C1778" s="6" t="n"/>
      <c r="D1778" s="11">
        <f>IF(C1778="","",IFERROR(INDEX(Levels!$A$2:$A$30,MATCH(C1778,Levels!$B$2:$B$30,0)),""))</f>
        <v/>
      </c>
      <c r="E1778" s="10">
        <f>IF(B1778="","",IFERROR(INDEX(Roster!$A$2:$A$600,MATCH(B1778,Roster!$E$2:$E$600,0)),""))</f>
        <v/>
      </c>
      <c r="F1778" s="10">
        <f>IF(C1778="","",IFERROR(INDEX(Levels!$C$2:$C$30,MATCH(C1778,Levels!$B$2:$B$30,0)),""))</f>
        <v/>
      </c>
      <c r="G1778" s="6" t="n"/>
      <c r="H1778" s="10">
        <f>IF(AND(B1778="",C1778=""),"",IF(G1778&lt;&gt;"","Void",IF(OR(B1778="",E1778=""),"Needs child",IF(D1778="","Needs level","OK"))))</f>
        <v/>
      </c>
    </row>
    <row r="1779">
      <c r="A1779" s="6" t="n"/>
      <c r="B1779" s="6" t="n"/>
      <c r="C1779" s="6" t="n"/>
      <c r="D1779" s="11">
        <f>IF(C1779="","",IFERROR(INDEX(Levels!$A$2:$A$30,MATCH(C1779,Levels!$B$2:$B$30,0)),""))</f>
        <v/>
      </c>
      <c r="E1779" s="10">
        <f>IF(B1779="","",IFERROR(INDEX(Roster!$A$2:$A$600,MATCH(B1779,Roster!$E$2:$E$600,0)),""))</f>
        <v/>
      </c>
      <c r="F1779" s="10">
        <f>IF(C1779="","",IFERROR(INDEX(Levels!$C$2:$C$30,MATCH(C1779,Levels!$B$2:$B$30,0)),""))</f>
        <v/>
      </c>
      <c r="G1779" s="6" t="n"/>
      <c r="H1779" s="10">
        <f>IF(AND(B1779="",C1779=""),"",IF(G1779&lt;&gt;"","Void",IF(OR(B1779="",E1779=""),"Needs child",IF(D1779="","Needs level","OK"))))</f>
        <v/>
      </c>
    </row>
    <row r="1780">
      <c r="A1780" s="6" t="n"/>
      <c r="B1780" s="6" t="n"/>
      <c r="C1780" s="6" t="n"/>
      <c r="D1780" s="11">
        <f>IF(C1780="","",IFERROR(INDEX(Levels!$A$2:$A$30,MATCH(C1780,Levels!$B$2:$B$30,0)),""))</f>
        <v/>
      </c>
      <c r="E1780" s="10">
        <f>IF(B1780="","",IFERROR(INDEX(Roster!$A$2:$A$600,MATCH(B1780,Roster!$E$2:$E$600,0)),""))</f>
        <v/>
      </c>
      <c r="F1780" s="10">
        <f>IF(C1780="","",IFERROR(INDEX(Levels!$C$2:$C$30,MATCH(C1780,Levels!$B$2:$B$30,0)),""))</f>
        <v/>
      </c>
      <c r="G1780" s="6" t="n"/>
      <c r="H1780" s="10">
        <f>IF(AND(B1780="",C1780=""),"",IF(G1780&lt;&gt;"","Void",IF(OR(B1780="",E1780=""),"Needs child",IF(D1780="","Needs level","OK"))))</f>
        <v/>
      </c>
    </row>
    <row r="1781">
      <c r="A1781" s="6" t="n"/>
      <c r="B1781" s="6" t="n"/>
      <c r="C1781" s="6" t="n"/>
      <c r="D1781" s="11">
        <f>IF(C1781="","",IFERROR(INDEX(Levels!$A$2:$A$30,MATCH(C1781,Levels!$B$2:$B$30,0)),""))</f>
        <v/>
      </c>
      <c r="E1781" s="10">
        <f>IF(B1781="","",IFERROR(INDEX(Roster!$A$2:$A$600,MATCH(B1781,Roster!$E$2:$E$600,0)),""))</f>
        <v/>
      </c>
      <c r="F1781" s="10">
        <f>IF(C1781="","",IFERROR(INDEX(Levels!$C$2:$C$30,MATCH(C1781,Levels!$B$2:$B$30,0)),""))</f>
        <v/>
      </c>
      <c r="G1781" s="6" t="n"/>
      <c r="H1781" s="10">
        <f>IF(AND(B1781="",C1781=""),"",IF(G1781&lt;&gt;"","Void",IF(OR(B1781="",E1781=""),"Needs child",IF(D1781="","Needs level","OK"))))</f>
        <v/>
      </c>
    </row>
    <row r="1782">
      <c r="A1782" s="6" t="n"/>
      <c r="B1782" s="6" t="n"/>
      <c r="C1782" s="6" t="n"/>
      <c r="D1782" s="11">
        <f>IF(C1782="","",IFERROR(INDEX(Levels!$A$2:$A$30,MATCH(C1782,Levels!$B$2:$B$30,0)),""))</f>
        <v/>
      </c>
      <c r="E1782" s="10">
        <f>IF(B1782="","",IFERROR(INDEX(Roster!$A$2:$A$600,MATCH(B1782,Roster!$E$2:$E$600,0)),""))</f>
        <v/>
      </c>
      <c r="F1782" s="10">
        <f>IF(C1782="","",IFERROR(INDEX(Levels!$C$2:$C$30,MATCH(C1782,Levels!$B$2:$B$30,0)),""))</f>
        <v/>
      </c>
      <c r="G1782" s="6" t="n"/>
      <c r="H1782" s="10">
        <f>IF(AND(B1782="",C1782=""),"",IF(G1782&lt;&gt;"","Void",IF(OR(B1782="",E1782=""),"Needs child",IF(D1782="","Needs level","OK"))))</f>
        <v/>
      </c>
    </row>
    <row r="1783">
      <c r="A1783" s="6" t="n"/>
      <c r="B1783" s="6" t="n"/>
      <c r="C1783" s="6" t="n"/>
      <c r="D1783" s="11">
        <f>IF(C1783="","",IFERROR(INDEX(Levels!$A$2:$A$30,MATCH(C1783,Levels!$B$2:$B$30,0)),""))</f>
        <v/>
      </c>
      <c r="E1783" s="10">
        <f>IF(B1783="","",IFERROR(INDEX(Roster!$A$2:$A$600,MATCH(B1783,Roster!$E$2:$E$600,0)),""))</f>
        <v/>
      </c>
      <c r="F1783" s="10">
        <f>IF(C1783="","",IFERROR(INDEX(Levels!$C$2:$C$30,MATCH(C1783,Levels!$B$2:$B$30,0)),""))</f>
        <v/>
      </c>
      <c r="G1783" s="6" t="n"/>
      <c r="H1783" s="10">
        <f>IF(AND(B1783="",C1783=""),"",IF(G1783&lt;&gt;"","Void",IF(OR(B1783="",E1783=""),"Needs child",IF(D1783="","Needs level","OK"))))</f>
        <v/>
      </c>
    </row>
    <row r="1784">
      <c r="A1784" s="6" t="n"/>
      <c r="B1784" s="6" t="n"/>
      <c r="C1784" s="6" t="n"/>
      <c r="D1784" s="11">
        <f>IF(C1784="","",IFERROR(INDEX(Levels!$A$2:$A$30,MATCH(C1784,Levels!$B$2:$B$30,0)),""))</f>
        <v/>
      </c>
      <c r="E1784" s="10">
        <f>IF(B1784="","",IFERROR(INDEX(Roster!$A$2:$A$600,MATCH(B1784,Roster!$E$2:$E$600,0)),""))</f>
        <v/>
      </c>
      <c r="F1784" s="10">
        <f>IF(C1784="","",IFERROR(INDEX(Levels!$C$2:$C$30,MATCH(C1784,Levels!$B$2:$B$30,0)),""))</f>
        <v/>
      </c>
      <c r="G1784" s="6" t="n"/>
      <c r="H1784" s="10">
        <f>IF(AND(B1784="",C1784=""),"",IF(G1784&lt;&gt;"","Void",IF(OR(B1784="",E1784=""),"Needs child",IF(D1784="","Needs level","OK"))))</f>
        <v/>
      </c>
    </row>
    <row r="1785">
      <c r="A1785" s="6" t="n"/>
      <c r="B1785" s="6" t="n"/>
      <c r="C1785" s="6" t="n"/>
      <c r="D1785" s="11">
        <f>IF(C1785="","",IFERROR(INDEX(Levels!$A$2:$A$30,MATCH(C1785,Levels!$B$2:$B$30,0)),""))</f>
        <v/>
      </c>
      <c r="E1785" s="10">
        <f>IF(B1785="","",IFERROR(INDEX(Roster!$A$2:$A$600,MATCH(B1785,Roster!$E$2:$E$600,0)),""))</f>
        <v/>
      </c>
      <c r="F1785" s="10">
        <f>IF(C1785="","",IFERROR(INDEX(Levels!$C$2:$C$30,MATCH(C1785,Levels!$B$2:$B$30,0)),""))</f>
        <v/>
      </c>
      <c r="G1785" s="6" t="n"/>
      <c r="H1785" s="10">
        <f>IF(AND(B1785="",C1785=""),"",IF(G1785&lt;&gt;"","Void",IF(OR(B1785="",E1785=""),"Needs child",IF(D1785="","Needs level","OK"))))</f>
        <v/>
      </c>
    </row>
    <row r="1786">
      <c r="A1786" s="6" t="n"/>
      <c r="B1786" s="6" t="n"/>
      <c r="C1786" s="6" t="n"/>
      <c r="D1786" s="11">
        <f>IF(C1786="","",IFERROR(INDEX(Levels!$A$2:$A$30,MATCH(C1786,Levels!$B$2:$B$30,0)),""))</f>
        <v/>
      </c>
      <c r="E1786" s="10">
        <f>IF(B1786="","",IFERROR(INDEX(Roster!$A$2:$A$600,MATCH(B1786,Roster!$E$2:$E$600,0)),""))</f>
        <v/>
      </c>
      <c r="F1786" s="10">
        <f>IF(C1786="","",IFERROR(INDEX(Levels!$C$2:$C$30,MATCH(C1786,Levels!$B$2:$B$30,0)),""))</f>
        <v/>
      </c>
      <c r="G1786" s="6" t="n"/>
      <c r="H1786" s="10">
        <f>IF(AND(B1786="",C1786=""),"",IF(G1786&lt;&gt;"","Void",IF(OR(B1786="",E1786=""),"Needs child",IF(D1786="","Needs level","OK"))))</f>
        <v/>
      </c>
    </row>
    <row r="1787">
      <c r="A1787" s="6" t="n"/>
      <c r="B1787" s="6" t="n"/>
      <c r="C1787" s="6" t="n"/>
      <c r="D1787" s="11">
        <f>IF(C1787="","",IFERROR(INDEX(Levels!$A$2:$A$30,MATCH(C1787,Levels!$B$2:$B$30,0)),""))</f>
        <v/>
      </c>
      <c r="E1787" s="10">
        <f>IF(B1787="","",IFERROR(INDEX(Roster!$A$2:$A$600,MATCH(B1787,Roster!$E$2:$E$600,0)),""))</f>
        <v/>
      </c>
      <c r="F1787" s="10">
        <f>IF(C1787="","",IFERROR(INDEX(Levels!$C$2:$C$30,MATCH(C1787,Levels!$B$2:$B$30,0)),""))</f>
        <v/>
      </c>
      <c r="G1787" s="6" t="n"/>
      <c r="H1787" s="10">
        <f>IF(AND(B1787="",C1787=""),"",IF(G1787&lt;&gt;"","Void",IF(OR(B1787="",E1787=""),"Needs child",IF(D1787="","Needs level","OK"))))</f>
        <v/>
      </c>
    </row>
    <row r="1788">
      <c r="A1788" s="6" t="n"/>
      <c r="B1788" s="6" t="n"/>
      <c r="C1788" s="6" t="n"/>
      <c r="D1788" s="11">
        <f>IF(C1788="","",IFERROR(INDEX(Levels!$A$2:$A$30,MATCH(C1788,Levels!$B$2:$B$30,0)),""))</f>
        <v/>
      </c>
      <c r="E1788" s="10">
        <f>IF(B1788="","",IFERROR(INDEX(Roster!$A$2:$A$600,MATCH(B1788,Roster!$E$2:$E$600,0)),""))</f>
        <v/>
      </c>
      <c r="F1788" s="10">
        <f>IF(C1788="","",IFERROR(INDEX(Levels!$C$2:$C$30,MATCH(C1788,Levels!$B$2:$B$30,0)),""))</f>
        <v/>
      </c>
      <c r="G1788" s="6" t="n"/>
      <c r="H1788" s="10">
        <f>IF(AND(B1788="",C1788=""),"",IF(G1788&lt;&gt;"","Void",IF(OR(B1788="",E1788=""),"Needs child",IF(D1788="","Needs level","OK"))))</f>
        <v/>
      </c>
    </row>
    <row r="1789">
      <c r="A1789" s="6" t="n"/>
      <c r="B1789" s="6" t="n"/>
      <c r="C1789" s="6" t="n"/>
      <c r="D1789" s="11">
        <f>IF(C1789="","",IFERROR(INDEX(Levels!$A$2:$A$30,MATCH(C1789,Levels!$B$2:$B$30,0)),""))</f>
        <v/>
      </c>
      <c r="E1789" s="10">
        <f>IF(B1789="","",IFERROR(INDEX(Roster!$A$2:$A$600,MATCH(B1789,Roster!$E$2:$E$600,0)),""))</f>
        <v/>
      </c>
      <c r="F1789" s="10">
        <f>IF(C1789="","",IFERROR(INDEX(Levels!$C$2:$C$30,MATCH(C1789,Levels!$B$2:$B$30,0)),""))</f>
        <v/>
      </c>
      <c r="G1789" s="6" t="n"/>
      <c r="H1789" s="10">
        <f>IF(AND(B1789="",C1789=""),"",IF(G1789&lt;&gt;"","Void",IF(OR(B1789="",E1789=""),"Needs child",IF(D1789="","Needs level","OK"))))</f>
        <v/>
      </c>
    </row>
    <row r="1790">
      <c r="A1790" s="6" t="n"/>
      <c r="B1790" s="6" t="n"/>
      <c r="C1790" s="6" t="n"/>
      <c r="D1790" s="11">
        <f>IF(C1790="","",IFERROR(INDEX(Levels!$A$2:$A$30,MATCH(C1790,Levels!$B$2:$B$30,0)),""))</f>
        <v/>
      </c>
      <c r="E1790" s="10">
        <f>IF(B1790="","",IFERROR(INDEX(Roster!$A$2:$A$600,MATCH(B1790,Roster!$E$2:$E$600,0)),""))</f>
        <v/>
      </c>
      <c r="F1790" s="10">
        <f>IF(C1790="","",IFERROR(INDEX(Levels!$C$2:$C$30,MATCH(C1790,Levels!$B$2:$B$30,0)),""))</f>
        <v/>
      </c>
      <c r="G1790" s="6" t="n"/>
      <c r="H1790" s="10">
        <f>IF(AND(B1790="",C1790=""),"",IF(G1790&lt;&gt;"","Void",IF(OR(B1790="",E1790=""),"Needs child",IF(D1790="","Needs level","OK"))))</f>
        <v/>
      </c>
    </row>
    <row r="1791">
      <c r="A1791" s="6" t="n"/>
      <c r="B1791" s="6" t="n"/>
      <c r="C1791" s="6" t="n"/>
      <c r="D1791" s="11">
        <f>IF(C1791="","",IFERROR(INDEX(Levels!$A$2:$A$30,MATCH(C1791,Levels!$B$2:$B$30,0)),""))</f>
        <v/>
      </c>
      <c r="E1791" s="10">
        <f>IF(B1791="","",IFERROR(INDEX(Roster!$A$2:$A$600,MATCH(B1791,Roster!$E$2:$E$600,0)),""))</f>
        <v/>
      </c>
      <c r="F1791" s="10">
        <f>IF(C1791="","",IFERROR(INDEX(Levels!$C$2:$C$30,MATCH(C1791,Levels!$B$2:$B$30,0)),""))</f>
        <v/>
      </c>
      <c r="G1791" s="6" t="n"/>
      <c r="H1791" s="10">
        <f>IF(AND(B1791="",C1791=""),"",IF(G1791&lt;&gt;"","Void",IF(OR(B1791="",E1791=""),"Needs child",IF(D1791="","Needs level","OK"))))</f>
        <v/>
      </c>
    </row>
    <row r="1792">
      <c r="A1792" s="6" t="n"/>
      <c r="B1792" s="6" t="n"/>
      <c r="C1792" s="6" t="n"/>
      <c r="D1792" s="11">
        <f>IF(C1792="","",IFERROR(INDEX(Levels!$A$2:$A$30,MATCH(C1792,Levels!$B$2:$B$30,0)),""))</f>
        <v/>
      </c>
      <c r="E1792" s="10">
        <f>IF(B1792="","",IFERROR(INDEX(Roster!$A$2:$A$600,MATCH(B1792,Roster!$E$2:$E$600,0)),""))</f>
        <v/>
      </c>
      <c r="F1792" s="10">
        <f>IF(C1792="","",IFERROR(INDEX(Levels!$C$2:$C$30,MATCH(C1792,Levels!$B$2:$B$30,0)),""))</f>
        <v/>
      </c>
      <c r="G1792" s="6" t="n"/>
      <c r="H1792" s="10">
        <f>IF(AND(B1792="",C1792=""),"",IF(G1792&lt;&gt;"","Void",IF(OR(B1792="",E1792=""),"Needs child",IF(D1792="","Needs level","OK"))))</f>
        <v/>
      </c>
    </row>
    <row r="1793">
      <c r="A1793" s="6" t="n"/>
      <c r="B1793" s="6" t="n"/>
      <c r="C1793" s="6" t="n"/>
      <c r="D1793" s="11">
        <f>IF(C1793="","",IFERROR(INDEX(Levels!$A$2:$A$30,MATCH(C1793,Levels!$B$2:$B$30,0)),""))</f>
        <v/>
      </c>
      <c r="E1793" s="10">
        <f>IF(B1793="","",IFERROR(INDEX(Roster!$A$2:$A$600,MATCH(B1793,Roster!$E$2:$E$600,0)),""))</f>
        <v/>
      </c>
      <c r="F1793" s="10">
        <f>IF(C1793="","",IFERROR(INDEX(Levels!$C$2:$C$30,MATCH(C1793,Levels!$B$2:$B$30,0)),""))</f>
        <v/>
      </c>
      <c r="G1793" s="6" t="n"/>
      <c r="H1793" s="10">
        <f>IF(AND(B1793="",C1793=""),"",IF(G1793&lt;&gt;"","Void",IF(OR(B1793="",E1793=""),"Needs child",IF(D1793="","Needs level","OK"))))</f>
        <v/>
      </c>
    </row>
    <row r="1794">
      <c r="A1794" s="6" t="n"/>
      <c r="B1794" s="6" t="n"/>
      <c r="C1794" s="6" t="n"/>
      <c r="D1794" s="11">
        <f>IF(C1794="","",IFERROR(INDEX(Levels!$A$2:$A$30,MATCH(C1794,Levels!$B$2:$B$30,0)),""))</f>
        <v/>
      </c>
      <c r="E1794" s="10">
        <f>IF(B1794="","",IFERROR(INDEX(Roster!$A$2:$A$600,MATCH(B1794,Roster!$E$2:$E$600,0)),""))</f>
        <v/>
      </c>
      <c r="F1794" s="10">
        <f>IF(C1794="","",IFERROR(INDEX(Levels!$C$2:$C$30,MATCH(C1794,Levels!$B$2:$B$30,0)),""))</f>
        <v/>
      </c>
      <c r="G1794" s="6" t="n"/>
      <c r="H1794" s="10">
        <f>IF(AND(B1794="",C1794=""),"",IF(G1794&lt;&gt;"","Void",IF(OR(B1794="",E1794=""),"Needs child",IF(D1794="","Needs level","OK"))))</f>
        <v/>
      </c>
    </row>
    <row r="1795">
      <c r="A1795" s="6" t="n"/>
      <c r="B1795" s="6" t="n"/>
      <c r="C1795" s="6" t="n"/>
      <c r="D1795" s="11">
        <f>IF(C1795="","",IFERROR(INDEX(Levels!$A$2:$A$30,MATCH(C1795,Levels!$B$2:$B$30,0)),""))</f>
        <v/>
      </c>
      <c r="E1795" s="10">
        <f>IF(B1795="","",IFERROR(INDEX(Roster!$A$2:$A$600,MATCH(B1795,Roster!$E$2:$E$600,0)),""))</f>
        <v/>
      </c>
      <c r="F1795" s="10">
        <f>IF(C1795="","",IFERROR(INDEX(Levels!$C$2:$C$30,MATCH(C1795,Levels!$B$2:$B$30,0)),""))</f>
        <v/>
      </c>
      <c r="G1795" s="6" t="n"/>
      <c r="H1795" s="10">
        <f>IF(AND(B1795="",C1795=""),"",IF(G1795&lt;&gt;"","Void",IF(OR(B1795="",E1795=""),"Needs child",IF(D1795="","Needs level","OK"))))</f>
        <v/>
      </c>
    </row>
    <row r="1796">
      <c r="A1796" s="6" t="n"/>
      <c r="B1796" s="6" t="n"/>
      <c r="C1796" s="6" t="n"/>
      <c r="D1796" s="11">
        <f>IF(C1796="","",IFERROR(INDEX(Levels!$A$2:$A$30,MATCH(C1796,Levels!$B$2:$B$30,0)),""))</f>
        <v/>
      </c>
      <c r="E1796" s="10">
        <f>IF(B1796="","",IFERROR(INDEX(Roster!$A$2:$A$600,MATCH(B1796,Roster!$E$2:$E$600,0)),""))</f>
        <v/>
      </c>
      <c r="F1796" s="10">
        <f>IF(C1796="","",IFERROR(INDEX(Levels!$C$2:$C$30,MATCH(C1796,Levels!$B$2:$B$30,0)),""))</f>
        <v/>
      </c>
      <c r="G1796" s="6" t="n"/>
      <c r="H1796" s="10">
        <f>IF(AND(B1796="",C1796=""),"",IF(G1796&lt;&gt;"","Void",IF(OR(B1796="",E1796=""),"Needs child",IF(D1796="","Needs level","OK"))))</f>
        <v/>
      </c>
    </row>
    <row r="1797">
      <c r="A1797" s="6" t="n"/>
      <c r="B1797" s="6" t="n"/>
      <c r="C1797" s="6" t="n"/>
      <c r="D1797" s="11">
        <f>IF(C1797="","",IFERROR(INDEX(Levels!$A$2:$A$30,MATCH(C1797,Levels!$B$2:$B$30,0)),""))</f>
        <v/>
      </c>
      <c r="E1797" s="10">
        <f>IF(B1797="","",IFERROR(INDEX(Roster!$A$2:$A$600,MATCH(B1797,Roster!$E$2:$E$600,0)),""))</f>
        <v/>
      </c>
      <c r="F1797" s="10">
        <f>IF(C1797="","",IFERROR(INDEX(Levels!$C$2:$C$30,MATCH(C1797,Levels!$B$2:$B$30,0)),""))</f>
        <v/>
      </c>
      <c r="G1797" s="6" t="n"/>
      <c r="H1797" s="10">
        <f>IF(AND(B1797="",C1797=""),"",IF(G1797&lt;&gt;"","Void",IF(OR(B1797="",E1797=""),"Needs child",IF(D1797="","Needs level","OK"))))</f>
        <v/>
      </c>
    </row>
    <row r="1798">
      <c r="A1798" s="6" t="n"/>
      <c r="B1798" s="6" t="n"/>
      <c r="C1798" s="6" t="n"/>
      <c r="D1798" s="11">
        <f>IF(C1798="","",IFERROR(INDEX(Levels!$A$2:$A$30,MATCH(C1798,Levels!$B$2:$B$30,0)),""))</f>
        <v/>
      </c>
      <c r="E1798" s="10">
        <f>IF(B1798="","",IFERROR(INDEX(Roster!$A$2:$A$600,MATCH(B1798,Roster!$E$2:$E$600,0)),""))</f>
        <v/>
      </c>
      <c r="F1798" s="10">
        <f>IF(C1798="","",IFERROR(INDEX(Levels!$C$2:$C$30,MATCH(C1798,Levels!$B$2:$B$30,0)),""))</f>
        <v/>
      </c>
      <c r="G1798" s="6" t="n"/>
      <c r="H1798" s="10">
        <f>IF(AND(B1798="",C1798=""),"",IF(G1798&lt;&gt;"","Void",IF(OR(B1798="",E1798=""),"Needs child",IF(D1798="","Needs level","OK"))))</f>
        <v/>
      </c>
    </row>
    <row r="1799">
      <c r="A1799" s="6" t="n"/>
      <c r="B1799" s="6" t="n"/>
      <c r="C1799" s="6" t="n"/>
      <c r="D1799" s="11">
        <f>IF(C1799="","",IFERROR(INDEX(Levels!$A$2:$A$30,MATCH(C1799,Levels!$B$2:$B$30,0)),""))</f>
        <v/>
      </c>
      <c r="E1799" s="10">
        <f>IF(B1799="","",IFERROR(INDEX(Roster!$A$2:$A$600,MATCH(B1799,Roster!$E$2:$E$600,0)),""))</f>
        <v/>
      </c>
      <c r="F1799" s="10">
        <f>IF(C1799="","",IFERROR(INDEX(Levels!$C$2:$C$30,MATCH(C1799,Levels!$B$2:$B$30,0)),""))</f>
        <v/>
      </c>
      <c r="G1799" s="6" t="n"/>
      <c r="H1799" s="10">
        <f>IF(AND(B1799="",C1799=""),"",IF(G1799&lt;&gt;"","Void",IF(OR(B1799="",E1799=""),"Needs child",IF(D1799="","Needs level","OK"))))</f>
        <v/>
      </c>
    </row>
    <row r="1800">
      <c r="A1800" s="6" t="n"/>
      <c r="B1800" s="6" t="n"/>
      <c r="C1800" s="6" t="n"/>
      <c r="D1800" s="11">
        <f>IF(C1800="","",IFERROR(INDEX(Levels!$A$2:$A$30,MATCH(C1800,Levels!$B$2:$B$30,0)),""))</f>
        <v/>
      </c>
      <c r="E1800" s="10">
        <f>IF(B1800="","",IFERROR(INDEX(Roster!$A$2:$A$600,MATCH(B1800,Roster!$E$2:$E$600,0)),""))</f>
        <v/>
      </c>
      <c r="F1800" s="10">
        <f>IF(C1800="","",IFERROR(INDEX(Levels!$C$2:$C$30,MATCH(C1800,Levels!$B$2:$B$30,0)),""))</f>
        <v/>
      </c>
      <c r="G1800" s="6" t="n"/>
      <c r="H1800" s="10">
        <f>IF(AND(B1800="",C1800=""),"",IF(G1800&lt;&gt;"","Void",IF(OR(B1800="",E1800=""),"Needs child",IF(D1800="","Needs level","OK"))))</f>
        <v/>
      </c>
    </row>
    <row r="1801">
      <c r="A1801" s="6" t="n"/>
      <c r="B1801" s="6" t="n"/>
      <c r="C1801" s="6" t="n"/>
      <c r="D1801" s="11">
        <f>IF(C1801="","",IFERROR(INDEX(Levels!$A$2:$A$30,MATCH(C1801,Levels!$B$2:$B$30,0)),""))</f>
        <v/>
      </c>
      <c r="E1801" s="10">
        <f>IF(B1801="","",IFERROR(INDEX(Roster!$A$2:$A$600,MATCH(B1801,Roster!$E$2:$E$600,0)),""))</f>
        <v/>
      </c>
      <c r="F1801" s="10">
        <f>IF(C1801="","",IFERROR(INDEX(Levels!$C$2:$C$30,MATCH(C1801,Levels!$B$2:$B$30,0)),""))</f>
        <v/>
      </c>
      <c r="G1801" s="6" t="n"/>
      <c r="H1801" s="10">
        <f>IF(AND(B1801="",C1801=""),"",IF(G1801&lt;&gt;"","Void",IF(OR(B1801="",E1801=""),"Needs child",IF(D1801="","Needs level","OK"))))</f>
        <v/>
      </c>
    </row>
    <row r="1802">
      <c r="A1802" s="6" t="n"/>
      <c r="B1802" s="6" t="n"/>
      <c r="C1802" s="6" t="n"/>
      <c r="D1802" s="11">
        <f>IF(C1802="","",IFERROR(INDEX(Levels!$A$2:$A$30,MATCH(C1802,Levels!$B$2:$B$30,0)),""))</f>
        <v/>
      </c>
      <c r="E1802" s="10">
        <f>IF(B1802="","",IFERROR(INDEX(Roster!$A$2:$A$600,MATCH(B1802,Roster!$E$2:$E$600,0)),""))</f>
        <v/>
      </c>
      <c r="F1802" s="10">
        <f>IF(C1802="","",IFERROR(INDEX(Levels!$C$2:$C$30,MATCH(C1802,Levels!$B$2:$B$30,0)),""))</f>
        <v/>
      </c>
      <c r="G1802" s="6" t="n"/>
      <c r="H1802" s="10">
        <f>IF(AND(B1802="",C1802=""),"",IF(G1802&lt;&gt;"","Void",IF(OR(B1802="",E1802=""),"Needs child",IF(D1802="","Needs level","OK"))))</f>
        <v/>
      </c>
    </row>
    <row r="1803">
      <c r="A1803" s="6" t="n"/>
      <c r="B1803" s="6" t="n"/>
      <c r="C1803" s="6" t="n"/>
      <c r="D1803" s="11">
        <f>IF(C1803="","",IFERROR(INDEX(Levels!$A$2:$A$30,MATCH(C1803,Levels!$B$2:$B$30,0)),""))</f>
        <v/>
      </c>
      <c r="E1803" s="10">
        <f>IF(B1803="","",IFERROR(INDEX(Roster!$A$2:$A$600,MATCH(B1803,Roster!$E$2:$E$600,0)),""))</f>
        <v/>
      </c>
      <c r="F1803" s="10">
        <f>IF(C1803="","",IFERROR(INDEX(Levels!$C$2:$C$30,MATCH(C1803,Levels!$B$2:$B$30,0)),""))</f>
        <v/>
      </c>
      <c r="G1803" s="6" t="n"/>
      <c r="H1803" s="10">
        <f>IF(AND(B1803="",C1803=""),"",IF(G1803&lt;&gt;"","Void",IF(OR(B1803="",E1803=""),"Needs child",IF(D1803="","Needs level","OK"))))</f>
        <v/>
      </c>
    </row>
    <row r="1804">
      <c r="A1804" s="6" t="n"/>
      <c r="B1804" s="6" t="n"/>
      <c r="C1804" s="6" t="n"/>
      <c r="D1804" s="11">
        <f>IF(C1804="","",IFERROR(INDEX(Levels!$A$2:$A$30,MATCH(C1804,Levels!$B$2:$B$30,0)),""))</f>
        <v/>
      </c>
      <c r="E1804" s="10">
        <f>IF(B1804="","",IFERROR(INDEX(Roster!$A$2:$A$600,MATCH(B1804,Roster!$E$2:$E$600,0)),""))</f>
        <v/>
      </c>
      <c r="F1804" s="10">
        <f>IF(C1804="","",IFERROR(INDEX(Levels!$C$2:$C$30,MATCH(C1804,Levels!$B$2:$B$30,0)),""))</f>
        <v/>
      </c>
      <c r="G1804" s="6" t="n"/>
      <c r="H1804" s="10">
        <f>IF(AND(B1804="",C1804=""),"",IF(G1804&lt;&gt;"","Void",IF(OR(B1804="",E1804=""),"Needs child",IF(D1804="","Needs level","OK"))))</f>
        <v/>
      </c>
    </row>
    <row r="1805">
      <c r="A1805" s="6" t="n"/>
      <c r="B1805" s="6" t="n"/>
      <c r="C1805" s="6" t="n"/>
      <c r="D1805" s="11">
        <f>IF(C1805="","",IFERROR(INDEX(Levels!$A$2:$A$30,MATCH(C1805,Levels!$B$2:$B$30,0)),""))</f>
        <v/>
      </c>
      <c r="E1805" s="10">
        <f>IF(B1805="","",IFERROR(INDEX(Roster!$A$2:$A$600,MATCH(B1805,Roster!$E$2:$E$600,0)),""))</f>
        <v/>
      </c>
      <c r="F1805" s="10">
        <f>IF(C1805="","",IFERROR(INDEX(Levels!$C$2:$C$30,MATCH(C1805,Levels!$B$2:$B$30,0)),""))</f>
        <v/>
      </c>
      <c r="G1805" s="6" t="n"/>
      <c r="H1805" s="10">
        <f>IF(AND(B1805="",C1805=""),"",IF(G1805&lt;&gt;"","Void",IF(OR(B1805="",E1805=""),"Needs child",IF(D1805="","Needs level","OK"))))</f>
        <v/>
      </c>
    </row>
    <row r="1806">
      <c r="A1806" s="6" t="n"/>
      <c r="B1806" s="6" t="n"/>
      <c r="C1806" s="6" t="n"/>
      <c r="D1806" s="11">
        <f>IF(C1806="","",IFERROR(INDEX(Levels!$A$2:$A$30,MATCH(C1806,Levels!$B$2:$B$30,0)),""))</f>
        <v/>
      </c>
      <c r="E1806" s="10">
        <f>IF(B1806="","",IFERROR(INDEX(Roster!$A$2:$A$600,MATCH(B1806,Roster!$E$2:$E$600,0)),""))</f>
        <v/>
      </c>
      <c r="F1806" s="10">
        <f>IF(C1806="","",IFERROR(INDEX(Levels!$C$2:$C$30,MATCH(C1806,Levels!$B$2:$B$30,0)),""))</f>
        <v/>
      </c>
      <c r="G1806" s="6" t="n"/>
      <c r="H1806" s="10">
        <f>IF(AND(B1806="",C1806=""),"",IF(G1806&lt;&gt;"","Void",IF(OR(B1806="",E1806=""),"Needs child",IF(D1806="","Needs level","OK"))))</f>
        <v/>
      </c>
    </row>
    <row r="1807">
      <c r="A1807" s="6" t="n"/>
      <c r="B1807" s="6" t="n"/>
      <c r="C1807" s="6" t="n"/>
      <c r="D1807" s="11">
        <f>IF(C1807="","",IFERROR(INDEX(Levels!$A$2:$A$30,MATCH(C1807,Levels!$B$2:$B$30,0)),""))</f>
        <v/>
      </c>
      <c r="E1807" s="10">
        <f>IF(B1807="","",IFERROR(INDEX(Roster!$A$2:$A$600,MATCH(B1807,Roster!$E$2:$E$600,0)),""))</f>
        <v/>
      </c>
      <c r="F1807" s="10">
        <f>IF(C1807="","",IFERROR(INDEX(Levels!$C$2:$C$30,MATCH(C1807,Levels!$B$2:$B$30,0)),""))</f>
        <v/>
      </c>
      <c r="G1807" s="6" t="n"/>
      <c r="H1807" s="10">
        <f>IF(AND(B1807="",C1807=""),"",IF(G1807&lt;&gt;"","Void",IF(OR(B1807="",E1807=""),"Needs child",IF(D1807="","Needs level","OK"))))</f>
        <v/>
      </c>
    </row>
    <row r="1808">
      <c r="A1808" s="6" t="n"/>
      <c r="B1808" s="6" t="n"/>
      <c r="C1808" s="6" t="n"/>
      <c r="D1808" s="11">
        <f>IF(C1808="","",IFERROR(INDEX(Levels!$A$2:$A$30,MATCH(C1808,Levels!$B$2:$B$30,0)),""))</f>
        <v/>
      </c>
      <c r="E1808" s="10">
        <f>IF(B1808="","",IFERROR(INDEX(Roster!$A$2:$A$600,MATCH(B1808,Roster!$E$2:$E$600,0)),""))</f>
        <v/>
      </c>
      <c r="F1808" s="10">
        <f>IF(C1808="","",IFERROR(INDEX(Levels!$C$2:$C$30,MATCH(C1808,Levels!$B$2:$B$30,0)),""))</f>
        <v/>
      </c>
      <c r="G1808" s="6" t="n"/>
      <c r="H1808" s="10">
        <f>IF(AND(B1808="",C1808=""),"",IF(G1808&lt;&gt;"","Void",IF(OR(B1808="",E1808=""),"Needs child",IF(D1808="","Needs level","OK"))))</f>
        <v/>
      </c>
    </row>
    <row r="1809">
      <c r="A1809" s="6" t="n"/>
      <c r="B1809" s="6" t="n"/>
      <c r="C1809" s="6" t="n"/>
      <c r="D1809" s="11">
        <f>IF(C1809="","",IFERROR(INDEX(Levels!$A$2:$A$30,MATCH(C1809,Levels!$B$2:$B$30,0)),""))</f>
        <v/>
      </c>
      <c r="E1809" s="10">
        <f>IF(B1809="","",IFERROR(INDEX(Roster!$A$2:$A$600,MATCH(B1809,Roster!$E$2:$E$600,0)),""))</f>
        <v/>
      </c>
      <c r="F1809" s="10">
        <f>IF(C1809="","",IFERROR(INDEX(Levels!$C$2:$C$30,MATCH(C1809,Levels!$B$2:$B$30,0)),""))</f>
        <v/>
      </c>
      <c r="G1809" s="6" t="n"/>
      <c r="H1809" s="10">
        <f>IF(AND(B1809="",C1809=""),"",IF(G1809&lt;&gt;"","Void",IF(OR(B1809="",E1809=""),"Needs child",IF(D1809="","Needs level","OK"))))</f>
        <v/>
      </c>
    </row>
    <row r="1810">
      <c r="A1810" s="6" t="n"/>
      <c r="B1810" s="6" t="n"/>
      <c r="C1810" s="6" t="n"/>
      <c r="D1810" s="11">
        <f>IF(C1810="","",IFERROR(INDEX(Levels!$A$2:$A$30,MATCH(C1810,Levels!$B$2:$B$30,0)),""))</f>
        <v/>
      </c>
      <c r="E1810" s="10">
        <f>IF(B1810="","",IFERROR(INDEX(Roster!$A$2:$A$600,MATCH(B1810,Roster!$E$2:$E$600,0)),""))</f>
        <v/>
      </c>
      <c r="F1810" s="10">
        <f>IF(C1810="","",IFERROR(INDEX(Levels!$C$2:$C$30,MATCH(C1810,Levels!$B$2:$B$30,0)),""))</f>
        <v/>
      </c>
      <c r="G1810" s="6" t="n"/>
      <c r="H1810" s="10">
        <f>IF(AND(B1810="",C1810=""),"",IF(G1810&lt;&gt;"","Void",IF(OR(B1810="",E1810=""),"Needs child",IF(D1810="","Needs level","OK"))))</f>
        <v/>
      </c>
    </row>
    <row r="1811">
      <c r="A1811" s="6" t="n"/>
      <c r="B1811" s="6" t="n"/>
      <c r="C1811" s="6" t="n"/>
      <c r="D1811" s="11">
        <f>IF(C1811="","",IFERROR(INDEX(Levels!$A$2:$A$30,MATCH(C1811,Levels!$B$2:$B$30,0)),""))</f>
        <v/>
      </c>
      <c r="E1811" s="10">
        <f>IF(B1811="","",IFERROR(INDEX(Roster!$A$2:$A$600,MATCH(B1811,Roster!$E$2:$E$600,0)),""))</f>
        <v/>
      </c>
      <c r="F1811" s="10">
        <f>IF(C1811="","",IFERROR(INDEX(Levels!$C$2:$C$30,MATCH(C1811,Levels!$B$2:$B$30,0)),""))</f>
        <v/>
      </c>
      <c r="G1811" s="6" t="n"/>
      <c r="H1811" s="10">
        <f>IF(AND(B1811="",C1811=""),"",IF(G1811&lt;&gt;"","Void",IF(OR(B1811="",E1811=""),"Needs child",IF(D1811="","Needs level","OK"))))</f>
        <v/>
      </c>
    </row>
    <row r="1812">
      <c r="A1812" s="6" t="n"/>
      <c r="B1812" s="6" t="n"/>
      <c r="C1812" s="6" t="n"/>
      <c r="D1812" s="11">
        <f>IF(C1812="","",IFERROR(INDEX(Levels!$A$2:$A$30,MATCH(C1812,Levels!$B$2:$B$30,0)),""))</f>
        <v/>
      </c>
      <c r="E1812" s="10">
        <f>IF(B1812="","",IFERROR(INDEX(Roster!$A$2:$A$600,MATCH(B1812,Roster!$E$2:$E$600,0)),""))</f>
        <v/>
      </c>
      <c r="F1812" s="10">
        <f>IF(C1812="","",IFERROR(INDEX(Levels!$C$2:$C$30,MATCH(C1812,Levels!$B$2:$B$30,0)),""))</f>
        <v/>
      </c>
      <c r="G1812" s="6" t="n"/>
      <c r="H1812" s="10">
        <f>IF(AND(B1812="",C1812=""),"",IF(G1812&lt;&gt;"","Void",IF(OR(B1812="",E1812=""),"Needs child",IF(D1812="","Needs level","OK"))))</f>
        <v/>
      </c>
    </row>
    <row r="1813">
      <c r="A1813" s="6" t="n"/>
      <c r="B1813" s="6" t="n"/>
      <c r="C1813" s="6" t="n"/>
      <c r="D1813" s="11">
        <f>IF(C1813="","",IFERROR(INDEX(Levels!$A$2:$A$30,MATCH(C1813,Levels!$B$2:$B$30,0)),""))</f>
        <v/>
      </c>
      <c r="E1813" s="10">
        <f>IF(B1813="","",IFERROR(INDEX(Roster!$A$2:$A$600,MATCH(B1813,Roster!$E$2:$E$600,0)),""))</f>
        <v/>
      </c>
      <c r="F1813" s="10">
        <f>IF(C1813="","",IFERROR(INDEX(Levels!$C$2:$C$30,MATCH(C1813,Levels!$B$2:$B$30,0)),""))</f>
        <v/>
      </c>
      <c r="G1813" s="6" t="n"/>
      <c r="H1813" s="10">
        <f>IF(AND(B1813="",C1813=""),"",IF(G1813&lt;&gt;"","Void",IF(OR(B1813="",E1813=""),"Needs child",IF(D1813="","Needs level","OK"))))</f>
        <v/>
      </c>
    </row>
    <row r="1814">
      <c r="A1814" s="6" t="n"/>
      <c r="B1814" s="6" t="n"/>
      <c r="C1814" s="6" t="n"/>
      <c r="D1814" s="11">
        <f>IF(C1814="","",IFERROR(INDEX(Levels!$A$2:$A$30,MATCH(C1814,Levels!$B$2:$B$30,0)),""))</f>
        <v/>
      </c>
      <c r="E1814" s="10">
        <f>IF(B1814="","",IFERROR(INDEX(Roster!$A$2:$A$600,MATCH(B1814,Roster!$E$2:$E$600,0)),""))</f>
        <v/>
      </c>
      <c r="F1814" s="10">
        <f>IF(C1814="","",IFERROR(INDEX(Levels!$C$2:$C$30,MATCH(C1814,Levels!$B$2:$B$30,0)),""))</f>
        <v/>
      </c>
      <c r="G1814" s="6" t="n"/>
      <c r="H1814" s="10">
        <f>IF(AND(B1814="",C1814=""),"",IF(G1814&lt;&gt;"","Void",IF(OR(B1814="",E1814=""),"Needs child",IF(D1814="","Needs level","OK"))))</f>
        <v/>
      </c>
    </row>
    <row r="1815">
      <c r="A1815" s="6" t="n"/>
      <c r="B1815" s="6" t="n"/>
      <c r="C1815" s="6" t="n"/>
      <c r="D1815" s="11">
        <f>IF(C1815="","",IFERROR(INDEX(Levels!$A$2:$A$30,MATCH(C1815,Levels!$B$2:$B$30,0)),""))</f>
        <v/>
      </c>
      <c r="E1815" s="10">
        <f>IF(B1815="","",IFERROR(INDEX(Roster!$A$2:$A$600,MATCH(B1815,Roster!$E$2:$E$600,0)),""))</f>
        <v/>
      </c>
      <c r="F1815" s="10">
        <f>IF(C1815="","",IFERROR(INDEX(Levels!$C$2:$C$30,MATCH(C1815,Levels!$B$2:$B$30,0)),""))</f>
        <v/>
      </c>
      <c r="G1815" s="6" t="n"/>
      <c r="H1815" s="10">
        <f>IF(AND(B1815="",C1815=""),"",IF(G1815&lt;&gt;"","Void",IF(OR(B1815="",E1815=""),"Needs child",IF(D1815="","Needs level","OK"))))</f>
        <v/>
      </c>
    </row>
    <row r="1816">
      <c r="A1816" s="6" t="n"/>
      <c r="B1816" s="6" t="n"/>
      <c r="C1816" s="6" t="n"/>
      <c r="D1816" s="11">
        <f>IF(C1816="","",IFERROR(INDEX(Levels!$A$2:$A$30,MATCH(C1816,Levels!$B$2:$B$30,0)),""))</f>
        <v/>
      </c>
      <c r="E1816" s="10">
        <f>IF(B1816="","",IFERROR(INDEX(Roster!$A$2:$A$600,MATCH(B1816,Roster!$E$2:$E$600,0)),""))</f>
        <v/>
      </c>
      <c r="F1816" s="10">
        <f>IF(C1816="","",IFERROR(INDEX(Levels!$C$2:$C$30,MATCH(C1816,Levels!$B$2:$B$30,0)),""))</f>
        <v/>
      </c>
      <c r="G1816" s="6" t="n"/>
      <c r="H1816" s="10">
        <f>IF(AND(B1816="",C1816=""),"",IF(G1816&lt;&gt;"","Void",IF(OR(B1816="",E1816=""),"Needs child",IF(D1816="","Needs level","OK"))))</f>
        <v/>
      </c>
    </row>
    <row r="1817">
      <c r="A1817" s="6" t="n"/>
      <c r="B1817" s="6" t="n"/>
      <c r="C1817" s="6" t="n"/>
      <c r="D1817" s="11">
        <f>IF(C1817="","",IFERROR(INDEX(Levels!$A$2:$A$30,MATCH(C1817,Levels!$B$2:$B$30,0)),""))</f>
        <v/>
      </c>
      <c r="E1817" s="10">
        <f>IF(B1817="","",IFERROR(INDEX(Roster!$A$2:$A$600,MATCH(B1817,Roster!$E$2:$E$600,0)),""))</f>
        <v/>
      </c>
      <c r="F1817" s="10">
        <f>IF(C1817="","",IFERROR(INDEX(Levels!$C$2:$C$30,MATCH(C1817,Levels!$B$2:$B$30,0)),""))</f>
        <v/>
      </c>
      <c r="G1817" s="6" t="n"/>
      <c r="H1817" s="10">
        <f>IF(AND(B1817="",C1817=""),"",IF(G1817&lt;&gt;"","Void",IF(OR(B1817="",E1817=""),"Needs child",IF(D1817="","Needs level","OK"))))</f>
        <v/>
      </c>
    </row>
    <row r="1818">
      <c r="A1818" s="6" t="n"/>
      <c r="B1818" s="6" t="n"/>
      <c r="C1818" s="6" t="n"/>
      <c r="D1818" s="11">
        <f>IF(C1818="","",IFERROR(INDEX(Levels!$A$2:$A$30,MATCH(C1818,Levels!$B$2:$B$30,0)),""))</f>
        <v/>
      </c>
      <c r="E1818" s="10">
        <f>IF(B1818="","",IFERROR(INDEX(Roster!$A$2:$A$600,MATCH(B1818,Roster!$E$2:$E$600,0)),""))</f>
        <v/>
      </c>
      <c r="F1818" s="10">
        <f>IF(C1818="","",IFERROR(INDEX(Levels!$C$2:$C$30,MATCH(C1818,Levels!$B$2:$B$30,0)),""))</f>
        <v/>
      </c>
      <c r="G1818" s="6" t="n"/>
      <c r="H1818" s="10">
        <f>IF(AND(B1818="",C1818=""),"",IF(G1818&lt;&gt;"","Void",IF(OR(B1818="",E1818=""),"Needs child",IF(D1818="","Needs level","OK"))))</f>
        <v/>
      </c>
    </row>
    <row r="1819">
      <c r="A1819" s="6" t="n"/>
      <c r="B1819" s="6" t="n"/>
      <c r="C1819" s="6" t="n"/>
      <c r="D1819" s="11">
        <f>IF(C1819="","",IFERROR(INDEX(Levels!$A$2:$A$30,MATCH(C1819,Levels!$B$2:$B$30,0)),""))</f>
        <v/>
      </c>
      <c r="E1819" s="10">
        <f>IF(B1819="","",IFERROR(INDEX(Roster!$A$2:$A$600,MATCH(B1819,Roster!$E$2:$E$600,0)),""))</f>
        <v/>
      </c>
      <c r="F1819" s="10">
        <f>IF(C1819="","",IFERROR(INDEX(Levels!$C$2:$C$30,MATCH(C1819,Levels!$B$2:$B$30,0)),""))</f>
        <v/>
      </c>
      <c r="G1819" s="6" t="n"/>
      <c r="H1819" s="10">
        <f>IF(AND(B1819="",C1819=""),"",IF(G1819&lt;&gt;"","Void",IF(OR(B1819="",E1819=""),"Needs child",IF(D1819="","Needs level","OK"))))</f>
        <v/>
      </c>
    </row>
    <row r="1820">
      <c r="A1820" s="6" t="n"/>
      <c r="B1820" s="6" t="n"/>
      <c r="C1820" s="6" t="n"/>
      <c r="D1820" s="11">
        <f>IF(C1820="","",IFERROR(INDEX(Levels!$A$2:$A$30,MATCH(C1820,Levels!$B$2:$B$30,0)),""))</f>
        <v/>
      </c>
      <c r="E1820" s="10">
        <f>IF(B1820="","",IFERROR(INDEX(Roster!$A$2:$A$600,MATCH(B1820,Roster!$E$2:$E$600,0)),""))</f>
        <v/>
      </c>
      <c r="F1820" s="10">
        <f>IF(C1820="","",IFERROR(INDEX(Levels!$C$2:$C$30,MATCH(C1820,Levels!$B$2:$B$30,0)),""))</f>
        <v/>
      </c>
      <c r="G1820" s="6" t="n"/>
      <c r="H1820" s="10">
        <f>IF(AND(B1820="",C1820=""),"",IF(G1820&lt;&gt;"","Void",IF(OR(B1820="",E1820=""),"Needs child",IF(D1820="","Needs level","OK"))))</f>
        <v/>
      </c>
    </row>
    <row r="1821">
      <c r="A1821" s="6" t="n"/>
      <c r="B1821" s="6" t="n"/>
      <c r="C1821" s="6" t="n"/>
      <c r="D1821" s="11">
        <f>IF(C1821="","",IFERROR(INDEX(Levels!$A$2:$A$30,MATCH(C1821,Levels!$B$2:$B$30,0)),""))</f>
        <v/>
      </c>
      <c r="E1821" s="10">
        <f>IF(B1821="","",IFERROR(INDEX(Roster!$A$2:$A$600,MATCH(B1821,Roster!$E$2:$E$600,0)),""))</f>
        <v/>
      </c>
      <c r="F1821" s="10">
        <f>IF(C1821="","",IFERROR(INDEX(Levels!$C$2:$C$30,MATCH(C1821,Levels!$B$2:$B$30,0)),""))</f>
        <v/>
      </c>
      <c r="G1821" s="6" t="n"/>
      <c r="H1821" s="10">
        <f>IF(AND(B1821="",C1821=""),"",IF(G1821&lt;&gt;"","Void",IF(OR(B1821="",E1821=""),"Needs child",IF(D1821="","Needs level","OK"))))</f>
        <v/>
      </c>
    </row>
    <row r="1822">
      <c r="A1822" s="6" t="n"/>
      <c r="B1822" s="6" t="n"/>
      <c r="C1822" s="6" t="n"/>
      <c r="D1822" s="11">
        <f>IF(C1822="","",IFERROR(INDEX(Levels!$A$2:$A$30,MATCH(C1822,Levels!$B$2:$B$30,0)),""))</f>
        <v/>
      </c>
      <c r="E1822" s="10">
        <f>IF(B1822="","",IFERROR(INDEX(Roster!$A$2:$A$600,MATCH(B1822,Roster!$E$2:$E$600,0)),""))</f>
        <v/>
      </c>
      <c r="F1822" s="10">
        <f>IF(C1822="","",IFERROR(INDEX(Levels!$C$2:$C$30,MATCH(C1822,Levels!$B$2:$B$30,0)),""))</f>
        <v/>
      </c>
      <c r="G1822" s="6" t="n"/>
      <c r="H1822" s="10">
        <f>IF(AND(B1822="",C1822=""),"",IF(G1822&lt;&gt;"","Void",IF(OR(B1822="",E1822=""),"Needs child",IF(D1822="","Needs level","OK"))))</f>
        <v/>
      </c>
    </row>
    <row r="1823">
      <c r="A1823" s="6" t="n"/>
      <c r="B1823" s="6" t="n"/>
      <c r="C1823" s="6" t="n"/>
      <c r="D1823" s="11">
        <f>IF(C1823="","",IFERROR(INDEX(Levels!$A$2:$A$30,MATCH(C1823,Levels!$B$2:$B$30,0)),""))</f>
        <v/>
      </c>
      <c r="E1823" s="10">
        <f>IF(B1823="","",IFERROR(INDEX(Roster!$A$2:$A$600,MATCH(B1823,Roster!$E$2:$E$600,0)),""))</f>
        <v/>
      </c>
      <c r="F1823" s="10">
        <f>IF(C1823="","",IFERROR(INDEX(Levels!$C$2:$C$30,MATCH(C1823,Levels!$B$2:$B$30,0)),""))</f>
        <v/>
      </c>
      <c r="G1823" s="6" t="n"/>
      <c r="H1823" s="10">
        <f>IF(AND(B1823="",C1823=""),"",IF(G1823&lt;&gt;"","Void",IF(OR(B1823="",E1823=""),"Needs child",IF(D1823="","Needs level","OK"))))</f>
        <v/>
      </c>
    </row>
    <row r="1824">
      <c r="A1824" s="6" t="n"/>
      <c r="B1824" s="6" t="n"/>
      <c r="C1824" s="6" t="n"/>
      <c r="D1824" s="11">
        <f>IF(C1824="","",IFERROR(INDEX(Levels!$A$2:$A$30,MATCH(C1824,Levels!$B$2:$B$30,0)),""))</f>
        <v/>
      </c>
      <c r="E1824" s="10">
        <f>IF(B1824="","",IFERROR(INDEX(Roster!$A$2:$A$600,MATCH(B1824,Roster!$E$2:$E$600,0)),""))</f>
        <v/>
      </c>
      <c r="F1824" s="10">
        <f>IF(C1824="","",IFERROR(INDEX(Levels!$C$2:$C$30,MATCH(C1824,Levels!$B$2:$B$30,0)),""))</f>
        <v/>
      </c>
      <c r="G1824" s="6" t="n"/>
      <c r="H1824" s="10">
        <f>IF(AND(B1824="",C1824=""),"",IF(G1824&lt;&gt;"","Void",IF(OR(B1824="",E1824=""),"Needs child",IF(D1824="","Needs level","OK"))))</f>
        <v/>
      </c>
    </row>
    <row r="1825">
      <c r="A1825" s="6" t="n"/>
      <c r="B1825" s="6" t="n"/>
      <c r="C1825" s="6" t="n"/>
      <c r="D1825" s="11">
        <f>IF(C1825="","",IFERROR(INDEX(Levels!$A$2:$A$30,MATCH(C1825,Levels!$B$2:$B$30,0)),""))</f>
        <v/>
      </c>
      <c r="E1825" s="10">
        <f>IF(B1825="","",IFERROR(INDEX(Roster!$A$2:$A$600,MATCH(B1825,Roster!$E$2:$E$600,0)),""))</f>
        <v/>
      </c>
      <c r="F1825" s="10">
        <f>IF(C1825="","",IFERROR(INDEX(Levels!$C$2:$C$30,MATCH(C1825,Levels!$B$2:$B$30,0)),""))</f>
        <v/>
      </c>
      <c r="G1825" s="6" t="n"/>
      <c r="H1825" s="10">
        <f>IF(AND(B1825="",C1825=""),"",IF(G1825&lt;&gt;"","Void",IF(OR(B1825="",E1825=""),"Needs child",IF(D1825="","Needs level","OK"))))</f>
        <v/>
      </c>
    </row>
    <row r="1826">
      <c r="A1826" s="6" t="n"/>
      <c r="B1826" s="6" t="n"/>
      <c r="C1826" s="6" t="n"/>
      <c r="D1826" s="11">
        <f>IF(C1826="","",IFERROR(INDEX(Levels!$A$2:$A$30,MATCH(C1826,Levels!$B$2:$B$30,0)),""))</f>
        <v/>
      </c>
      <c r="E1826" s="10">
        <f>IF(B1826="","",IFERROR(INDEX(Roster!$A$2:$A$600,MATCH(B1826,Roster!$E$2:$E$600,0)),""))</f>
        <v/>
      </c>
      <c r="F1826" s="10">
        <f>IF(C1826="","",IFERROR(INDEX(Levels!$C$2:$C$30,MATCH(C1826,Levels!$B$2:$B$30,0)),""))</f>
        <v/>
      </c>
      <c r="G1826" s="6" t="n"/>
      <c r="H1826" s="10">
        <f>IF(AND(B1826="",C1826=""),"",IF(G1826&lt;&gt;"","Void",IF(OR(B1826="",E1826=""),"Needs child",IF(D1826="","Needs level","OK"))))</f>
        <v/>
      </c>
    </row>
    <row r="1827">
      <c r="A1827" s="6" t="n"/>
      <c r="B1827" s="6" t="n"/>
      <c r="C1827" s="6" t="n"/>
      <c r="D1827" s="11">
        <f>IF(C1827="","",IFERROR(INDEX(Levels!$A$2:$A$30,MATCH(C1827,Levels!$B$2:$B$30,0)),""))</f>
        <v/>
      </c>
      <c r="E1827" s="10">
        <f>IF(B1827="","",IFERROR(INDEX(Roster!$A$2:$A$600,MATCH(B1827,Roster!$E$2:$E$600,0)),""))</f>
        <v/>
      </c>
      <c r="F1827" s="10">
        <f>IF(C1827="","",IFERROR(INDEX(Levels!$C$2:$C$30,MATCH(C1827,Levels!$B$2:$B$30,0)),""))</f>
        <v/>
      </c>
      <c r="G1827" s="6" t="n"/>
      <c r="H1827" s="10">
        <f>IF(AND(B1827="",C1827=""),"",IF(G1827&lt;&gt;"","Void",IF(OR(B1827="",E1827=""),"Needs child",IF(D1827="","Needs level","OK"))))</f>
        <v/>
      </c>
    </row>
    <row r="1828">
      <c r="A1828" s="6" t="n"/>
      <c r="B1828" s="6" t="n"/>
      <c r="C1828" s="6" t="n"/>
      <c r="D1828" s="11">
        <f>IF(C1828="","",IFERROR(INDEX(Levels!$A$2:$A$30,MATCH(C1828,Levels!$B$2:$B$30,0)),""))</f>
        <v/>
      </c>
      <c r="E1828" s="10">
        <f>IF(B1828="","",IFERROR(INDEX(Roster!$A$2:$A$600,MATCH(B1828,Roster!$E$2:$E$600,0)),""))</f>
        <v/>
      </c>
      <c r="F1828" s="10">
        <f>IF(C1828="","",IFERROR(INDEX(Levels!$C$2:$C$30,MATCH(C1828,Levels!$B$2:$B$30,0)),""))</f>
        <v/>
      </c>
      <c r="G1828" s="6" t="n"/>
      <c r="H1828" s="10">
        <f>IF(AND(B1828="",C1828=""),"",IF(G1828&lt;&gt;"","Void",IF(OR(B1828="",E1828=""),"Needs child",IF(D1828="","Needs level","OK"))))</f>
        <v/>
      </c>
    </row>
    <row r="1829">
      <c r="A1829" s="6" t="n"/>
      <c r="B1829" s="6" t="n"/>
      <c r="C1829" s="6" t="n"/>
      <c r="D1829" s="11">
        <f>IF(C1829="","",IFERROR(INDEX(Levels!$A$2:$A$30,MATCH(C1829,Levels!$B$2:$B$30,0)),""))</f>
        <v/>
      </c>
      <c r="E1829" s="10">
        <f>IF(B1829="","",IFERROR(INDEX(Roster!$A$2:$A$600,MATCH(B1829,Roster!$E$2:$E$600,0)),""))</f>
        <v/>
      </c>
      <c r="F1829" s="10">
        <f>IF(C1829="","",IFERROR(INDEX(Levels!$C$2:$C$30,MATCH(C1829,Levels!$B$2:$B$30,0)),""))</f>
        <v/>
      </c>
      <c r="G1829" s="6" t="n"/>
      <c r="H1829" s="10">
        <f>IF(AND(B1829="",C1829=""),"",IF(G1829&lt;&gt;"","Void",IF(OR(B1829="",E1829=""),"Needs child",IF(D1829="","Needs level","OK"))))</f>
        <v/>
      </c>
    </row>
    <row r="1830">
      <c r="A1830" s="6" t="n"/>
      <c r="B1830" s="6" t="n"/>
      <c r="C1830" s="6" t="n"/>
      <c r="D1830" s="11">
        <f>IF(C1830="","",IFERROR(INDEX(Levels!$A$2:$A$30,MATCH(C1830,Levels!$B$2:$B$30,0)),""))</f>
        <v/>
      </c>
      <c r="E1830" s="10">
        <f>IF(B1830="","",IFERROR(INDEX(Roster!$A$2:$A$600,MATCH(B1830,Roster!$E$2:$E$600,0)),""))</f>
        <v/>
      </c>
      <c r="F1830" s="10">
        <f>IF(C1830="","",IFERROR(INDEX(Levels!$C$2:$C$30,MATCH(C1830,Levels!$B$2:$B$30,0)),""))</f>
        <v/>
      </c>
      <c r="G1830" s="6" t="n"/>
      <c r="H1830" s="10">
        <f>IF(AND(B1830="",C1830=""),"",IF(G1830&lt;&gt;"","Void",IF(OR(B1830="",E1830=""),"Needs child",IF(D1830="","Needs level","OK"))))</f>
        <v/>
      </c>
    </row>
    <row r="1831">
      <c r="A1831" s="6" t="n"/>
      <c r="B1831" s="6" t="n"/>
      <c r="C1831" s="6" t="n"/>
      <c r="D1831" s="11">
        <f>IF(C1831="","",IFERROR(INDEX(Levels!$A$2:$A$30,MATCH(C1831,Levels!$B$2:$B$30,0)),""))</f>
        <v/>
      </c>
      <c r="E1831" s="10">
        <f>IF(B1831="","",IFERROR(INDEX(Roster!$A$2:$A$600,MATCH(B1831,Roster!$E$2:$E$600,0)),""))</f>
        <v/>
      </c>
      <c r="F1831" s="10">
        <f>IF(C1831="","",IFERROR(INDEX(Levels!$C$2:$C$30,MATCH(C1831,Levels!$B$2:$B$30,0)),""))</f>
        <v/>
      </c>
      <c r="G1831" s="6" t="n"/>
      <c r="H1831" s="10">
        <f>IF(AND(B1831="",C1831=""),"",IF(G1831&lt;&gt;"","Void",IF(OR(B1831="",E1831=""),"Needs child",IF(D1831="","Needs level","OK"))))</f>
        <v/>
      </c>
    </row>
    <row r="1832">
      <c r="A1832" s="6" t="n"/>
      <c r="B1832" s="6" t="n"/>
      <c r="C1832" s="6" t="n"/>
      <c r="D1832" s="11">
        <f>IF(C1832="","",IFERROR(INDEX(Levels!$A$2:$A$30,MATCH(C1832,Levels!$B$2:$B$30,0)),""))</f>
        <v/>
      </c>
      <c r="E1832" s="10">
        <f>IF(B1832="","",IFERROR(INDEX(Roster!$A$2:$A$600,MATCH(B1832,Roster!$E$2:$E$600,0)),""))</f>
        <v/>
      </c>
      <c r="F1832" s="10">
        <f>IF(C1832="","",IFERROR(INDEX(Levels!$C$2:$C$30,MATCH(C1832,Levels!$B$2:$B$30,0)),""))</f>
        <v/>
      </c>
      <c r="G1832" s="6" t="n"/>
      <c r="H1832" s="10">
        <f>IF(AND(B1832="",C1832=""),"",IF(G1832&lt;&gt;"","Void",IF(OR(B1832="",E1832=""),"Needs child",IF(D1832="","Needs level","OK"))))</f>
        <v/>
      </c>
    </row>
    <row r="1833">
      <c r="A1833" s="6" t="n"/>
      <c r="B1833" s="6" t="n"/>
      <c r="C1833" s="6" t="n"/>
      <c r="D1833" s="11">
        <f>IF(C1833="","",IFERROR(INDEX(Levels!$A$2:$A$30,MATCH(C1833,Levels!$B$2:$B$30,0)),""))</f>
        <v/>
      </c>
      <c r="E1833" s="10">
        <f>IF(B1833="","",IFERROR(INDEX(Roster!$A$2:$A$600,MATCH(B1833,Roster!$E$2:$E$600,0)),""))</f>
        <v/>
      </c>
      <c r="F1833" s="10">
        <f>IF(C1833="","",IFERROR(INDEX(Levels!$C$2:$C$30,MATCH(C1833,Levels!$B$2:$B$30,0)),""))</f>
        <v/>
      </c>
      <c r="G1833" s="6" t="n"/>
      <c r="H1833" s="10">
        <f>IF(AND(B1833="",C1833=""),"",IF(G1833&lt;&gt;"","Void",IF(OR(B1833="",E1833=""),"Needs child",IF(D1833="","Needs level","OK"))))</f>
        <v/>
      </c>
    </row>
    <row r="1834">
      <c r="A1834" s="6" t="n"/>
      <c r="B1834" s="6" t="n"/>
      <c r="C1834" s="6" t="n"/>
      <c r="D1834" s="11">
        <f>IF(C1834="","",IFERROR(INDEX(Levels!$A$2:$A$30,MATCH(C1834,Levels!$B$2:$B$30,0)),""))</f>
        <v/>
      </c>
      <c r="E1834" s="10">
        <f>IF(B1834="","",IFERROR(INDEX(Roster!$A$2:$A$600,MATCH(B1834,Roster!$E$2:$E$600,0)),""))</f>
        <v/>
      </c>
      <c r="F1834" s="10">
        <f>IF(C1834="","",IFERROR(INDEX(Levels!$C$2:$C$30,MATCH(C1834,Levels!$B$2:$B$30,0)),""))</f>
        <v/>
      </c>
      <c r="G1834" s="6" t="n"/>
      <c r="H1834" s="10">
        <f>IF(AND(B1834="",C1834=""),"",IF(G1834&lt;&gt;"","Void",IF(OR(B1834="",E1834=""),"Needs child",IF(D1834="","Needs level","OK"))))</f>
        <v/>
      </c>
    </row>
    <row r="1835">
      <c r="A1835" s="6" t="n"/>
      <c r="B1835" s="6" t="n"/>
      <c r="C1835" s="6" t="n"/>
      <c r="D1835" s="11">
        <f>IF(C1835="","",IFERROR(INDEX(Levels!$A$2:$A$30,MATCH(C1835,Levels!$B$2:$B$30,0)),""))</f>
        <v/>
      </c>
      <c r="E1835" s="10">
        <f>IF(B1835="","",IFERROR(INDEX(Roster!$A$2:$A$600,MATCH(B1835,Roster!$E$2:$E$600,0)),""))</f>
        <v/>
      </c>
      <c r="F1835" s="10">
        <f>IF(C1835="","",IFERROR(INDEX(Levels!$C$2:$C$30,MATCH(C1835,Levels!$B$2:$B$30,0)),""))</f>
        <v/>
      </c>
      <c r="G1835" s="6" t="n"/>
      <c r="H1835" s="10">
        <f>IF(AND(B1835="",C1835=""),"",IF(G1835&lt;&gt;"","Void",IF(OR(B1835="",E1835=""),"Needs child",IF(D1835="","Needs level","OK"))))</f>
        <v/>
      </c>
    </row>
    <row r="1836">
      <c r="A1836" s="6" t="n"/>
      <c r="B1836" s="6" t="n"/>
      <c r="C1836" s="6" t="n"/>
      <c r="D1836" s="11">
        <f>IF(C1836="","",IFERROR(INDEX(Levels!$A$2:$A$30,MATCH(C1836,Levels!$B$2:$B$30,0)),""))</f>
        <v/>
      </c>
      <c r="E1836" s="10">
        <f>IF(B1836="","",IFERROR(INDEX(Roster!$A$2:$A$600,MATCH(B1836,Roster!$E$2:$E$600,0)),""))</f>
        <v/>
      </c>
      <c r="F1836" s="10">
        <f>IF(C1836="","",IFERROR(INDEX(Levels!$C$2:$C$30,MATCH(C1836,Levels!$B$2:$B$30,0)),""))</f>
        <v/>
      </c>
      <c r="G1836" s="6" t="n"/>
      <c r="H1836" s="10">
        <f>IF(AND(B1836="",C1836=""),"",IF(G1836&lt;&gt;"","Void",IF(OR(B1836="",E1836=""),"Needs child",IF(D1836="","Needs level","OK"))))</f>
        <v/>
      </c>
    </row>
    <row r="1837">
      <c r="A1837" s="6" t="n"/>
      <c r="B1837" s="6" t="n"/>
      <c r="C1837" s="6" t="n"/>
      <c r="D1837" s="11">
        <f>IF(C1837="","",IFERROR(INDEX(Levels!$A$2:$A$30,MATCH(C1837,Levels!$B$2:$B$30,0)),""))</f>
        <v/>
      </c>
      <c r="E1837" s="10">
        <f>IF(B1837="","",IFERROR(INDEX(Roster!$A$2:$A$600,MATCH(B1837,Roster!$E$2:$E$600,0)),""))</f>
        <v/>
      </c>
      <c r="F1837" s="10">
        <f>IF(C1837="","",IFERROR(INDEX(Levels!$C$2:$C$30,MATCH(C1837,Levels!$B$2:$B$30,0)),""))</f>
        <v/>
      </c>
      <c r="G1837" s="6" t="n"/>
      <c r="H1837" s="10">
        <f>IF(AND(B1837="",C1837=""),"",IF(G1837&lt;&gt;"","Void",IF(OR(B1837="",E1837=""),"Needs child",IF(D1837="","Needs level","OK"))))</f>
        <v/>
      </c>
    </row>
    <row r="1838">
      <c r="A1838" s="6" t="n"/>
      <c r="B1838" s="6" t="n"/>
      <c r="C1838" s="6" t="n"/>
      <c r="D1838" s="11">
        <f>IF(C1838="","",IFERROR(INDEX(Levels!$A$2:$A$30,MATCH(C1838,Levels!$B$2:$B$30,0)),""))</f>
        <v/>
      </c>
      <c r="E1838" s="10">
        <f>IF(B1838="","",IFERROR(INDEX(Roster!$A$2:$A$600,MATCH(B1838,Roster!$E$2:$E$600,0)),""))</f>
        <v/>
      </c>
      <c r="F1838" s="10">
        <f>IF(C1838="","",IFERROR(INDEX(Levels!$C$2:$C$30,MATCH(C1838,Levels!$B$2:$B$30,0)),""))</f>
        <v/>
      </c>
      <c r="G1838" s="6" t="n"/>
      <c r="H1838" s="10">
        <f>IF(AND(B1838="",C1838=""),"",IF(G1838&lt;&gt;"","Void",IF(OR(B1838="",E1838=""),"Needs child",IF(D1838="","Needs level","OK"))))</f>
        <v/>
      </c>
    </row>
    <row r="1839">
      <c r="A1839" s="6" t="n"/>
      <c r="B1839" s="6" t="n"/>
      <c r="C1839" s="6" t="n"/>
      <c r="D1839" s="11">
        <f>IF(C1839="","",IFERROR(INDEX(Levels!$A$2:$A$30,MATCH(C1839,Levels!$B$2:$B$30,0)),""))</f>
        <v/>
      </c>
      <c r="E1839" s="10">
        <f>IF(B1839="","",IFERROR(INDEX(Roster!$A$2:$A$600,MATCH(B1839,Roster!$E$2:$E$600,0)),""))</f>
        <v/>
      </c>
      <c r="F1839" s="10">
        <f>IF(C1839="","",IFERROR(INDEX(Levels!$C$2:$C$30,MATCH(C1839,Levels!$B$2:$B$30,0)),""))</f>
        <v/>
      </c>
      <c r="G1839" s="6" t="n"/>
      <c r="H1839" s="10">
        <f>IF(AND(B1839="",C1839=""),"",IF(G1839&lt;&gt;"","Void",IF(OR(B1839="",E1839=""),"Needs child",IF(D1839="","Needs level","OK"))))</f>
        <v/>
      </c>
    </row>
    <row r="1840">
      <c r="A1840" s="6" t="n"/>
      <c r="B1840" s="6" t="n"/>
      <c r="C1840" s="6" t="n"/>
      <c r="D1840" s="11">
        <f>IF(C1840="","",IFERROR(INDEX(Levels!$A$2:$A$30,MATCH(C1840,Levels!$B$2:$B$30,0)),""))</f>
        <v/>
      </c>
      <c r="E1840" s="10">
        <f>IF(B1840="","",IFERROR(INDEX(Roster!$A$2:$A$600,MATCH(B1840,Roster!$E$2:$E$600,0)),""))</f>
        <v/>
      </c>
      <c r="F1840" s="10">
        <f>IF(C1840="","",IFERROR(INDEX(Levels!$C$2:$C$30,MATCH(C1840,Levels!$B$2:$B$30,0)),""))</f>
        <v/>
      </c>
      <c r="G1840" s="6" t="n"/>
      <c r="H1840" s="10">
        <f>IF(AND(B1840="",C1840=""),"",IF(G1840&lt;&gt;"","Void",IF(OR(B1840="",E1840=""),"Needs child",IF(D1840="","Needs level","OK"))))</f>
        <v/>
      </c>
    </row>
    <row r="1841">
      <c r="A1841" s="6" t="n"/>
      <c r="B1841" s="6" t="n"/>
      <c r="C1841" s="6" t="n"/>
      <c r="D1841" s="11">
        <f>IF(C1841="","",IFERROR(INDEX(Levels!$A$2:$A$30,MATCH(C1841,Levels!$B$2:$B$30,0)),""))</f>
        <v/>
      </c>
      <c r="E1841" s="10">
        <f>IF(B1841="","",IFERROR(INDEX(Roster!$A$2:$A$600,MATCH(B1841,Roster!$E$2:$E$600,0)),""))</f>
        <v/>
      </c>
      <c r="F1841" s="10">
        <f>IF(C1841="","",IFERROR(INDEX(Levels!$C$2:$C$30,MATCH(C1841,Levels!$B$2:$B$30,0)),""))</f>
        <v/>
      </c>
      <c r="G1841" s="6" t="n"/>
      <c r="H1841" s="10">
        <f>IF(AND(B1841="",C1841=""),"",IF(G1841&lt;&gt;"","Void",IF(OR(B1841="",E1841=""),"Needs child",IF(D1841="","Needs level","OK"))))</f>
        <v/>
      </c>
    </row>
    <row r="1842">
      <c r="A1842" s="6" t="n"/>
      <c r="B1842" s="6" t="n"/>
      <c r="C1842" s="6" t="n"/>
      <c r="D1842" s="11">
        <f>IF(C1842="","",IFERROR(INDEX(Levels!$A$2:$A$30,MATCH(C1842,Levels!$B$2:$B$30,0)),""))</f>
        <v/>
      </c>
      <c r="E1842" s="10">
        <f>IF(B1842="","",IFERROR(INDEX(Roster!$A$2:$A$600,MATCH(B1842,Roster!$E$2:$E$600,0)),""))</f>
        <v/>
      </c>
      <c r="F1842" s="10">
        <f>IF(C1842="","",IFERROR(INDEX(Levels!$C$2:$C$30,MATCH(C1842,Levels!$B$2:$B$30,0)),""))</f>
        <v/>
      </c>
      <c r="G1842" s="6" t="n"/>
      <c r="H1842" s="10">
        <f>IF(AND(B1842="",C1842=""),"",IF(G1842&lt;&gt;"","Void",IF(OR(B1842="",E1842=""),"Needs child",IF(D1842="","Needs level","OK"))))</f>
        <v/>
      </c>
    </row>
    <row r="1843">
      <c r="A1843" s="6" t="n"/>
      <c r="B1843" s="6" t="n"/>
      <c r="C1843" s="6" t="n"/>
      <c r="D1843" s="11">
        <f>IF(C1843="","",IFERROR(INDEX(Levels!$A$2:$A$30,MATCH(C1843,Levels!$B$2:$B$30,0)),""))</f>
        <v/>
      </c>
      <c r="E1843" s="10">
        <f>IF(B1843="","",IFERROR(INDEX(Roster!$A$2:$A$600,MATCH(B1843,Roster!$E$2:$E$600,0)),""))</f>
        <v/>
      </c>
      <c r="F1843" s="10">
        <f>IF(C1843="","",IFERROR(INDEX(Levels!$C$2:$C$30,MATCH(C1843,Levels!$B$2:$B$30,0)),""))</f>
        <v/>
      </c>
      <c r="G1843" s="6" t="n"/>
      <c r="H1843" s="10">
        <f>IF(AND(B1843="",C1843=""),"",IF(G1843&lt;&gt;"","Void",IF(OR(B1843="",E1843=""),"Needs child",IF(D1843="","Needs level","OK"))))</f>
        <v/>
      </c>
    </row>
    <row r="1844">
      <c r="A1844" s="6" t="n"/>
      <c r="B1844" s="6" t="n"/>
      <c r="C1844" s="6" t="n"/>
      <c r="D1844" s="11">
        <f>IF(C1844="","",IFERROR(INDEX(Levels!$A$2:$A$30,MATCH(C1844,Levels!$B$2:$B$30,0)),""))</f>
        <v/>
      </c>
      <c r="E1844" s="10">
        <f>IF(B1844="","",IFERROR(INDEX(Roster!$A$2:$A$600,MATCH(B1844,Roster!$E$2:$E$600,0)),""))</f>
        <v/>
      </c>
      <c r="F1844" s="10">
        <f>IF(C1844="","",IFERROR(INDEX(Levels!$C$2:$C$30,MATCH(C1844,Levels!$B$2:$B$30,0)),""))</f>
        <v/>
      </c>
      <c r="G1844" s="6" t="n"/>
      <c r="H1844" s="10">
        <f>IF(AND(B1844="",C1844=""),"",IF(G1844&lt;&gt;"","Void",IF(OR(B1844="",E1844=""),"Needs child",IF(D1844="","Needs level","OK"))))</f>
        <v/>
      </c>
    </row>
    <row r="1845">
      <c r="A1845" s="6" t="n"/>
      <c r="B1845" s="6" t="n"/>
      <c r="C1845" s="6" t="n"/>
      <c r="D1845" s="11">
        <f>IF(C1845="","",IFERROR(INDEX(Levels!$A$2:$A$30,MATCH(C1845,Levels!$B$2:$B$30,0)),""))</f>
        <v/>
      </c>
      <c r="E1845" s="10">
        <f>IF(B1845="","",IFERROR(INDEX(Roster!$A$2:$A$600,MATCH(B1845,Roster!$E$2:$E$600,0)),""))</f>
        <v/>
      </c>
      <c r="F1845" s="10">
        <f>IF(C1845="","",IFERROR(INDEX(Levels!$C$2:$C$30,MATCH(C1845,Levels!$B$2:$B$30,0)),""))</f>
        <v/>
      </c>
      <c r="G1845" s="6" t="n"/>
      <c r="H1845" s="10">
        <f>IF(AND(B1845="",C1845=""),"",IF(G1845&lt;&gt;"","Void",IF(OR(B1845="",E1845=""),"Needs child",IF(D1845="","Needs level","OK"))))</f>
        <v/>
      </c>
    </row>
    <row r="1846">
      <c r="A1846" s="6" t="n"/>
      <c r="B1846" s="6" t="n"/>
      <c r="C1846" s="6" t="n"/>
      <c r="D1846" s="11">
        <f>IF(C1846="","",IFERROR(INDEX(Levels!$A$2:$A$30,MATCH(C1846,Levels!$B$2:$B$30,0)),""))</f>
        <v/>
      </c>
      <c r="E1846" s="10">
        <f>IF(B1846="","",IFERROR(INDEX(Roster!$A$2:$A$600,MATCH(B1846,Roster!$E$2:$E$600,0)),""))</f>
        <v/>
      </c>
      <c r="F1846" s="10">
        <f>IF(C1846="","",IFERROR(INDEX(Levels!$C$2:$C$30,MATCH(C1846,Levels!$B$2:$B$30,0)),""))</f>
        <v/>
      </c>
      <c r="G1846" s="6" t="n"/>
      <c r="H1846" s="10">
        <f>IF(AND(B1846="",C1846=""),"",IF(G1846&lt;&gt;"","Void",IF(OR(B1846="",E1846=""),"Needs child",IF(D1846="","Needs level","OK"))))</f>
        <v/>
      </c>
    </row>
    <row r="1847">
      <c r="A1847" s="6" t="n"/>
      <c r="B1847" s="6" t="n"/>
      <c r="C1847" s="6" t="n"/>
      <c r="D1847" s="11">
        <f>IF(C1847="","",IFERROR(INDEX(Levels!$A$2:$A$30,MATCH(C1847,Levels!$B$2:$B$30,0)),""))</f>
        <v/>
      </c>
      <c r="E1847" s="10">
        <f>IF(B1847="","",IFERROR(INDEX(Roster!$A$2:$A$600,MATCH(B1847,Roster!$E$2:$E$600,0)),""))</f>
        <v/>
      </c>
      <c r="F1847" s="10">
        <f>IF(C1847="","",IFERROR(INDEX(Levels!$C$2:$C$30,MATCH(C1847,Levels!$B$2:$B$30,0)),""))</f>
        <v/>
      </c>
      <c r="G1847" s="6" t="n"/>
      <c r="H1847" s="10">
        <f>IF(AND(B1847="",C1847=""),"",IF(G1847&lt;&gt;"","Void",IF(OR(B1847="",E1847=""),"Needs child",IF(D1847="","Needs level","OK"))))</f>
        <v/>
      </c>
    </row>
    <row r="1848">
      <c r="A1848" s="6" t="n"/>
      <c r="B1848" s="6" t="n"/>
      <c r="C1848" s="6" t="n"/>
      <c r="D1848" s="11">
        <f>IF(C1848="","",IFERROR(INDEX(Levels!$A$2:$A$30,MATCH(C1848,Levels!$B$2:$B$30,0)),""))</f>
        <v/>
      </c>
      <c r="E1848" s="10">
        <f>IF(B1848="","",IFERROR(INDEX(Roster!$A$2:$A$600,MATCH(B1848,Roster!$E$2:$E$600,0)),""))</f>
        <v/>
      </c>
      <c r="F1848" s="10">
        <f>IF(C1848="","",IFERROR(INDEX(Levels!$C$2:$C$30,MATCH(C1848,Levels!$B$2:$B$30,0)),""))</f>
        <v/>
      </c>
      <c r="G1848" s="6" t="n"/>
      <c r="H1848" s="10">
        <f>IF(AND(B1848="",C1848=""),"",IF(G1848&lt;&gt;"","Void",IF(OR(B1848="",E1848=""),"Needs child",IF(D1848="","Needs level","OK"))))</f>
        <v/>
      </c>
    </row>
    <row r="1849">
      <c r="A1849" s="6" t="n"/>
      <c r="B1849" s="6" t="n"/>
      <c r="C1849" s="6" t="n"/>
      <c r="D1849" s="11">
        <f>IF(C1849="","",IFERROR(INDEX(Levels!$A$2:$A$30,MATCH(C1849,Levels!$B$2:$B$30,0)),""))</f>
        <v/>
      </c>
      <c r="E1849" s="10">
        <f>IF(B1849="","",IFERROR(INDEX(Roster!$A$2:$A$600,MATCH(B1849,Roster!$E$2:$E$600,0)),""))</f>
        <v/>
      </c>
      <c r="F1849" s="10">
        <f>IF(C1849="","",IFERROR(INDEX(Levels!$C$2:$C$30,MATCH(C1849,Levels!$B$2:$B$30,0)),""))</f>
        <v/>
      </c>
      <c r="G1849" s="6" t="n"/>
      <c r="H1849" s="10">
        <f>IF(AND(B1849="",C1849=""),"",IF(G1849&lt;&gt;"","Void",IF(OR(B1849="",E1849=""),"Needs child",IF(D1849="","Needs level","OK"))))</f>
        <v/>
      </c>
    </row>
    <row r="1850">
      <c r="A1850" s="6" t="n"/>
      <c r="B1850" s="6" t="n"/>
      <c r="C1850" s="6" t="n"/>
      <c r="D1850" s="11">
        <f>IF(C1850="","",IFERROR(INDEX(Levels!$A$2:$A$30,MATCH(C1850,Levels!$B$2:$B$30,0)),""))</f>
        <v/>
      </c>
      <c r="E1850" s="10">
        <f>IF(B1850="","",IFERROR(INDEX(Roster!$A$2:$A$600,MATCH(B1850,Roster!$E$2:$E$600,0)),""))</f>
        <v/>
      </c>
      <c r="F1850" s="10">
        <f>IF(C1850="","",IFERROR(INDEX(Levels!$C$2:$C$30,MATCH(C1850,Levels!$B$2:$B$30,0)),""))</f>
        <v/>
      </c>
      <c r="G1850" s="6" t="n"/>
      <c r="H1850" s="10">
        <f>IF(AND(B1850="",C1850=""),"",IF(G1850&lt;&gt;"","Void",IF(OR(B1850="",E1850=""),"Needs child",IF(D1850="","Needs level","OK"))))</f>
        <v/>
      </c>
    </row>
    <row r="1851">
      <c r="A1851" s="6" t="n"/>
      <c r="B1851" s="6" t="n"/>
      <c r="C1851" s="6" t="n"/>
      <c r="D1851" s="11">
        <f>IF(C1851="","",IFERROR(INDEX(Levels!$A$2:$A$30,MATCH(C1851,Levels!$B$2:$B$30,0)),""))</f>
        <v/>
      </c>
      <c r="E1851" s="10">
        <f>IF(B1851="","",IFERROR(INDEX(Roster!$A$2:$A$600,MATCH(B1851,Roster!$E$2:$E$600,0)),""))</f>
        <v/>
      </c>
      <c r="F1851" s="10">
        <f>IF(C1851="","",IFERROR(INDEX(Levels!$C$2:$C$30,MATCH(C1851,Levels!$B$2:$B$30,0)),""))</f>
        <v/>
      </c>
      <c r="G1851" s="6" t="n"/>
      <c r="H1851" s="10">
        <f>IF(AND(B1851="",C1851=""),"",IF(G1851&lt;&gt;"","Void",IF(OR(B1851="",E1851=""),"Needs child",IF(D1851="","Needs level","OK"))))</f>
        <v/>
      </c>
    </row>
    <row r="1852">
      <c r="A1852" s="6" t="n"/>
      <c r="B1852" s="6" t="n"/>
      <c r="C1852" s="6" t="n"/>
      <c r="D1852" s="11">
        <f>IF(C1852="","",IFERROR(INDEX(Levels!$A$2:$A$30,MATCH(C1852,Levels!$B$2:$B$30,0)),""))</f>
        <v/>
      </c>
      <c r="E1852" s="10">
        <f>IF(B1852="","",IFERROR(INDEX(Roster!$A$2:$A$600,MATCH(B1852,Roster!$E$2:$E$600,0)),""))</f>
        <v/>
      </c>
      <c r="F1852" s="10">
        <f>IF(C1852="","",IFERROR(INDEX(Levels!$C$2:$C$30,MATCH(C1852,Levels!$B$2:$B$30,0)),""))</f>
        <v/>
      </c>
      <c r="G1852" s="6" t="n"/>
      <c r="H1852" s="10">
        <f>IF(AND(B1852="",C1852=""),"",IF(G1852&lt;&gt;"","Void",IF(OR(B1852="",E1852=""),"Needs child",IF(D1852="","Needs level","OK"))))</f>
        <v/>
      </c>
    </row>
    <row r="1853">
      <c r="A1853" s="6" t="n"/>
      <c r="B1853" s="6" t="n"/>
      <c r="C1853" s="6" t="n"/>
      <c r="D1853" s="11">
        <f>IF(C1853="","",IFERROR(INDEX(Levels!$A$2:$A$30,MATCH(C1853,Levels!$B$2:$B$30,0)),""))</f>
        <v/>
      </c>
      <c r="E1853" s="10">
        <f>IF(B1853="","",IFERROR(INDEX(Roster!$A$2:$A$600,MATCH(B1853,Roster!$E$2:$E$600,0)),""))</f>
        <v/>
      </c>
      <c r="F1853" s="10">
        <f>IF(C1853="","",IFERROR(INDEX(Levels!$C$2:$C$30,MATCH(C1853,Levels!$B$2:$B$30,0)),""))</f>
        <v/>
      </c>
      <c r="G1853" s="6" t="n"/>
      <c r="H1853" s="10">
        <f>IF(AND(B1853="",C1853=""),"",IF(G1853&lt;&gt;"","Void",IF(OR(B1853="",E1853=""),"Needs child",IF(D1853="","Needs level","OK"))))</f>
        <v/>
      </c>
    </row>
    <row r="1854">
      <c r="A1854" s="6" t="n"/>
      <c r="B1854" s="6" t="n"/>
      <c r="C1854" s="6" t="n"/>
      <c r="D1854" s="11">
        <f>IF(C1854="","",IFERROR(INDEX(Levels!$A$2:$A$30,MATCH(C1854,Levels!$B$2:$B$30,0)),""))</f>
        <v/>
      </c>
      <c r="E1854" s="10">
        <f>IF(B1854="","",IFERROR(INDEX(Roster!$A$2:$A$600,MATCH(B1854,Roster!$E$2:$E$600,0)),""))</f>
        <v/>
      </c>
      <c r="F1854" s="10">
        <f>IF(C1854="","",IFERROR(INDEX(Levels!$C$2:$C$30,MATCH(C1854,Levels!$B$2:$B$30,0)),""))</f>
        <v/>
      </c>
      <c r="G1854" s="6" t="n"/>
      <c r="H1854" s="10">
        <f>IF(AND(B1854="",C1854=""),"",IF(G1854&lt;&gt;"","Void",IF(OR(B1854="",E1854=""),"Needs child",IF(D1854="","Needs level","OK"))))</f>
        <v/>
      </c>
    </row>
    <row r="1855">
      <c r="A1855" s="6" t="n"/>
      <c r="B1855" s="6" t="n"/>
      <c r="C1855" s="6" t="n"/>
      <c r="D1855" s="11">
        <f>IF(C1855="","",IFERROR(INDEX(Levels!$A$2:$A$30,MATCH(C1855,Levels!$B$2:$B$30,0)),""))</f>
        <v/>
      </c>
      <c r="E1855" s="10">
        <f>IF(B1855="","",IFERROR(INDEX(Roster!$A$2:$A$600,MATCH(B1855,Roster!$E$2:$E$600,0)),""))</f>
        <v/>
      </c>
      <c r="F1855" s="10">
        <f>IF(C1855="","",IFERROR(INDEX(Levels!$C$2:$C$30,MATCH(C1855,Levels!$B$2:$B$30,0)),""))</f>
        <v/>
      </c>
      <c r="G1855" s="6" t="n"/>
      <c r="H1855" s="10">
        <f>IF(AND(B1855="",C1855=""),"",IF(G1855&lt;&gt;"","Void",IF(OR(B1855="",E1855=""),"Needs child",IF(D1855="","Needs level","OK"))))</f>
        <v/>
      </c>
    </row>
    <row r="1856">
      <c r="A1856" s="6" t="n"/>
      <c r="B1856" s="6" t="n"/>
      <c r="C1856" s="6" t="n"/>
      <c r="D1856" s="11">
        <f>IF(C1856="","",IFERROR(INDEX(Levels!$A$2:$A$30,MATCH(C1856,Levels!$B$2:$B$30,0)),""))</f>
        <v/>
      </c>
      <c r="E1856" s="10">
        <f>IF(B1856="","",IFERROR(INDEX(Roster!$A$2:$A$600,MATCH(B1856,Roster!$E$2:$E$600,0)),""))</f>
        <v/>
      </c>
      <c r="F1856" s="10">
        <f>IF(C1856="","",IFERROR(INDEX(Levels!$C$2:$C$30,MATCH(C1856,Levels!$B$2:$B$30,0)),""))</f>
        <v/>
      </c>
      <c r="G1856" s="6" t="n"/>
      <c r="H1856" s="10">
        <f>IF(AND(B1856="",C1856=""),"",IF(G1856&lt;&gt;"","Void",IF(OR(B1856="",E1856=""),"Needs child",IF(D1856="","Needs level","OK"))))</f>
        <v/>
      </c>
    </row>
    <row r="1857">
      <c r="A1857" s="6" t="n"/>
      <c r="B1857" s="6" t="n"/>
      <c r="C1857" s="6" t="n"/>
      <c r="D1857" s="11">
        <f>IF(C1857="","",IFERROR(INDEX(Levels!$A$2:$A$30,MATCH(C1857,Levels!$B$2:$B$30,0)),""))</f>
        <v/>
      </c>
      <c r="E1857" s="10">
        <f>IF(B1857="","",IFERROR(INDEX(Roster!$A$2:$A$600,MATCH(B1857,Roster!$E$2:$E$600,0)),""))</f>
        <v/>
      </c>
      <c r="F1857" s="10">
        <f>IF(C1857="","",IFERROR(INDEX(Levels!$C$2:$C$30,MATCH(C1857,Levels!$B$2:$B$30,0)),""))</f>
        <v/>
      </c>
      <c r="G1857" s="6" t="n"/>
      <c r="H1857" s="10">
        <f>IF(AND(B1857="",C1857=""),"",IF(G1857&lt;&gt;"","Void",IF(OR(B1857="",E1857=""),"Needs child",IF(D1857="","Needs level","OK"))))</f>
        <v/>
      </c>
    </row>
    <row r="1858">
      <c r="A1858" s="6" t="n"/>
      <c r="B1858" s="6" t="n"/>
      <c r="C1858" s="6" t="n"/>
      <c r="D1858" s="11">
        <f>IF(C1858="","",IFERROR(INDEX(Levels!$A$2:$A$30,MATCH(C1858,Levels!$B$2:$B$30,0)),""))</f>
        <v/>
      </c>
      <c r="E1858" s="10">
        <f>IF(B1858="","",IFERROR(INDEX(Roster!$A$2:$A$600,MATCH(B1858,Roster!$E$2:$E$600,0)),""))</f>
        <v/>
      </c>
      <c r="F1858" s="10">
        <f>IF(C1858="","",IFERROR(INDEX(Levels!$C$2:$C$30,MATCH(C1858,Levels!$B$2:$B$30,0)),""))</f>
        <v/>
      </c>
      <c r="G1858" s="6" t="n"/>
      <c r="H1858" s="10">
        <f>IF(AND(B1858="",C1858=""),"",IF(G1858&lt;&gt;"","Void",IF(OR(B1858="",E1858=""),"Needs child",IF(D1858="","Needs level","OK"))))</f>
        <v/>
      </c>
    </row>
    <row r="1859">
      <c r="A1859" s="6" t="n"/>
      <c r="B1859" s="6" t="n"/>
      <c r="C1859" s="6" t="n"/>
      <c r="D1859" s="11">
        <f>IF(C1859="","",IFERROR(INDEX(Levels!$A$2:$A$30,MATCH(C1859,Levels!$B$2:$B$30,0)),""))</f>
        <v/>
      </c>
      <c r="E1859" s="10">
        <f>IF(B1859="","",IFERROR(INDEX(Roster!$A$2:$A$600,MATCH(B1859,Roster!$E$2:$E$600,0)),""))</f>
        <v/>
      </c>
      <c r="F1859" s="10">
        <f>IF(C1859="","",IFERROR(INDEX(Levels!$C$2:$C$30,MATCH(C1859,Levels!$B$2:$B$30,0)),""))</f>
        <v/>
      </c>
      <c r="G1859" s="6" t="n"/>
      <c r="H1859" s="10">
        <f>IF(AND(B1859="",C1859=""),"",IF(G1859&lt;&gt;"","Void",IF(OR(B1859="",E1859=""),"Needs child",IF(D1859="","Needs level","OK"))))</f>
        <v/>
      </c>
    </row>
    <row r="1860">
      <c r="A1860" s="6" t="n"/>
      <c r="B1860" s="6" t="n"/>
      <c r="C1860" s="6" t="n"/>
      <c r="D1860" s="11">
        <f>IF(C1860="","",IFERROR(INDEX(Levels!$A$2:$A$30,MATCH(C1860,Levels!$B$2:$B$30,0)),""))</f>
        <v/>
      </c>
      <c r="E1860" s="10">
        <f>IF(B1860="","",IFERROR(INDEX(Roster!$A$2:$A$600,MATCH(B1860,Roster!$E$2:$E$600,0)),""))</f>
        <v/>
      </c>
      <c r="F1860" s="10">
        <f>IF(C1860="","",IFERROR(INDEX(Levels!$C$2:$C$30,MATCH(C1860,Levels!$B$2:$B$30,0)),""))</f>
        <v/>
      </c>
      <c r="G1860" s="6" t="n"/>
      <c r="H1860" s="10">
        <f>IF(AND(B1860="",C1860=""),"",IF(G1860&lt;&gt;"","Void",IF(OR(B1860="",E1860=""),"Needs child",IF(D1860="","Needs level","OK"))))</f>
        <v/>
      </c>
    </row>
    <row r="1861">
      <c r="A1861" s="6" t="n"/>
      <c r="B1861" s="6" t="n"/>
      <c r="C1861" s="6" t="n"/>
      <c r="D1861" s="11">
        <f>IF(C1861="","",IFERROR(INDEX(Levels!$A$2:$A$30,MATCH(C1861,Levels!$B$2:$B$30,0)),""))</f>
        <v/>
      </c>
      <c r="E1861" s="10">
        <f>IF(B1861="","",IFERROR(INDEX(Roster!$A$2:$A$600,MATCH(B1861,Roster!$E$2:$E$600,0)),""))</f>
        <v/>
      </c>
      <c r="F1861" s="10">
        <f>IF(C1861="","",IFERROR(INDEX(Levels!$C$2:$C$30,MATCH(C1861,Levels!$B$2:$B$30,0)),""))</f>
        <v/>
      </c>
      <c r="G1861" s="6" t="n"/>
      <c r="H1861" s="10">
        <f>IF(AND(B1861="",C1861=""),"",IF(G1861&lt;&gt;"","Void",IF(OR(B1861="",E1861=""),"Needs child",IF(D1861="","Needs level","OK"))))</f>
        <v/>
      </c>
    </row>
    <row r="1862">
      <c r="A1862" s="6" t="n"/>
      <c r="B1862" s="6" t="n"/>
      <c r="C1862" s="6" t="n"/>
      <c r="D1862" s="11">
        <f>IF(C1862="","",IFERROR(INDEX(Levels!$A$2:$A$30,MATCH(C1862,Levels!$B$2:$B$30,0)),""))</f>
        <v/>
      </c>
      <c r="E1862" s="10">
        <f>IF(B1862="","",IFERROR(INDEX(Roster!$A$2:$A$600,MATCH(B1862,Roster!$E$2:$E$600,0)),""))</f>
        <v/>
      </c>
      <c r="F1862" s="10">
        <f>IF(C1862="","",IFERROR(INDEX(Levels!$C$2:$C$30,MATCH(C1862,Levels!$B$2:$B$30,0)),""))</f>
        <v/>
      </c>
      <c r="G1862" s="6" t="n"/>
      <c r="H1862" s="10">
        <f>IF(AND(B1862="",C1862=""),"",IF(G1862&lt;&gt;"","Void",IF(OR(B1862="",E1862=""),"Needs child",IF(D1862="","Needs level","OK"))))</f>
        <v/>
      </c>
    </row>
    <row r="1863">
      <c r="A1863" s="6" t="n"/>
      <c r="B1863" s="6" t="n"/>
      <c r="C1863" s="6" t="n"/>
      <c r="D1863" s="11">
        <f>IF(C1863="","",IFERROR(INDEX(Levels!$A$2:$A$30,MATCH(C1863,Levels!$B$2:$B$30,0)),""))</f>
        <v/>
      </c>
      <c r="E1863" s="10">
        <f>IF(B1863="","",IFERROR(INDEX(Roster!$A$2:$A$600,MATCH(B1863,Roster!$E$2:$E$600,0)),""))</f>
        <v/>
      </c>
      <c r="F1863" s="10">
        <f>IF(C1863="","",IFERROR(INDEX(Levels!$C$2:$C$30,MATCH(C1863,Levels!$B$2:$B$30,0)),""))</f>
        <v/>
      </c>
      <c r="G1863" s="6" t="n"/>
      <c r="H1863" s="10">
        <f>IF(AND(B1863="",C1863=""),"",IF(G1863&lt;&gt;"","Void",IF(OR(B1863="",E1863=""),"Needs child",IF(D1863="","Needs level","OK"))))</f>
        <v/>
      </c>
    </row>
    <row r="1864">
      <c r="A1864" s="6" t="n"/>
      <c r="B1864" s="6" t="n"/>
      <c r="C1864" s="6" t="n"/>
      <c r="D1864" s="11">
        <f>IF(C1864="","",IFERROR(INDEX(Levels!$A$2:$A$30,MATCH(C1864,Levels!$B$2:$B$30,0)),""))</f>
        <v/>
      </c>
      <c r="E1864" s="10">
        <f>IF(B1864="","",IFERROR(INDEX(Roster!$A$2:$A$600,MATCH(B1864,Roster!$E$2:$E$600,0)),""))</f>
        <v/>
      </c>
      <c r="F1864" s="10">
        <f>IF(C1864="","",IFERROR(INDEX(Levels!$C$2:$C$30,MATCH(C1864,Levels!$B$2:$B$30,0)),""))</f>
        <v/>
      </c>
      <c r="G1864" s="6" t="n"/>
      <c r="H1864" s="10">
        <f>IF(AND(B1864="",C1864=""),"",IF(G1864&lt;&gt;"","Void",IF(OR(B1864="",E1864=""),"Needs child",IF(D1864="","Needs level","OK"))))</f>
        <v/>
      </c>
    </row>
    <row r="1865">
      <c r="A1865" s="6" t="n"/>
      <c r="B1865" s="6" t="n"/>
      <c r="C1865" s="6" t="n"/>
      <c r="D1865" s="11">
        <f>IF(C1865="","",IFERROR(INDEX(Levels!$A$2:$A$30,MATCH(C1865,Levels!$B$2:$B$30,0)),""))</f>
        <v/>
      </c>
      <c r="E1865" s="10">
        <f>IF(B1865="","",IFERROR(INDEX(Roster!$A$2:$A$600,MATCH(B1865,Roster!$E$2:$E$600,0)),""))</f>
        <v/>
      </c>
      <c r="F1865" s="10">
        <f>IF(C1865="","",IFERROR(INDEX(Levels!$C$2:$C$30,MATCH(C1865,Levels!$B$2:$B$30,0)),""))</f>
        <v/>
      </c>
      <c r="G1865" s="6" t="n"/>
      <c r="H1865" s="10">
        <f>IF(AND(B1865="",C1865=""),"",IF(G1865&lt;&gt;"","Void",IF(OR(B1865="",E1865=""),"Needs child",IF(D1865="","Needs level","OK"))))</f>
        <v/>
      </c>
    </row>
    <row r="1866">
      <c r="A1866" s="6" t="n"/>
      <c r="B1866" s="6" t="n"/>
      <c r="C1866" s="6" t="n"/>
      <c r="D1866" s="11">
        <f>IF(C1866="","",IFERROR(INDEX(Levels!$A$2:$A$30,MATCH(C1866,Levels!$B$2:$B$30,0)),""))</f>
        <v/>
      </c>
      <c r="E1866" s="10">
        <f>IF(B1866="","",IFERROR(INDEX(Roster!$A$2:$A$600,MATCH(B1866,Roster!$E$2:$E$600,0)),""))</f>
        <v/>
      </c>
      <c r="F1866" s="10">
        <f>IF(C1866="","",IFERROR(INDEX(Levels!$C$2:$C$30,MATCH(C1866,Levels!$B$2:$B$30,0)),""))</f>
        <v/>
      </c>
      <c r="G1866" s="6" t="n"/>
      <c r="H1866" s="10">
        <f>IF(AND(B1866="",C1866=""),"",IF(G1866&lt;&gt;"","Void",IF(OR(B1866="",E1866=""),"Needs child",IF(D1866="","Needs level","OK"))))</f>
        <v/>
      </c>
    </row>
    <row r="1867">
      <c r="A1867" s="6" t="n"/>
      <c r="B1867" s="6" t="n"/>
      <c r="C1867" s="6" t="n"/>
      <c r="D1867" s="11">
        <f>IF(C1867="","",IFERROR(INDEX(Levels!$A$2:$A$30,MATCH(C1867,Levels!$B$2:$B$30,0)),""))</f>
        <v/>
      </c>
      <c r="E1867" s="10">
        <f>IF(B1867="","",IFERROR(INDEX(Roster!$A$2:$A$600,MATCH(B1867,Roster!$E$2:$E$600,0)),""))</f>
        <v/>
      </c>
      <c r="F1867" s="10">
        <f>IF(C1867="","",IFERROR(INDEX(Levels!$C$2:$C$30,MATCH(C1867,Levels!$B$2:$B$30,0)),""))</f>
        <v/>
      </c>
      <c r="G1867" s="6" t="n"/>
      <c r="H1867" s="10">
        <f>IF(AND(B1867="",C1867=""),"",IF(G1867&lt;&gt;"","Void",IF(OR(B1867="",E1867=""),"Needs child",IF(D1867="","Needs level","OK"))))</f>
        <v/>
      </c>
    </row>
    <row r="1868">
      <c r="A1868" s="6" t="n"/>
      <c r="B1868" s="6" t="n"/>
      <c r="C1868" s="6" t="n"/>
      <c r="D1868" s="11">
        <f>IF(C1868="","",IFERROR(INDEX(Levels!$A$2:$A$30,MATCH(C1868,Levels!$B$2:$B$30,0)),""))</f>
        <v/>
      </c>
      <c r="E1868" s="10">
        <f>IF(B1868="","",IFERROR(INDEX(Roster!$A$2:$A$600,MATCH(B1868,Roster!$E$2:$E$600,0)),""))</f>
        <v/>
      </c>
      <c r="F1868" s="10">
        <f>IF(C1868="","",IFERROR(INDEX(Levels!$C$2:$C$30,MATCH(C1868,Levels!$B$2:$B$30,0)),""))</f>
        <v/>
      </c>
      <c r="G1868" s="6" t="n"/>
      <c r="H1868" s="10">
        <f>IF(AND(B1868="",C1868=""),"",IF(G1868&lt;&gt;"","Void",IF(OR(B1868="",E1868=""),"Needs child",IF(D1868="","Needs level","OK"))))</f>
        <v/>
      </c>
    </row>
    <row r="1869">
      <c r="A1869" s="6" t="n"/>
      <c r="B1869" s="6" t="n"/>
      <c r="C1869" s="6" t="n"/>
      <c r="D1869" s="11">
        <f>IF(C1869="","",IFERROR(INDEX(Levels!$A$2:$A$30,MATCH(C1869,Levels!$B$2:$B$30,0)),""))</f>
        <v/>
      </c>
      <c r="E1869" s="10">
        <f>IF(B1869="","",IFERROR(INDEX(Roster!$A$2:$A$600,MATCH(B1869,Roster!$E$2:$E$600,0)),""))</f>
        <v/>
      </c>
      <c r="F1869" s="10">
        <f>IF(C1869="","",IFERROR(INDEX(Levels!$C$2:$C$30,MATCH(C1869,Levels!$B$2:$B$30,0)),""))</f>
        <v/>
      </c>
      <c r="G1869" s="6" t="n"/>
      <c r="H1869" s="10">
        <f>IF(AND(B1869="",C1869=""),"",IF(G1869&lt;&gt;"","Void",IF(OR(B1869="",E1869=""),"Needs child",IF(D1869="","Needs level","OK"))))</f>
        <v/>
      </c>
    </row>
    <row r="1870">
      <c r="A1870" s="6" t="n"/>
      <c r="B1870" s="6" t="n"/>
      <c r="C1870" s="6" t="n"/>
      <c r="D1870" s="11">
        <f>IF(C1870="","",IFERROR(INDEX(Levels!$A$2:$A$30,MATCH(C1870,Levels!$B$2:$B$30,0)),""))</f>
        <v/>
      </c>
      <c r="E1870" s="10">
        <f>IF(B1870="","",IFERROR(INDEX(Roster!$A$2:$A$600,MATCH(B1870,Roster!$E$2:$E$600,0)),""))</f>
        <v/>
      </c>
      <c r="F1870" s="10">
        <f>IF(C1870="","",IFERROR(INDEX(Levels!$C$2:$C$30,MATCH(C1870,Levels!$B$2:$B$30,0)),""))</f>
        <v/>
      </c>
      <c r="G1870" s="6" t="n"/>
      <c r="H1870" s="10">
        <f>IF(AND(B1870="",C1870=""),"",IF(G1870&lt;&gt;"","Void",IF(OR(B1870="",E1870=""),"Needs child",IF(D1870="","Needs level","OK"))))</f>
        <v/>
      </c>
    </row>
    <row r="1871">
      <c r="A1871" s="6" t="n"/>
      <c r="B1871" s="6" t="n"/>
      <c r="C1871" s="6" t="n"/>
      <c r="D1871" s="11">
        <f>IF(C1871="","",IFERROR(INDEX(Levels!$A$2:$A$30,MATCH(C1871,Levels!$B$2:$B$30,0)),""))</f>
        <v/>
      </c>
      <c r="E1871" s="10">
        <f>IF(B1871="","",IFERROR(INDEX(Roster!$A$2:$A$600,MATCH(B1871,Roster!$E$2:$E$600,0)),""))</f>
        <v/>
      </c>
      <c r="F1871" s="10">
        <f>IF(C1871="","",IFERROR(INDEX(Levels!$C$2:$C$30,MATCH(C1871,Levels!$B$2:$B$30,0)),""))</f>
        <v/>
      </c>
      <c r="G1871" s="6" t="n"/>
      <c r="H1871" s="10">
        <f>IF(AND(B1871="",C1871=""),"",IF(G1871&lt;&gt;"","Void",IF(OR(B1871="",E1871=""),"Needs child",IF(D1871="","Needs level","OK"))))</f>
        <v/>
      </c>
    </row>
    <row r="1872">
      <c r="A1872" s="6" t="n"/>
      <c r="B1872" s="6" t="n"/>
      <c r="C1872" s="6" t="n"/>
      <c r="D1872" s="11">
        <f>IF(C1872="","",IFERROR(INDEX(Levels!$A$2:$A$30,MATCH(C1872,Levels!$B$2:$B$30,0)),""))</f>
        <v/>
      </c>
      <c r="E1872" s="10">
        <f>IF(B1872="","",IFERROR(INDEX(Roster!$A$2:$A$600,MATCH(B1872,Roster!$E$2:$E$600,0)),""))</f>
        <v/>
      </c>
      <c r="F1872" s="10">
        <f>IF(C1872="","",IFERROR(INDEX(Levels!$C$2:$C$30,MATCH(C1872,Levels!$B$2:$B$30,0)),""))</f>
        <v/>
      </c>
      <c r="G1872" s="6" t="n"/>
      <c r="H1872" s="10">
        <f>IF(AND(B1872="",C1872=""),"",IF(G1872&lt;&gt;"","Void",IF(OR(B1872="",E1872=""),"Needs child",IF(D1872="","Needs level","OK"))))</f>
        <v/>
      </c>
    </row>
    <row r="1873">
      <c r="A1873" s="6" t="n"/>
      <c r="B1873" s="6" t="n"/>
      <c r="C1873" s="6" t="n"/>
      <c r="D1873" s="11">
        <f>IF(C1873="","",IFERROR(INDEX(Levels!$A$2:$A$30,MATCH(C1873,Levels!$B$2:$B$30,0)),""))</f>
        <v/>
      </c>
      <c r="E1873" s="10">
        <f>IF(B1873="","",IFERROR(INDEX(Roster!$A$2:$A$600,MATCH(B1873,Roster!$E$2:$E$600,0)),""))</f>
        <v/>
      </c>
      <c r="F1873" s="10">
        <f>IF(C1873="","",IFERROR(INDEX(Levels!$C$2:$C$30,MATCH(C1873,Levels!$B$2:$B$30,0)),""))</f>
        <v/>
      </c>
      <c r="G1873" s="6" t="n"/>
      <c r="H1873" s="10">
        <f>IF(AND(B1873="",C1873=""),"",IF(G1873&lt;&gt;"","Void",IF(OR(B1873="",E1873=""),"Needs child",IF(D1873="","Needs level","OK"))))</f>
        <v/>
      </c>
    </row>
    <row r="1874">
      <c r="A1874" s="6" t="n"/>
      <c r="B1874" s="6" t="n"/>
      <c r="C1874" s="6" t="n"/>
      <c r="D1874" s="11">
        <f>IF(C1874="","",IFERROR(INDEX(Levels!$A$2:$A$30,MATCH(C1874,Levels!$B$2:$B$30,0)),""))</f>
        <v/>
      </c>
      <c r="E1874" s="10">
        <f>IF(B1874="","",IFERROR(INDEX(Roster!$A$2:$A$600,MATCH(B1874,Roster!$E$2:$E$600,0)),""))</f>
        <v/>
      </c>
      <c r="F1874" s="10">
        <f>IF(C1874="","",IFERROR(INDEX(Levels!$C$2:$C$30,MATCH(C1874,Levels!$B$2:$B$30,0)),""))</f>
        <v/>
      </c>
      <c r="G1874" s="6" t="n"/>
      <c r="H1874" s="10">
        <f>IF(AND(B1874="",C1874=""),"",IF(G1874&lt;&gt;"","Void",IF(OR(B1874="",E1874=""),"Needs child",IF(D1874="","Needs level","OK"))))</f>
        <v/>
      </c>
    </row>
    <row r="1875">
      <c r="A1875" s="6" t="n"/>
      <c r="B1875" s="6" t="n"/>
      <c r="C1875" s="6" t="n"/>
      <c r="D1875" s="11">
        <f>IF(C1875="","",IFERROR(INDEX(Levels!$A$2:$A$30,MATCH(C1875,Levels!$B$2:$B$30,0)),""))</f>
        <v/>
      </c>
      <c r="E1875" s="10">
        <f>IF(B1875="","",IFERROR(INDEX(Roster!$A$2:$A$600,MATCH(B1875,Roster!$E$2:$E$600,0)),""))</f>
        <v/>
      </c>
      <c r="F1875" s="10">
        <f>IF(C1875="","",IFERROR(INDEX(Levels!$C$2:$C$30,MATCH(C1875,Levels!$B$2:$B$30,0)),""))</f>
        <v/>
      </c>
      <c r="G1875" s="6" t="n"/>
      <c r="H1875" s="10">
        <f>IF(AND(B1875="",C1875=""),"",IF(G1875&lt;&gt;"","Void",IF(OR(B1875="",E1875=""),"Needs child",IF(D1875="","Needs level","OK"))))</f>
        <v/>
      </c>
    </row>
    <row r="1876">
      <c r="A1876" s="6" t="n"/>
      <c r="B1876" s="6" t="n"/>
      <c r="C1876" s="6" t="n"/>
      <c r="D1876" s="11">
        <f>IF(C1876="","",IFERROR(INDEX(Levels!$A$2:$A$30,MATCH(C1876,Levels!$B$2:$B$30,0)),""))</f>
        <v/>
      </c>
      <c r="E1876" s="10">
        <f>IF(B1876="","",IFERROR(INDEX(Roster!$A$2:$A$600,MATCH(B1876,Roster!$E$2:$E$600,0)),""))</f>
        <v/>
      </c>
      <c r="F1876" s="10">
        <f>IF(C1876="","",IFERROR(INDEX(Levels!$C$2:$C$30,MATCH(C1876,Levels!$B$2:$B$30,0)),""))</f>
        <v/>
      </c>
      <c r="G1876" s="6" t="n"/>
      <c r="H1876" s="10">
        <f>IF(AND(B1876="",C1876=""),"",IF(G1876&lt;&gt;"","Void",IF(OR(B1876="",E1876=""),"Needs child",IF(D1876="","Needs level","OK"))))</f>
        <v/>
      </c>
    </row>
    <row r="1877">
      <c r="A1877" s="6" t="n"/>
      <c r="B1877" s="6" t="n"/>
      <c r="C1877" s="6" t="n"/>
      <c r="D1877" s="11">
        <f>IF(C1877="","",IFERROR(INDEX(Levels!$A$2:$A$30,MATCH(C1877,Levels!$B$2:$B$30,0)),""))</f>
        <v/>
      </c>
      <c r="E1877" s="10">
        <f>IF(B1877="","",IFERROR(INDEX(Roster!$A$2:$A$600,MATCH(B1877,Roster!$E$2:$E$600,0)),""))</f>
        <v/>
      </c>
      <c r="F1877" s="10">
        <f>IF(C1877="","",IFERROR(INDEX(Levels!$C$2:$C$30,MATCH(C1877,Levels!$B$2:$B$30,0)),""))</f>
        <v/>
      </c>
      <c r="G1877" s="6" t="n"/>
      <c r="H1877" s="10">
        <f>IF(AND(B1877="",C1877=""),"",IF(G1877&lt;&gt;"","Void",IF(OR(B1877="",E1877=""),"Needs child",IF(D1877="","Needs level","OK"))))</f>
        <v/>
      </c>
    </row>
    <row r="1878">
      <c r="A1878" s="6" t="n"/>
      <c r="B1878" s="6" t="n"/>
      <c r="C1878" s="6" t="n"/>
      <c r="D1878" s="11">
        <f>IF(C1878="","",IFERROR(INDEX(Levels!$A$2:$A$30,MATCH(C1878,Levels!$B$2:$B$30,0)),""))</f>
        <v/>
      </c>
      <c r="E1878" s="10">
        <f>IF(B1878="","",IFERROR(INDEX(Roster!$A$2:$A$600,MATCH(B1878,Roster!$E$2:$E$600,0)),""))</f>
        <v/>
      </c>
      <c r="F1878" s="10">
        <f>IF(C1878="","",IFERROR(INDEX(Levels!$C$2:$C$30,MATCH(C1878,Levels!$B$2:$B$30,0)),""))</f>
        <v/>
      </c>
      <c r="G1878" s="6" t="n"/>
      <c r="H1878" s="10">
        <f>IF(AND(B1878="",C1878=""),"",IF(G1878&lt;&gt;"","Void",IF(OR(B1878="",E1878=""),"Needs child",IF(D1878="","Needs level","OK"))))</f>
        <v/>
      </c>
    </row>
    <row r="1879">
      <c r="A1879" s="6" t="n"/>
      <c r="B1879" s="6" t="n"/>
      <c r="C1879" s="6" t="n"/>
      <c r="D1879" s="11">
        <f>IF(C1879="","",IFERROR(INDEX(Levels!$A$2:$A$30,MATCH(C1879,Levels!$B$2:$B$30,0)),""))</f>
        <v/>
      </c>
      <c r="E1879" s="10">
        <f>IF(B1879="","",IFERROR(INDEX(Roster!$A$2:$A$600,MATCH(B1879,Roster!$E$2:$E$600,0)),""))</f>
        <v/>
      </c>
      <c r="F1879" s="10">
        <f>IF(C1879="","",IFERROR(INDEX(Levels!$C$2:$C$30,MATCH(C1879,Levels!$B$2:$B$30,0)),""))</f>
        <v/>
      </c>
      <c r="G1879" s="6" t="n"/>
      <c r="H1879" s="10">
        <f>IF(AND(B1879="",C1879=""),"",IF(G1879&lt;&gt;"","Void",IF(OR(B1879="",E1879=""),"Needs child",IF(D1879="","Needs level","OK"))))</f>
        <v/>
      </c>
    </row>
    <row r="1880">
      <c r="A1880" s="6" t="n"/>
      <c r="B1880" s="6" t="n"/>
      <c r="C1880" s="6" t="n"/>
      <c r="D1880" s="11">
        <f>IF(C1880="","",IFERROR(INDEX(Levels!$A$2:$A$30,MATCH(C1880,Levels!$B$2:$B$30,0)),""))</f>
        <v/>
      </c>
      <c r="E1880" s="10">
        <f>IF(B1880="","",IFERROR(INDEX(Roster!$A$2:$A$600,MATCH(B1880,Roster!$E$2:$E$600,0)),""))</f>
        <v/>
      </c>
      <c r="F1880" s="10">
        <f>IF(C1880="","",IFERROR(INDEX(Levels!$C$2:$C$30,MATCH(C1880,Levels!$B$2:$B$30,0)),""))</f>
        <v/>
      </c>
      <c r="G1880" s="6" t="n"/>
      <c r="H1880" s="10">
        <f>IF(AND(B1880="",C1880=""),"",IF(G1880&lt;&gt;"","Void",IF(OR(B1880="",E1880=""),"Needs child",IF(D1880="","Needs level","OK"))))</f>
        <v/>
      </c>
    </row>
    <row r="1881">
      <c r="A1881" s="6" t="n"/>
      <c r="B1881" s="6" t="n"/>
      <c r="C1881" s="6" t="n"/>
      <c r="D1881" s="11">
        <f>IF(C1881="","",IFERROR(INDEX(Levels!$A$2:$A$30,MATCH(C1881,Levels!$B$2:$B$30,0)),""))</f>
        <v/>
      </c>
      <c r="E1881" s="10">
        <f>IF(B1881="","",IFERROR(INDEX(Roster!$A$2:$A$600,MATCH(B1881,Roster!$E$2:$E$600,0)),""))</f>
        <v/>
      </c>
      <c r="F1881" s="10">
        <f>IF(C1881="","",IFERROR(INDEX(Levels!$C$2:$C$30,MATCH(C1881,Levels!$B$2:$B$30,0)),""))</f>
        <v/>
      </c>
      <c r="G1881" s="6" t="n"/>
      <c r="H1881" s="10">
        <f>IF(AND(B1881="",C1881=""),"",IF(G1881&lt;&gt;"","Void",IF(OR(B1881="",E1881=""),"Needs child",IF(D1881="","Needs level","OK"))))</f>
        <v/>
      </c>
    </row>
    <row r="1882">
      <c r="A1882" s="6" t="n"/>
      <c r="B1882" s="6" t="n"/>
      <c r="C1882" s="6" t="n"/>
      <c r="D1882" s="11">
        <f>IF(C1882="","",IFERROR(INDEX(Levels!$A$2:$A$30,MATCH(C1882,Levels!$B$2:$B$30,0)),""))</f>
        <v/>
      </c>
      <c r="E1882" s="10">
        <f>IF(B1882="","",IFERROR(INDEX(Roster!$A$2:$A$600,MATCH(B1882,Roster!$E$2:$E$600,0)),""))</f>
        <v/>
      </c>
      <c r="F1882" s="10">
        <f>IF(C1882="","",IFERROR(INDEX(Levels!$C$2:$C$30,MATCH(C1882,Levels!$B$2:$B$30,0)),""))</f>
        <v/>
      </c>
      <c r="G1882" s="6" t="n"/>
      <c r="H1882" s="10">
        <f>IF(AND(B1882="",C1882=""),"",IF(G1882&lt;&gt;"","Void",IF(OR(B1882="",E1882=""),"Needs child",IF(D1882="","Needs level","OK"))))</f>
        <v/>
      </c>
    </row>
    <row r="1883">
      <c r="A1883" s="6" t="n"/>
      <c r="B1883" s="6" t="n"/>
      <c r="C1883" s="6" t="n"/>
      <c r="D1883" s="11">
        <f>IF(C1883="","",IFERROR(INDEX(Levels!$A$2:$A$30,MATCH(C1883,Levels!$B$2:$B$30,0)),""))</f>
        <v/>
      </c>
      <c r="E1883" s="10">
        <f>IF(B1883="","",IFERROR(INDEX(Roster!$A$2:$A$600,MATCH(B1883,Roster!$E$2:$E$600,0)),""))</f>
        <v/>
      </c>
      <c r="F1883" s="10">
        <f>IF(C1883="","",IFERROR(INDEX(Levels!$C$2:$C$30,MATCH(C1883,Levels!$B$2:$B$30,0)),""))</f>
        <v/>
      </c>
      <c r="G1883" s="6" t="n"/>
      <c r="H1883" s="10">
        <f>IF(AND(B1883="",C1883=""),"",IF(G1883&lt;&gt;"","Void",IF(OR(B1883="",E1883=""),"Needs child",IF(D1883="","Needs level","OK"))))</f>
        <v/>
      </c>
    </row>
    <row r="1884">
      <c r="A1884" s="6" t="n"/>
      <c r="B1884" s="6" t="n"/>
      <c r="C1884" s="6" t="n"/>
      <c r="D1884" s="11">
        <f>IF(C1884="","",IFERROR(INDEX(Levels!$A$2:$A$30,MATCH(C1884,Levels!$B$2:$B$30,0)),""))</f>
        <v/>
      </c>
      <c r="E1884" s="10">
        <f>IF(B1884="","",IFERROR(INDEX(Roster!$A$2:$A$600,MATCH(B1884,Roster!$E$2:$E$600,0)),""))</f>
        <v/>
      </c>
      <c r="F1884" s="10">
        <f>IF(C1884="","",IFERROR(INDEX(Levels!$C$2:$C$30,MATCH(C1884,Levels!$B$2:$B$30,0)),""))</f>
        <v/>
      </c>
      <c r="G1884" s="6" t="n"/>
      <c r="H1884" s="10">
        <f>IF(AND(B1884="",C1884=""),"",IF(G1884&lt;&gt;"","Void",IF(OR(B1884="",E1884=""),"Needs child",IF(D1884="","Needs level","OK"))))</f>
        <v/>
      </c>
    </row>
    <row r="1885">
      <c r="A1885" s="6" t="n"/>
      <c r="B1885" s="6" t="n"/>
      <c r="C1885" s="6" t="n"/>
      <c r="D1885" s="11">
        <f>IF(C1885="","",IFERROR(INDEX(Levels!$A$2:$A$30,MATCH(C1885,Levels!$B$2:$B$30,0)),""))</f>
        <v/>
      </c>
      <c r="E1885" s="10">
        <f>IF(B1885="","",IFERROR(INDEX(Roster!$A$2:$A$600,MATCH(B1885,Roster!$E$2:$E$600,0)),""))</f>
        <v/>
      </c>
      <c r="F1885" s="10">
        <f>IF(C1885="","",IFERROR(INDEX(Levels!$C$2:$C$30,MATCH(C1885,Levels!$B$2:$B$30,0)),""))</f>
        <v/>
      </c>
      <c r="G1885" s="6" t="n"/>
      <c r="H1885" s="10">
        <f>IF(AND(B1885="",C1885=""),"",IF(G1885&lt;&gt;"","Void",IF(OR(B1885="",E1885=""),"Needs child",IF(D1885="","Needs level","OK"))))</f>
        <v/>
      </c>
    </row>
    <row r="1886">
      <c r="A1886" s="6" t="n"/>
      <c r="B1886" s="6" t="n"/>
      <c r="C1886" s="6" t="n"/>
      <c r="D1886" s="11">
        <f>IF(C1886="","",IFERROR(INDEX(Levels!$A$2:$A$30,MATCH(C1886,Levels!$B$2:$B$30,0)),""))</f>
        <v/>
      </c>
      <c r="E1886" s="10">
        <f>IF(B1886="","",IFERROR(INDEX(Roster!$A$2:$A$600,MATCH(B1886,Roster!$E$2:$E$600,0)),""))</f>
        <v/>
      </c>
      <c r="F1886" s="10">
        <f>IF(C1886="","",IFERROR(INDEX(Levels!$C$2:$C$30,MATCH(C1886,Levels!$B$2:$B$30,0)),""))</f>
        <v/>
      </c>
      <c r="G1886" s="6" t="n"/>
      <c r="H1886" s="10">
        <f>IF(AND(B1886="",C1886=""),"",IF(G1886&lt;&gt;"","Void",IF(OR(B1886="",E1886=""),"Needs child",IF(D1886="","Needs level","OK"))))</f>
        <v/>
      </c>
    </row>
    <row r="1887">
      <c r="A1887" s="6" t="n"/>
      <c r="B1887" s="6" t="n"/>
      <c r="C1887" s="6" t="n"/>
      <c r="D1887" s="11">
        <f>IF(C1887="","",IFERROR(INDEX(Levels!$A$2:$A$30,MATCH(C1887,Levels!$B$2:$B$30,0)),""))</f>
        <v/>
      </c>
      <c r="E1887" s="10">
        <f>IF(B1887="","",IFERROR(INDEX(Roster!$A$2:$A$600,MATCH(B1887,Roster!$E$2:$E$600,0)),""))</f>
        <v/>
      </c>
      <c r="F1887" s="10">
        <f>IF(C1887="","",IFERROR(INDEX(Levels!$C$2:$C$30,MATCH(C1887,Levels!$B$2:$B$30,0)),""))</f>
        <v/>
      </c>
      <c r="G1887" s="6" t="n"/>
      <c r="H1887" s="10">
        <f>IF(AND(B1887="",C1887=""),"",IF(G1887&lt;&gt;"","Void",IF(OR(B1887="",E1887=""),"Needs child",IF(D1887="","Needs level","OK"))))</f>
        <v/>
      </c>
    </row>
    <row r="1888">
      <c r="A1888" s="6" t="n"/>
      <c r="B1888" s="6" t="n"/>
      <c r="C1888" s="6" t="n"/>
      <c r="D1888" s="11">
        <f>IF(C1888="","",IFERROR(INDEX(Levels!$A$2:$A$30,MATCH(C1888,Levels!$B$2:$B$30,0)),""))</f>
        <v/>
      </c>
      <c r="E1888" s="10">
        <f>IF(B1888="","",IFERROR(INDEX(Roster!$A$2:$A$600,MATCH(B1888,Roster!$E$2:$E$600,0)),""))</f>
        <v/>
      </c>
      <c r="F1888" s="10">
        <f>IF(C1888="","",IFERROR(INDEX(Levels!$C$2:$C$30,MATCH(C1888,Levels!$B$2:$B$30,0)),""))</f>
        <v/>
      </c>
      <c r="G1888" s="6" t="n"/>
      <c r="H1888" s="10">
        <f>IF(AND(B1888="",C1888=""),"",IF(G1888&lt;&gt;"","Void",IF(OR(B1888="",E1888=""),"Needs child",IF(D1888="","Needs level","OK"))))</f>
        <v/>
      </c>
    </row>
    <row r="1889">
      <c r="A1889" s="6" t="n"/>
      <c r="B1889" s="6" t="n"/>
      <c r="C1889" s="6" t="n"/>
      <c r="D1889" s="11">
        <f>IF(C1889="","",IFERROR(INDEX(Levels!$A$2:$A$30,MATCH(C1889,Levels!$B$2:$B$30,0)),""))</f>
        <v/>
      </c>
      <c r="E1889" s="10">
        <f>IF(B1889="","",IFERROR(INDEX(Roster!$A$2:$A$600,MATCH(B1889,Roster!$E$2:$E$600,0)),""))</f>
        <v/>
      </c>
      <c r="F1889" s="10">
        <f>IF(C1889="","",IFERROR(INDEX(Levels!$C$2:$C$30,MATCH(C1889,Levels!$B$2:$B$30,0)),""))</f>
        <v/>
      </c>
      <c r="G1889" s="6" t="n"/>
      <c r="H1889" s="10">
        <f>IF(AND(B1889="",C1889=""),"",IF(G1889&lt;&gt;"","Void",IF(OR(B1889="",E1889=""),"Needs child",IF(D1889="","Needs level","OK"))))</f>
        <v/>
      </c>
    </row>
    <row r="1890">
      <c r="A1890" s="6" t="n"/>
      <c r="B1890" s="6" t="n"/>
      <c r="C1890" s="6" t="n"/>
      <c r="D1890" s="11">
        <f>IF(C1890="","",IFERROR(INDEX(Levels!$A$2:$A$30,MATCH(C1890,Levels!$B$2:$B$30,0)),""))</f>
        <v/>
      </c>
      <c r="E1890" s="10">
        <f>IF(B1890="","",IFERROR(INDEX(Roster!$A$2:$A$600,MATCH(B1890,Roster!$E$2:$E$600,0)),""))</f>
        <v/>
      </c>
      <c r="F1890" s="10">
        <f>IF(C1890="","",IFERROR(INDEX(Levels!$C$2:$C$30,MATCH(C1890,Levels!$B$2:$B$30,0)),""))</f>
        <v/>
      </c>
      <c r="G1890" s="6" t="n"/>
      <c r="H1890" s="10">
        <f>IF(AND(B1890="",C1890=""),"",IF(G1890&lt;&gt;"","Void",IF(OR(B1890="",E1890=""),"Needs child",IF(D1890="","Needs level","OK"))))</f>
        <v/>
      </c>
    </row>
    <row r="1891">
      <c r="A1891" s="6" t="n"/>
      <c r="B1891" s="6" t="n"/>
      <c r="C1891" s="6" t="n"/>
      <c r="D1891" s="11">
        <f>IF(C1891="","",IFERROR(INDEX(Levels!$A$2:$A$30,MATCH(C1891,Levels!$B$2:$B$30,0)),""))</f>
        <v/>
      </c>
      <c r="E1891" s="10">
        <f>IF(B1891="","",IFERROR(INDEX(Roster!$A$2:$A$600,MATCH(B1891,Roster!$E$2:$E$600,0)),""))</f>
        <v/>
      </c>
      <c r="F1891" s="10">
        <f>IF(C1891="","",IFERROR(INDEX(Levels!$C$2:$C$30,MATCH(C1891,Levels!$B$2:$B$30,0)),""))</f>
        <v/>
      </c>
      <c r="G1891" s="6" t="n"/>
      <c r="H1891" s="10">
        <f>IF(AND(B1891="",C1891=""),"",IF(G1891&lt;&gt;"","Void",IF(OR(B1891="",E1891=""),"Needs child",IF(D1891="","Needs level","OK"))))</f>
        <v/>
      </c>
    </row>
    <row r="1892">
      <c r="A1892" s="6" t="n"/>
      <c r="B1892" s="6" t="n"/>
      <c r="C1892" s="6" t="n"/>
      <c r="D1892" s="11">
        <f>IF(C1892="","",IFERROR(INDEX(Levels!$A$2:$A$30,MATCH(C1892,Levels!$B$2:$B$30,0)),""))</f>
        <v/>
      </c>
      <c r="E1892" s="10">
        <f>IF(B1892="","",IFERROR(INDEX(Roster!$A$2:$A$600,MATCH(B1892,Roster!$E$2:$E$600,0)),""))</f>
        <v/>
      </c>
      <c r="F1892" s="10">
        <f>IF(C1892="","",IFERROR(INDEX(Levels!$C$2:$C$30,MATCH(C1892,Levels!$B$2:$B$30,0)),""))</f>
        <v/>
      </c>
      <c r="G1892" s="6" t="n"/>
      <c r="H1892" s="10">
        <f>IF(AND(B1892="",C1892=""),"",IF(G1892&lt;&gt;"","Void",IF(OR(B1892="",E1892=""),"Needs child",IF(D1892="","Needs level","OK"))))</f>
        <v/>
      </c>
    </row>
    <row r="1893">
      <c r="A1893" s="6" t="n"/>
      <c r="B1893" s="6" t="n"/>
      <c r="C1893" s="6" t="n"/>
      <c r="D1893" s="11">
        <f>IF(C1893="","",IFERROR(INDEX(Levels!$A$2:$A$30,MATCH(C1893,Levels!$B$2:$B$30,0)),""))</f>
        <v/>
      </c>
      <c r="E1893" s="10">
        <f>IF(B1893="","",IFERROR(INDEX(Roster!$A$2:$A$600,MATCH(B1893,Roster!$E$2:$E$600,0)),""))</f>
        <v/>
      </c>
      <c r="F1893" s="10">
        <f>IF(C1893="","",IFERROR(INDEX(Levels!$C$2:$C$30,MATCH(C1893,Levels!$B$2:$B$30,0)),""))</f>
        <v/>
      </c>
      <c r="G1893" s="6" t="n"/>
      <c r="H1893" s="10">
        <f>IF(AND(B1893="",C1893=""),"",IF(G1893&lt;&gt;"","Void",IF(OR(B1893="",E1893=""),"Needs child",IF(D1893="","Needs level","OK"))))</f>
        <v/>
      </c>
    </row>
    <row r="1894">
      <c r="A1894" s="6" t="n"/>
      <c r="B1894" s="6" t="n"/>
      <c r="C1894" s="6" t="n"/>
      <c r="D1894" s="11">
        <f>IF(C1894="","",IFERROR(INDEX(Levels!$A$2:$A$30,MATCH(C1894,Levels!$B$2:$B$30,0)),""))</f>
        <v/>
      </c>
      <c r="E1894" s="10">
        <f>IF(B1894="","",IFERROR(INDEX(Roster!$A$2:$A$600,MATCH(B1894,Roster!$E$2:$E$600,0)),""))</f>
        <v/>
      </c>
      <c r="F1894" s="10">
        <f>IF(C1894="","",IFERROR(INDEX(Levels!$C$2:$C$30,MATCH(C1894,Levels!$B$2:$B$30,0)),""))</f>
        <v/>
      </c>
      <c r="G1894" s="6" t="n"/>
      <c r="H1894" s="10">
        <f>IF(AND(B1894="",C1894=""),"",IF(G1894&lt;&gt;"","Void",IF(OR(B1894="",E1894=""),"Needs child",IF(D1894="","Needs level","OK"))))</f>
        <v/>
      </c>
    </row>
    <row r="1895">
      <c r="A1895" s="6" t="n"/>
      <c r="B1895" s="6" t="n"/>
      <c r="C1895" s="6" t="n"/>
      <c r="D1895" s="11">
        <f>IF(C1895="","",IFERROR(INDEX(Levels!$A$2:$A$30,MATCH(C1895,Levels!$B$2:$B$30,0)),""))</f>
        <v/>
      </c>
      <c r="E1895" s="10">
        <f>IF(B1895="","",IFERROR(INDEX(Roster!$A$2:$A$600,MATCH(B1895,Roster!$E$2:$E$600,0)),""))</f>
        <v/>
      </c>
      <c r="F1895" s="10">
        <f>IF(C1895="","",IFERROR(INDEX(Levels!$C$2:$C$30,MATCH(C1895,Levels!$B$2:$B$30,0)),""))</f>
        <v/>
      </c>
      <c r="G1895" s="6" t="n"/>
      <c r="H1895" s="10">
        <f>IF(AND(B1895="",C1895=""),"",IF(G1895&lt;&gt;"","Void",IF(OR(B1895="",E1895=""),"Needs child",IF(D1895="","Needs level","OK"))))</f>
        <v/>
      </c>
    </row>
    <row r="1896">
      <c r="A1896" s="6" t="n"/>
      <c r="B1896" s="6" t="n"/>
      <c r="C1896" s="6" t="n"/>
      <c r="D1896" s="11">
        <f>IF(C1896="","",IFERROR(INDEX(Levels!$A$2:$A$30,MATCH(C1896,Levels!$B$2:$B$30,0)),""))</f>
        <v/>
      </c>
      <c r="E1896" s="10">
        <f>IF(B1896="","",IFERROR(INDEX(Roster!$A$2:$A$600,MATCH(B1896,Roster!$E$2:$E$600,0)),""))</f>
        <v/>
      </c>
      <c r="F1896" s="10">
        <f>IF(C1896="","",IFERROR(INDEX(Levels!$C$2:$C$30,MATCH(C1896,Levels!$B$2:$B$30,0)),""))</f>
        <v/>
      </c>
      <c r="G1896" s="6" t="n"/>
      <c r="H1896" s="10">
        <f>IF(AND(B1896="",C1896=""),"",IF(G1896&lt;&gt;"","Void",IF(OR(B1896="",E1896=""),"Needs child",IF(D1896="","Needs level","OK"))))</f>
        <v/>
      </c>
    </row>
    <row r="1897">
      <c r="A1897" s="6" t="n"/>
      <c r="B1897" s="6" t="n"/>
      <c r="C1897" s="6" t="n"/>
      <c r="D1897" s="11">
        <f>IF(C1897="","",IFERROR(INDEX(Levels!$A$2:$A$30,MATCH(C1897,Levels!$B$2:$B$30,0)),""))</f>
        <v/>
      </c>
      <c r="E1897" s="10">
        <f>IF(B1897="","",IFERROR(INDEX(Roster!$A$2:$A$600,MATCH(B1897,Roster!$E$2:$E$600,0)),""))</f>
        <v/>
      </c>
      <c r="F1897" s="10">
        <f>IF(C1897="","",IFERROR(INDEX(Levels!$C$2:$C$30,MATCH(C1897,Levels!$B$2:$B$30,0)),""))</f>
        <v/>
      </c>
      <c r="G1897" s="6" t="n"/>
      <c r="H1897" s="10">
        <f>IF(AND(B1897="",C1897=""),"",IF(G1897&lt;&gt;"","Void",IF(OR(B1897="",E1897=""),"Needs child",IF(D1897="","Needs level","OK"))))</f>
        <v/>
      </c>
    </row>
    <row r="1898">
      <c r="A1898" s="6" t="n"/>
      <c r="B1898" s="6" t="n"/>
      <c r="C1898" s="6" t="n"/>
      <c r="D1898" s="11">
        <f>IF(C1898="","",IFERROR(INDEX(Levels!$A$2:$A$30,MATCH(C1898,Levels!$B$2:$B$30,0)),""))</f>
        <v/>
      </c>
      <c r="E1898" s="10">
        <f>IF(B1898="","",IFERROR(INDEX(Roster!$A$2:$A$600,MATCH(B1898,Roster!$E$2:$E$600,0)),""))</f>
        <v/>
      </c>
      <c r="F1898" s="10">
        <f>IF(C1898="","",IFERROR(INDEX(Levels!$C$2:$C$30,MATCH(C1898,Levels!$B$2:$B$30,0)),""))</f>
        <v/>
      </c>
      <c r="G1898" s="6" t="n"/>
      <c r="H1898" s="10">
        <f>IF(AND(B1898="",C1898=""),"",IF(G1898&lt;&gt;"","Void",IF(OR(B1898="",E1898=""),"Needs child",IF(D1898="","Needs level","OK"))))</f>
        <v/>
      </c>
    </row>
    <row r="1899">
      <c r="A1899" s="6" t="n"/>
      <c r="B1899" s="6" t="n"/>
      <c r="C1899" s="6" t="n"/>
      <c r="D1899" s="11">
        <f>IF(C1899="","",IFERROR(INDEX(Levels!$A$2:$A$30,MATCH(C1899,Levels!$B$2:$B$30,0)),""))</f>
        <v/>
      </c>
      <c r="E1899" s="10">
        <f>IF(B1899="","",IFERROR(INDEX(Roster!$A$2:$A$600,MATCH(B1899,Roster!$E$2:$E$600,0)),""))</f>
        <v/>
      </c>
      <c r="F1899" s="10">
        <f>IF(C1899="","",IFERROR(INDEX(Levels!$C$2:$C$30,MATCH(C1899,Levels!$B$2:$B$30,0)),""))</f>
        <v/>
      </c>
      <c r="G1899" s="6" t="n"/>
      <c r="H1899" s="10">
        <f>IF(AND(B1899="",C1899=""),"",IF(G1899&lt;&gt;"","Void",IF(OR(B1899="",E1899=""),"Needs child",IF(D1899="","Needs level","OK"))))</f>
        <v/>
      </c>
    </row>
    <row r="1900">
      <c r="A1900" s="6" t="n"/>
      <c r="B1900" s="6" t="n"/>
      <c r="C1900" s="6" t="n"/>
      <c r="D1900" s="11">
        <f>IF(C1900="","",IFERROR(INDEX(Levels!$A$2:$A$30,MATCH(C1900,Levels!$B$2:$B$30,0)),""))</f>
        <v/>
      </c>
      <c r="E1900" s="10">
        <f>IF(B1900="","",IFERROR(INDEX(Roster!$A$2:$A$600,MATCH(B1900,Roster!$E$2:$E$600,0)),""))</f>
        <v/>
      </c>
      <c r="F1900" s="10">
        <f>IF(C1900="","",IFERROR(INDEX(Levels!$C$2:$C$30,MATCH(C1900,Levels!$B$2:$B$30,0)),""))</f>
        <v/>
      </c>
      <c r="G1900" s="6" t="n"/>
      <c r="H1900" s="10">
        <f>IF(AND(B1900="",C1900=""),"",IF(G1900&lt;&gt;"","Void",IF(OR(B1900="",E1900=""),"Needs child",IF(D1900="","Needs level","OK"))))</f>
        <v/>
      </c>
    </row>
    <row r="1901">
      <c r="A1901" s="6" t="n"/>
      <c r="B1901" s="6" t="n"/>
      <c r="C1901" s="6" t="n"/>
      <c r="D1901" s="11">
        <f>IF(C1901="","",IFERROR(INDEX(Levels!$A$2:$A$30,MATCH(C1901,Levels!$B$2:$B$30,0)),""))</f>
        <v/>
      </c>
      <c r="E1901" s="10">
        <f>IF(B1901="","",IFERROR(INDEX(Roster!$A$2:$A$600,MATCH(B1901,Roster!$E$2:$E$600,0)),""))</f>
        <v/>
      </c>
      <c r="F1901" s="10">
        <f>IF(C1901="","",IFERROR(INDEX(Levels!$C$2:$C$30,MATCH(C1901,Levels!$B$2:$B$30,0)),""))</f>
        <v/>
      </c>
      <c r="G1901" s="6" t="n"/>
      <c r="H1901" s="10">
        <f>IF(AND(B1901="",C1901=""),"",IF(G1901&lt;&gt;"","Void",IF(OR(B1901="",E1901=""),"Needs child",IF(D1901="","Needs level","OK"))))</f>
        <v/>
      </c>
    </row>
    <row r="1902">
      <c r="A1902" s="6" t="n"/>
      <c r="B1902" s="6" t="n"/>
      <c r="C1902" s="6" t="n"/>
      <c r="D1902" s="11">
        <f>IF(C1902="","",IFERROR(INDEX(Levels!$A$2:$A$30,MATCH(C1902,Levels!$B$2:$B$30,0)),""))</f>
        <v/>
      </c>
      <c r="E1902" s="10">
        <f>IF(B1902="","",IFERROR(INDEX(Roster!$A$2:$A$600,MATCH(B1902,Roster!$E$2:$E$600,0)),""))</f>
        <v/>
      </c>
      <c r="F1902" s="10">
        <f>IF(C1902="","",IFERROR(INDEX(Levels!$C$2:$C$30,MATCH(C1902,Levels!$B$2:$B$30,0)),""))</f>
        <v/>
      </c>
      <c r="G1902" s="6" t="n"/>
      <c r="H1902" s="10">
        <f>IF(AND(B1902="",C1902=""),"",IF(G1902&lt;&gt;"","Void",IF(OR(B1902="",E1902=""),"Needs child",IF(D1902="","Needs level","OK"))))</f>
        <v/>
      </c>
    </row>
    <row r="1903">
      <c r="A1903" s="6" t="n"/>
      <c r="B1903" s="6" t="n"/>
      <c r="C1903" s="6" t="n"/>
      <c r="D1903" s="11">
        <f>IF(C1903="","",IFERROR(INDEX(Levels!$A$2:$A$30,MATCH(C1903,Levels!$B$2:$B$30,0)),""))</f>
        <v/>
      </c>
      <c r="E1903" s="10">
        <f>IF(B1903="","",IFERROR(INDEX(Roster!$A$2:$A$600,MATCH(B1903,Roster!$E$2:$E$600,0)),""))</f>
        <v/>
      </c>
      <c r="F1903" s="10">
        <f>IF(C1903="","",IFERROR(INDEX(Levels!$C$2:$C$30,MATCH(C1903,Levels!$B$2:$B$30,0)),""))</f>
        <v/>
      </c>
      <c r="G1903" s="6" t="n"/>
      <c r="H1903" s="10">
        <f>IF(AND(B1903="",C1903=""),"",IF(G1903&lt;&gt;"","Void",IF(OR(B1903="",E1903=""),"Needs child",IF(D1903="","Needs level","OK"))))</f>
        <v/>
      </c>
    </row>
    <row r="1904">
      <c r="A1904" s="6" t="n"/>
      <c r="B1904" s="6" t="n"/>
      <c r="C1904" s="6" t="n"/>
      <c r="D1904" s="11">
        <f>IF(C1904="","",IFERROR(INDEX(Levels!$A$2:$A$30,MATCH(C1904,Levels!$B$2:$B$30,0)),""))</f>
        <v/>
      </c>
      <c r="E1904" s="10">
        <f>IF(B1904="","",IFERROR(INDEX(Roster!$A$2:$A$600,MATCH(B1904,Roster!$E$2:$E$600,0)),""))</f>
        <v/>
      </c>
      <c r="F1904" s="10">
        <f>IF(C1904="","",IFERROR(INDEX(Levels!$C$2:$C$30,MATCH(C1904,Levels!$B$2:$B$30,0)),""))</f>
        <v/>
      </c>
      <c r="G1904" s="6" t="n"/>
      <c r="H1904" s="10">
        <f>IF(AND(B1904="",C1904=""),"",IF(G1904&lt;&gt;"","Void",IF(OR(B1904="",E1904=""),"Needs child",IF(D1904="","Needs level","OK"))))</f>
        <v/>
      </c>
    </row>
    <row r="1905">
      <c r="A1905" s="6" t="n"/>
      <c r="B1905" s="6" t="n"/>
      <c r="C1905" s="6" t="n"/>
      <c r="D1905" s="11">
        <f>IF(C1905="","",IFERROR(INDEX(Levels!$A$2:$A$30,MATCH(C1905,Levels!$B$2:$B$30,0)),""))</f>
        <v/>
      </c>
      <c r="E1905" s="10">
        <f>IF(B1905="","",IFERROR(INDEX(Roster!$A$2:$A$600,MATCH(B1905,Roster!$E$2:$E$600,0)),""))</f>
        <v/>
      </c>
      <c r="F1905" s="10">
        <f>IF(C1905="","",IFERROR(INDEX(Levels!$C$2:$C$30,MATCH(C1905,Levels!$B$2:$B$30,0)),""))</f>
        <v/>
      </c>
      <c r="G1905" s="6" t="n"/>
      <c r="H1905" s="10">
        <f>IF(AND(B1905="",C1905=""),"",IF(G1905&lt;&gt;"","Void",IF(OR(B1905="",E1905=""),"Needs child",IF(D1905="","Needs level","OK"))))</f>
        <v/>
      </c>
    </row>
    <row r="1906">
      <c r="A1906" s="6" t="n"/>
      <c r="B1906" s="6" t="n"/>
      <c r="C1906" s="6" t="n"/>
      <c r="D1906" s="11">
        <f>IF(C1906="","",IFERROR(INDEX(Levels!$A$2:$A$30,MATCH(C1906,Levels!$B$2:$B$30,0)),""))</f>
        <v/>
      </c>
      <c r="E1906" s="10">
        <f>IF(B1906="","",IFERROR(INDEX(Roster!$A$2:$A$600,MATCH(B1906,Roster!$E$2:$E$600,0)),""))</f>
        <v/>
      </c>
      <c r="F1906" s="10">
        <f>IF(C1906="","",IFERROR(INDEX(Levels!$C$2:$C$30,MATCH(C1906,Levels!$B$2:$B$30,0)),""))</f>
        <v/>
      </c>
      <c r="G1906" s="6" t="n"/>
      <c r="H1906" s="10">
        <f>IF(AND(B1906="",C1906=""),"",IF(G1906&lt;&gt;"","Void",IF(OR(B1906="",E1906=""),"Needs child",IF(D1906="","Needs level","OK"))))</f>
        <v/>
      </c>
    </row>
    <row r="1907">
      <c r="A1907" s="6" t="n"/>
      <c r="B1907" s="6" t="n"/>
      <c r="C1907" s="6" t="n"/>
      <c r="D1907" s="11">
        <f>IF(C1907="","",IFERROR(INDEX(Levels!$A$2:$A$30,MATCH(C1907,Levels!$B$2:$B$30,0)),""))</f>
        <v/>
      </c>
      <c r="E1907" s="10">
        <f>IF(B1907="","",IFERROR(INDEX(Roster!$A$2:$A$600,MATCH(B1907,Roster!$E$2:$E$600,0)),""))</f>
        <v/>
      </c>
      <c r="F1907" s="10">
        <f>IF(C1907="","",IFERROR(INDEX(Levels!$C$2:$C$30,MATCH(C1907,Levels!$B$2:$B$30,0)),""))</f>
        <v/>
      </c>
      <c r="G1907" s="6" t="n"/>
      <c r="H1907" s="10">
        <f>IF(AND(B1907="",C1907=""),"",IF(G1907&lt;&gt;"","Void",IF(OR(B1907="",E1907=""),"Needs child",IF(D1907="","Needs level","OK"))))</f>
        <v/>
      </c>
    </row>
    <row r="1908">
      <c r="A1908" s="6" t="n"/>
      <c r="B1908" s="6" t="n"/>
      <c r="C1908" s="6" t="n"/>
      <c r="D1908" s="11">
        <f>IF(C1908="","",IFERROR(INDEX(Levels!$A$2:$A$30,MATCH(C1908,Levels!$B$2:$B$30,0)),""))</f>
        <v/>
      </c>
      <c r="E1908" s="10">
        <f>IF(B1908="","",IFERROR(INDEX(Roster!$A$2:$A$600,MATCH(B1908,Roster!$E$2:$E$600,0)),""))</f>
        <v/>
      </c>
      <c r="F1908" s="10">
        <f>IF(C1908="","",IFERROR(INDEX(Levels!$C$2:$C$30,MATCH(C1908,Levels!$B$2:$B$30,0)),""))</f>
        <v/>
      </c>
      <c r="G1908" s="6" t="n"/>
      <c r="H1908" s="10">
        <f>IF(AND(B1908="",C1908=""),"",IF(G1908&lt;&gt;"","Void",IF(OR(B1908="",E1908=""),"Needs child",IF(D1908="","Needs level","OK"))))</f>
        <v/>
      </c>
    </row>
    <row r="1909">
      <c r="A1909" s="6" t="n"/>
      <c r="B1909" s="6" t="n"/>
      <c r="C1909" s="6" t="n"/>
      <c r="D1909" s="11">
        <f>IF(C1909="","",IFERROR(INDEX(Levels!$A$2:$A$30,MATCH(C1909,Levels!$B$2:$B$30,0)),""))</f>
        <v/>
      </c>
      <c r="E1909" s="10">
        <f>IF(B1909="","",IFERROR(INDEX(Roster!$A$2:$A$600,MATCH(B1909,Roster!$E$2:$E$600,0)),""))</f>
        <v/>
      </c>
      <c r="F1909" s="10">
        <f>IF(C1909="","",IFERROR(INDEX(Levels!$C$2:$C$30,MATCH(C1909,Levels!$B$2:$B$30,0)),""))</f>
        <v/>
      </c>
      <c r="G1909" s="6" t="n"/>
      <c r="H1909" s="10">
        <f>IF(AND(B1909="",C1909=""),"",IF(G1909&lt;&gt;"","Void",IF(OR(B1909="",E1909=""),"Needs child",IF(D1909="","Needs level","OK"))))</f>
        <v/>
      </c>
    </row>
    <row r="1910">
      <c r="A1910" s="6" t="n"/>
      <c r="B1910" s="6" t="n"/>
      <c r="C1910" s="6" t="n"/>
      <c r="D1910" s="11">
        <f>IF(C1910="","",IFERROR(INDEX(Levels!$A$2:$A$30,MATCH(C1910,Levels!$B$2:$B$30,0)),""))</f>
        <v/>
      </c>
      <c r="E1910" s="10">
        <f>IF(B1910="","",IFERROR(INDEX(Roster!$A$2:$A$600,MATCH(B1910,Roster!$E$2:$E$600,0)),""))</f>
        <v/>
      </c>
      <c r="F1910" s="10">
        <f>IF(C1910="","",IFERROR(INDEX(Levels!$C$2:$C$30,MATCH(C1910,Levels!$B$2:$B$30,0)),""))</f>
        <v/>
      </c>
      <c r="G1910" s="6" t="n"/>
      <c r="H1910" s="10">
        <f>IF(AND(B1910="",C1910=""),"",IF(G1910&lt;&gt;"","Void",IF(OR(B1910="",E1910=""),"Needs child",IF(D1910="","Needs level","OK"))))</f>
        <v/>
      </c>
    </row>
    <row r="1911">
      <c r="A1911" s="6" t="n"/>
      <c r="B1911" s="6" t="n"/>
      <c r="C1911" s="6" t="n"/>
      <c r="D1911" s="11">
        <f>IF(C1911="","",IFERROR(INDEX(Levels!$A$2:$A$30,MATCH(C1911,Levels!$B$2:$B$30,0)),""))</f>
        <v/>
      </c>
      <c r="E1911" s="10">
        <f>IF(B1911="","",IFERROR(INDEX(Roster!$A$2:$A$600,MATCH(B1911,Roster!$E$2:$E$600,0)),""))</f>
        <v/>
      </c>
      <c r="F1911" s="10">
        <f>IF(C1911="","",IFERROR(INDEX(Levels!$C$2:$C$30,MATCH(C1911,Levels!$B$2:$B$30,0)),""))</f>
        <v/>
      </c>
      <c r="G1911" s="6" t="n"/>
      <c r="H1911" s="10">
        <f>IF(AND(B1911="",C1911=""),"",IF(G1911&lt;&gt;"","Void",IF(OR(B1911="",E1911=""),"Needs child",IF(D1911="","Needs level","OK"))))</f>
        <v/>
      </c>
    </row>
    <row r="1912">
      <c r="A1912" s="6" t="n"/>
      <c r="B1912" s="6" t="n"/>
      <c r="C1912" s="6" t="n"/>
      <c r="D1912" s="11">
        <f>IF(C1912="","",IFERROR(INDEX(Levels!$A$2:$A$30,MATCH(C1912,Levels!$B$2:$B$30,0)),""))</f>
        <v/>
      </c>
      <c r="E1912" s="10">
        <f>IF(B1912="","",IFERROR(INDEX(Roster!$A$2:$A$600,MATCH(B1912,Roster!$E$2:$E$600,0)),""))</f>
        <v/>
      </c>
      <c r="F1912" s="10">
        <f>IF(C1912="","",IFERROR(INDEX(Levels!$C$2:$C$30,MATCH(C1912,Levels!$B$2:$B$30,0)),""))</f>
        <v/>
      </c>
      <c r="G1912" s="6" t="n"/>
      <c r="H1912" s="10">
        <f>IF(AND(B1912="",C1912=""),"",IF(G1912&lt;&gt;"","Void",IF(OR(B1912="",E1912=""),"Needs child",IF(D1912="","Needs level","OK"))))</f>
        <v/>
      </c>
    </row>
    <row r="1913">
      <c r="A1913" s="6" t="n"/>
      <c r="B1913" s="6" t="n"/>
      <c r="C1913" s="6" t="n"/>
      <c r="D1913" s="11">
        <f>IF(C1913="","",IFERROR(INDEX(Levels!$A$2:$A$30,MATCH(C1913,Levels!$B$2:$B$30,0)),""))</f>
        <v/>
      </c>
      <c r="E1913" s="10">
        <f>IF(B1913="","",IFERROR(INDEX(Roster!$A$2:$A$600,MATCH(B1913,Roster!$E$2:$E$600,0)),""))</f>
        <v/>
      </c>
      <c r="F1913" s="10">
        <f>IF(C1913="","",IFERROR(INDEX(Levels!$C$2:$C$30,MATCH(C1913,Levels!$B$2:$B$30,0)),""))</f>
        <v/>
      </c>
      <c r="G1913" s="6" t="n"/>
      <c r="H1913" s="10">
        <f>IF(AND(B1913="",C1913=""),"",IF(G1913&lt;&gt;"","Void",IF(OR(B1913="",E1913=""),"Needs child",IF(D1913="","Needs level","OK"))))</f>
        <v/>
      </c>
    </row>
    <row r="1914">
      <c r="A1914" s="6" t="n"/>
      <c r="B1914" s="6" t="n"/>
      <c r="C1914" s="6" t="n"/>
      <c r="D1914" s="11">
        <f>IF(C1914="","",IFERROR(INDEX(Levels!$A$2:$A$30,MATCH(C1914,Levels!$B$2:$B$30,0)),""))</f>
        <v/>
      </c>
      <c r="E1914" s="10">
        <f>IF(B1914="","",IFERROR(INDEX(Roster!$A$2:$A$600,MATCH(B1914,Roster!$E$2:$E$600,0)),""))</f>
        <v/>
      </c>
      <c r="F1914" s="10">
        <f>IF(C1914="","",IFERROR(INDEX(Levels!$C$2:$C$30,MATCH(C1914,Levels!$B$2:$B$30,0)),""))</f>
        <v/>
      </c>
      <c r="G1914" s="6" t="n"/>
      <c r="H1914" s="10">
        <f>IF(AND(B1914="",C1914=""),"",IF(G1914&lt;&gt;"","Void",IF(OR(B1914="",E1914=""),"Needs child",IF(D1914="","Needs level","OK"))))</f>
        <v/>
      </c>
    </row>
    <row r="1915">
      <c r="A1915" s="6" t="n"/>
      <c r="B1915" s="6" t="n"/>
      <c r="C1915" s="6" t="n"/>
      <c r="D1915" s="11">
        <f>IF(C1915="","",IFERROR(INDEX(Levels!$A$2:$A$30,MATCH(C1915,Levels!$B$2:$B$30,0)),""))</f>
        <v/>
      </c>
      <c r="E1915" s="10">
        <f>IF(B1915="","",IFERROR(INDEX(Roster!$A$2:$A$600,MATCH(B1915,Roster!$E$2:$E$600,0)),""))</f>
        <v/>
      </c>
      <c r="F1915" s="10">
        <f>IF(C1915="","",IFERROR(INDEX(Levels!$C$2:$C$30,MATCH(C1915,Levels!$B$2:$B$30,0)),""))</f>
        <v/>
      </c>
      <c r="G1915" s="6" t="n"/>
      <c r="H1915" s="10">
        <f>IF(AND(B1915="",C1915=""),"",IF(G1915&lt;&gt;"","Void",IF(OR(B1915="",E1915=""),"Needs child",IF(D1915="","Needs level","OK"))))</f>
        <v/>
      </c>
    </row>
    <row r="1916">
      <c r="A1916" s="6" t="n"/>
      <c r="B1916" s="6" t="n"/>
      <c r="C1916" s="6" t="n"/>
      <c r="D1916" s="11">
        <f>IF(C1916="","",IFERROR(INDEX(Levels!$A$2:$A$30,MATCH(C1916,Levels!$B$2:$B$30,0)),""))</f>
        <v/>
      </c>
      <c r="E1916" s="10">
        <f>IF(B1916="","",IFERROR(INDEX(Roster!$A$2:$A$600,MATCH(B1916,Roster!$E$2:$E$600,0)),""))</f>
        <v/>
      </c>
      <c r="F1916" s="10">
        <f>IF(C1916="","",IFERROR(INDEX(Levels!$C$2:$C$30,MATCH(C1916,Levels!$B$2:$B$30,0)),""))</f>
        <v/>
      </c>
      <c r="G1916" s="6" t="n"/>
      <c r="H1916" s="10">
        <f>IF(AND(B1916="",C1916=""),"",IF(G1916&lt;&gt;"","Void",IF(OR(B1916="",E1916=""),"Needs child",IF(D1916="","Needs level","OK"))))</f>
        <v/>
      </c>
    </row>
    <row r="1917">
      <c r="A1917" s="6" t="n"/>
      <c r="B1917" s="6" t="n"/>
      <c r="C1917" s="6" t="n"/>
      <c r="D1917" s="11">
        <f>IF(C1917="","",IFERROR(INDEX(Levels!$A$2:$A$30,MATCH(C1917,Levels!$B$2:$B$30,0)),""))</f>
        <v/>
      </c>
      <c r="E1917" s="10">
        <f>IF(B1917="","",IFERROR(INDEX(Roster!$A$2:$A$600,MATCH(B1917,Roster!$E$2:$E$600,0)),""))</f>
        <v/>
      </c>
      <c r="F1917" s="10">
        <f>IF(C1917="","",IFERROR(INDEX(Levels!$C$2:$C$30,MATCH(C1917,Levels!$B$2:$B$30,0)),""))</f>
        <v/>
      </c>
      <c r="G1917" s="6" t="n"/>
      <c r="H1917" s="10">
        <f>IF(AND(B1917="",C1917=""),"",IF(G1917&lt;&gt;"","Void",IF(OR(B1917="",E1917=""),"Needs child",IF(D1917="","Needs level","OK"))))</f>
        <v/>
      </c>
    </row>
    <row r="1918">
      <c r="A1918" s="6" t="n"/>
      <c r="B1918" s="6" t="n"/>
      <c r="C1918" s="6" t="n"/>
      <c r="D1918" s="11">
        <f>IF(C1918="","",IFERROR(INDEX(Levels!$A$2:$A$30,MATCH(C1918,Levels!$B$2:$B$30,0)),""))</f>
        <v/>
      </c>
      <c r="E1918" s="10">
        <f>IF(B1918="","",IFERROR(INDEX(Roster!$A$2:$A$600,MATCH(B1918,Roster!$E$2:$E$600,0)),""))</f>
        <v/>
      </c>
      <c r="F1918" s="10">
        <f>IF(C1918="","",IFERROR(INDEX(Levels!$C$2:$C$30,MATCH(C1918,Levels!$B$2:$B$30,0)),""))</f>
        <v/>
      </c>
      <c r="G1918" s="6" t="n"/>
      <c r="H1918" s="10">
        <f>IF(AND(B1918="",C1918=""),"",IF(G1918&lt;&gt;"","Void",IF(OR(B1918="",E1918=""),"Needs child",IF(D1918="","Needs level","OK"))))</f>
        <v/>
      </c>
    </row>
    <row r="1919">
      <c r="A1919" s="6" t="n"/>
      <c r="B1919" s="6" t="n"/>
      <c r="C1919" s="6" t="n"/>
      <c r="D1919" s="11">
        <f>IF(C1919="","",IFERROR(INDEX(Levels!$A$2:$A$30,MATCH(C1919,Levels!$B$2:$B$30,0)),""))</f>
        <v/>
      </c>
      <c r="E1919" s="10">
        <f>IF(B1919="","",IFERROR(INDEX(Roster!$A$2:$A$600,MATCH(B1919,Roster!$E$2:$E$600,0)),""))</f>
        <v/>
      </c>
      <c r="F1919" s="10">
        <f>IF(C1919="","",IFERROR(INDEX(Levels!$C$2:$C$30,MATCH(C1919,Levels!$B$2:$B$30,0)),""))</f>
        <v/>
      </c>
      <c r="G1919" s="6" t="n"/>
      <c r="H1919" s="10">
        <f>IF(AND(B1919="",C1919=""),"",IF(G1919&lt;&gt;"","Void",IF(OR(B1919="",E1919=""),"Needs child",IF(D1919="","Needs level","OK"))))</f>
        <v/>
      </c>
    </row>
    <row r="1920">
      <c r="A1920" s="6" t="n"/>
      <c r="B1920" s="6" t="n"/>
      <c r="C1920" s="6" t="n"/>
      <c r="D1920" s="11">
        <f>IF(C1920="","",IFERROR(INDEX(Levels!$A$2:$A$30,MATCH(C1920,Levels!$B$2:$B$30,0)),""))</f>
        <v/>
      </c>
      <c r="E1920" s="10">
        <f>IF(B1920="","",IFERROR(INDEX(Roster!$A$2:$A$600,MATCH(B1920,Roster!$E$2:$E$600,0)),""))</f>
        <v/>
      </c>
      <c r="F1920" s="10">
        <f>IF(C1920="","",IFERROR(INDEX(Levels!$C$2:$C$30,MATCH(C1920,Levels!$B$2:$B$30,0)),""))</f>
        <v/>
      </c>
      <c r="G1920" s="6" t="n"/>
      <c r="H1920" s="10">
        <f>IF(AND(B1920="",C1920=""),"",IF(G1920&lt;&gt;"","Void",IF(OR(B1920="",E1920=""),"Needs child",IF(D1920="","Needs level","OK"))))</f>
        <v/>
      </c>
    </row>
    <row r="1921">
      <c r="A1921" s="6" t="n"/>
      <c r="B1921" s="6" t="n"/>
      <c r="C1921" s="6" t="n"/>
      <c r="D1921" s="11">
        <f>IF(C1921="","",IFERROR(INDEX(Levels!$A$2:$A$30,MATCH(C1921,Levels!$B$2:$B$30,0)),""))</f>
        <v/>
      </c>
      <c r="E1921" s="10">
        <f>IF(B1921="","",IFERROR(INDEX(Roster!$A$2:$A$600,MATCH(B1921,Roster!$E$2:$E$600,0)),""))</f>
        <v/>
      </c>
      <c r="F1921" s="10">
        <f>IF(C1921="","",IFERROR(INDEX(Levels!$C$2:$C$30,MATCH(C1921,Levels!$B$2:$B$30,0)),""))</f>
        <v/>
      </c>
      <c r="G1921" s="6" t="n"/>
      <c r="H1921" s="10">
        <f>IF(AND(B1921="",C1921=""),"",IF(G1921&lt;&gt;"","Void",IF(OR(B1921="",E1921=""),"Needs child",IF(D1921="","Needs level","OK"))))</f>
        <v/>
      </c>
    </row>
    <row r="1922">
      <c r="A1922" s="6" t="n"/>
      <c r="B1922" s="6" t="n"/>
      <c r="C1922" s="6" t="n"/>
      <c r="D1922" s="11">
        <f>IF(C1922="","",IFERROR(INDEX(Levels!$A$2:$A$30,MATCH(C1922,Levels!$B$2:$B$30,0)),""))</f>
        <v/>
      </c>
      <c r="E1922" s="10">
        <f>IF(B1922="","",IFERROR(INDEX(Roster!$A$2:$A$600,MATCH(B1922,Roster!$E$2:$E$600,0)),""))</f>
        <v/>
      </c>
      <c r="F1922" s="10">
        <f>IF(C1922="","",IFERROR(INDEX(Levels!$C$2:$C$30,MATCH(C1922,Levels!$B$2:$B$30,0)),""))</f>
        <v/>
      </c>
      <c r="G1922" s="6" t="n"/>
      <c r="H1922" s="10">
        <f>IF(AND(B1922="",C1922=""),"",IF(G1922&lt;&gt;"","Void",IF(OR(B1922="",E1922=""),"Needs child",IF(D1922="","Needs level","OK"))))</f>
        <v/>
      </c>
    </row>
    <row r="1923">
      <c r="A1923" s="6" t="n"/>
      <c r="B1923" s="6" t="n"/>
      <c r="C1923" s="6" t="n"/>
      <c r="D1923" s="11">
        <f>IF(C1923="","",IFERROR(INDEX(Levels!$A$2:$A$30,MATCH(C1923,Levels!$B$2:$B$30,0)),""))</f>
        <v/>
      </c>
      <c r="E1923" s="10">
        <f>IF(B1923="","",IFERROR(INDEX(Roster!$A$2:$A$600,MATCH(B1923,Roster!$E$2:$E$600,0)),""))</f>
        <v/>
      </c>
      <c r="F1923" s="10">
        <f>IF(C1923="","",IFERROR(INDEX(Levels!$C$2:$C$30,MATCH(C1923,Levels!$B$2:$B$30,0)),""))</f>
        <v/>
      </c>
      <c r="G1923" s="6" t="n"/>
      <c r="H1923" s="10">
        <f>IF(AND(B1923="",C1923=""),"",IF(G1923&lt;&gt;"","Void",IF(OR(B1923="",E1923=""),"Needs child",IF(D1923="","Needs level","OK"))))</f>
        <v/>
      </c>
    </row>
    <row r="1924">
      <c r="A1924" s="6" t="n"/>
      <c r="B1924" s="6" t="n"/>
      <c r="C1924" s="6" t="n"/>
      <c r="D1924" s="11">
        <f>IF(C1924="","",IFERROR(INDEX(Levels!$A$2:$A$30,MATCH(C1924,Levels!$B$2:$B$30,0)),""))</f>
        <v/>
      </c>
      <c r="E1924" s="10">
        <f>IF(B1924="","",IFERROR(INDEX(Roster!$A$2:$A$600,MATCH(B1924,Roster!$E$2:$E$600,0)),""))</f>
        <v/>
      </c>
      <c r="F1924" s="10">
        <f>IF(C1924="","",IFERROR(INDEX(Levels!$C$2:$C$30,MATCH(C1924,Levels!$B$2:$B$30,0)),""))</f>
        <v/>
      </c>
      <c r="G1924" s="6" t="n"/>
      <c r="H1924" s="10">
        <f>IF(AND(B1924="",C1924=""),"",IF(G1924&lt;&gt;"","Void",IF(OR(B1924="",E1924=""),"Needs child",IF(D1924="","Needs level","OK"))))</f>
        <v/>
      </c>
    </row>
    <row r="1925">
      <c r="A1925" s="6" t="n"/>
      <c r="B1925" s="6" t="n"/>
      <c r="C1925" s="6" t="n"/>
      <c r="D1925" s="11">
        <f>IF(C1925="","",IFERROR(INDEX(Levels!$A$2:$A$30,MATCH(C1925,Levels!$B$2:$B$30,0)),""))</f>
        <v/>
      </c>
      <c r="E1925" s="10">
        <f>IF(B1925="","",IFERROR(INDEX(Roster!$A$2:$A$600,MATCH(B1925,Roster!$E$2:$E$600,0)),""))</f>
        <v/>
      </c>
      <c r="F1925" s="10">
        <f>IF(C1925="","",IFERROR(INDEX(Levels!$C$2:$C$30,MATCH(C1925,Levels!$B$2:$B$30,0)),""))</f>
        <v/>
      </c>
      <c r="G1925" s="6" t="n"/>
      <c r="H1925" s="10">
        <f>IF(AND(B1925="",C1925=""),"",IF(G1925&lt;&gt;"","Void",IF(OR(B1925="",E1925=""),"Needs child",IF(D1925="","Needs level","OK"))))</f>
        <v/>
      </c>
    </row>
    <row r="1926">
      <c r="A1926" s="6" t="n"/>
      <c r="B1926" s="6" t="n"/>
      <c r="C1926" s="6" t="n"/>
      <c r="D1926" s="11">
        <f>IF(C1926="","",IFERROR(INDEX(Levels!$A$2:$A$30,MATCH(C1926,Levels!$B$2:$B$30,0)),""))</f>
        <v/>
      </c>
      <c r="E1926" s="10">
        <f>IF(B1926="","",IFERROR(INDEX(Roster!$A$2:$A$600,MATCH(B1926,Roster!$E$2:$E$600,0)),""))</f>
        <v/>
      </c>
      <c r="F1926" s="10">
        <f>IF(C1926="","",IFERROR(INDEX(Levels!$C$2:$C$30,MATCH(C1926,Levels!$B$2:$B$30,0)),""))</f>
        <v/>
      </c>
      <c r="G1926" s="6" t="n"/>
      <c r="H1926" s="10">
        <f>IF(AND(B1926="",C1926=""),"",IF(G1926&lt;&gt;"","Void",IF(OR(B1926="",E1926=""),"Needs child",IF(D1926="","Needs level","OK"))))</f>
        <v/>
      </c>
    </row>
    <row r="1927">
      <c r="A1927" s="6" t="n"/>
      <c r="B1927" s="6" t="n"/>
      <c r="C1927" s="6" t="n"/>
      <c r="D1927" s="11">
        <f>IF(C1927="","",IFERROR(INDEX(Levels!$A$2:$A$30,MATCH(C1927,Levels!$B$2:$B$30,0)),""))</f>
        <v/>
      </c>
      <c r="E1927" s="10">
        <f>IF(B1927="","",IFERROR(INDEX(Roster!$A$2:$A$600,MATCH(B1927,Roster!$E$2:$E$600,0)),""))</f>
        <v/>
      </c>
      <c r="F1927" s="10">
        <f>IF(C1927="","",IFERROR(INDEX(Levels!$C$2:$C$30,MATCH(C1927,Levels!$B$2:$B$30,0)),""))</f>
        <v/>
      </c>
      <c r="G1927" s="6" t="n"/>
      <c r="H1927" s="10">
        <f>IF(AND(B1927="",C1927=""),"",IF(G1927&lt;&gt;"","Void",IF(OR(B1927="",E1927=""),"Needs child",IF(D1927="","Needs level","OK"))))</f>
        <v/>
      </c>
    </row>
    <row r="1928">
      <c r="A1928" s="6" t="n"/>
      <c r="B1928" s="6" t="n"/>
      <c r="C1928" s="6" t="n"/>
      <c r="D1928" s="11">
        <f>IF(C1928="","",IFERROR(INDEX(Levels!$A$2:$A$30,MATCH(C1928,Levels!$B$2:$B$30,0)),""))</f>
        <v/>
      </c>
      <c r="E1928" s="10">
        <f>IF(B1928="","",IFERROR(INDEX(Roster!$A$2:$A$600,MATCH(B1928,Roster!$E$2:$E$600,0)),""))</f>
        <v/>
      </c>
      <c r="F1928" s="10">
        <f>IF(C1928="","",IFERROR(INDEX(Levels!$C$2:$C$30,MATCH(C1928,Levels!$B$2:$B$30,0)),""))</f>
        <v/>
      </c>
      <c r="G1928" s="6" t="n"/>
      <c r="H1928" s="10">
        <f>IF(AND(B1928="",C1928=""),"",IF(G1928&lt;&gt;"","Void",IF(OR(B1928="",E1928=""),"Needs child",IF(D1928="","Needs level","OK"))))</f>
        <v/>
      </c>
    </row>
    <row r="1929">
      <c r="A1929" s="6" t="n"/>
      <c r="B1929" s="6" t="n"/>
      <c r="C1929" s="6" t="n"/>
      <c r="D1929" s="11">
        <f>IF(C1929="","",IFERROR(INDEX(Levels!$A$2:$A$30,MATCH(C1929,Levels!$B$2:$B$30,0)),""))</f>
        <v/>
      </c>
      <c r="E1929" s="10">
        <f>IF(B1929="","",IFERROR(INDEX(Roster!$A$2:$A$600,MATCH(B1929,Roster!$E$2:$E$600,0)),""))</f>
        <v/>
      </c>
      <c r="F1929" s="10">
        <f>IF(C1929="","",IFERROR(INDEX(Levels!$C$2:$C$30,MATCH(C1929,Levels!$B$2:$B$30,0)),""))</f>
        <v/>
      </c>
      <c r="G1929" s="6" t="n"/>
      <c r="H1929" s="10">
        <f>IF(AND(B1929="",C1929=""),"",IF(G1929&lt;&gt;"","Void",IF(OR(B1929="",E1929=""),"Needs child",IF(D1929="","Needs level","OK"))))</f>
        <v/>
      </c>
    </row>
    <row r="1930">
      <c r="A1930" s="6" t="n"/>
      <c r="B1930" s="6" t="n"/>
      <c r="C1930" s="6" t="n"/>
      <c r="D1930" s="11">
        <f>IF(C1930="","",IFERROR(INDEX(Levels!$A$2:$A$30,MATCH(C1930,Levels!$B$2:$B$30,0)),""))</f>
        <v/>
      </c>
      <c r="E1930" s="10">
        <f>IF(B1930="","",IFERROR(INDEX(Roster!$A$2:$A$600,MATCH(B1930,Roster!$E$2:$E$600,0)),""))</f>
        <v/>
      </c>
      <c r="F1930" s="10">
        <f>IF(C1930="","",IFERROR(INDEX(Levels!$C$2:$C$30,MATCH(C1930,Levels!$B$2:$B$30,0)),""))</f>
        <v/>
      </c>
      <c r="G1930" s="6" t="n"/>
      <c r="H1930" s="10">
        <f>IF(AND(B1930="",C1930=""),"",IF(G1930&lt;&gt;"","Void",IF(OR(B1930="",E1930=""),"Needs child",IF(D1930="","Needs level","OK"))))</f>
        <v/>
      </c>
    </row>
    <row r="1931">
      <c r="A1931" s="6" t="n"/>
      <c r="B1931" s="6" t="n"/>
      <c r="C1931" s="6" t="n"/>
      <c r="D1931" s="11">
        <f>IF(C1931="","",IFERROR(INDEX(Levels!$A$2:$A$30,MATCH(C1931,Levels!$B$2:$B$30,0)),""))</f>
        <v/>
      </c>
      <c r="E1931" s="10">
        <f>IF(B1931="","",IFERROR(INDEX(Roster!$A$2:$A$600,MATCH(B1931,Roster!$E$2:$E$600,0)),""))</f>
        <v/>
      </c>
      <c r="F1931" s="10">
        <f>IF(C1931="","",IFERROR(INDEX(Levels!$C$2:$C$30,MATCH(C1931,Levels!$B$2:$B$30,0)),""))</f>
        <v/>
      </c>
      <c r="G1931" s="6" t="n"/>
      <c r="H1931" s="10">
        <f>IF(AND(B1931="",C1931=""),"",IF(G1931&lt;&gt;"","Void",IF(OR(B1931="",E1931=""),"Needs child",IF(D1931="","Needs level","OK"))))</f>
        <v/>
      </c>
    </row>
    <row r="1932">
      <c r="A1932" s="6" t="n"/>
      <c r="B1932" s="6" t="n"/>
      <c r="C1932" s="6" t="n"/>
      <c r="D1932" s="11">
        <f>IF(C1932="","",IFERROR(INDEX(Levels!$A$2:$A$30,MATCH(C1932,Levels!$B$2:$B$30,0)),""))</f>
        <v/>
      </c>
      <c r="E1932" s="10">
        <f>IF(B1932="","",IFERROR(INDEX(Roster!$A$2:$A$600,MATCH(B1932,Roster!$E$2:$E$600,0)),""))</f>
        <v/>
      </c>
      <c r="F1932" s="10">
        <f>IF(C1932="","",IFERROR(INDEX(Levels!$C$2:$C$30,MATCH(C1932,Levels!$B$2:$B$30,0)),""))</f>
        <v/>
      </c>
      <c r="G1932" s="6" t="n"/>
      <c r="H1932" s="10">
        <f>IF(AND(B1932="",C1932=""),"",IF(G1932&lt;&gt;"","Void",IF(OR(B1932="",E1932=""),"Needs child",IF(D1932="","Needs level","OK"))))</f>
        <v/>
      </c>
    </row>
    <row r="1933">
      <c r="A1933" s="6" t="n"/>
      <c r="B1933" s="6" t="n"/>
      <c r="C1933" s="6" t="n"/>
      <c r="D1933" s="11">
        <f>IF(C1933="","",IFERROR(INDEX(Levels!$A$2:$A$30,MATCH(C1933,Levels!$B$2:$B$30,0)),""))</f>
        <v/>
      </c>
      <c r="E1933" s="10">
        <f>IF(B1933="","",IFERROR(INDEX(Roster!$A$2:$A$600,MATCH(B1933,Roster!$E$2:$E$600,0)),""))</f>
        <v/>
      </c>
      <c r="F1933" s="10">
        <f>IF(C1933="","",IFERROR(INDEX(Levels!$C$2:$C$30,MATCH(C1933,Levels!$B$2:$B$30,0)),""))</f>
        <v/>
      </c>
      <c r="G1933" s="6" t="n"/>
      <c r="H1933" s="10">
        <f>IF(AND(B1933="",C1933=""),"",IF(G1933&lt;&gt;"","Void",IF(OR(B1933="",E1933=""),"Needs child",IF(D1933="","Needs level","OK"))))</f>
        <v/>
      </c>
    </row>
    <row r="1934">
      <c r="A1934" s="6" t="n"/>
      <c r="B1934" s="6" t="n"/>
      <c r="C1934" s="6" t="n"/>
      <c r="D1934" s="11">
        <f>IF(C1934="","",IFERROR(INDEX(Levels!$A$2:$A$30,MATCH(C1934,Levels!$B$2:$B$30,0)),""))</f>
        <v/>
      </c>
      <c r="E1934" s="10">
        <f>IF(B1934="","",IFERROR(INDEX(Roster!$A$2:$A$600,MATCH(B1934,Roster!$E$2:$E$600,0)),""))</f>
        <v/>
      </c>
      <c r="F1934" s="10">
        <f>IF(C1934="","",IFERROR(INDEX(Levels!$C$2:$C$30,MATCH(C1934,Levels!$B$2:$B$30,0)),""))</f>
        <v/>
      </c>
      <c r="G1934" s="6" t="n"/>
      <c r="H1934" s="10">
        <f>IF(AND(B1934="",C1934=""),"",IF(G1934&lt;&gt;"","Void",IF(OR(B1934="",E1934=""),"Needs child",IF(D1934="","Needs level","OK"))))</f>
        <v/>
      </c>
    </row>
    <row r="1935">
      <c r="A1935" s="6" t="n"/>
      <c r="B1935" s="6" t="n"/>
      <c r="C1935" s="6" t="n"/>
      <c r="D1935" s="11">
        <f>IF(C1935="","",IFERROR(INDEX(Levels!$A$2:$A$30,MATCH(C1935,Levels!$B$2:$B$30,0)),""))</f>
        <v/>
      </c>
      <c r="E1935" s="10">
        <f>IF(B1935="","",IFERROR(INDEX(Roster!$A$2:$A$600,MATCH(B1935,Roster!$E$2:$E$600,0)),""))</f>
        <v/>
      </c>
      <c r="F1935" s="10">
        <f>IF(C1935="","",IFERROR(INDEX(Levels!$C$2:$C$30,MATCH(C1935,Levels!$B$2:$B$30,0)),""))</f>
        <v/>
      </c>
      <c r="G1935" s="6" t="n"/>
      <c r="H1935" s="10">
        <f>IF(AND(B1935="",C1935=""),"",IF(G1935&lt;&gt;"","Void",IF(OR(B1935="",E1935=""),"Needs child",IF(D1935="","Needs level","OK"))))</f>
        <v/>
      </c>
    </row>
    <row r="1936">
      <c r="A1936" s="6" t="n"/>
      <c r="B1936" s="6" t="n"/>
      <c r="C1936" s="6" t="n"/>
      <c r="D1936" s="11">
        <f>IF(C1936="","",IFERROR(INDEX(Levels!$A$2:$A$30,MATCH(C1936,Levels!$B$2:$B$30,0)),""))</f>
        <v/>
      </c>
      <c r="E1936" s="10">
        <f>IF(B1936="","",IFERROR(INDEX(Roster!$A$2:$A$600,MATCH(B1936,Roster!$E$2:$E$600,0)),""))</f>
        <v/>
      </c>
      <c r="F1936" s="10">
        <f>IF(C1936="","",IFERROR(INDEX(Levels!$C$2:$C$30,MATCH(C1936,Levels!$B$2:$B$30,0)),""))</f>
        <v/>
      </c>
      <c r="G1936" s="6" t="n"/>
      <c r="H1936" s="10">
        <f>IF(AND(B1936="",C1936=""),"",IF(G1936&lt;&gt;"","Void",IF(OR(B1936="",E1936=""),"Needs child",IF(D1936="","Needs level","OK"))))</f>
        <v/>
      </c>
    </row>
    <row r="1937">
      <c r="A1937" s="6" t="n"/>
      <c r="B1937" s="6" t="n"/>
      <c r="C1937" s="6" t="n"/>
      <c r="D1937" s="11">
        <f>IF(C1937="","",IFERROR(INDEX(Levels!$A$2:$A$30,MATCH(C1937,Levels!$B$2:$B$30,0)),""))</f>
        <v/>
      </c>
      <c r="E1937" s="10">
        <f>IF(B1937="","",IFERROR(INDEX(Roster!$A$2:$A$600,MATCH(B1937,Roster!$E$2:$E$600,0)),""))</f>
        <v/>
      </c>
      <c r="F1937" s="10">
        <f>IF(C1937="","",IFERROR(INDEX(Levels!$C$2:$C$30,MATCH(C1937,Levels!$B$2:$B$30,0)),""))</f>
        <v/>
      </c>
      <c r="G1937" s="6" t="n"/>
      <c r="H1937" s="10">
        <f>IF(AND(B1937="",C1937=""),"",IF(G1937&lt;&gt;"","Void",IF(OR(B1937="",E1937=""),"Needs child",IF(D1937="","Needs level","OK"))))</f>
        <v/>
      </c>
    </row>
    <row r="1938">
      <c r="A1938" s="6" t="n"/>
      <c r="B1938" s="6" t="n"/>
      <c r="C1938" s="6" t="n"/>
      <c r="D1938" s="11">
        <f>IF(C1938="","",IFERROR(INDEX(Levels!$A$2:$A$30,MATCH(C1938,Levels!$B$2:$B$30,0)),""))</f>
        <v/>
      </c>
      <c r="E1938" s="10">
        <f>IF(B1938="","",IFERROR(INDEX(Roster!$A$2:$A$600,MATCH(B1938,Roster!$E$2:$E$600,0)),""))</f>
        <v/>
      </c>
      <c r="F1938" s="10">
        <f>IF(C1938="","",IFERROR(INDEX(Levels!$C$2:$C$30,MATCH(C1938,Levels!$B$2:$B$30,0)),""))</f>
        <v/>
      </c>
      <c r="G1938" s="6" t="n"/>
      <c r="H1938" s="10">
        <f>IF(AND(B1938="",C1938=""),"",IF(G1938&lt;&gt;"","Void",IF(OR(B1938="",E1938=""),"Needs child",IF(D1938="","Needs level","OK"))))</f>
        <v/>
      </c>
    </row>
    <row r="1939">
      <c r="A1939" s="6" t="n"/>
      <c r="B1939" s="6" t="n"/>
      <c r="C1939" s="6" t="n"/>
      <c r="D1939" s="11">
        <f>IF(C1939="","",IFERROR(INDEX(Levels!$A$2:$A$30,MATCH(C1939,Levels!$B$2:$B$30,0)),""))</f>
        <v/>
      </c>
      <c r="E1939" s="10">
        <f>IF(B1939="","",IFERROR(INDEX(Roster!$A$2:$A$600,MATCH(B1939,Roster!$E$2:$E$600,0)),""))</f>
        <v/>
      </c>
      <c r="F1939" s="10">
        <f>IF(C1939="","",IFERROR(INDEX(Levels!$C$2:$C$30,MATCH(C1939,Levels!$B$2:$B$30,0)),""))</f>
        <v/>
      </c>
      <c r="G1939" s="6" t="n"/>
      <c r="H1939" s="10">
        <f>IF(AND(B1939="",C1939=""),"",IF(G1939&lt;&gt;"","Void",IF(OR(B1939="",E1939=""),"Needs child",IF(D1939="","Needs level","OK"))))</f>
        <v/>
      </c>
    </row>
    <row r="1940">
      <c r="A1940" s="6" t="n"/>
      <c r="B1940" s="6" t="n"/>
      <c r="C1940" s="6" t="n"/>
      <c r="D1940" s="11">
        <f>IF(C1940="","",IFERROR(INDEX(Levels!$A$2:$A$30,MATCH(C1940,Levels!$B$2:$B$30,0)),""))</f>
        <v/>
      </c>
      <c r="E1940" s="10">
        <f>IF(B1940="","",IFERROR(INDEX(Roster!$A$2:$A$600,MATCH(B1940,Roster!$E$2:$E$600,0)),""))</f>
        <v/>
      </c>
      <c r="F1940" s="10">
        <f>IF(C1940="","",IFERROR(INDEX(Levels!$C$2:$C$30,MATCH(C1940,Levels!$B$2:$B$30,0)),""))</f>
        <v/>
      </c>
      <c r="G1940" s="6" t="n"/>
      <c r="H1940" s="10">
        <f>IF(AND(B1940="",C1940=""),"",IF(G1940&lt;&gt;"","Void",IF(OR(B1940="",E1940=""),"Needs child",IF(D1940="","Needs level","OK"))))</f>
        <v/>
      </c>
    </row>
    <row r="1941">
      <c r="A1941" s="6" t="n"/>
      <c r="B1941" s="6" t="n"/>
      <c r="C1941" s="6" t="n"/>
      <c r="D1941" s="11">
        <f>IF(C1941="","",IFERROR(INDEX(Levels!$A$2:$A$30,MATCH(C1941,Levels!$B$2:$B$30,0)),""))</f>
        <v/>
      </c>
      <c r="E1941" s="10">
        <f>IF(B1941="","",IFERROR(INDEX(Roster!$A$2:$A$600,MATCH(B1941,Roster!$E$2:$E$600,0)),""))</f>
        <v/>
      </c>
      <c r="F1941" s="10">
        <f>IF(C1941="","",IFERROR(INDEX(Levels!$C$2:$C$30,MATCH(C1941,Levels!$B$2:$B$30,0)),""))</f>
        <v/>
      </c>
      <c r="G1941" s="6" t="n"/>
      <c r="H1941" s="10">
        <f>IF(AND(B1941="",C1941=""),"",IF(G1941&lt;&gt;"","Void",IF(OR(B1941="",E1941=""),"Needs child",IF(D1941="","Needs level","OK"))))</f>
        <v/>
      </c>
    </row>
    <row r="1942">
      <c r="A1942" s="6" t="n"/>
      <c r="B1942" s="6" t="n"/>
      <c r="C1942" s="6" t="n"/>
      <c r="D1942" s="11">
        <f>IF(C1942="","",IFERROR(INDEX(Levels!$A$2:$A$30,MATCH(C1942,Levels!$B$2:$B$30,0)),""))</f>
        <v/>
      </c>
      <c r="E1942" s="10">
        <f>IF(B1942="","",IFERROR(INDEX(Roster!$A$2:$A$600,MATCH(B1942,Roster!$E$2:$E$600,0)),""))</f>
        <v/>
      </c>
      <c r="F1942" s="10">
        <f>IF(C1942="","",IFERROR(INDEX(Levels!$C$2:$C$30,MATCH(C1942,Levels!$B$2:$B$30,0)),""))</f>
        <v/>
      </c>
      <c r="G1942" s="6" t="n"/>
      <c r="H1942" s="10">
        <f>IF(AND(B1942="",C1942=""),"",IF(G1942&lt;&gt;"","Void",IF(OR(B1942="",E1942=""),"Needs child",IF(D1942="","Needs level","OK"))))</f>
        <v/>
      </c>
    </row>
    <row r="1943">
      <c r="A1943" s="6" t="n"/>
      <c r="B1943" s="6" t="n"/>
      <c r="C1943" s="6" t="n"/>
      <c r="D1943" s="11">
        <f>IF(C1943="","",IFERROR(INDEX(Levels!$A$2:$A$30,MATCH(C1943,Levels!$B$2:$B$30,0)),""))</f>
        <v/>
      </c>
      <c r="E1943" s="10">
        <f>IF(B1943="","",IFERROR(INDEX(Roster!$A$2:$A$600,MATCH(B1943,Roster!$E$2:$E$600,0)),""))</f>
        <v/>
      </c>
      <c r="F1943" s="10">
        <f>IF(C1943="","",IFERROR(INDEX(Levels!$C$2:$C$30,MATCH(C1943,Levels!$B$2:$B$30,0)),""))</f>
        <v/>
      </c>
      <c r="G1943" s="6" t="n"/>
      <c r="H1943" s="10">
        <f>IF(AND(B1943="",C1943=""),"",IF(G1943&lt;&gt;"","Void",IF(OR(B1943="",E1943=""),"Needs child",IF(D1943="","Needs level","OK"))))</f>
        <v/>
      </c>
    </row>
    <row r="1944">
      <c r="A1944" s="6" t="n"/>
      <c r="B1944" s="6" t="n"/>
      <c r="C1944" s="6" t="n"/>
      <c r="D1944" s="11">
        <f>IF(C1944="","",IFERROR(INDEX(Levels!$A$2:$A$30,MATCH(C1944,Levels!$B$2:$B$30,0)),""))</f>
        <v/>
      </c>
      <c r="E1944" s="10">
        <f>IF(B1944="","",IFERROR(INDEX(Roster!$A$2:$A$600,MATCH(B1944,Roster!$E$2:$E$600,0)),""))</f>
        <v/>
      </c>
      <c r="F1944" s="10">
        <f>IF(C1944="","",IFERROR(INDEX(Levels!$C$2:$C$30,MATCH(C1944,Levels!$B$2:$B$30,0)),""))</f>
        <v/>
      </c>
      <c r="G1944" s="6" t="n"/>
      <c r="H1944" s="10">
        <f>IF(AND(B1944="",C1944=""),"",IF(G1944&lt;&gt;"","Void",IF(OR(B1944="",E1944=""),"Needs child",IF(D1944="","Needs level","OK"))))</f>
        <v/>
      </c>
    </row>
    <row r="1945">
      <c r="A1945" s="6" t="n"/>
      <c r="B1945" s="6" t="n"/>
      <c r="C1945" s="6" t="n"/>
      <c r="D1945" s="11">
        <f>IF(C1945="","",IFERROR(INDEX(Levels!$A$2:$A$30,MATCH(C1945,Levels!$B$2:$B$30,0)),""))</f>
        <v/>
      </c>
      <c r="E1945" s="10">
        <f>IF(B1945="","",IFERROR(INDEX(Roster!$A$2:$A$600,MATCH(B1945,Roster!$E$2:$E$600,0)),""))</f>
        <v/>
      </c>
      <c r="F1945" s="10">
        <f>IF(C1945="","",IFERROR(INDEX(Levels!$C$2:$C$30,MATCH(C1945,Levels!$B$2:$B$30,0)),""))</f>
        <v/>
      </c>
      <c r="G1945" s="6" t="n"/>
      <c r="H1945" s="10">
        <f>IF(AND(B1945="",C1945=""),"",IF(G1945&lt;&gt;"","Void",IF(OR(B1945="",E1945=""),"Needs child",IF(D1945="","Needs level","OK"))))</f>
        <v/>
      </c>
    </row>
    <row r="1946">
      <c r="A1946" s="6" t="n"/>
      <c r="B1946" s="6" t="n"/>
      <c r="C1946" s="6" t="n"/>
      <c r="D1946" s="11">
        <f>IF(C1946="","",IFERROR(INDEX(Levels!$A$2:$A$30,MATCH(C1946,Levels!$B$2:$B$30,0)),""))</f>
        <v/>
      </c>
      <c r="E1946" s="10">
        <f>IF(B1946="","",IFERROR(INDEX(Roster!$A$2:$A$600,MATCH(B1946,Roster!$E$2:$E$600,0)),""))</f>
        <v/>
      </c>
      <c r="F1946" s="10">
        <f>IF(C1946="","",IFERROR(INDEX(Levels!$C$2:$C$30,MATCH(C1946,Levels!$B$2:$B$30,0)),""))</f>
        <v/>
      </c>
      <c r="G1946" s="6" t="n"/>
      <c r="H1946" s="10">
        <f>IF(AND(B1946="",C1946=""),"",IF(G1946&lt;&gt;"","Void",IF(OR(B1946="",E1946=""),"Needs child",IF(D1946="","Needs level","OK"))))</f>
        <v/>
      </c>
    </row>
    <row r="1947">
      <c r="A1947" s="6" t="n"/>
      <c r="B1947" s="6" t="n"/>
      <c r="C1947" s="6" t="n"/>
      <c r="D1947" s="11">
        <f>IF(C1947="","",IFERROR(INDEX(Levels!$A$2:$A$30,MATCH(C1947,Levels!$B$2:$B$30,0)),""))</f>
        <v/>
      </c>
      <c r="E1947" s="10">
        <f>IF(B1947="","",IFERROR(INDEX(Roster!$A$2:$A$600,MATCH(B1947,Roster!$E$2:$E$600,0)),""))</f>
        <v/>
      </c>
      <c r="F1947" s="10">
        <f>IF(C1947="","",IFERROR(INDEX(Levels!$C$2:$C$30,MATCH(C1947,Levels!$B$2:$B$30,0)),""))</f>
        <v/>
      </c>
      <c r="G1947" s="6" t="n"/>
      <c r="H1947" s="10">
        <f>IF(AND(B1947="",C1947=""),"",IF(G1947&lt;&gt;"","Void",IF(OR(B1947="",E1947=""),"Needs child",IF(D1947="","Needs level","OK"))))</f>
        <v/>
      </c>
    </row>
    <row r="1948">
      <c r="A1948" s="6" t="n"/>
      <c r="B1948" s="6" t="n"/>
      <c r="C1948" s="6" t="n"/>
      <c r="D1948" s="11">
        <f>IF(C1948="","",IFERROR(INDEX(Levels!$A$2:$A$30,MATCH(C1948,Levels!$B$2:$B$30,0)),""))</f>
        <v/>
      </c>
      <c r="E1948" s="10">
        <f>IF(B1948="","",IFERROR(INDEX(Roster!$A$2:$A$600,MATCH(B1948,Roster!$E$2:$E$600,0)),""))</f>
        <v/>
      </c>
      <c r="F1948" s="10">
        <f>IF(C1948="","",IFERROR(INDEX(Levels!$C$2:$C$30,MATCH(C1948,Levels!$B$2:$B$30,0)),""))</f>
        <v/>
      </c>
      <c r="G1948" s="6" t="n"/>
      <c r="H1948" s="10">
        <f>IF(AND(B1948="",C1948=""),"",IF(G1948&lt;&gt;"","Void",IF(OR(B1948="",E1948=""),"Needs child",IF(D1948="","Needs level","OK"))))</f>
        <v/>
      </c>
    </row>
    <row r="1949">
      <c r="A1949" s="6" t="n"/>
      <c r="B1949" s="6" t="n"/>
      <c r="C1949" s="6" t="n"/>
      <c r="D1949" s="11">
        <f>IF(C1949="","",IFERROR(INDEX(Levels!$A$2:$A$30,MATCH(C1949,Levels!$B$2:$B$30,0)),""))</f>
        <v/>
      </c>
      <c r="E1949" s="10">
        <f>IF(B1949="","",IFERROR(INDEX(Roster!$A$2:$A$600,MATCH(B1949,Roster!$E$2:$E$600,0)),""))</f>
        <v/>
      </c>
      <c r="F1949" s="10">
        <f>IF(C1949="","",IFERROR(INDEX(Levels!$C$2:$C$30,MATCH(C1949,Levels!$B$2:$B$30,0)),""))</f>
        <v/>
      </c>
      <c r="G1949" s="6" t="n"/>
      <c r="H1949" s="10">
        <f>IF(AND(B1949="",C1949=""),"",IF(G1949&lt;&gt;"","Void",IF(OR(B1949="",E1949=""),"Needs child",IF(D1949="","Needs level","OK"))))</f>
        <v/>
      </c>
    </row>
    <row r="1950">
      <c r="A1950" s="6" t="n"/>
      <c r="B1950" s="6" t="n"/>
      <c r="C1950" s="6" t="n"/>
      <c r="D1950" s="11">
        <f>IF(C1950="","",IFERROR(INDEX(Levels!$A$2:$A$30,MATCH(C1950,Levels!$B$2:$B$30,0)),""))</f>
        <v/>
      </c>
      <c r="E1950" s="10">
        <f>IF(B1950="","",IFERROR(INDEX(Roster!$A$2:$A$600,MATCH(B1950,Roster!$E$2:$E$600,0)),""))</f>
        <v/>
      </c>
      <c r="F1950" s="10">
        <f>IF(C1950="","",IFERROR(INDEX(Levels!$C$2:$C$30,MATCH(C1950,Levels!$B$2:$B$30,0)),""))</f>
        <v/>
      </c>
      <c r="G1950" s="6" t="n"/>
      <c r="H1950" s="10">
        <f>IF(AND(B1950="",C1950=""),"",IF(G1950&lt;&gt;"","Void",IF(OR(B1950="",E1950=""),"Needs child",IF(D1950="","Needs level","OK"))))</f>
        <v/>
      </c>
    </row>
    <row r="1951">
      <c r="A1951" s="6" t="n"/>
      <c r="B1951" s="6" t="n"/>
      <c r="C1951" s="6" t="n"/>
      <c r="D1951" s="11">
        <f>IF(C1951="","",IFERROR(INDEX(Levels!$A$2:$A$30,MATCH(C1951,Levels!$B$2:$B$30,0)),""))</f>
        <v/>
      </c>
      <c r="E1951" s="10">
        <f>IF(B1951="","",IFERROR(INDEX(Roster!$A$2:$A$600,MATCH(B1951,Roster!$E$2:$E$600,0)),""))</f>
        <v/>
      </c>
      <c r="F1951" s="10">
        <f>IF(C1951="","",IFERROR(INDEX(Levels!$C$2:$C$30,MATCH(C1951,Levels!$B$2:$B$30,0)),""))</f>
        <v/>
      </c>
      <c r="G1951" s="6" t="n"/>
      <c r="H1951" s="10">
        <f>IF(AND(B1951="",C1951=""),"",IF(G1951&lt;&gt;"","Void",IF(OR(B1951="",E1951=""),"Needs child",IF(D1951="","Needs level","OK"))))</f>
        <v/>
      </c>
    </row>
    <row r="1952">
      <c r="A1952" s="6" t="n"/>
      <c r="B1952" s="6" t="n"/>
      <c r="C1952" s="6" t="n"/>
      <c r="D1952" s="11">
        <f>IF(C1952="","",IFERROR(INDEX(Levels!$A$2:$A$30,MATCH(C1952,Levels!$B$2:$B$30,0)),""))</f>
        <v/>
      </c>
      <c r="E1952" s="10">
        <f>IF(B1952="","",IFERROR(INDEX(Roster!$A$2:$A$600,MATCH(B1952,Roster!$E$2:$E$600,0)),""))</f>
        <v/>
      </c>
      <c r="F1952" s="10">
        <f>IF(C1952="","",IFERROR(INDEX(Levels!$C$2:$C$30,MATCH(C1952,Levels!$B$2:$B$30,0)),""))</f>
        <v/>
      </c>
      <c r="G1952" s="6" t="n"/>
      <c r="H1952" s="10">
        <f>IF(AND(B1952="",C1952=""),"",IF(G1952&lt;&gt;"","Void",IF(OR(B1952="",E1952=""),"Needs child",IF(D1952="","Needs level","OK"))))</f>
        <v/>
      </c>
    </row>
    <row r="1953">
      <c r="A1953" s="6" t="n"/>
      <c r="B1953" s="6" t="n"/>
      <c r="C1953" s="6" t="n"/>
      <c r="D1953" s="11">
        <f>IF(C1953="","",IFERROR(INDEX(Levels!$A$2:$A$30,MATCH(C1953,Levels!$B$2:$B$30,0)),""))</f>
        <v/>
      </c>
      <c r="E1953" s="10">
        <f>IF(B1953="","",IFERROR(INDEX(Roster!$A$2:$A$600,MATCH(B1953,Roster!$E$2:$E$600,0)),""))</f>
        <v/>
      </c>
      <c r="F1953" s="10">
        <f>IF(C1953="","",IFERROR(INDEX(Levels!$C$2:$C$30,MATCH(C1953,Levels!$B$2:$B$30,0)),""))</f>
        <v/>
      </c>
      <c r="G1953" s="6" t="n"/>
      <c r="H1953" s="10">
        <f>IF(AND(B1953="",C1953=""),"",IF(G1953&lt;&gt;"","Void",IF(OR(B1953="",E1953=""),"Needs child",IF(D1953="","Needs level","OK"))))</f>
        <v/>
      </c>
    </row>
    <row r="1954">
      <c r="A1954" s="6" t="n"/>
      <c r="B1954" s="6" t="n"/>
      <c r="C1954" s="6" t="n"/>
      <c r="D1954" s="11">
        <f>IF(C1954="","",IFERROR(INDEX(Levels!$A$2:$A$30,MATCH(C1954,Levels!$B$2:$B$30,0)),""))</f>
        <v/>
      </c>
      <c r="E1954" s="10">
        <f>IF(B1954="","",IFERROR(INDEX(Roster!$A$2:$A$600,MATCH(B1954,Roster!$E$2:$E$600,0)),""))</f>
        <v/>
      </c>
      <c r="F1954" s="10">
        <f>IF(C1954="","",IFERROR(INDEX(Levels!$C$2:$C$30,MATCH(C1954,Levels!$B$2:$B$30,0)),""))</f>
        <v/>
      </c>
      <c r="G1954" s="6" t="n"/>
      <c r="H1954" s="10">
        <f>IF(AND(B1954="",C1954=""),"",IF(G1954&lt;&gt;"","Void",IF(OR(B1954="",E1954=""),"Needs child",IF(D1954="","Needs level","OK"))))</f>
        <v/>
      </c>
    </row>
    <row r="1955">
      <c r="A1955" s="6" t="n"/>
      <c r="B1955" s="6" t="n"/>
      <c r="C1955" s="6" t="n"/>
      <c r="D1955" s="11">
        <f>IF(C1955="","",IFERROR(INDEX(Levels!$A$2:$A$30,MATCH(C1955,Levels!$B$2:$B$30,0)),""))</f>
        <v/>
      </c>
      <c r="E1955" s="10">
        <f>IF(B1955="","",IFERROR(INDEX(Roster!$A$2:$A$600,MATCH(B1955,Roster!$E$2:$E$600,0)),""))</f>
        <v/>
      </c>
      <c r="F1955" s="10">
        <f>IF(C1955="","",IFERROR(INDEX(Levels!$C$2:$C$30,MATCH(C1955,Levels!$B$2:$B$30,0)),""))</f>
        <v/>
      </c>
      <c r="G1955" s="6" t="n"/>
      <c r="H1955" s="10">
        <f>IF(AND(B1955="",C1955=""),"",IF(G1955&lt;&gt;"","Void",IF(OR(B1955="",E1955=""),"Needs child",IF(D1955="","Needs level","OK"))))</f>
        <v/>
      </c>
    </row>
    <row r="1956">
      <c r="A1956" s="6" t="n"/>
      <c r="B1956" s="6" t="n"/>
      <c r="C1956" s="6" t="n"/>
      <c r="D1956" s="11">
        <f>IF(C1956="","",IFERROR(INDEX(Levels!$A$2:$A$30,MATCH(C1956,Levels!$B$2:$B$30,0)),""))</f>
        <v/>
      </c>
      <c r="E1956" s="10">
        <f>IF(B1956="","",IFERROR(INDEX(Roster!$A$2:$A$600,MATCH(B1956,Roster!$E$2:$E$600,0)),""))</f>
        <v/>
      </c>
      <c r="F1956" s="10">
        <f>IF(C1956="","",IFERROR(INDEX(Levels!$C$2:$C$30,MATCH(C1956,Levels!$B$2:$B$30,0)),""))</f>
        <v/>
      </c>
      <c r="G1956" s="6" t="n"/>
      <c r="H1956" s="10">
        <f>IF(AND(B1956="",C1956=""),"",IF(G1956&lt;&gt;"","Void",IF(OR(B1956="",E1956=""),"Needs child",IF(D1956="","Needs level","OK"))))</f>
        <v/>
      </c>
    </row>
    <row r="1957">
      <c r="A1957" s="6" t="n"/>
      <c r="B1957" s="6" t="n"/>
      <c r="C1957" s="6" t="n"/>
      <c r="D1957" s="11">
        <f>IF(C1957="","",IFERROR(INDEX(Levels!$A$2:$A$30,MATCH(C1957,Levels!$B$2:$B$30,0)),""))</f>
        <v/>
      </c>
      <c r="E1957" s="10">
        <f>IF(B1957="","",IFERROR(INDEX(Roster!$A$2:$A$600,MATCH(B1957,Roster!$E$2:$E$600,0)),""))</f>
        <v/>
      </c>
      <c r="F1957" s="10">
        <f>IF(C1957="","",IFERROR(INDEX(Levels!$C$2:$C$30,MATCH(C1957,Levels!$B$2:$B$30,0)),""))</f>
        <v/>
      </c>
      <c r="G1957" s="6" t="n"/>
      <c r="H1957" s="10">
        <f>IF(AND(B1957="",C1957=""),"",IF(G1957&lt;&gt;"","Void",IF(OR(B1957="",E1957=""),"Needs child",IF(D1957="","Needs level","OK"))))</f>
        <v/>
      </c>
    </row>
    <row r="1958">
      <c r="A1958" s="6" t="n"/>
      <c r="B1958" s="6" t="n"/>
      <c r="C1958" s="6" t="n"/>
      <c r="D1958" s="11">
        <f>IF(C1958="","",IFERROR(INDEX(Levels!$A$2:$A$30,MATCH(C1958,Levels!$B$2:$B$30,0)),""))</f>
        <v/>
      </c>
      <c r="E1958" s="10">
        <f>IF(B1958="","",IFERROR(INDEX(Roster!$A$2:$A$600,MATCH(B1958,Roster!$E$2:$E$600,0)),""))</f>
        <v/>
      </c>
      <c r="F1958" s="10">
        <f>IF(C1958="","",IFERROR(INDEX(Levels!$C$2:$C$30,MATCH(C1958,Levels!$B$2:$B$30,0)),""))</f>
        <v/>
      </c>
      <c r="G1958" s="6" t="n"/>
      <c r="H1958" s="10">
        <f>IF(AND(B1958="",C1958=""),"",IF(G1958&lt;&gt;"","Void",IF(OR(B1958="",E1958=""),"Needs child",IF(D1958="","Needs level","OK"))))</f>
        <v/>
      </c>
    </row>
    <row r="1959">
      <c r="A1959" s="6" t="n"/>
      <c r="B1959" s="6" t="n"/>
      <c r="C1959" s="6" t="n"/>
      <c r="D1959" s="11">
        <f>IF(C1959="","",IFERROR(INDEX(Levels!$A$2:$A$30,MATCH(C1959,Levels!$B$2:$B$30,0)),""))</f>
        <v/>
      </c>
      <c r="E1959" s="10">
        <f>IF(B1959="","",IFERROR(INDEX(Roster!$A$2:$A$600,MATCH(B1959,Roster!$E$2:$E$600,0)),""))</f>
        <v/>
      </c>
      <c r="F1959" s="10">
        <f>IF(C1959="","",IFERROR(INDEX(Levels!$C$2:$C$30,MATCH(C1959,Levels!$B$2:$B$30,0)),""))</f>
        <v/>
      </c>
      <c r="G1959" s="6" t="n"/>
      <c r="H1959" s="10">
        <f>IF(AND(B1959="",C1959=""),"",IF(G1959&lt;&gt;"","Void",IF(OR(B1959="",E1959=""),"Needs child",IF(D1959="","Needs level","OK"))))</f>
        <v/>
      </c>
    </row>
    <row r="1960">
      <c r="A1960" s="6" t="n"/>
      <c r="B1960" s="6" t="n"/>
      <c r="C1960" s="6" t="n"/>
      <c r="D1960" s="11">
        <f>IF(C1960="","",IFERROR(INDEX(Levels!$A$2:$A$30,MATCH(C1960,Levels!$B$2:$B$30,0)),""))</f>
        <v/>
      </c>
      <c r="E1960" s="10">
        <f>IF(B1960="","",IFERROR(INDEX(Roster!$A$2:$A$600,MATCH(B1960,Roster!$E$2:$E$600,0)),""))</f>
        <v/>
      </c>
      <c r="F1960" s="10">
        <f>IF(C1960="","",IFERROR(INDEX(Levels!$C$2:$C$30,MATCH(C1960,Levels!$B$2:$B$30,0)),""))</f>
        <v/>
      </c>
      <c r="G1960" s="6" t="n"/>
      <c r="H1960" s="10">
        <f>IF(AND(B1960="",C1960=""),"",IF(G1960&lt;&gt;"","Void",IF(OR(B1960="",E1960=""),"Needs child",IF(D1960="","Needs level","OK"))))</f>
        <v/>
      </c>
    </row>
    <row r="1961">
      <c r="A1961" s="6" t="n"/>
      <c r="B1961" s="6" t="n"/>
      <c r="C1961" s="6" t="n"/>
      <c r="D1961" s="11">
        <f>IF(C1961="","",IFERROR(INDEX(Levels!$A$2:$A$30,MATCH(C1961,Levels!$B$2:$B$30,0)),""))</f>
        <v/>
      </c>
      <c r="E1961" s="10">
        <f>IF(B1961="","",IFERROR(INDEX(Roster!$A$2:$A$600,MATCH(B1961,Roster!$E$2:$E$600,0)),""))</f>
        <v/>
      </c>
      <c r="F1961" s="10">
        <f>IF(C1961="","",IFERROR(INDEX(Levels!$C$2:$C$30,MATCH(C1961,Levels!$B$2:$B$30,0)),""))</f>
        <v/>
      </c>
      <c r="G1961" s="6" t="n"/>
      <c r="H1961" s="10">
        <f>IF(AND(B1961="",C1961=""),"",IF(G1961&lt;&gt;"","Void",IF(OR(B1961="",E1961=""),"Needs child",IF(D1961="","Needs level","OK"))))</f>
        <v/>
      </c>
    </row>
    <row r="1962">
      <c r="A1962" s="6" t="n"/>
      <c r="B1962" s="6" t="n"/>
      <c r="C1962" s="6" t="n"/>
      <c r="D1962" s="11">
        <f>IF(C1962="","",IFERROR(INDEX(Levels!$A$2:$A$30,MATCH(C1962,Levels!$B$2:$B$30,0)),""))</f>
        <v/>
      </c>
      <c r="E1962" s="10">
        <f>IF(B1962="","",IFERROR(INDEX(Roster!$A$2:$A$600,MATCH(B1962,Roster!$E$2:$E$600,0)),""))</f>
        <v/>
      </c>
      <c r="F1962" s="10">
        <f>IF(C1962="","",IFERROR(INDEX(Levels!$C$2:$C$30,MATCH(C1962,Levels!$B$2:$B$30,0)),""))</f>
        <v/>
      </c>
      <c r="G1962" s="6" t="n"/>
      <c r="H1962" s="10">
        <f>IF(AND(B1962="",C1962=""),"",IF(G1962&lt;&gt;"","Void",IF(OR(B1962="",E1962=""),"Needs child",IF(D1962="","Needs level","OK"))))</f>
        <v/>
      </c>
    </row>
    <row r="1963">
      <c r="A1963" s="6" t="n"/>
      <c r="B1963" s="6" t="n"/>
      <c r="C1963" s="6" t="n"/>
      <c r="D1963" s="11">
        <f>IF(C1963="","",IFERROR(INDEX(Levels!$A$2:$A$30,MATCH(C1963,Levels!$B$2:$B$30,0)),""))</f>
        <v/>
      </c>
      <c r="E1963" s="10">
        <f>IF(B1963="","",IFERROR(INDEX(Roster!$A$2:$A$600,MATCH(B1963,Roster!$E$2:$E$600,0)),""))</f>
        <v/>
      </c>
      <c r="F1963" s="10">
        <f>IF(C1963="","",IFERROR(INDEX(Levels!$C$2:$C$30,MATCH(C1963,Levels!$B$2:$B$30,0)),""))</f>
        <v/>
      </c>
      <c r="G1963" s="6" t="n"/>
      <c r="H1963" s="10">
        <f>IF(AND(B1963="",C1963=""),"",IF(G1963&lt;&gt;"","Void",IF(OR(B1963="",E1963=""),"Needs child",IF(D1963="","Needs level","OK"))))</f>
        <v/>
      </c>
    </row>
    <row r="1964">
      <c r="A1964" s="6" t="n"/>
      <c r="B1964" s="6" t="n"/>
      <c r="C1964" s="6" t="n"/>
      <c r="D1964" s="11">
        <f>IF(C1964="","",IFERROR(INDEX(Levels!$A$2:$A$30,MATCH(C1964,Levels!$B$2:$B$30,0)),""))</f>
        <v/>
      </c>
      <c r="E1964" s="10">
        <f>IF(B1964="","",IFERROR(INDEX(Roster!$A$2:$A$600,MATCH(B1964,Roster!$E$2:$E$600,0)),""))</f>
        <v/>
      </c>
      <c r="F1964" s="10">
        <f>IF(C1964="","",IFERROR(INDEX(Levels!$C$2:$C$30,MATCH(C1964,Levels!$B$2:$B$30,0)),""))</f>
        <v/>
      </c>
      <c r="G1964" s="6" t="n"/>
      <c r="H1964" s="10">
        <f>IF(AND(B1964="",C1964=""),"",IF(G1964&lt;&gt;"","Void",IF(OR(B1964="",E1964=""),"Needs child",IF(D1964="","Needs level","OK"))))</f>
        <v/>
      </c>
    </row>
    <row r="1965">
      <c r="A1965" s="6" t="n"/>
      <c r="B1965" s="6" t="n"/>
      <c r="C1965" s="6" t="n"/>
      <c r="D1965" s="11">
        <f>IF(C1965="","",IFERROR(INDEX(Levels!$A$2:$A$30,MATCH(C1965,Levels!$B$2:$B$30,0)),""))</f>
        <v/>
      </c>
      <c r="E1965" s="10">
        <f>IF(B1965="","",IFERROR(INDEX(Roster!$A$2:$A$600,MATCH(B1965,Roster!$E$2:$E$600,0)),""))</f>
        <v/>
      </c>
      <c r="F1965" s="10">
        <f>IF(C1965="","",IFERROR(INDEX(Levels!$C$2:$C$30,MATCH(C1965,Levels!$B$2:$B$30,0)),""))</f>
        <v/>
      </c>
      <c r="G1965" s="6" t="n"/>
      <c r="H1965" s="10">
        <f>IF(AND(B1965="",C1965=""),"",IF(G1965&lt;&gt;"","Void",IF(OR(B1965="",E1965=""),"Needs child",IF(D1965="","Needs level","OK"))))</f>
        <v/>
      </c>
    </row>
    <row r="1966">
      <c r="A1966" s="6" t="n"/>
      <c r="B1966" s="6" t="n"/>
      <c r="C1966" s="6" t="n"/>
      <c r="D1966" s="11">
        <f>IF(C1966="","",IFERROR(INDEX(Levels!$A$2:$A$30,MATCH(C1966,Levels!$B$2:$B$30,0)),""))</f>
        <v/>
      </c>
      <c r="E1966" s="10">
        <f>IF(B1966="","",IFERROR(INDEX(Roster!$A$2:$A$600,MATCH(B1966,Roster!$E$2:$E$600,0)),""))</f>
        <v/>
      </c>
      <c r="F1966" s="10">
        <f>IF(C1966="","",IFERROR(INDEX(Levels!$C$2:$C$30,MATCH(C1966,Levels!$B$2:$B$30,0)),""))</f>
        <v/>
      </c>
      <c r="G1966" s="6" t="n"/>
      <c r="H1966" s="10">
        <f>IF(AND(B1966="",C1966=""),"",IF(G1966&lt;&gt;"","Void",IF(OR(B1966="",E1966=""),"Needs child",IF(D1966="","Needs level","OK"))))</f>
        <v/>
      </c>
    </row>
    <row r="1967">
      <c r="A1967" s="6" t="n"/>
      <c r="B1967" s="6" t="n"/>
      <c r="C1967" s="6" t="n"/>
      <c r="D1967" s="11">
        <f>IF(C1967="","",IFERROR(INDEX(Levels!$A$2:$A$30,MATCH(C1967,Levels!$B$2:$B$30,0)),""))</f>
        <v/>
      </c>
      <c r="E1967" s="10">
        <f>IF(B1967="","",IFERROR(INDEX(Roster!$A$2:$A$600,MATCH(B1967,Roster!$E$2:$E$600,0)),""))</f>
        <v/>
      </c>
      <c r="F1967" s="10">
        <f>IF(C1967="","",IFERROR(INDEX(Levels!$C$2:$C$30,MATCH(C1967,Levels!$B$2:$B$30,0)),""))</f>
        <v/>
      </c>
      <c r="G1967" s="6" t="n"/>
      <c r="H1967" s="10">
        <f>IF(AND(B1967="",C1967=""),"",IF(G1967&lt;&gt;"","Void",IF(OR(B1967="",E1967=""),"Needs child",IF(D1967="","Needs level","OK"))))</f>
        <v/>
      </c>
    </row>
    <row r="1968">
      <c r="A1968" s="6" t="n"/>
      <c r="B1968" s="6" t="n"/>
      <c r="C1968" s="6" t="n"/>
      <c r="D1968" s="11">
        <f>IF(C1968="","",IFERROR(INDEX(Levels!$A$2:$A$30,MATCH(C1968,Levels!$B$2:$B$30,0)),""))</f>
        <v/>
      </c>
      <c r="E1968" s="10">
        <f>IF(B1968="","",IFERROR(INDEX(Roster!$A$2:$A$600,MATCH(B1968,Roster!$E$2:$E$600,0)),""))</f>
        <v/>
      </c>
      <c r="F1968" s="10">
        <f>IF(C1968="","",IFERROR(INDEX(Levels!$C$2:$C$30,MATCH(C1968,Levels!$B$2:$B$30,0)),""))</f>
        <v/>
      </c>
      <c r="G1968" s="6" t="n"/>
      <c r="H1968" s="10">
        <f>IF(AND(B1968="",C1968=""),"",IF(G1968&lt;&gt;"","Void",IF(OR(B1968="",E1968=""),"Needs child",IF(D1968="","Needs level","OK"))))</f>
        <v/>
      </c>
    </row>
    <row r="1969">
      <c r="A1969" s="6" t="n"/>
      <c r="B1969" s="6" t="n"/>
      <c r="C1969" s="6" t="n"/>
      <c r="D1969" s="11">
        <f>IF(C1969="","",IFERROR(INDEX(Levels!$A$2:$A$30,MATCH(C1969,Levels!$B$2:$B$30,0)),""))</f>
        <v/>
      </c>
      <c r="E1969" s="10">
        <f>IF(B1969="","",IFERROR(INDEX(Roster!$A$2:$A$600,MATCH(B1969,Roster!$E$2:$E$600,0)),""))</f>
        <v/>
      </c>
      <c r="F1969" s="10">
        <f>IF(C1969="","",IFERROR(INDEX(Levels!$C$2:$C$30,MATCH(C1969,Levels!$B$2:$B$30,0)),""))</f>
        <v/>
      </c>
      <c r="G1969" s="6" t="n"/>
      <c r="H1969" s="10">
        <f>IF(AND(B1969="",C1969=""),"",IF(G1969&lt;&gt;"","Void",IF(OR(B1969="",E1969=""),"Needs child",IF(D1969="","Needs level","OK"))))</f>
        <v/>
      </c>
    </row>
    <row r="1970">
      <c r="A1970" s="6" t="n"/>
      <c r="B1970" s="6" t="n"/>
      <c r="C1970" s="6" t="n"/>
      <c r="D1970" s="11">
        <f>IF(C1970="","",IFERROR(INDEX(Levels!$A$2:$A$30,MATCH(C1970,Levels!$B$2:$B$30,0)),""))</f>
        <v/>
      </c>
      <c r="E1970" s="10">
        <f>IF(B1970="","",IFERROR(INDEX(Roster!$A$2:$A$600,MATCH(B1970,Roster!$E$2:$E$600,0)),""))</f>
        <v/>
      </c>
      <c r="F1970" s="10">
        <f>IF(C1970="","",IFERROR(INDEX(Levels!$C$2:$C$30,MATCH(C1970,Levels!$B$2:$B$30,0)),""))</f>
        <v/>
      </c>
      <c r="G1970" s="6" t="n"/>
      <c r="H1970" s="10">
        <f>IF(AND(B1970="",C1970=""),"",IF(G1970&lt;&gt;"","Void",IF(OR(B1970="",E1970=""),"Needs child",IF(D1970="","Needs level","OK"))))</f>
        <v/>
      </c>
    </row>
    <row r="1971">
      <c r="A1971" s="6" t="n"/>
      <c r="B1971" s="6" t="n"/>
      <c r="C1971" s="6" t="n"/>
      <c r="D1971" s="11">
        <f>IF(C1971="","",IFERROR(INDEX(Levels!$A$2:$A$30,MATCH(C1971,Levels!$B$2:$B$30,0)),""))</f>
        <v/>
      </c>
      <c r="E1971" s="10">
        <f>IF(B1971="","",IFERROR(INDEX(Roster!$A$2:$A$600,MATCH(B1971,Roster!$E$2:$E$600,0)),""))</f>
        <v/>
      </c>
      <c r="F1971" s="10">
        <f>IF(C1971="","",IFERROR(INDEX(Levels!$C$2:$C$30,MATCH(C1971,Levels!$B$2:$B$30,0)),""))</f>
        <v/>
      </c>
      <c r="G1971" s="6" t="n"/>
      <c r="H1971" s="10">
        <f>IF(AND(B1971="",C1971=""),"",IF(G1971&lt;&gt;"","Void",IF(OR(B1971="",E1971=""),"Needs child",IF(D1971="","Needs level","OK"))))</f>
        <v/>
      </c>
    </row>
    <row r="1972">
      <c r="A1972" s="6" t="n"/>
      <c r="B1972" s="6" t="n"/>
      <c r="C1972" s="6" t="n"/>
      <c r="D1972" s="11">
        <f>IF(C1972="","",IFERROR(INDEX(Levels!$A$2:$A$30,MATCH(C1972,Levels!$B$2:$B$30,0)),""))</f>
        <v/>
      </c>
      <c r="E1972" s="10">
        <f>IF(B1972="","",IFERROR(INDEX(Roster!$A$2:$A$600,MATCH(B1972,Roster!$E$2:$E$600,0)),""))</f>
        <v/>
      </c>
      <c r="F1972" s="10">
        <f>IF(C1972="","",IFERROR(INDEX(Levels!$C$2:$C$30,MATCH(C1972,Levels!$B$2:$B$30,0)),""))</f>
        <v/>
      </c>
      <c r="G1972" s="6" t="n"/>
      <c r="H1972" s="10">
        <f>IF(AND(B1972="",C1972=""),"",IF(G1972&lt;&gt;"","Void",IF(OR(B1972="",E1972=""),"Needs child",IF(D1972="","Needs level","OK"))))</f>
        <v/>
      </c>
    </row>
    <row r="1973">
      <c r="A1973" s="6" t="n"/>
      <c r="B1973" s="6" t="n"/>
      <c r="C1973" s="6" t="n"/>
      <c r="D1973" s="11">
        <f>IF(C1973="","",IFERROR(INDEX(Levels!$A$2:$A$30,MATCH(C1973,Levels!$B$2:$B$30,0)),""))</f>
        <v/>
      </c>
      <c r="E1973" s="10">
        <f>IF(B1973="","",IFERROR(INDEX(Roster!$A$2:$A$600,MATCH(B1973,Roster!$E$2:$E$600,0)),""))</f>
        <v/>
      </c>
      <c r="F1973" s="10">
        <f>IF(C1973="","",IFERROR(INDEX(Levels!$C$2:$C$30,MATCH(C1973,Levels!$B$2:$B$30,0)),""))</f>
        <v/>
      </c>
      <c r="G1973" s="6" t="n"/>
      <c r="H1973" s="10">
        <f>IF(AND(B1973="",C1973=""),"",IF(G1973&lt;&gt;"","Void",IF(OR(B1973="",E1973=""),"Needs child",IF(D1973="","Needs level","OK"))))</f>
        <v/>
      </c>
    </row>
    <row r="1974">
      <c r="A1974" s="6" t="n"/>
      <c r="B1974" s="6" t="n"/>
      <c r="C1974" s="6" t="n"/>
      <c r="D1974" s="11">
        <f>IF(C1974="","",IFERROR(INDEX(Levels!$A$2:$A$30,MATCH(C1974,Levels!$B$2:$B$30,0)),""))</f>
        <v/>
      </c>
      <c r="E1974" s="10">
        <f>IF(B1974="","",IFERROR(INDEX(Roster!$A$2:$A$600,MATCH(B1974,Roster!$E$2:$E$600,0)),""))</f>
        <v/>
      </c>
      <c r="F1974" s="10">
        <f>IF(C1974="","",IFERROR(INDEX(Levels!$C$2:$C$30,MATCH(C1974,Levels!$B$2:$B$30,0)),""))</f>
        <v/>
      </c>
      <c r="G1974" s="6" t="n"/>
      <c r="H1974" s="10">
        <f>IF(AND(B1974="",C1974=""),"",IF(G1974&lt;&gt;"","Void",IF(OR(B1974="",E1974=""),"Needs child",IF(D1974="","Needs level","OK"))))</f>
        <v/>
      </c>
    </row>
    <row r="1975">
      <c r="A1975" s="6" t="n"/>
      <c r="B1975" s="6" t="n"/>
      <c r="C1975" s="6" t="n"/>
      <c r="D1975" s="11">
        <f>IF(C1975="","",IFERROR(INDEX(Levels!$A$2:$A$30,MATCH(C1975,Levels!$B$2:$B$30,0)),""))</f>
        <v/>
      </c>
      <c r="E1975" s="10">
        <f>IF(B1975="","",IFERROR(INDEX(Roster!$A$2:$A$600,MATCH(B1975,Roster!$E$2:$E$600,0)),""))</f>
        <v/>
      </c>
      <c r="F1975" s="10">
        <f>IF(C1975="","",IFERROR(INDEX(Levels!$C$2:$C$30,MATCH(C1975,Levels!$B$2:$B$30,0)),""))</f>
        <v/>
      </c>
      <c r="G1975" s="6" t="n"/>
      <c r="H1975" s="10">
        <f>IF(AND(B1975="",C1975=""),"",IF(G1975&lt;&gt;"","Void",IF(OR(B1975="",E1975=""),"Needs child",IF(D1975="","Needs level","OK"))))</f>
        <v/>
      </c>
    </row>
    <row r="1976">
      <c r="A1976" s="6" t="n"/>
      <c r="B1976" s="6" t="n"/>
      <c r="C1976" s="6" t="n"/>
      <c r="D1976" s="11">
        <f>IF(C1976="","",IFERROR(INDEX(Levels!$A$2:$A$30,MATCH(C1976,Levels!$B$2:$B$30,0)),""))</f>
        <v/>
      </c>
      <c r="E1976" s="10">
        <f>IF(B1976="","",IFERROR(INDEX(Roster!$A$2:$A$600,MATCH(B1976,Roster!$E$2:$E$600,0)),""))</f>
        <v/>
      </c>
      <c r="F1976" s="10">
        <f>IF(C1976="","",IFERROR(INDEX(Levels!$C$2:$C$30,MATCH(C1976,Levels!$B$2:$B$30,0)),""))</f>
        <v/>
      </c>
      <c r="G1976" s="6" t="n"/>
      <c r="H1976" s="10">
        <f>IF(AND(B1976="",C1976=""),"",IF(G1976&lt;&gt;"","Void",IF(OR(B1976="",E1976=""),"Needs child",IF(D1976="","Needs level","OK"))))</f>
        <v/>
      </c>
    </row>
    <row r="1977">
      <c r="A1977" s="6" t="n"/>
      <c r="B1977" s="6" t="n"/>
      <c r="C1977" s="6" t="n"/>
      <c r="D1977" s="11">
        <f>IF(C1977="","",IFERROR(INDEX(Levels!$A$2:$A$30,MATCH(C1977,Levels!$B$2:$B$30,0)),""))</f>
        <v/>
      </c>
      <c r="E1977" s="10">
        <f>IF(B1977="","",IFERROR(INDEX(Roster!$A$2:$A$600,MATCH(B1977,Roster!$E$2:$E$600,0)),""))</f>
        <v/>
      </c>
      <c r="F1977" s="10">
        <f>IF(C1977="","",IFERROR(INDEX(Levels!$C$2:$C$30,MATCH(C1977,Levels!$B$2:$B$30,0)),""))</f>
        <v/>
      </c>
      <c r="G1977" s="6" t="n"/>
      <c r="H1977" s="10">
        <f>IF(AND(B1977="",C1977=""),"",IF(G1977&lt;&gt;"","Void",IF(OR(B1977="",E1977=""),"Needs child",IF(D1977="","Needs level","OK"))))</f>
        <v/>
      </c>
    </row>
    <row r="1978">
      <c r="A1978" s="6" t="n"/>
      <c r="B1978" s="6" t="n"/>
      <c r="C1978" s="6" t="n"/>
      <c r="D1978" s="11">
        <f>IF(C1978="","",IFERROR(INDEX(Levels!$A$2:$A$30,MATCH(C1978,Levels!$B$2:$B$30,0)),""))</f>
        <v/>
      </c>
      <c r="E1978" s="10">
        <f>IF(B1978="","",IFERROR(INDEX(Roster!$A$2:$A$600,MATCH(B1978,Roster!$E$2:$E$600,0)),""))</f>
        <v/>
      </c>
      <c r="F1978" s="10">
        <f>IF(C1978="","",IFERROR(INDEX(Levels!$C$2:$C$30,MATCH(C1978,Levels!$B$2:$B$30,0)),""))</f>
        <v/>
      </c>
      <c r="G1978" s="6" t="n"/>
      <c r="H1978" s="10">
        <f>IF(AND(B1978="",C1978=""),"",IF(G1978&lt;&gt;"","Void",IF(OR(B1978="",E1978=""),"Needs child",IF(D1978="","Needs level","OK"))))</f>
        <v/>
      </c>
    </row>
    <row r="1979">
      <c r="A1979" s="6" t="n"/>
      <c r="B1979" s="6" t="n"/>
      <c r="C1979" s="6" t="n"/>
      <c r="D1979" s="11">
        <f>IF(C1979="","",IFERROR(INDEX(Levels!$A$2:$A$30,MATCH(C1979,Levels!$B$2:$B$30,0)),""))</f>
        <v/>
      </c>
      <c r="E1979" s="10">
        <f>IF(B1979="","",IFERROR(INDEX(Roster!$A$2:$A$600,MATCH(B1979,Roster!$E$2:$E$600,0)),""))</f>
        <v/>
      </c>
      <c r="F1979" s="10">
        <f>IF(C1979="","",IFERROR(INDEX(Levels!$C$2:$C$30,MATCH(C1979,Levels!$B$2:$B$30,0)),""))</f>
        <v/>
      </c>
      <c r="G1979" s="6" t="n"/>
      <c r="H1979" s="10">
        <f>IF(AND(B1979="",C1979=""),"",IF(G1979&lt;&gt;"","Void",IF(OR(B1979="",E1979=""),"Needs child",IF(D1979="","Needs level","OK"))))</f>
        <v/>
      </c>
    </row>
    <row r="1980">
      <c r="A1980" s="6" t="n"/>
      <c r="B1980" s="6" t="n"/>
      <c r="C1980" s="6" t="n"/>
      <c r="D1980" s="11">
        <f>IF(C1980="","",IFERROR(INDEX(Levels!$A$2:$A$30,MATCH(C1980,Levels!$B$2:$B$30,0)),""))</f>
        <v/>
      </c>
      <c r="E1980" s="10">
        <f>IF(B1980="","",IFERROR(INDEX(Roster!$A$2:$A$600,MATCH(B1980,Roster!$E$2:$E$600,0)),""))</f>
        <v/>
      </c>
      <c r="F1980" s="10">
        <f>IF(C1980="","",IFERROR(INDEX(Levels!$C$2:$C$30,MATCH(C1980,Levels!$B$2:$B$30,0)),""))</f>
        <v/>
      </c>
      <c r="G1980" s="6" t="n"/>
      <c r="H1980" s="10">
        <f>IF(AND(B1980="",C1980=""),"",IF(G1980&lt;&gt;"","Void",IF(OR(B1980="",E1980=""),"Needs child",IF(D1980="","Needs level","OK"))))</f>
        <v/>
      </c>
    </row>
    <row r="1981">
      <c r="A1981" s="6" t="n"/>
      <c r="B1981" s="6" t="n"/>
      <c r="C1981" s="6" t="n"/>
      <c r="D1981" s="11">
        <f>IF(C1981="","",IFERROR(INDEX(Levels!$A$2:$A$30,MATCH(C1981,Levels!$B$2:$B$30,0)),""))</f>
        <v/>
      </c>
      <c r="E1981" s="10">
        <f>IF(B1981="","",IFERROR(INDEX(Roster!$A$2:$A$600,MATCH(B1981,Roster!$E$2:$E$600,0)),""))</f>
        <v/>
      </c>
      <c r="F1981" s="10">
        <f>IF(C1981="","",IFERROR(INDEX(Levels!$C$2:$C$30,MATCH(C1981,Levels!$B$2:$B$30,0)),""))</f>
        <v/>
      </c>
      <c r="G1981" s="6" t="n"/>
      <c r="H1981" s="10">
        <f>IF(AND(B1981="",C1981=""),"",IF(G1981&lt;&gt;"","Void",IF(OR(B1981="",E1981=""),"Needs child",IF(D1981="","Needs level","OK"))))</f>
        <v/>
      </c>
    </row>
    <row r="1982">
      <c r="A1982" s="6" t="n"/>
      <c r="B1982" s="6" t="n"/>
      <c r="C1982" s="6" t="n"/>
      <c r="D1982" s="11">
        <f>IF(C1982="","",IFERROR(INDEX(Levels!$A$2:$A$30,MATCH(C1982,Levels!$B$2:$B$30,0)),""))</f>
        <v/>
      </c>
      <c r="E1982" s="10">
        <f>IF(B1982="","",IFERROR(INDEX(Roster!$A$2:$A$600,MATCH(B1982,Roster!$E$2:$E$600,0)),""))</f>
        <v/>
      </c>
      <c r="F1982" s="10">
        <f>IF(C1982="","",IFERROR(INDEX(Levels!$C$2:$C$30,MATCH(C1982,Levels!$B$2:$B$30,0)),""))</f>
        <v/>
      </c>
      <c r="G1982" s="6" t="n"/>
      <c r="H1982" s="10">
        <f>IF(AND(B1982="",C1982=""),"",IF(G1982&lt;&gt;"","Void",IF(OR(B1982="",E1982=""),"Needs child",IF(D1982="","Needs level","OK"))))</f>
        <v/>
      </c>
    </row>
    <row r="1983">
      <c r="A1983" s="6" t="n"/>
      <c r="B1983" s="6" t="n"/>
      <c r="C1983" s="6" t="n"/>
      <c r="D1983" s="11">
        <f>IF(C1983="","",IFERROR(INDEX(Levels!$A$2:$A$30,MATCH(C1983,Levels!$B$2:$B$30,0)),""))</f>
        <v/>
      </c>
      <c r="E1983" s="10">
        <f>IF(B1983="","",IFERROR(INDEX(Roster!$A$2:$A$600,MATCH(B1983,Roster!$E$2:$E$600,0)),""))</f>
        <v/>
      </c>
      <c r="F1983" s="10">
        <f>IF(C1983="","",IFERROR(INDEX(Levels!$C$2:$C$30,MATCH(C1983,Levels!$B$2:$B$30,0)),""))</f>
        <v/>
      </c>
      <c r="G1983" s="6" t="n"/>
      <c r="H1983" s="10">
        <f>IF(AND(B1983="",C1983=""),"",IF(G1983&lt;&gt;"","Void",IF(OR(B1983="",E1983=""),"Needs child",IF(D1983="","Needs level","OK"))))</f>
        <v/>
      </c>
    </row>
    <row r="1984">
      <c r="A1984" s="6" t="n"/>
      <c r="B1984" s="6" t="n"/>
      <c r="C1984" s="6" t="n"/>
      <c r="D1984" s="11">
        <f>IF(C1984="","",IFERROR(INDEX(Levels!$A$2:$A$30,MATCH(C1984,Levels!$B$2:$B$30,0)),""))</f>
        <v/>
      </c>
      <c r="E1984" s="10">
        <f>IF(B1984="","",IFERROR(INDEX(Roster!$A$2:$A$600,MATCH(B1984,Roster!$E$2:$E$600,0)),""))</f>
        <v/>
      </c>
      <c r="F1984" s="10">
        <f>IF(C1984="","",IFERROR(INDEX(Levels!$C$2:$C$30,MATCH(C1984,Levels!$B$2:$B$30,0)),""))</f>
        <v/>
      </c>
      <c r="G1984" s="6" t="n"/>
      <c r="H1984" s="10">
        <f>IF(AND(B1984="",C1984=""),"",IF(G1984&lt;&gt;"","Void",IF(OR(B1984="",E1984=""),"Needs child",IF(D1984="","Needs level","OK"))))</f>
        <v/>
      </c>
    </row>
    <row r="1985">
      <c r="A1985" s="6" t="n"/>
      <c r="B1985" s="6" t="n"/>
      <c r="C1985" s="6" t="n"/>
      <c r="D1985" s="11">
        <f>IF(C1985="","",IFERROR(INDEX(Levels!$A$2:$A$30,MATCH(C1985,Levels!$B$2:$B$30,0)),""))</f>
        <v/>
      </c>
      <c r="E1985" s="10">
        <f>IF(B1985="","",IFERROR(INDEX(Roster!$A$2:$A$600,MATCH(B1985,Roster!$E$2:$E$600,0)),""))</f>
        <v/>
      </c>
      <c r="F1985" s="10">
        <f>IF(C1985="","",IFERROR(INDEX(Levels!$C$2:$C$30,MATCH(C1985,Levels!$B$2:$B$30,0)),""))</f>
        <v/>
      </c>
      <c r="G1985" s="6" t="n"/>
      <c r="H1985" s="10">
        <f>IF(AND(B1985="",C1985=""),"",IF(G1985&lt;&gt;"","Void",IF(OR(B1985="",E1985=""),"Needs child",IF(D1985="","Needs level","OK"))))</f>
        <v/>
      </c>
    </row>
    <row r="1986">
      <c r="A1986" s="6" t="n"/>
      <c r="B1986" s="6" t="n"/>
      <c r="C1986" s="6" t="n"/>
      <c r="D1986" s="11">
        <f>IF(C1986="","",IFERROR(INDEX(Levels!$A$2:$A$30,MATCH(C1986,Levels!$B$2:$B$30,0)),""))</f>
        <v/>
      </c>
      <c r="E1986" s="10">
        <f>IF(B1986="","",IFERROR(INDEX(Roster!$A$2:$A$600,MATCH(B1986,Roster!$E$2:$E$600,0)),""))</f>
        <v/>
      </c>
      <c r="F1986" s="10">
        <f>IF(C1986="","",IFERROR(INDEX(Levels!$C$2:$C$30,MATCH(C1986,Levels!$B$2:$B$30,0)),""))</f>
        <v/>
      </c>
      <c r="G1986" s="6" t="n"/>
      <c r="H1986" s="10">
        <f>IF(AND(B1986="",C1986=""),"",IF(G1986&lt;&gt;"","Void",IF(OR(B1986="",E1986=""),"Needs child",IF(D1986="","Needs level","OK"))))</f>
        <v/>
      </c>
    </row>
    <row r="1987">
      <c r="A1987" s="6" t="n"/>
      <c r="B1987" s="6" t="n"/>
      <c r="C1987" s="6" t="n"/>
      <c r="D1987" s="11">
        <f>IF(C1987="","",IFERROR(INDEX(Levels!$A$2:$A$30,MATCH(C1987,Levels!$B$2:$B$30,0)),""))</f>
        <v/>
      </c>
      <c r="E1987" s="10">
        <f>IF(B1987="","",IFERROR(INDEX(Roster!$A$2:$A$600,MATCH(B1987,Roster!$E$2:$E$600,0)),""))</f>
        <v/>
      </c>
      <c r="F1987" s="10">
        <f>IF(C1987="","",IFERROR(INDEX(Levels!$C$2:$C$30,MATCH(C1987,Levels!$B$2:$B$30,0)),""))</f>
        <v/>
      </c>
      <c r="G1987" s="6" t="n"/>
      <c r="H1987" s="10">
        <f>IF(AND(B1987="",C1987=""),"",IF(G1987&lt;&gt;"","Void",IF(OR(B1987="",E1987=""),"Needs child",IF(D1987="","Needs level","OK"))))</f>
        <v/>
      </c>
    </row>
    <row r="1988">
      <c r="A1988" s="6" t="n"/>
      <c r="B1988" s="6" t="n"/>
      <c r="C1988" s="6" t="n"/>
      <c r="D1988" s="11">
        <f>IF(C1988="","",IFERROR(INDEX(Levels!$A$2:$A$30,MATCH(C1988,Levels!$B$2:$B$30,0)),""))</f>
        <v/>
      </c>
      <c r="E1988" s="10">
        <f>IF(B1988="","",IFERROR(INDEX(Roster!$A$2:$A$600,MATCH(B1988,Roster!$E$2:$E$600,0)),""))</f>
        <v/>
      </c>
      <c r="F1988" s="10">
        <f>IF(C1988="","",IFERROR(INDEX(Levels!$C$2:$C$30,MATCH(C1988,Levels!$B$2:$B$30,0)),""))</f>
        <v/>
      </c>
      <c r="G1988" s="6" t="n"/>
      <c r="H1988" s="10">
        <f>IF(AND(B1988="",C1988=""),"",IF(G1988&lt;&gt;"","Void",IF(OR(B1988="",E1988=""),"Needs child",IF(D1988="","Needs level","OK"))))</f>
        <v/>
      </c>
    </row>
    <row r="1989">
      <c r="A1989" s="6" t="n"/>
      <c r="B1989" s="6" t="n"/>
      <c r="C1989" s="6" t="n"/>
      <c r="D1989" s="11">
        <f>IF(C1989="","",IFERROR(INDEX(Levels!$A$2:$A$30,MATCH(C1989,Levels!$B$2:$B$30,0)),""))</f>
        <v/>
      </c>
      <c r="E1989" s="10">
        <f>IF(B1989="","",IFERROR(INDEX(Roster!$A$2:$A$600,MATCH(B1989,Roster!$E$2:$E$600,0)),""))</f>
        <v/>
      </c>
      <c r="F1989" s="10">
        <f>IF(C1989="","",IFERROR(INDEX(Levels!$C$2:$C$30,MATCH(C1989,Levels!$B$2:$B$30,0)),""))</f>
        <v/>
      </c>
      <c r="G1989" s="6" t="n"/>
      <c r="H1989" s="10">
        <f>IF(AND(B1989="",C1989=""),"",IF(G1989&lt;&gt;"","Void",IF(OR(B1989="",E1989=""),"Needs child",IF(D1989="","Needs level","OK"))))</f>
        <v/>
      </c>
    </row>
    <row r="1990">
      <c r="A1990" s="6" t="n"/>
      <c r="B1990" s="6" t="n"/>
      <c r="C1990" s="6" t="n"/>
      <c r="D1990" s="11">
        <f>IF(C1990="","",IFERROR(INDEX(Levels!$A$2:$A$30,MATCH(C1990,Levels!$B$2:$B$30,0)),""))</f>
        <v/>
      </c>
      <c r="E1990" s="10">
        <f>IF(B1990="","",IFERROR(INDEX(Roster!$A$2:$A$600,MATCH(B1990,Roster!$E$2:$E$600,0)),""))</f>
        <v/>
      </c>
      <c r="F1990" s="10">
        <f>IF(C1990="","",IFERROR(INDEX(Levels!$C$2:$C$30,MATCH(C1990,Levels!$B$2:$B$30,0)),""))</f>
        <v/>
      </c>
      <c r="G1990" s="6" t="n"/>
      <c r="H1990" s="10">
        <f>IF(AND(B1990="",C1990=""),"",IF(G1990&lt;&gt;"","Void",IF(OR(B1990="",E1990=""),"Needs child",IF(D1990="","Needs level","OK"))))</f>
        <v/>
      </c>
    </row>
    <row r="1991">
      <c r="A1991" s="6" t="n"/>
      <c r="B1991" s="6" t="n"/>
      <c r="C1991" s="6" t="n"/>
      <c r="D1991" s="11">
        <f>IF(C1991="","",IFERROR(INDEX(Levels!$A$2:$A$30,MATCH(C1991,Levels!$B$2:$B$30,0)),""))</f>
        <v/>
      </c>
      <c r="E1991" s="10">
        <f>IF(B1991="","",IFERROR(INDEX(Roster!$A$2:$A$600,MATCH(B1991,Roster!$E$2:$E$600,0)),""))</f>
        <v/>
      </c>
      <c r="F1991" s="10">
        <f>IF(C1991="","",IFERROR(INDEX(Levels!$C$2:$C$30,MATCH(C1991,Levels!$B$2:$B$30,0)),""))</f>
        <v/>
      </c>
      <c r="G1991" s="6" t="n"/>
      <c r="H1991" s="10">
        <f>IF(AND(B1991="",C1991=""),"",IF(G1991&lt;&gt;"","Void",IF(OR(B1991="",E1991=""),"Needs child",IF(D1991="","Needs level","OK"))))</f>
        <v/>
      </c>
    </row>
    <row r="1992">
      <c r="A1992" s="6" t="n"/>
      <c r="B1992" s="6" t="n"/>
      <c r="C1992" s="6" t="n"/>
      <c r="D1992" s="11">
        <f>IF(C1992="","",IFERROR(INDEX(Levels!$A$2:$A$30,MATCH(C1992,Levels!$B$2:$B$30,0)),""))</f>
        <v/>
      </c>
      <c r="E1992" s="10">
        <f>IF(B1992="","",IFERROR(INDEX(Roster!$A$2:$A$600,MATCH(B1992,Roster!$E$2:$E$600,0)),""))</f>
        <v/>
      </c>
      <c r="F1992" s="10">
        <f>IF(C1992="","",IFERROR(INDEX(Levels!$C$2:$C$30,MATCH(C1992,Levels!$B$2:$B$30,0)),""))</f>
        <v/>
      </c>
      <c r="G1992" s="6" t="n"/>
      <c r="H1992" s="10">
        <f>IF(AND(B1992="",C1992=""),"",IF(G1992&lt;&gt;"","Void",IF(OR(B1992="",E1992=""),"Needs child",IF(D1992="","Needs level","OK"))))</f>
        <v/>
      </c>
    </row>
    <row r="1993">
      <c r="A1993" s="6" t="n"/>
      <c r="B1993" s="6" t="n"/>
      <c r="C1993" s="6" t="n"/>
      <c r="D1993" s="11">
        <f>IF(C1993="","",IFERROR(INDEX(Levels!$A$2:$A$30,MATCH(C1993,Levels!$B$2:$B$30,0)),""))</f>
        <v/>
      </c>
      <c r="E1993" s="10">
        <f>IF(B1993="","",IFERROR(INDEX(Roster!$A$2:$A$600,MATCH(B1993,Roster!$E$2:$E$600,0)),""))</f>
        <v/>
      </c>
      <c r="F1993" s="10">
        <f>IF(C1993="","",IFERROR(INDEX(Levels!$C$2:$C$30,MATCH(C1993,Levels!$B$2:$B$30,0)),""))</f>
        <v/>
      </c>
      <c r="G1993" s="6" t="n"/>
      <c r="H1993" s="10">
        <f>IF(AND(B1993="",C1993=""),"",IF(G1993&lt;&gt;"","Void",IF(OR(B1993="",E1993=""),"Needs child",IF(D1993="","Needs level","OK"))))</f>
        <v/>
      </c>
    </row>
    <row r="1994">
      <c r="A1994" s="6" t="n"/>
      <c r="B1994" s="6" t="n"/>
      <c r="C1994" s="6" t="n"/>
      <c r="D1994" s="11">
        <f>IF(C1994="","",IFERROR(INDEX(Levels!$A$2:$A$30,MATCH(C1994,Levels!$B$2:$B$30,0)),""))</f>
        <v/>
      </c>
      <c r="E1994" s="10">
        <f>IF(B1994="","",IFERROR(INDEX(Roster!$A$2:$A$600,MATCH(B1994,Roster!$E$2:$E$600,0)),""))</f>
        <v/>
      </c>
      <c r="F1994" s="10">
        <f>IF(C1994="","",IFERROR(INDEX(Levels!$C$2:$C$30,MATCH(C1994,Levels!$B$2:$B$30,0)),""))</f>
        <v/>
      </c>
      <c r="G1994" s="6" t="n"/>
      <c r="H1994" s="10">
        <f>IF(AND(B1994="",C1994=""),"",IF(G1994&lt;&gt;"","Void",IF(OR(B1994="",E1994=""),"Needs child",IF(D1994="","Needs level","OK"))))</f>
        <v/>
      </c>
    </row>
    <row r="1995">
      <c r="A1995" s="6" t="n"/>
      <c r="B1995" s="6" t="n"/>
      <c r="C1995" s="6" t="n"/>
      <c r="D1995" s="11">
        <f>IF(C1995="","",IFERROR(INDEX(Levels!$A$2:$A$30,MATCH(C1995,Levels!$B$2:$B$30,0)),""))</f>
        <v/>
      </c>
      <c r="E1995" s="10">
        <f>IF(B1995="","",IFERROR(INDEX(Roster!$A$2:$A$600,MATCH(B1995,Roster!$E$2:$E$600,0)),""))</f>
        <v/>
      </c>
      <c r="F1995" s="10">
        <f>IF(C1995="","",IFERROR(INDEX(Levels!$C$2:$C$30,MATCH(C1995,Levels!$B$2:$B$30,0)),""))</f>
        <v/>
      </c>
      <c r="G1995" s="6" t="n"/>
      <c r="H1995" s="10">
        <f>IF(AND(B1995="",C1995=""),"",IF(G1995&lt;&gt;"","Void",IF(OR(B1995="",E1995=""),"Needs child",IF(D1995="","Needs level","OK"))))</f>
        <v/>
      </c>
    </row>
    <row r="1996">
      <c r="A1996" s="6" t="n"/>
      <c r="B1996" s="6" t="n"/>
      <c r="C1996" s="6" t="n"/>
      <c r="D1996" s="11">
        <f>IF(C1996="","",IFERROR(INDEX(Levels!$A$2:$A$30,MATCH(C1996,Levels!$B$2:$B$30,0)),""))</f>
        <v/>
      </c>
      <c r="E1996" s="10">
        <f>IF(B1996="","",IFERROR(INDEX(Roster!$A$2:$A$600,MATCH(B1996,Roster!$E$2:$E$600,0)),""))</f>
        <v/>
      </c>
      <c r="F1996" s="10">
        <f>IF(C1996="","",IFERROR(INDEX(Levels!$C$2:$C$30,MATCH(C1996,Levels!$B$2:$B$30,0)),""))</f>
        <v/>
      </c>
      <c r="G1996" s="6" t="n"/>
      <c r="H1996" s="10">
        <f>IF(AND(B1996="",C1996=""),"",IF(G1996&lt;&gt;"","Void",IF(OR(B1996="",E1996=""),"Needs child",IF(D1996="","Needs level","OK"))))</f>
        <v/>
      </c>
    </row>
    <row r="1997">
      <c r="A1997" s="6" t="n"/>
      <c r="B1997" s="6" t="n"/>
      <c r="C1997" s="6" t="n"/>
      <c r="D1997" s="11">
        <f>IF(C1997="","",IFERROR(INDEX(Levels!$A$2:$A$30,MATCH(C1997,Levels!$B$2:$B$30,0)),""))</f>
        <v/>
      </c>
      <c r="E1997" s="10">
        <f>IF(B1997="","",IFERROR(INDEX(Roster!$A$2:$A$600,MATCH(B1997,Roster!$E$2:$E$600,0)),""))</f>
        <v/>
      </c>
      <c r="F1997" s="10">
        <f>IF(C1997="","",IFERROR(INDEX(Levels!$C$2:$C$30,MATCH(C1997,Levels!$B$2:$B$30,0)),""))</f>
        <v/>
      </c>
      <c r="G1997" s="6" t="n"/>
      <c r="H1997" s="10">
        <f>IF(AND(B1997="",C1997=""),"",IF(G1997&lt;&gt;"","Void",IF(OR(B1997="",E1997=""),"Needs child",IF(D1997="","Needs level","OK"))))</f>
        <v/>
      </c>
    </row>
    <row r="1998">
      <c r="A1998" s="6" t="n"/>
      <c r="B1998" s="6" t="n"/>
      <c r="C1998" s="6" t="n"/>
      <c r="D1998" s="11">
        <f>IF(C1998="","",IFERROR(INDEX(Levels!$A$2:$A$30,MATCH(C1998,Levels!$B$2:$B$30,0)),""))</f>
        <v/>
      </c>
      <c r="E1998" s="10">
        <f>IF(B1998="","",IFERROR(INDEX(Roster!$A$2:$A$600,MATCH(B1998,Roster!$E$2:$E$600,0)),""))</f>
        <v/>
      </c>
      <c r="F1998" s="10">
        <f>IF(C1998="","",IFERROR(INDEX(Levels!$C$2:$C$30,MATCH(C1998,Levels!$B$2:$B$30,0)),""))</f>
        <v/>
      </c>
      <c r="G1998" s="6" t="n"/>
      <c r="H1998" s="10">
        <f>IF(AND(B1998="",C1998=""),"",IF(G1998&lt;&gt;"","Void",IF(OR(B1998="",E1998=""),"Needs child",IF(D1998="","Needs level","OK"))))</f>
        <v/>
      </c>
    </row>
    <row r="1999">
      <c r="A1999" s="6" t="n"/>
      <c r="B1999" s="6" t="n"/>
      <c r="C1999" s="6" t="n"/>
      <c r="D1999" s="11">
        <f>IF(C1999="","",IFERROR(INDEX(Levels!$A$2:$A$30,MATCH(C1999,Levels!$B$2:$B$30,0)),""))</f>
        <v/>
      </c>
      <c r="E1999" s="10">
        <f>IF(B1999="","",IFERROR(INDEX(Roster!$A$2:$A$600,MATCH(B1999,Roster!$E$2:$E$600,0)),""))</f>
        <v/>
      </c>
      <c r="F1999" s="10">
        <f>IF(C1999="","",IFERROR(INDEX(Levels!$C$2:$C$30,MATCH(C1999,Levels!$B$2:$B$30,0)),""))</f>
        <v/>
      </c>
      <c r="G1999" s="6" t="n"/>
      <c r="H1999" s="10">
        <f>IF(AND(B1999="",C1999=""),"",IF(G1999&lt;&gt;"","Void",IF(OR(B1999="",E1999=""),"Needs child",IF(D1999="","Needs level","OK"))))</f>
        <v/>
      </c>
    </row>
    <row r="2000">
      <c r="A2000" s="6" t="n"/>
      <c r="B2000" s="6" t="n"/>
      <c r="C2000" s="6" t="n"/>
      <c r="D2000" s="11">
        <f>IF(C2000="","",IFERROR(INDEX(Levels!$A$2:$A$30,MATCH(C2000,Levels!$B$2:$B$30,0)),""))</f>
        <v/>
      </c>
      <c r="E2000" s="10">
        <f>IF(B2000="","",IFERROR(INDEX(Roster!$A$2:$A$600,MATCH(B2000,Roster!$E$2:$E$600,0)),""))</f>
        <v/>
      </c>
      <c r="F2000" s="10">
        <f>IF(C2000="","",IFERROR(INDEX(Levels!$C$2:$C$30,MATCH(C2000,Levels!$B$2:$B$30,0)),""))</f>
        <v/>
      </c>
      <c r="G2000" s="6" t="n"/>
      <c r="H2000" s="10">
        <f>IF(AND(B2000="",C2000=""),"",IF(G2000&lt;&gt;"","Void",IF(OR(B2000="",E2000=""),"Needs child",IF(D2000="","Needs level","OK"))))</f>
        <v/>
      </c>
    </row>
    <row r="2001">
      <c r="A2001" s="6" t="n"/>
      <c r="B2001" s="6" t="n"/>
      <c r="C2001" s="6" t="n"/>
      <c r="D2001" s="11">
        <f>IF(C2001="","",IFERROR(INDEX(Levels!$A$2:$A$30,MATCH(C2001,Levels!$B$2:$B$30,0)),""))</f>
        <v/>
      </c>
      <c r="E2001" s="10">
        <f>IF(B2001="","",IFERROR(INDEX(Roster!$A$2:$A$600,MATCH(B2001,Roster!$E$2:$E$600,0)),""))</f>
        <v/>
      </c>
      <c r="F2001" s="10">
        <f>IF(C2001="","",IFERROR(INDEX(Levels!$C$2:$C$30,MATCH(C2001,Levels!$B$2:$B$30,0)),""))</f>
        <v/>
      </c>
      <c r="G2001" s="6" t="n"/>
      <c r="H2001" s="10">
        <f>IF(AND(B2001="",C2001=""),"",IF(G2001&lt;&gt;"","Void",IF(OR(B2001="",E2001=""),"Needs child",IF(D2001="","Needs level","OK"))))</f>
        <v/>
      </c>
    </row>
    <row r="2002">
      <c r="A2002" s="6" t="n"/>
      <c r="B2002" s="6" t="n"/>
      <c r="C2002" s="6" t="n"/>
      <c r="D2002" s="11">
        <f>IF(C2002="","",IFERROR(INDEX(Levels!$A$2:$A$30,MATCH(C2002,Levels!$B$2:$B$30,0)),""))</f>
        <v/>
      </c>
      <c r="E2002" s="10">
        <f>IF(B2002="","",IFERROR(INDEX(Roster!$A$2:$A$600,MATCH(B2002,Roster!$E$2:$E$600,0)),""))</f>
        <v/>
      </c>
      <c r="F2002" s="10">
        <f>IF(C2002="","",IFERROR(INDEX(Levels!$C$2:$C$30,MATCH(C2002,Levels!$B$2:$B$30,0)),""))</f>
        <v/>
      </c>
      <c r="G2002" s="6" t="n"/>
      <c r="H2002" s="10">
        <f>IF(AND(B2002="",C2002=""),"",IF(G2002&lt;&gt;"","Void",IF(OR(B2002="",E2002=""),"Needs child",IF(D2002="","Needs level","OK"))))</f>
        <v/>
      </c>
    </row>
    <row r="2003">
      <c r="A2003" s="6" t="n"/>
      <c r="B2003" s="6" t="n"/>
      <c r="C2003" s="6" t="n"/>
      <c r="D2003" s="11">
        <f>IF(C2003="","",IFERROR(INDEX(Levels!$A$2:$A$30,MATCH(C2003,Levels!$B$2:$B$30,0)),""))</f>
        <v/>
      </c>
      <c r="E2003" s="10">
        <f>IF(B2003="","",IFERROR(INDEX(Roster!$A$2:$A$600,MATCH(B2003,Roster!$E$2:$E$600,0)),""))</f>
        <v/>
      </c>
      <c r="F2003" s="10">
        <f>IF(C2003="","",IFERROR(INDEX(Levels!$C$2:$C$30,MATCH(C2003,Levels!$B$2:$B$30,0)),""))</f>
        <v/>
      </c>
      <c r="G2003" s="6" t="n"/>
      <c r="H2003" s="10">
        <f>IF(AND(B2003="",C2003=""),"",IF(G2003&lt;&gt;"","Void",IF(OR(B2003="",E2003=""),"Needs child",IF(D2003="","Needs level","OK"))))</f>
        <v/>
      </c>
    </row>
    <row r="2004">
      <c r="A2004" s="6" t="n"/>
      <c r="B2004" s="6" t="n"/>
      <c r="C2004" s="6" t="n"/>
      <c r="D2004" s="11">
        <f>IF(C2004="","",IFERROR(INDEX(Levels!$A$2:$A$30,MATCH(C2004,Levels!$B$2:$B$30,0)),""))</f>
        <v/>
      </c>
      <c r="E2004" s="10">
        <f>IF(B2004="","",IFERROR(INDEX(Roster!$A$2:$A$600,MATCH(B2004,Roster!$E$2:$E$600,0)),""))</f>
        <v/>
      </c>
      <c r="F2004" s="10">
        <f>IF(C2004="","",IFERROR(INDEX(Levels!$C$2:$C$30,MATCH(C2004,Levels!$B$2:$B$30,0)),""))</f>
        <v/>
      </c>
      <c r="G2004" s="6" t="n"/>
      <c r="H2004" s="10">
        <f>IF(AND(B2004="",C2004=""),"",IF(G2004&lt;&gt;"","Void",IF(OR(B2004="",E2004=""),"Needs child",IF(D2004="","Needs level","OK"))))</f>
        <v/>
      </c>
    </row>
    <row r="2005">
      <c r="A2005" s="6" t="n"/>
      <c r="B2005" s="6" t="n"/>
      <c r="C2005" s="6" t="n"/>
      <c r="D2005" s="11">
        <f>IF(C2005="","",IFERROR(INDEX(Levels!$A$2:$A$30,MATCH(C2005,Levels!$B$2:$B$30,0)),""))</f>
        <v/>
      </c>
      <c r="E2005" s="10">
        <f>IF(B2005="","",IFERROR(INDEX(Roster!$A$2:$A$600,MATCH(B2005,Roster!$E$2:$E$600,0)),""))</f>
        <v/>
      </c>
      <c r="F2005" s="10">
        <f>IF(C2005="","",IFERROR(INDEX(Levels!$C$2:$C$30,MATCH(C2005,Levels!$B$2:$B$30,0)),""))</f>
        <v/>
      </c>
      <c r="G2005" s="6" t="n"/>
      <c r="H2005" s="10">
        <f>IF(AND(B2005="",C2005=""),"",IF(G2005&lt;&gt;"","Void",IF(OR(B2005="",E2005=""),"Needs child",IF(D2005="","Needs level","OK"))))</f>
        <v/>
      </c>
    </row>
    <row r="2006">
      <c r="A2006" s="6" t="n"/>
      <c r="B2006" s="6" t="n"/>
      <c r="C2006" s="6" t="n"/>
      <c r="D2006" s="11">
        <f>IF(C2006="","",IFERROR(INDEX(Levels!$A$2:$A$30,MATCH(C2006,Levels!$B$2:$B$30,0)),""))</f>
        <v/>
      </c>
      <c r="E2006" s="10">
        <f>IF(B2006="","",IFERROR(INDEX(Roster!$A$2:$A$600,MATCH(B2006,Roster!$E$2:$E$600,0)),""))</f>
        <v/>
      </c>
      <c r="F2006" s="10">
        <f>IF(C2006="","",IFERROR(INDEX(Levels!$C$2:$C$30,MATCH(C2006,Levels!$B$2:$B$30,0)),""))</f>
        <v/>
      </c>
      <c r="G2006" s="6" t="n"/>
      <c r="H2006" s="10">
        <f>IF(AND(B2006="",C2006=""),"",IF(G2006&lt;&gt;"","Void",IF(OR(B2006="",E2006=""),"Needs child",IF(D2006="","Needs level","OK"))))</f>
        <v/>
      </c>
    </row>
    <row r="2007">
      <c r="A2007" s="6" t="n"/>
      <c r="B2007" s="6" t="n"/>
      <c r="C2007" s="6" t="n"/>
      <c r="D2007" s="11">
        <f>IF(C2007="","",IFERROR(INDEX(Levels!$A$2:$A$30,MATCH(C2007,Levels!$B$2:$B$30,0)),""))</f>
        <v/>
      </c>
      <c r="E2007" s="10">
        <f>IF(B2007="","",IFERROR(INDEX(Roster!$A$2:$A$600,MATCH(B2007,Roster!$E$2:$E$600,0)),""))</f>
        <v/>
      </c>
      <c r="F2007" s="10">
        <f>IF(C2007="","",IFERROR(INDEX(Levels!$C$2:$C$30,MATCH(C2007,Levels!$B$2:$B$30,0)),""))</f>
        <v/>
      </c>
      <c r="G2007" s="6" t="n"/>
      <c r="H2007" s="10">
        <f>IF(AND(B2007="",C2007=""),"",IF(G2007&lt;&gt;"","Void",IF(OR(B2007="",E2007=""),"Needs child",IF(D2007="","Needs level","OK"))))</f>
        <v/>
      </c>
    </row>
    <row r="2008">
      <c r="A2008" s="6" t="n"/>
      <c r="B2008" s="6" t="n"/>
      <c r="C2008" s="6" t="n"/>
      <c r="D2008" s="11">
        <f>IF(C2008="","",IFERROR(INDEX(Levels!$A$2:$A$30,MATCH(C2008,Levels!$B$2:$B$30,0)),""))</f>
        <v/>
      </c>
      <c r="E2008" s="10">
        <f>IF(B2008="","",IFERROR(INDEX(Roster!$A$2:$A$600,MATCH(B2008,Roster!$E$2:$E$600,0)),""))</f>
        <v/>
      </c>
      <c r="F2008" s="10">
        <f>IF(C2008="","",IFERROR(INDEX(Levels!$C$2:$C$30,MATCH(C2008,Levels!$B$2:$B$30,0)),""))</f>
        <v/>
      </c>
      <c r="G2008" s="6" t="n"/>
      <c r="H2008" s="10">
        <f>IF(AND(B2008="",C2008=""),"",IF(G2008&lt;&gt;"","Void",IF(OR(B2008="",E2008=""),"Needs child",IF(D2008="","Needs level","OK"))))</f>
        <v/>
      </c>
    </row>
    <row r="2009">
      <c r="A2009" s="6" t="n"/>
      <c r="B2009" s="6" t="n"/>
      <c r="C2009" s="6" t="n"/>
      <c r="D2009" s="11">
        <f>IF(C2009="","",IFERROR(INDEX(Levels!$A$2:$A$30,MATCH(C2009,Levels!$B$2:$B$30,0)),""))</f>
        <v/>
      </c>
      <c r="E2009" s="10">
        <f>IF(B2009="","",IFERROR(INDEX(Roster!$A$2:$A$600,MATCH(B2009,Roster!$E$2:$E$600,0)),""))</f>
        <v/>
      </c>
      <c r="F2009" s="10">
        <f>IF(C2009="","",IFERROR(INDEX(Levels!$C$2:$C$30,MATCH(C2009,Levels!$B$2:$B$30,0)),""))</f>
        <v/>
      </c>
      <c r="G2009" s="6" t="n"/>
      <c r="H2009" s="10">
        <f>IF(AND(B2009="",C2009=""),"",IF(G2009&lt;&gt;"","Void",IF(OR(B2009="",E2009=""),"Needs child",IF(D2009="","Needs level","OK"))))</f>
        <v/>
      </c>
    </row>
    <row r="2010">
      <c r="A2010" s="6" t="n"/>
      <c r="B2010" s="6" t="n"/>
      <c r="C2010" s="6" t="n"/>
      <c r="D2010" s="11">
        <f>IF(C2010="","",IFERROR(INDEX(Levels!$A$2:$A$30,MATCH(C2010,Levels!$B$2:$B$30,0)),""))</f>
        <v/>
      </c>
      <c r="E2010" s="10">
        <f>IF(B2010="","",IFERROR(INDEX(Roster!$A$2:$A$600,MATCH(B2010,Roster!$E$2:$E$600,0)),""))</f>
        <v/>
      </c>
      <c r="F2010" s="10">
        <f>IF(C2010="","",IFERROR(INDEX(Levels!$C$2:$C$30,MATCH(C2010,Levels!$B$2:$B$30,0)),""))</f>
        <v/>
      </c>
      <c r="G2010" s="6" t="n"/>
      <c r="H2010" s="10">
        <f>IF(AND(B2010="",C2010=""),"",IF(G2010&lt;&gt;"","Void",IF(OR(B2010="",E2010=""),"Needs child",IF(D2010="","Needs level","OK"))))</f>
        <v/>
      </c>
    </row>
    <row r="2011">
      <c r="A2011" s="6" t="n"/>
      <c r="B2011" s="6" t="n"/>
      <c r="C2011" s="6" t="n"/>
      <c r="D2011" s="11">
        <f>IF(C2011="","",IFERROR(INDEX(Levels!$A$2:$A$30,MATCH(C2011,Levels!$B$2:$B$30,0)),""))</f>
        <v/>
      </c>
      <c r="E2011" s="10">
        <f>IF(B2011="","",IFERROR(INDEX(Roster!$A$2:$A$600,MATCH(B2011,Roster!$E$2:$E$600,0)),""))</f>
        <v/>
      </c>
      <c r="F2011" s="10">
        <f>IF(C2011="","",IFERROR(INDEX(Levels!$C$2:$C$30,MATCH(C2011,Levels!$B$2:$B$30,0)),""))</f>
        <v/>
      </c>
      <c r="G2011" s="6" t="n"/>
      <c r="H2011" s="10">
        <f>IF(AND(B2011="",C2011=""),"",IF(G2011&lt;&gt;"","Void",IF(OR(B2011="",E2011=""),"Needs child",IF(D2011="","Needs level","OK"))))</f>
        <v/>
      </c>
    </row>
    <row r="2012">
      <c r="A2012" s="6" t="n"/>
      <c r="B2012" s="6" t="n"/>
      <c r="C2012" s="6" t="n"/>
      <c r="D2012" s="11">
        <f>IF(C2012="","",IFERROR(INDEX(Levels!$A$2:$A$30,MATCH(C2012,Levels!$B$2:$B$30,0)),""))</f>
        <v/>
      </c>
      <c r="E2012" s="10">
        <f>IF(B2012="","",IFERROR(INDEX(Roster!$A$2:$A$600,MATCH(B2012,Roster!$E$2:$E$600,0)),""))</f>
        <v/>
      </c>
      <c r="F2012" s="10">
        <f>IF(C2012="","",IFERROR(INDEX(Levels!$C$2:$C$30,MATCH(C2012,Levels!$B$2:$B$30,0)),""))</f>
        <v/>
      </c>
      <c r="G2012" s="6" t="n"/>
      <c r="H2012" s="10">
        <f>IF(AND(B2012="",C2012=""),"",IF(G2012&lt;&gt;"","Void",IF(OR(B2012="",E2012=""),"Needs child",IF(D2012="","Needs level","OK"))))</f>
        <v/>
      </c>
    </row>
    <row r="2013">
      <c r="A2013" s="6" t="n"/>
      <c r="B2013" s="6" t="n"/>
      <c r="C2013" s="6" t="n"/>
      <c r="D2013" s="11">
        <f>IF(C2013="","",IFERROR(INDEX(Levels!$A$2:$A$30,MATCH(C2013,Levels!$B$2:$B$30,0)),""))</f>
        <v/>
      </c>
      <c r="E2013" s="10">
        <f>IF(B2013="","",IFERROR(INDEX(Roster!$A$2:$A$600,MATCH(B2013,Roster!$E$2:$E$600,0)),""))</f>
        <v/>
      </c>
      <c r="F2013" s="10">
        <f>IF(C2013="","",IFERROR(INDEX(Levels!$C$2:$C$30,MATCH(C2013,Levels!$B$2:$B$30,0)),""))</f>
        <v/>
      </c>
      <c r="G2013" s="6" t="n"/>
      <c r="H2013" s="10">
        <f>IF(AND(B2013="",C2013=""),"",IF(G2013&lt;&gt;"","Void",IF(OR(B2013="",E2013=""),"Needs child",IF(D2013="","Needs level","OK"))))</f>
        <v/>
      </c>
    </row>
    <row r="2014">
      <c r="A2014" s="6" t="n"/>
      <c r="B2014" s="6" t="n"/>
      <c r="C2014" s="6" t="n"/>
      <c r="D2014" s="11">
        <f>IF(C2014="","",IFERROR(INDEX(Levels!$A$2:$A$30,MATCH(C2014,Levels!$B$2:$B$30,0)),""))</f>
        <v/>
      </c>
      <c r="E2014" s="10">
        <f>IF(B2014="","",IFERROR(INDEX(Roster!$A$2:$A$600,MATCH(B2014,Roster!$E$2:$E$600,0)),""))</f>
        <v/>
      </c>
      <c r="F2014" s="10">
        <f>IF(C2014="","",IFERROR(INDEX(Levels!$C$2:$C$30,MATCH(C2014,Levels!$B$2:$B$30,0)),""))</f>
        <v/>
      </c>
      <c r="G2014" s="6" t="n"/>
      <c r="H2014" s="10">
        <f>IF(AND(B2014="",C2014=""),"",IF(G2014&lt;&gt;"","Void",IF(OR(B2014="",E2014=""),"Needs child",IF(D2014="","Needs level","OK"))))</f>
        <v/>
      </c>
    </row>
    <row r="2015">
      <c r="A2015" s="6" t="n"/>
      <c r="B2015" s="6" t="n"/>
      <c r="C2015" s="6" t="n"/>
      <c r="D2015" s="11">
        <f>IF(C2015="","",IFERROR(INDEX(Levels!$A$2:$A$30,MATCH(C2015,Levels!$B$2:$B$30,0)),""))</f>
        <v/>
      </c>
      <c r="E2015" s="10">
        <f>IF(B2015="","",IFERROR(INDEX(Roster!$A$2:$A$600,MATCH(B2015,Roster!$E$2:$E$600,0)),""))</f>
        <v/>
      </c>
      <c r="F2015" s="10">
        <f>IF(C2015="","",IFERROR(INDEX(Levels!$C$2:$C$30,MATCH(C2015,Levels!$B$2:$B$30,0)),""))</f>
        <v/>
      </c>
      <c r="G2015" s="6" t="n"/>
      <c r="H2015" s="10">
        <f>IF(AND(B2015="",C2015=""),"",IF(G2015&lt;&gt;"","Void",IF(OR(B2015="",E2015=""),"Needs child",IF(D2015="","Needs level","OK"))))</f>
        <v/>
      </c>
    </row>
    <row r="2016">
      <c r="A2016" s="6" t="n"/>
      <c r="B2016" s="6" t="n"/>
      <c r="C2016" s="6" t="n"/>
      <c r="D2016" s="11">
        <f>IF(C2016="","",IFERROR(INDEX(Levels!$A$2:$A$30,MATCH(C2016,Levels!$B$2:$B$30,0)),""))</f>
        <v/>
      </c>
      <c r="E2016" s="10">
        <f>IF(B2016="","",IFERROR(INDEX(Roster!$A$2:$A$600,MATCH(B2016,Roster!$E$2:$E$600,0)),""))</f>
        <v/>
      </c>
      <c r="F2016" s="10">
        <f>IF(C2016="","",IFERROR(INDEX(Levels!$C$2:$C$30,MATCH(C2016,Levels!$B$2:$B$30,0)),""))</f>
        <v/>
      </c>
      <c r="G2016" s="6" t="n"/>
      <c r="H2016" s="10">
        <f>IF(AND(B2016="",C2016=""),"",IF(G2016&lt;&gt;"","Void",IF(OR(B2016="",E2016=""),"Needs child",IF(D2016="","Needs level","OK"))))</f>
        <v/>
      </c>
    </row>
    <row r="2017">
      <c r="A2017" s="6" t="n"/>
      <c r="B2017" s="6" t="n"/>
      <c r="C2017" s="6" t="n"/>
      <c r="D2017" s="11">
        <f>IF(C2017="","",IFERROR(INDEX(Levels!$A$2:$A$30,MATCH(C2017,Levels!$B$2:$B$30,0)),""))</f>
        <v/>
      </c>
      <c r="E2017" s="10">
        <f>IF(B2017="","",IFERROR(INDEX(Roster!$A$2:$A$600,MATCH(B2017,Roster!$E$2:$E$600,0)),""))</f>
        <v/>
      </c>
      <c r="F2017" s="10">
        <f>IF(C2017="","",IFERROR(INDEX(Levels!$C$2:$C$30,MATCH(C2017,Levels!$B$2:$B$30,0)),""))</f>
        <v/>
      </c>
      <c r="G2017" s="6" t="n"/>
      <c r="H2017" s="10">
        <f>IF(AND(B2017="",C2017=""),"",IF(G2017&lt;&gt;"","Void",IF(OR(B2017="",E2017=""),"Needs child",IF(D2017="","Needs level","OK"))))</f>
        <v/>
      </c>
    </row>
    <row r="2018">
      <c r="A2018" s="6" t="n"/>
      <c r="B2018" s="6" t="n"/>
      <c r="C2018" s="6" t="n"/>
      <c r="D2018" s="11">
        <f>IF(C2018="","",IFERROR(INDEX(Levels!$A$2:$A$30,MATCH(C2018,Levels!$B$2:$B$30,0)),""))</f>
        <v/>
      </c>
      <c r="E2018" s="10">
        <f>IF(B2018="","",IFERROR(INDEX(Roster!$A$2:$A$600,MATCH(B2018,Roster!$E$2:$E$600,0)),""))</f>
        <v/>
      </c>
      <c r="F2018" s="10">
        <f>IF(C2018="","",IFERROR(INDEX(Levels!$C$2:$C$30,MATCH(C2018,Levels!$B$2:$B$30,0)),""))</f>
        <v/>
      </c>
      <c r="G2018" s="6" t="n"/>
      <c r="H2018" s="10">
        <f>IF(AND(B2018="",C2018=""),"",IF(G2018&lt;&gt;"","Void",IF(OR(B2018="",E2018=""),"Needs child",IF(D2018="","Needs level","OK"))))</f>
        <v/>
      </c>
    </row>
    <row r="2019">
      <c r="A2019" s="6" t="n"/>
      <c r="B2019" s="6" t="n"/>
      <c r="C2019" s="6" t="n"/>
      <c r="D2019" s="11">
        <f>IF(C2019="","",IFERROR(INDEX(Levels!$A$2:$A$30,MATCH(C2019,Levels!$B$2:$B$30,0)),""))</f>
        <v/>
      </c>
      <c r="E2019" s="10">
        <f>IF(B2019="","",IFERROR(INDEX(Roster!$A$2:$A$600,MATCH(B2019,Roster!$E$2:$E$600,0)),""))</f>
        <v/>
      </c>
      <c r="F2019" s="10">
        <f>IF(C2019="","",IFERROR(INDEX(Levels!$C$2:$C$30,MATCH(C2019,Levels!$B$2:$B$30,0)),""))</f>
        <v/>
      </c>
      <c r="G2019" s="6" t="n"/>
      <c r="H2019" s="10">
        <f>IF(AND(B2019="",C2019=""),"",IF(G2019&lt;&gt;"","Void",IF(OR(B2019="",E2019=""),"Needs child",IF(D2019="","Needs level","OK"))))</f>
        <v/>
      </c>
    </row>
    <row r="2020">
      <c r="A2020" s="6" t="n"/>
      <c r="B2020" s="6" t="n"/>
      <c r="C2020" s="6" t="n"/>
      <c r="D2020" s="11">
        <f>IF(C2020="","",IFERROR(INDEX(Levels!$A$2:$A$30,MATCH(C2020,Levels!$B$2:$B$30,0)),""))</f>
        <v/>
      </c>
      <c r="E2020" s="10">
        <f>IF(B2020="","",IFERROR(INDEX(Roster!$A$2:$A$600,MATCH(B2020,Roster!$E$2:$E$600,0)),""))</f>
        <v/>
      </c>
      <c r="F2020" s="10">
        <f>IF(C2020="","",IFERROR(INDEX(Levels!$C$2:$C$30,MATCH(C2020,Levels!$B$2:$B$30,0)),""))</f>
        <v/>
      </c>
      <c r="G2020" s="6" t="n"/>
      <c r="H2020" s="10">
        <f>IF(AND(B2020="",C2020=""),"",IF(G2020&lt;&gt;"","Void",IF(OR(B2020="",E2020=""),"Needs child",IF(D2020="","Needs level","OK"))))</f>
        <v/>
      </c>
    </row>
    <row r="2021">
      <c r="A2021" s="6" t="n"/>
      <c r="B2021" s="6" t="n"/>
      <c r="C2021" s="6" t="n"/>
      <c r="D2021" s="11">
        <f>IF(C2021="","",IFERROR(INDEX(Levels!$A$2:$A$30,MATCH(C2021,Levels!$B$2:$B$30,0)),""))</f>
        <v/>
      </c>
      <c r="E2021" s="10">
        <f>IF(B2021="","",IFERROR(INDEX(Roster!$A$2:$A$600,MATCH(B2021,Roster!$E$2:$E$600,0)),""))</f>
        <v/>
      </c>
      <c r="F2021" s="10">
        <f>IF(C2021="","",IFERROR(INDEX(Levels!$C$2:$C$30,MATCH(C2021,Levels!$B$2:$B$30,0)),""))</f>
        <v/>
      </c>
      <c r="G2021" s="6" t="n"/>
      <c r="H2021" s="10">
        <f>IF(AND(B2021="",C2021=""),"",IF(G2021&lt;&gt;"","Void",IF(OR(B2021="",E2021=""),"Needs child",IF(D2021="","Needs level","OK"))))</f>
        <v/>
      </c>
    </row>
    <row r="2022">
      <c r="A2022" s="6" t="n"/>
      <c r="B2022" s="6" t="n"/>
      <c r="C2022" s="6" t="n"/>
      <c r="D2022" s="11">
        <f>IF(C2022="","",IFERROR(INDEX(Levels!$A$2:$A$30,MATCH(C2022,Levels!$B$2:$B$30,0)),""))</f>
        <v/>
      </c>
      <c r="E2022" s="10">
        <f>IF(B2022="","",IFERROR(INDEX(Roster!$A$2:$A$600,MATCH(B2022,Roster!$E$2:$E$600,0)),""))</f>
        <v/>
      </c>
      <c r="F2022" s="10">
        <f>IF(C2022="","",IFERROR(INDEX(Levels!$C$2:$C$30,MATCH(C2022,Levels!$B$2:$B$30,0)),""))</f>
        <v/>
      </c>
      <c r="G2022" s="6" t="n"/>
      <c r="H2022" s="10">
        <f>IF(AND(B2022="",C2022=""),"",IF(G2022&lt;&gt;"","Void",IF(OR(B2022="",E2022=""),"Needs child",IF(D2022="","Needs level","OK"))))</f>
        <v/>
      </c>
    </row>
    <row r="2023">
      <c r="A2023" s="6" t="n"/>
      <c r="B2023" s="6" t="n"/>
      <c r="C2023" s="6" t="n"/>
      <c r="D2023" s="11">
        <f>IF(C2023="","",IFERROR(INDEX(Levels!$A$2:$A$30,MATCH(C2023,Levels!$B$2:$B$30,0)),""))</f>
        <v/>
      </c>
      <c r="E2023" s="10">
        <f>IF(B2023="","",IFERROR(INDEX(Roster!$A$2:$A$600,MATCH(B2023,Roster!$E$2:$E$600,0)),""))</f>
        <v/>
      </c>
      <c r="F2023" s="10">
        <f>IF(C2023="","",IFERROR(INDEX(Levels!$C$2:$C$30,MATCH(C2023,Levels!$B$2:$B$30,0)),""))</f>
        <v/>
      </c>
      <c r="G2023" s="6" t="n"/>
      <c r="H2023" s="10">
        <f>IF(AND(B2023="",C2023=""),"",IF(G2023&lt;&gt;"","Void",IF(OR(B2023="",E2023=""),"Needs child",IF(D2023="","Needs level","OK"))))</f>
        <v/>
      </c>
    </row>
    <row r="2024">
      <c r="A2024" s="6" t="n"/>
      <c r="B2024" s="6" t="n"/>
      <c r="C2024" s="6" t="n"/>
      <c r="D2024" s="11">
        <f>IF(C2024="","",IFERROR(INDEX(Levels!$A$2:$A$30,MATCH(C2024,Levels!$B$2:$B$30,0)),""))</f>
        <v/>
      </c>
      <c r="E2024" s="10">
        <f>IF(B2024="","",IFERROR(INDEX(Roster!$A$2:$A$600,MATCH(B2024,Roster!$E$2:$E$600,0)),""))</f>
        <v/>
      </c>
      <c r="F2024" s="10">
        <f>IF(C2024="","",IFERROR(INDEX(Levels!$C$2:$C$30,MATCH(C2024,Levels!$B$2:$B$30,0)),""))</f>
        <v/>
      </c>
      <c r="G2024" s="6" t="n"/>
      <c r="H2024" s="10">
        <f>IF(AND(B2024="",C2024=""),"",IF(G2024&lt;&gt;"","Void",IF(OR(B2024="",E2024=""),"Needs child",IF(D2024="","Needs level","OK"))))</f>
        <v/>
      </c>
    </row>
    <row r="2025">
      <c r="A2025" s="6" t="n"/>
      <c r="B2025" s="6" t="n"/>
      <c r="C2025" s="6" t="n"/>
      <c r="D2025" s="11">
        <f>IF(C2025="","",IFERROR(INDEX(Levels!$A$2:$A$30,MATCH(C2025,Levels!$B$2:$B$30,0)),""))</f>
        <v/>
      </c>
      <c r="E2025" s="10">
        <f>IF(B2025="","",IFERROR(INDEX(Roster!$A$2:$A$600,MATCH(B2025,Roster!$E$2:$E$600,0)),""))</f>
        <v/>
      </c>
      <c r="F2025" s="10">
        <f>IF(C2025="","",IFERROR(INDEX(Levels!$C$2:$C$30,MATCH(C2025,Levels!$B$2:$B$30,0)),""))</f>
        <v/>
      </c>
      <c r="G2025" s="6" t="n"/>
      <c r="H2025" s="10">
        <f>IF(AND(B2025="",C2025=""),"",IF(G2025&lt;&gt;"","Void",IF(OR(B2025="",E2025=""),"Needs child",IF(D2025="","Needs level","OK"))))</f>
        <v/>
      </c>
    </row>
    <row r="2026">
      <c r="A2026" s="6" t="n"/>
      <c r="B2026" s="6" t="n"/>
      <c r="C2026" s="6" t="n"/>
      <c r="D2026" s="11">
        <f>IF(C2026="","",IFERROR(INDEX(Levels!$A$2:$A$30,MATCH(C2026,Levels!$B$2:$B$30,0)),""))</f>
        <v/>
      </c>
      <c r="E2026" s="10">
        <f>IF(B2026="","",IFERROR(INDEX(Roster!$A$2:$A$600,MATCH(B2026,Roster!$E$2:$E$600,0)),""))</f>
        <v/>
      </c>
      <c r="F2026" s="10">
        <f>IF(C2026="","",IFERROR(INDEX(Levels!$C$2:$C$30,MATCH(C2026,Levels!$B$2:$B$30,0)),""))</f>
        <v/>
      </c>
      <c r="G2026" s="6" t="n"/>
      <c r="H2026" s="10">
        <f>IF(AND(B2026="",C2026=""),"",IF(G2026&lt;&gt;"","Void",IF(OR(B2026="",E2026=""),"Needs child",IF(D2026="","Needs level","OK"))))</f>
        <v/>
      </c>
    </row>
    <row r="2027">
      <c r="A2027" s="6" t="n"/>
      <c r="B2027" s="6" t="n"/>
      <c r="C2027" s="6" t="n"/>
      <c r="D2027" s="11">
        <f>IF(C2027="","",IFERROR(INDEX(Levels!$A$2:$A$30,MATCH(C2027,Levels!$B$2:$B$30,0)),""))</f>
        <v/>
      </c>
      <c r="E2027" s="10">
        <f>IF(B2027="","",IFERROR(INDEX(Roster!$A$2:$A$600,MATCH(B2027,Roster!$E$2:$E$600,0)),""))</f>
        <v/>
      </c>
      <c r="F2027" s="10">
        <f>IF(C2027="","",IFERROR(INDEX(Levels!$C$2:$C$30,MATCH(C2027,Levels!$B$2:$B$30,0)),""))</f>
        <v/>
      </c>
      <c r="G2027" s="6" t="n"/>
      <c r="H2027" s="10">
        <f>IF(AND(B2027="",C2027=""),"",IF(G2027&lt;&gt;"","Void",IF(OR(B2027="",E2027=""),"Needs child",IF(D2027="","Needs level","OK"))))</f>
        <v/>
      </c>
    </row>
    <row r="2028">
      <c r="A2028" s="6" t="n"/>
      <c r="B2028" s="6" t="n"/>
      <c r="C2028" s="6" t="n"/>
      <c r="D2028" s="11">
        <f>IF(C2028="","",IFERROR(INDEX(Levels!$A$2:$A$30,MATCH(C2028,Levels!$B$2:$B$30,0)),""))</f>
        <v/>
      </c>
      <c r="E2028" s="10">
        <f>IF(B2028="","",IFERROR(INDEX(Roster!$A$2:$A$600,MATCH(B2028,Roster!$E$2:$E$600,0)),""))</f>
        <v/>
      </c>
      <c r="F2028" s="10">
        <f>IF(C2028="","",IFERROR(INDEX(Levels!$C$2:$C$30,MATCH(C2028,Levels!$B$2:$B$30,0)),""))</f>
        <v/>
      </c>
      <c r="G2028" s="6" t="n"/>
      <c r="H2028" s="10">
        <f>IF(AND(B2028="",C2028=""),"",IF(G2028&lt;&gt;"","Void",IF(OR(B2028="",E2028=""),"Needs child",IF(D2028="","Needs level","OK"))))</f>
        <v/>
      </c>
    </row>
    <row r="2029">
      <c r="A2029" s="6" t="n"/>
      <c r="B2029" s="6" t="n"/>
      <c r="C2029" s="6" t="n"/>
      <c r="D2029" s="11">
        <f>IF(C2029="","",IFERROR(INDEX(Levels!$A$2:$A$30,MATCH(C2029,Levels!$B$2:$B$30,0)),""))</f>
        <v/>
      </c>
      <c r="E2029" s="10">
        <f>IF(B2029="","",IFERROR(INDEX(Roster!$A$2:$A$600,MATCH(B2029,Roster!$E$2:$E$600,0)),""))</f>
        <v/>
      </c>
      <c r="F2029" s="10">
        <f>IF(C2029="","",IFERROR(INDEX(Levels!$C$2:$C$30,MATCH(C2029,Levels!$B$2:$B$30,0)),""))</f>
        <v/>
      </c>
      <c r="G2029" s="6" t="n"/>
      <c r="H2029" s="10">
        <f>IF(AND(B2029="",C2029=""),"",IF(G2029&lt;&gt;"","Void",IF(OR(B2029="",E2029=""),"Needs child",IF(D2029="","Needs level","OK"))))</f>
        <v/>
      </c>
    </row>
    <row r="2030">
      <c r="A2030" s="6" t="n"/>
      <c r="B2030" s="6" t="n"/>
      <c r="C2030" s="6" t="n"/>
      <c r="D2030" s="11">
        <f>IF(C2030="","",IFERROR(INDEX(Levels!$A$2:$A$30,MATCH(C2030,Levels!$B$2:$B$30,0)),""))</f>
        <v/>
      </c>
      <c r="E2030" s="10">
        <f>IF(B2030="","",IFERROR(INDEX(Roster!$A$2:$A$600,MATCH(B2030,Roster!$E$2:$E$600,0)),""))</f>
        <v/>
      </c>
      <c r="F2030" s="10">
        <f>IF(C2030="","",IFERROR(INDEX(Levels!$C$2:$C$30,MATCH(C2030,Levels!$B$2:$B$30,0)),""))</f>
        <v/>
      </c>
      <c r="G2030" s="6" t="n"/>
      <c r="H2030" s="10">
        <f>IF(AND(B2030="",C2030=""),"",IF(G2030&lt;&gt;"","Void",IF(OR(B2030="",E2030=""),"Needs child",IF(D2030="","Needs level","OK"))))</f>
        <v/>
      </c>
    </row>
    <row r="2031">
      <c r="A2031" s="6" t="n"/>
      <c r="B2031" s="6" t="n"/>
      <c r="C2031" s="6" t="n"/>
      <c r="D2031" s="11">
        <f>IF(C2031="","",IFERROR(INDEX(Levels!$A$2:$A$30,MATCH(C2031,Levels!$B$2:$B$30,0)),""))</f>
        <v/>
      </c>
      <c r="E2031" s="10">
        <f>IF(B2031="","",IFERROR(INDEX(Roster!$A$2:$A$600,MATCH(B2031,Roster!$E$2:$E$600,0)),""))</f>
        <v/>
      </c>
      <c r="F2031" s="10">
        <f>IF(C2031="","",IFERROR(INDEX(Levels!$C$2:$C$30,MATCH(C2031,Levels!$B$2:$B$30,0)),""))</f>
        <v/>
      </c>
      <c r="G2031" s="6" t="n"/>
      <c r="H2031" s="10">
        <f>IF(AND(B2031="",C2031=""),"",IF(G2031&lt;&gt;"","Void",IF(OR(B2031="",E2031=""),"Needs child",IF(D2031="","Needs level","OK"))))</f>
        <v/>
      </c>
    </row>
    <row r="2032">
      <c r="A2032" s="6" t="n"/>
      <c r="B2032" s="6" t="n"/>
      <c r="C2032" s="6" t="n"/>
      <c r="D2032" s="11">
        <f>IF(C2032="","",IFERROR(INDEX(Levels!$A$2:$A$30,MATCH(C2032,Levels!$B$2:$B$30,0)),""))</f>
        <v/>
      </c>
      <c r="E2032" s="10">
        <f>IF(B2032="","",IFERROR(INDEX(Roster!$A$2:$A$600,MATCH(B2032,Roster!$E$2:$E$600,0)),""))</f>
        <v/>
      </c>
      <c r="F2032" s="10">
        <f>IF(C2032="","",IFERROR(INDEX(Levels!$C$2:$C$30,MATCH(C2032,Levels!$B$2:$B$30,0)),""))</f>
        <v/>
      </c>
      <c r="G2032" s="6" t="n"/>
      <c r="H2032" s="10">
        <f>IF(AND(B2032="",C2032=""),"",IF(G2032&lt;&gt;"","Void",IF(OR(B2032="",E2032=""),"Needs child",IF(D2032="","Needs level","OK"))))</f>
        <v/>
      </c>
    </row>
    <row r="2033">
      <c r="A2033" s="6" t="n"/>
      <c r="B2033" s="6" t="n"/>
      <c r="C2033" s="6" t="n"/>
      <c r="D2033" s="11">
        <f>IF(C2033="","",IFERROR(INDEX(Levels!$A$2:$A$30,MATCH(C2033,Levels!$B$2:$B$30,0)),""))</f>
        <v/>
      </c>
      <c r="E2033" s="10">
        <f>IF(B2033="","",IFERROR(INDEX(Roster!$A$2:$A$600,MATCH(B2033,Roster!$E$2:$E$600,0)),""))</f>
        <v/>
      </c>
      <c r="F2033" s="10">
        <f>IF(C2033="","",IFERROR(INDEX(Levels!$C$2:$C$30,MATCH(C2033,Levels!$B$2:$B$30,0)),""))</f>
        <v/>
      </c>
      <c r="G2033" s="6" t="n"/>
      <c r="H2033" s="10">
        <f>IF(AND(B2033="",C2033=""),"",IF(G2033&lt;&gt;"","Void",IF(OR(B2033="",E2033=""),"Needs child",IF(D2033="","Needs level","OK"))))</f>
        <v/>
      </c>
    </row>
    <row r="2034">
      <c r="A2034" s="6" t="n"/>
      <c r="B2034" s="6" t="n"/>
      <c r="C2034" s="6" t="n"/>
      <c r="D2034" s="11">
        <f>IF(C2034="","",IFERROR(INDEX(Levels!$A$2:$A$30,MATCH(C2034,Levels!$B$2:$B$30,0)),""))</f>
        <v/>
      </c>
      <c r="E2034" s="10">
        <f>IF(B2034="","",IFERROR(INDEX(Roster!$A$2:$A$600,MATCH(B2034,Roster!$E$2:$E$600,0)),""))</f>
        <v/>
      </c>
      <c r="F2034" s="10">
        <f>IF(C2034="","",IFERROR(INDEX(Levels!$C$2:$C$30,MATCH(C2034,Levels!$B$2:$B$30,0)),""))</f>
        <v/>
      </c>
      <c r="G2034" s="6" t="n"/>
      <c r="H2034" s="10">
        <f>IF(AND(B2034="",C2034=""),"",IF(G2034&lt;&gt;"","Void",IF(OR(B2034="",E2034=""),"Needs child",IF(D2034="","Needs level","OK"))))</f>
        <v/>
      </c>
    </row>
    <row r="2035">
      <c r="A2035" s="6" t="n"/>
      <c r="B2035" s="6" t="n"/>
      <c r="C2035" s="6" t="n"/>
      <c r="D2035" s="11">
        <f>IF(C2035="","",IFERROR(INDEX(Levels!$A$2:$A$30,MATCH(C2035,Levels!$B$2:$B$30,0)),""))</f>
        <v/>
      </c>
      <c r="E2035" s="10">
        <f>IF(B2035="","",IFERROR(INDEX(Roster!$A$2:$A$600,MATCH(B2035,Roster!$E$2:$E$600,0)),""))</f>
        <v/>
      </c>
      <c r="F2035" s="10">
        <f>IF(C2035="","",IFERROR(INDEX(Levels!$C$2:$C$30,MATCH(C2035,Levels!$B$2:$B$30,0)),""))</f>
        <v/>
      </c>
      <c r="G2035" s="6" t="n"/>
      <c r="H2035" s="10">
        <f>IF(AND(B2035="",C2035=""),"",IF(G2035&lt;&gt;"","Void",IF(OR(B2035="",E2035=""),"Needs child",IF(D2035="","Needs level","OK"))))</f>
        <v/>
      </c>
    </row>
    <row r="2036">
      <c r="A2036" s="6" t="n"/>
      <c r="B2036" s="6" t="n"/>
      <c r="C2036" s="6" t="n"/>
      <c r="D2036" s="11">
        <f>IF(C2036="","",IFERROR(INDEX(Levels!$A$2:$A$30,MATCH(C2036,Levels!$B$2:$B$30,0)),""))</f>
        <v/>
      </c>
      <c r="E2036" s="10">
        <f>IF(B2036="","",IFERROR(INDEX(Roster!$A$2:$A$600,MATCH(B2036,Roster!$E$2:$E$600,0)),""))</f>
        <v/>
      </c>
      <c r="F2036" s="10">
        <f>IF(C2036="","",IFERROR(INDEX(Levels!$C$2:$C$30,MATCH(C2036,Levels!$B$2:$B$30,0)),""))</f>
        <v/>
      </c>
      <c r="G2036" s="6" t="n"/>
      <c r="H2036" s="10">
        <f>IF(AND(B2036="",C2036=""),"",IF(G2036&lt;&gt;"","Void",IF(OR(B2036="",E2036=""),"Needs child",IF(D2036="","Needs level","OK"))))</f>
        <v/>
      </c>
    </row>
    <row r="2037">
      <c r="A2037" s="6" t="n"/>
      <c r="B2037" s="6" t="n"/>
      <c r="C2037" s="6" t="n"/>
      <c r="D2037" s="11">
        <f>IF(C2037="","",IFERROR(INDEX(Levels!$A$2:$A$30,MATCH(C2037,Levels!$B$2:$B$30,0)),""))</f>
        <v/>
      </c>
      <c r="E2037" s="10">
        <f>IF(B2037="","",IFERROR(INDEX(Roster!$A$2:$A$600,MATCH(B2037,Roster!$E$2:$E$600,0)),""))</f>
        <v/>
      </c>
      <c r="F2037" s="10">
        <f>IF(C2037="","",IFERROR(INDEX(Levels!$C$2:$C$30,MATCH(C2037,Levels!$B$2:$B$30,0)),""))</f>
        <v/>
      </c>
      <c r="G2037" s="6" t="n"/>
      <c r="H2037" s="10">
        <f>IF(AND(B2037="",C2037=""),"",IF(G2037&lt;&gt;"","Void",IF(OR(B2037="",E2037=""),"Needs child",IF(D2037="","Needs level","OK"))))</f>
        <v/>
      </c>
    </row>
    <row r="2038">
      <c r="A2038" s="6" t="n"/>
      <c r="B2038" s="6" t="n"/>
      <c r="C2038" s="6" t="n"/>
      <c r="D2038" s="11">
        <f>IF(C2038="","",IFERROR(INDEX(Levels!$A$2:$A$30,MATCH(C2038,Levels!$B$2:$B$30,0)),""))</f>
        <v/>
      </c>
      <c r="E2038" s="10">
        <f>IF(B2038="","",IFERROR(INDEX(Roster!$A$2:$A$600,MATCH(B2038,Roster!$E$2:$E$600,0)),""))</f>
        <v/>
      </c>
      <c r="F2038" s="10">
        <f>IF(C2038="","",IFERROR(INDEX(Levels!$C$2:$C$30,MATCH(C2038,Levels!$B$2:$B$30,0)),""))</f>
        <v/>
      </c>
      <c r="G2038" s="6" t="n"/>
      <c r="H2038" s="10">
        <f>IF(AND(B2038="",C2038=""),"",IF(G2038&lt;&gt;"","Void",IF(OR(B2038="",E2038=""),"Needs child",IF(D2038="","Needs level","OK"))))</f>
        <v/>
      </c>
    </row>
    <row r="2039">
      <c r="A2039" s="6" t="n"/>
      <c r="B2039" s="6" t="n"/>
      <c r="C2039" s="6" t="n"/>
      <c r="D2039" s="11">
        <f>IF(C2039="","",IFERROR(INDEX(Levels!$A$2:$A$30,MATCH(C2039,Levels!$B$2:$B$30,0)),""))</f>
        <v/>
      </c>
      <c r="E2039" s="10">
        <f>IF(B2039="","",IFERROR(INDEX(Roster!$A$2:$A$600,MATCH(B2039,Roster!$E$2:$E$600,0)),""))</f>
        <v/>
      </c>
      <c r="F2039" s="10">
        <f>IF(C2039="","",IFERROR(INDEX(Levels!$C$2:$C$30,MATCH(C2039,Levels!$B$2:$B$30,0)),""))</f>
        <v/>
      </c>
      <c r="G2039" s="6" t="n"/>
      <c r="H2039" s="10">
        <f>IF(AND(B2039="",C2039=""),"",IF(G2039&lt;&gt;"","Void",IF(OR(B2039="",E2039=""),"Needs child",IF(D2039="","Needs level","OK"))))</f>
        <v/>
      </c>
    </row>
    <row r="2040">
      <c r="A2040" s="6" t="n"/>
      <c r="B2040" s="6" t="n"/>
      <c r="C2040" s="6" t="n"/>
      <c r="D2040" s="11">
        <f>IF(C2040="","",IFERROR(INDEX(Levels!$A$2:$A$30,MATCH(C2040,Levels!$B$2:$B$30,0)),""))</f>
        <v/>
      </c>
      <c r="E2040" s="10">
        <f>IF(B2040="","",IFERROR(INDEX(Roster!$A$2:$A$600,MATCH(B2040,Roster!$E$2:$E$600,0)),""))</f>
        <v/>
      </c>
      <c r="F2040" s="10">
        <f>IF(C2040="","",IFERROR(INDEX(Levels!$C$2:$C$30,MATCH(C2040,Levels!$B$2:$B$30,0)),""))</f>
        <v/>
      </c>
      <c r="G2040" s="6" t="n"/>
      <c r="H2040" s="10">
        <f>IF(AND(B2040="",C2040=""),"",IF(G2040&lt;&gt;"","Void",IF(OR(B2040="",E2040=""),"Needs child",IF(D2040="","Needs level","OK"))))</f>
        <v/>
      </c>
    </row>
    <row r="2041">
      <c r="A2041" s="6" t="n"/>
      <c r="B2041" s="6" t="n"/>
      <c r="C2041" s="6" t="n"/>
      <c r="D2041" s="11">
        <f>IF(C2041="","",IFERROR(INDEX(Levels!$A$2:$A$30,MATCH(C2041,Levels!$B$2:$B$30,0)),""))</f>
        <v/>
      </c>
      <c r="E2041" s="10">
        <f>IF(B2041="","",IFERROR(INDEX(Roster!$A$2:$A$600,MATCH(B2041,Roster!$E$2:$E$600,0)),""))</f>
        <v/>
      </c>
      <c r="F2041" s="10">
        <f>IF(C2041="","",IFERROR(INDEX(Levels!$C$2:$C$30,MATCH(C2041,Levels!$B$2:$B$30,0)),""))</f>
        <v/>
      </c>
      <c r="G2041" s="6" t="n"/>
      <c r="H2041" s="10">
        <f>IF(AND(B2041="",C2041=""),"",IF(G2041&lt;&gt;"","Void",IF(OR(B2041="",E2041=""),"Needs child",IF(D2041="","Needs level","OK"))))</f>
        <v/>
      </c>
    </row>
    <row r="2042">
      <c r="A2042" s="6" t="n"/>
      <c r="B2042" s="6" t="n"/>
      <c r="C2042" s="6" t="n"/>
      <c r="D2042" s="11">
        <f>IF(C2042="","",IFERROR(INDEX(Levels!$A$2:$A$30,MATCH(C2042,Levels!$B$2:$B$30,0)),""))</f>
        <v/>
      </c>
      <c r="E2042" s="10">
        <f>IF(B2042="","",IFERROR(INDEX(Roster!$A$2:$A$600,MATCH(B2042,Roster!$E$2:$E$600,0)),""))</f>
        <v/>
      </c>
      <c r="F2042" s="10">
        <f>IF(C2042="","",IFERROR(INDEX(Levels!$C$2:$C$30,MATCH(C2042,Levels!$B$2:$B$30,0)),""))</f>
        <v/>
      </c>
      <c r="G2042" s="6" t="n"/>
      <c r="H2042" s="10">
        <f>IF(AND(B2042="",C2042=""),"",IF(G2042&lt;&gt;"","Void",IF(OR(B2042="",E2042=""),"Needs child",IF(D2042="","Needs level","OK"))))</f>
        <v/>
      </c>
    </row>
    <row r="2043">
      <c r="A2043" s="6" t="n"/>
      <c r="B2043" s="6" t="n"/>
      <c r="C2043" s="6" t="n"/>
      <c r="D2043" s="11">
        <f>IF(C2043="","",IFERROR(INDEX(Levels!$A$2:$A$30,MATCH(C2043,Levels!$B$2:$B$30,0)),""))</f>
        <v/>
      </c>
      <c r="E2043" s="10">
        <f>IF(B2043="","",IFERROR(INDEX(Roster!$A$2:$A$600,MATCH(B2043,Roster!$E$2:$E$600,0)),""))</f>
        <v/>
      </c>
      <c r="F2043" s="10">
        <f>IF(C2043="","",IFERROR(INDEX(Levels!$C$2:$C$30,MATCH(C2043,Levels!$B$2:$B$30,0)),""))</f>
        <v/>
      </c>
      <c r="G2043" s="6" t="n"/>
      <c r="H2043" s="10">
        <f>IF(AND(B2043="",C2043=""),"",IF(G2043&lt;&gt;"","Void",IF(OR(B2043="",E2043=""),"Needs child",IF(D2043="","Needs level","OK"))))</f>
        <v/>
      </c>
    </row>
    <row r="2044">
      <c r="A2044" s="6" t="n"/>
      <c r="B2044" s="6" t="n"/>
      <c r="C2044" s="6" t="n"/>
      <c r="D2044" s="11">
        <f>IF(C2044="","",IFERROR(INDEX(Levels!$A$2:$A$30,MATCH(C2044,Levels!$B$2:$B$30,0)),""))</f>
        <v/>
      </c>
      <c r="E2044" s="10">
        <f>IF(B2044="","",IFERROR(INDEX(Roster!$A$2:$A$600,MATCH(B2044,Roster!$E$2:$E$600,0)),""))</f>
        <v/>
      </c>
      <c r="F2044" s="10">
        <f>IF(C2044="","",IFERROR(INDEX(Levels!$C$2:$C$30,MATCH(C2044,Levels!$B$2:$B$30,0)),""))</f>
        <v/>
      </c>
      <c r="G2044" s="6" t="n"/>
      <c r="H2044" s="10">
        <f>IF(AND(B2044="",C2044=""),"",IF(G2044&lt;&gt;"","Void",IF(OR(B2044="",E2044=""),"Needs child",IF(D2044="","Needs level","OK"))))</f>
        <v/>
      </c>
    </row>
    <row r="2045">
      <c r="A2045" s="6" t="n"/>
      <c r="B2045" s="6" t="n"/>
      <c r="C2045" s="6" t="n"/>
      <c r="D2045" s="11">
        <f>IF(C2045="","",IFERROR(INDEX(Levels!$A$2:$A$30,MATCH(C2045,Levels!$B$2:$B$30,0)),""))</f>
        <v/>
      </c>
      <c r="E2045" s="10">
        <f>IF(B2045="","",IFERROR(INDEX(Roster!$A$2:$A$600,MATCH(B2045,Roster!$E$2:$E$600,0)),""))</f>
        <v/>
      </c>
      <c r="F2045" s="10">
        <f>IF(C2045="","",IFERROR(INDEX(Levels!$C$2:$C$30,MATCH(C2045,Levels!$B$2:$B$30,0)),""))</f>
        <v/>
      </c>
      <c r="G2045" s="6" t="n"/>
      <c r="H2045" s="10">
        <f>IF(AND(B2045="",C2045=""),"",IF(G2045&lt;&gt;"","Void",IF(OR(B2045="",E2045=""),"Needs child",IF(D2045="","Needs level","OK"))))</f>
        <v/>
      </c>
    </row>
    <row r="2046">
      <c r="A2046" s="6" t="n"/>
      <c r="B2046" s="6" t="n"/>
      <c r="C2046" s="6" t="n"/>
      <c r="D2046" s="11">
        <f>IF(C2046="","",IFERROR(INDEX(Levels!$A$2:$A$30,MATCH(C2046,Levels!$B$2:$B$30,0)),""))</f>
        <v/>
      </c>
      <c r="E2046" s="10">
        <f>IF(B2046="","",IFERROR(INDEX(Roster!$A$2:$A$600,MATCH(B2046,Roster!$E$2:$E$600,0)),""))</f>
        <v/>
      </c>
      <c r="F2046" s="10">
        <f>IF(C2046="","",IFERROR(INDEX(Levels!$C$2:$C$30,MATCH(C2046,Levels!$B$2:$B$30,0)),""))</f>
        <v/>
      </c>
      <c r="G2046" s="6" t="n"/>
      <c r="H2046" s="10">
        <f>IF(AND(B2046="",C2046=""),"",IF(G2046&lt;&gt;"","Void",IF(OR(B2046="",E2046=""),"Needs child",IF(D2046="","Needs level","OK"))))</f>
        <v/>
      </c>
    </row>
    <row r="2047">
      <c r="A2047" s="6" t="n"/>
      <c r="B2047" s="6" t="n"/>
      <c r="C2047" s="6" t="n"/>
      <c r="D2047" s="11">
        <f>IF(C2047="","",IFERROR(INDEX(Levels!$A$2:$A$30,MATCH(C2047,Levels!$B$2:$B$30,0)),""))</f>
        <v/>
      </c>
      <c r="E2047" s="10">
        <f>IF(B2047="","",IFERROR(INDEX(Roster!$A$2:$A$600,MATCH(B2047,Roster!$E$2:$E$600,0)),""))</f>
        <v/>
      </c>
      <c r="F2047" s="10">
        <f>IF(C2047="","",IFERROR(INDEX(Levels!$C$2:$C$30,MATCH(C2047,Levels!$B$2:$B$30,0)),""))</f>
        <v/>
      </c>
      <c r="G2047" s="6" t="n"/>
      <c r="H2047" s="10">
        <f>IF(AND(B2047="",C2047=""),"",IF(G2047&lt;&gt;"","Void",IF(OR(B2047="",E2047=""),"Needs child",IF(D2047="","Needs level","OK"))))</f>
        <v/>
      </c>
    </row>
    <row r="2048">
      <c r="A2048" s="6" t="n"/>
      <c r="B2048" s="6" t="n"/>
      <c r="C2048" s="6" t="n"/>
      <c r="D2048" s="11">
        <f>IF(C2048="","",IFERROR(INDEX(Levels!$A$2:$A$30,MATCH(C2048,Levels!$B$2:$B$30,0)),""))</f>
        <v/>
      </c>
      <c r="E2048" s="10">
        <f>IF(B2048="","",IFERROR(INDEX(Roster!$A$2:$A$600,MATCH(B2048,Roster!$E$2:$E$600,0)),""))</f>
        <v/>
      </c>
      <c r="F2048" s="10">
        <f>IF(C2048="","",IFERROR(INDEX(Levels!$C$2:$C$30,MATCH(C2048,Levels!$B$2:$B$30,0)),""))</f>
        <v/>
      </c>
      <c r="G2048" s="6" t="n"/>
      <c r="H2048" s="10">
        <f>IF(AND(B2048="",C2048=""),"",IF(G2048&lt;&gt;"","Void",IF(OR(B2048="",E2048=""),"Needs child",IF(D2048="","Needs level","OK"))))</f>
        <v/>
      </c>
    </row>
    <row r="2049">
      <c r="A2049" s="6" t="n"/>
      <c r="B2049" s="6" t="n"/>
      <c r="C2049" s="6" t="n"/>
      <c r="D2049" s="11">
        <f>IF(C2049="","",IFERROR(INDEX(Levels!$A$2:$A$30,MATCH(C2049,Levels!$B$2:$B$30,0)),""))</f>
        <v/>
      </c>
      <c r="E2049" s="10">
        <f>IF(B2049="","",IFERROR(INDEX(Roster!$A$2:$A$600,MATCH(B2049,Roster!$E$2:$E$600,0)),""))</f>
        <v/>
      </c>
      <c r="F2049" s="10">
        <f>IF(C2049="","",IFERROR(INDEX(Levels!$C$2:$C$30,MATCH(C2049,Levels!$B$2:$B$30,0)),""))</f>
        <v/>
      </c>
      <c r="G2049" s="6" t="n"/>
      <c r="H2049" s="10">
        <f>IF(AND(B2049="",C2049=""),"",IF(G2049&lt;&gt;"","Void",IF(OR(B2049="",E2049=""),"Needs child",IF(D2049="","Needs level","OK"))))</f>
        <v/>
      </c>
    </row>
    <row r="2050">
      <c r="A2050" s="6" t="n"/>
      <c r="B2050" s="6" t="n"/>
      <c r="C2050" s="6" t="n"/>
      <c r="D2050" s="11">
        <f>IF(C2050="","",IFERROR(INDEX(Levels!$A$2:$A$30,MATCH(C2050,Levels!$B$2:$B$30,0)),""))</f>
        <v/>
      </c>
      <c r="E2050" s="10">
        <f>IF(B2050="","",IFERROR(INDEX(Roster!$A$2:$A$600,MATCH(B2050,Roster!$E$2:$E$600,0)),""))</f>
        <v/>
      </c>
      <c r="F2050" s="10">
        <f>IF(C2050="","",IFERROR(INDEX(Levels!$C$2:$C$30,MATCH(C2050,Levels!$B$2:$B$30,0)),""))</f>
        <v/>
      </c>
      <c r="G2050" s="6" t="n"/>
      <c r="H2050" s="10">
        <f>IF(AND(B2050="",C2050=""),"",IF(G2050&lt;&gt;"","Void",IF(OR(B2050="",E2050=""),"Needs child",IF(D2050="","Needs level","OK"))))</f>
        <v/>
      </c>
    </row>
    <row r="2051">
      <c r="A2051" s="6" t="n"/>
      <c r="B2051" s="6" t="n"/>
      <c r="C2051" s="6" t="n"/>
      <c r="D2051" s="11">
        <f>IF(C2051="","",IFERROR(INDEX(Levels!$A$2:$A$30,MATCH(C2051,Levels!$B$2:$B$30,0)),""))</f>
        <v/>
      </c>
      <c r="E2051" s="10">
        <f>IF(B2051="","",IFERROR(INDEX(Roster!$A$2:$A$600,MATCH(B2051,Roster!$E$2:$E$600,0)),""))</f>
        <v/>
      </c>
      <c r="F2051" s="10">
        <f>IF(C2051="","",IFERROR(INDEX(Levels!$C$2:$C$30,MATCH(C2051,Levels!$B$2:$B$30,0)),""))</f>
        <v/>
      </c>
      <c r="G2051" s="6" t="n"/>
      <c r="H2051" s="10">
        <f>IF(AND(B2051="",C2051=""),"",IF(G2051&lt;&gt;"","Void",IF(OR(B2051="",E2051=""),"Needs child",IF(D2051="","Needs level","OK"))))</f>
        <v/>
      </c>
    </row>
    <row r="2052">
      <c r="A2052" s="6" t="n"/>
      <c r="B2052" s="6" t="n"/>
      <c r="C2052" s="6" t="n"/>
      <c r="D2052" s="11">
        <f>IF(C2052="","",IFERROR(INDEX(Levels!$A$2:$A$30,MATCH(C2052,Levels!$B$2:$B$30,0)),""))</f>
        <v/>
      </c>
      <c r="E2052" s="10">
        <f>IF(B2052="","",IFERROR(INDEX(Roster!$A$2:$A$600,MATCH(B2052,Roster!$E$2:$E$600,0)),""))</f>
        <v/>
      </c>
      <c r="F2052" s="10">
        <f>IF(C2052="","",IFERROR(INDEX(Levels!$C$2:$C$30,MATCH(C2052,Levels!$B$2:$B$30,0)),""))</f>
        <v/>
      </c>
      <c r="G2052" s="6" t="n"/>
      <c r="H2052" s="10">
        <f>IF(AND(B2052="",C2052=""),"",IF(G2052&lt;&gt;"","Void",IF(OR(B2052="",E2052=""),"Needs child",IF(D2052="","Needs level","OK"))))</f>
        <v/>
      </c>
    </row>
    <row r="2053">
      <c r="A2053" s="6" t="n"/>
      <c r="B2053" s="6" t="n"/>
      <c r="C2053" s="6" t="n"/>
      <c r="D2053" s="11">
        <f>IF(C2053="","",IFERROR(INDEX(Levels!$A$2:$A$30,MATCH(C2053,Levels!$B$2:$B$30,0)),""))</f>
        <v/>
      </c>
      <c r="E2053" s="10">
        <f>IF(B2053="","",IFERROR(INDEX(Roster!$A$2:$A$600,MATCH(B2053,Roster!$E$2:$E$600,0)),""))</f>
        <v/>
      </c>
      <c r="F2053" s="10">
        <f>IF(C2053="","",IFERROR(INDEX(Levels!$C$2:$C$30,MATCH(C2053,Levels!$B$2:$B$30,0)),""))</f>
        <v/>
      </c>
      <c r="G2053" s="6" t="n"/>
      <c r="H2053" s="10">
        <f>IF(AND(B2053="",C2053=""),"",IF(G2053&lt;&gt;"","Void",IF(OR(B2053="",E2053=""),"Needs child",IF(D2053="","Needs level","OK"))))</f>
        <v/>
      </c>
    </row>
    <row r="2054">
      <c r="A2054" s="6" t="n"/>
      <c r="B2054" s="6" t="n"/>
      <c r="C2054" s="6" t="n"/>
      <c r="D2054" s="11">
        <f>IF(C2054="","",IFERROR(INDEX(Levels!$A$2:$A$30,MATCH(C2054,Levels!$B$2:$B$30,0)),""))</f>
        <v/>
      </c>
      <c r="E2054" s="10">
        <f>IF(B2054="","",IFERROR(INDEX(Roster!$A$2:$A$600,MATCH(B2054,Roster!$E$2:$E$600,0)),""))</f>
        <v/>
      </c>
      <c r="F2054" s="10">
        <f>IF(C2054="","",IFERROR(INDEX(Levels!$C$2:$C$30,MATCH(C2054,Levels!$B$2:$B$30,0)),""))</f>
        <v/>
      </c>
      <c r="G2054" s="6" t="n"/>
      <c r="H2054" s="10">
        <f>IF(AND(B2054="",C2054=""),"",IF(G2054&lt;&gt;"","Void",IF(OR(B2054="",E2054=""),"Needs child",IF(D2054="","Needs level","OK"))))</f>
        <v/>
      </c>
    </row>
    <row r="2055">
      <c r="A2055" s="6" t="n"/>
      <c r="B2055" s="6" t="n"/>
      <c r="C2055" s="6" t="n"/>
      <c r="D2055" s="11">
        <f>IF(C2055="","",IFERROR(INDEX(Levels!$A$2:$A$30,MATCH(C2055,Levels!$B$2:$B$30,0)),""))</f>
        <v/>
      </c>
      <c r="E2055" s="10">
        <f>IF(B2055="","",IFERROR(INDEX(Roster!$A$2:$A$600,MATCH(B2055,Roster!$E$2:$E$600,0)),""))</f>
        <v/>
      </c>
      <c r="F2055" s="10">
        <f>IF(C2055="","",IFERROR(INDEX(Levels!$C$2:$C$30,MATCH(C2055,Levels!$B$2:$B$30,0)),""))</f>
        <v/>
      </c>
      <c r="G2055" s="6" t="n"/>
      <c r="H2055" s="10">
        <f>IF(AND(B2055="",C2055=""),"",IF(G2055&lt;&gt;"","Void",IF(OR(B2055="",E2055=""),"Needs child",IF(D2055="","Needs level","OK"))))</f>
        <v/>
      </c>
    </row>
    <row r="2056">
      <c r="A2056" s="6" t="n"/>
      <c r="B2056" s="6" t="n"/>
      <c r="C2056" s="6" t="n"/>
      <c r="D2056" s="11">
        <f>IF(C2056="","",IFERROR(INDEX(Levels!$A$2:$A$30,MATCH(C2056,Levels!$B$2:$B$30,0)),""))</f>
        <v/>
      </c>
      <c r="E2056" s="10">
        <f>IF(B2056="","",IFERROR(INDEX(Roster!$A$2:$A$600,MATCH(B2056,Roster!$E$2:$E$600,0)),""))</f>
        <v/>
      </c>
      <c r="F2056" s="10">
        <f>IF(C2056="","",IFERROR(INDEX(Levels!$C$2:$C$30,MATCH(C2056,Levels!$B$2:$B$30,0)),""))</f>
        <v/>
      </c>
      <c r="G2056" s="6" t="n"/>
      <c r="H2056" s="10">
        <f>IF(AND(B2056="",C2056=""),"",IF(G2056&lt;&gt;"","Void",IF(OR(B2056="",E2056=""),"Needs child",IF(D2056="","Needs level","OK"))))</f>
        <v/>
      </c>
    </row>
    <row r="2057">
      <c r="A2057" s="6" t="n"/>
      <c r="B2057" s="6" t="n"/>
      <c r="C2057" s="6" t="n"/>
      <c r="D2057" s="11">
        <f>IF(C2057="","",IFERROR(INDEX(Levels!$A$2:$A$30,MATCH(C2057,Levels!$B$2:$B$30,0)),""))</f>
        <v/>
      </c>
      <c r="E2057" s="10">
        <f>IF(B2057="","",IFERROR(INDEX(Roster!$A$2:$A$600,MATCH(B2057,Roster!$E$2:$E$600,0)),""))</f>
        <v/>
      </c>
      <c r="F2057" s="10">
        <f>IF(C2057="","",IFERROR(INDEX(Levels!$C$2:$C$30,MATCH(C2057,Levels!$B$2:$B$30,0)),""))</f>
        <v/>
      </c>
      <c r="G2057" s="6" t="n"/>
      <c r="H2057" s="10">
        <f>IF(AND(B2057="",C2057=""),"",IF(G2057&lt;&gt;"","Void",IF(OR(B2057="",E2057=""),"Needs child",IF(D2057="","Needs level","OK"))))</f>
        <v/>
      </c>
    </row>
    <row r="2058">
      <c r="A2058" s="6" t="n"/>
      <c r="B2058" s="6" t="n"/>
      <c r="C2058" s="6" t="n"/>
      <c r="D2058" s="11">
        <f>IF(C2058="","",IFERROR(INDEX(Levels!$A$2:$A$30,MATCH(C2058,Levels!$B$2:$B$30,0)),""))</f>
        <v/>
      </c>
      <c r="E2058" s="10">
        <f>IF(B2058="","",IFERROR(INDEX(Roster!$A$2:$A$600,MATCH(B2058,Roster!$E$2:$E$600,0)),""))</f>
        <v/>
      </c>
      <c r="F2058" s="10">
        <f>IF(C2058="","",IFERROR(INDEX(Levels!$C$2:$C$30,MATCH(C2058,Levels!$B$2:$B$30,0)),""))</f>
        <v/>
      </c>
      <c r="G2058" s="6" t="n"/>
      <c r="H2058" s="10">
        <f>IF(AND(B2058="",C2058=""),"",IF(G2058&lt;&gt;"","Void",IF(OR(B2058="",E2058=""),"Needs child",IF(D2058="","Needs level","OK"))))</f>
        <v/>
      </c>
    </row>
    <row r="2059">
      <c r="A2059" s="6" t="n"/>
      <c r="B2059" s="6" t="n"/>
      <c r="C2059" s="6" t="n"/>
      <c r="D2059" s="11">
        <f>IF(C2059="","",IFERROR(INDEX(Levels!$A$2:$A$30,MATCH(C2059,Levels!$B$2:$B$30,0)),""))</f>
        <v/>
      </c>
      <c r="E2059" s="10">
        <f>IF(B2059="","",IFERROR(INDEX(Roster!$A$2:$A$600,MATCH(B2059,Roster!$E$2:$E$600,0)),""))</f>
        <v/>
      </c>
      <c r="F2059" s="10">
        <f>IF(C2059="","",IFERROR(INDEX(Levels!$C$2:$C$30,MATCH(C2059,Levels!$B$2:$B$30,0)),""))</f>
        <v/>
      </c>
      <c r="G2059" s="6" t="n"/>
      <c r="H2059" s="10">
        <f>IF(AND(B2059="",C2059=""),"",IF(G2059&lt;&gt;"","Void",IF(OR(B2059="",E2059=""),"Needs child",IF(D2059="","Needs level","OK"))))</f>
        <v/>
      </c>
    </row>
    <row r="2060">
      <c r="A2060" s="6" t="n"/>
      <c r="B2060" s="6" t="n"/>
      <c r="C2060" s="6" t="n"/>
      <c r="D2060" s="11">
        <f>IF(C2060="","",IFERROR(INDEX(Levels!$A$2:$A$30,MATCH(C2060,Levels!$B$2:$B$30,0)),""))</f>
        <v/>
      </c>
      <c r="E2060" s="10">
        <f>IF(B2060="","",IFERROR(INDEX(Roster!$A$2:$A$600,MATCH(B2060,Roster!$E$2:$E$600,0)),""))</f>
        <v/>
      </c>
      <c r="F2060" s="10">
        <f>IF(C2060="","",IFERROR(INDEX(Levels!$C$2:$C$30,MATCH(C2060,Levels!$B$2:$B$30,0)),""))</f>
        <v/>
      </c>
      <c r="G2060" s="6" t="n"/>
      <c r="H2060" s="10">
        <f>IF(AND(B2060="",C2060=""),"",IF(G2060&lt;&gt;"","Void",IF(OR(B2060="",E2060=""),"Needs child",IF(D2060="","Needs level","OK"))))</f>
        <v/>
      </c>
    </row>
    <row r="2061">
      <c r="A2061" s="6" t="n"/>
      <c r="B2061" s="6" t="n"/>
      <c r="C2061" s="6" t="n"/>
      <c r="D2061" s="11">
        <f>IF(C2061="","",IFERROR(INDEX(Levels!$A$2:$A$30,MATCH(C2061,Levels!$B$2:$B$30,0)),""))</f>
        <v/>
      </c>
      <c r="E2061" s="10">
        <f>IF(B2061="","",IFERROR(INDEX(Roster!$A$2:$A$600,MATCH(B2061,Roster!$E$2:$E$600,0)),""))</f>
        <v/>
      </c>
      <c r="F2061" s="10">
        <f>IF(C2061="","",IFERROR(INDEX(Levels!$C$2:$C$30,MATCH(C2061,Levels!$B$2:$B$30,0)),""))</f>
        <v/>
      </c>
      <c r="G2061" s="6" t="n"/>
      <c r="H2061" s="10">
        <f>IF(AND(B2061="",C2061=""),"",IF(G2061&lt;&gt;"","Void",IF(OR(B2061="",E2061=""),"Needs child",IF(D2061="","Needs level","OK"))))</f>
        <v/>
      </c>
    </row>
    <row r="2062">
      <c r="A2062" s="6" t="n"/>
      <c r="B2062" s="6" t="n"/>
      <c r="C2062" s="6" t="n"/>
      <c r="D2062" s="11">
        <f>IF(C2062="","",IFERROR(INDEX(Levels!$A$2:$A$30,MATCH(C2062,Levels!$B$2:$B$30,0)),""))</f>
        <v/>
      </c>
      <c r="E2062" s="10">
        <f>IF(B2062="","",IFERROR(INDEX(Roster!$A$2:$A$600,MATCH(B2062,Roster!$E$2:$E$600,0)),""))</f>
        <v/>
      </c>
      <c r="F2062" s="10">
        <f>IF(C2062="","",IFERROR(INDEX(Levels!$C$2:$C$30,MATCH(C2062,Levels!$B$2:$B$30,0)),""))</f>
        <v/>
      </c>
      <c r="G2062" s="6" t="n"/>
      <c r="H2062" s="10">
        <f>IF(AND(B2062="",C2062=""),"",IF(G2062&lt;&gt;"","Void",IF(OR(B2062="",E2062=""),"Needs child",IF(D2062="","Needs level","OK"))))</f>
        <v/>
      </c>
    </row>
    <row r="2063">
      <c r="A2063" s="6" t="n"/>
      <c r="B2063" s="6" t="n"/>
      <c r="C2063" s="6" t="n"/>
      <c r="D2063" s="11">
        <f>IF(C2063="","",IFERROR(INDEX(Levels!$A$2:$A$30,MATCH(C2063,Levels!$B$2:$B$30,0)),""))</f>
        <v/>
      </c>
      <c r="E2063" s="10">
        <f>IF(B2063="","",IFERROR(INDEX(Roster!$A$2:$A$600,MATCH(B2063,Roster!$E$2:$E$600,0)),""))</f>
        <v/>
      </c>
      <c r="F2063" s="10">
        <f>IF(C2063="","",IFERROR(INDEX(Levels!$C$2:$C$30,MATCH(C2063,Levels!$B$2:$B$30,0)),""))</f>
        <v/>
      </c>
      <c r="G2063" s="6" t="n"/>
      <c r="H2063" s="10">
        <f>IF(AND(B2063="",C2063=""),"",IF(G2063&lt;&gt;"","Void",IF(OR(B2063="",E2063=""),"Needs child",IF(D2063="","Needs level","OK"))))</f>
        <v/>
      </c>
    </row>
    <row r="2064">
      <c r="A2064" s="6" t="n"/>
      <c r="B2064" s="6" t="n"/>
      <c r="C2064" s="6" t="n"/>
      <c r="D2064" s="11">
        <f>IF(C2064="","",IFERROR(INDEX(Levels!$A$2:$A$30,MATCH(C2064,Levels!$B$2:$B$30,0)),""))</f>
        <v/>
      </c>
      <c r="E2064" s="10">
        <f>IF(B2064="","",IFERROR(INDEX(Roster!$A$2:$A$600,MATCH(B2064,Roster!$E$2:$E$600,0)),""))</f>
        <v/>
      </c>
      <c r="F2064" s="10">
        <f>IF(C2064="","",IFERROR(INDEX(Levels!$C$2:$C$30,MATCH(C2064,Levels!$B$2:$B$30,0)),""))</f>
        <v/>
      </c>
      <c r="G2064" s="6" t="n"/>
      <c r="H2064" s="10">
        <f>IF(AND(B2064="",C2064=""),"",IF(G2064&lt;&gt;"","Void",IF(OR(B2064="",E2064=""),"Needs child",IF(D2064="","Needs level","OK"))))</f>
        <v/>
      </c>
    </row>
    <row r="2065">
      <c r="A2065" s="6" t="n"/>
      <c r="B2065" s="6" t="n"/>
      <c r="C2065" s="6" t="n"/>
      <c r="D2065" s="11">
        <f>IF(C2065="","",IFERROR(INDEX(Levels!$A$2:$A$30,MATCH(C2065,Levels!$B$2:$B$30,0)),""))</f>
        <v/>
      </c>
      <c r="E2065" s="10">
        <f>IF(B2065="","",IFERROR(INDEX(Roster!$A$2:$A$600,MATCH(B2065,Roster!$E$2:$E$600,0)),""))</f>
        <v/>
      </c>
      <c r="F2065" s="10">
        <f>IF(C2065="","",IFERROR(INDEX(Levels!$C$2:$C$30,MATCH(C2065,Levels!$B$2:$B$30,0)),""))</f>
        <v/>
      </c>
      <c r="G2065" s="6" t="n"/>
      <c r="H2065" s="10">
        <f>IF(AND(B2065="",C2065=""),"",IF(G2065&lt;&gt;"","Void",IF(OR(B2065="",E2065=""),"Needs child",IF(D2065="","Needs level","OK"))))</f>
        <v/>
      </c>
    </row>
    <row r="2066">
      <c r="A2066" s="6" t="n"/>
      <c r="B2066" s="6" t="n"/>
      <c r="C2066" s="6" t="n"/>
      <c r="D2066" s="11">
        <f>IF(C2066="","",IFERROR(INDEX(Levels!$A$2:$A$30,MATCH(C2066,Levels!$B$2:$B$30,0)),""))</f>
        <v/>
      </c>
      <c r="E2066" s="10">
        <f>IF(B2066="","",IFERROR(INDEX(Roster!$A$2:$A$600,MATCH(B2066,Roster!$E$2:$E$600,0)),""))</f>
        <v/>
      </c>
      <c r="F2066" s="10">
        <f>IF(C2066="","",IFERROR(INDEX(Levels!$C$2:$C$30,MATCH(C2066,Levels!$B$2:$B$30,0)),""))</f>
        <v/>
      </c>
      <c r="G2066" s="6" t="n"/>
      <c r="H2066" s="10">
        <f>IF(AND(B2066="",C2066=""),"",IF(G2066&lt;&gt;"","Void",IF(OR(B2066="",E2066=""),"Needs child",IF(D2066="","Needs level","OK"))))</f>
        <v/>
      </c>
    </row>
    <row r="2067">
      <c r="A2067" s="6" t="n"/>
      <c r="B2067" s="6" t="n"/>
      <c r="C2067" s="6" t="n"/>
      <c r="D2067" s="11">
        <f>IF(C2067="","",IFERROR(INDEX(Levels!$A$2:$A$30,MATCH(C2067,Levels!$B$2:$B$30,0)),""))</f>
        <v/>
      </c>
      <c r="E2067" s="10">
        <f>IF(B2067="","",IFERROR(INDEX(Roster!$A$2:$A$600,MATCH(B2067,Roster!$E$2:$E$600,0)),""))</f>
        <v/>
      </c>
      <c r="F2067" s="10">
        <f>IF(C2067="","",IFERROR(INDEX(Levels!$C$2:$C$30,MATCH(C2067,Levels!$B$2:$B$30,0)),""))</f>
        <v/>
      </c>
      <c r="G2067" s="6" t="n"/>
      <c r="H2067" s="10">
        <f>IF(AND(B2067="",C2067=""),"",IF(G2067&lt;&gt;"","Void",IF(OR(B2067="",E2067=""),"Needs child",IF(D2067="","Needs level","OK"))))</f>
        <v/>
      </c>
    </row>
    <row r="2068">
      <c r="A2068" s="6" t="n"/>
      <c r="B2068" s="6" t="n"/>
      <c r="C2068" s="6" t="n"/>
      <c r="D2068" s="11">
        <f>IF(C2068="","",IFERROR(INDEX(Levels!$A$2:$A$30,MATCH(C2068,Levels!$B$2:$B$30,0)),""))</f>
        <v/>
      </c>
      <c r="E2068" s="10">
        <f>IF(B2068="","",IFERROR(INDEX(Roster!$A$2:$A$600,MATCH(B2068,Roster!$E$2:$E$600,0)),""))</f>
        <v/>
      </c>
      <c r="F2068" s="10">
        <f>IF(C2068="","",IFERROR(INDEX(Levels!$C$2:$C$30,MATCH(C2068,Levels!$B$2:$B$30,0)),""))</f>
        <v/>
      </c>
      <c r="G2068" s="6" t="n"/>
      <c r="H2068" s="10">
        <f>IF(AND(B2068="",C2068=""),"",IF(G2068&lt;&gt;"","Void",IF(OR(B2068="",E2068=""),"Needs child",IF(D2068="","Needs level","OK"))))</f>
        <v/>
      </c>
    </row>
    <row r="2069">
      <c r="A2069" s="6" t="n"/>
      <c r="B2069" s="6" t="n"/>
      <c r="C2069" s="6" t="n"/>
      <c r="D2069" s="11">
        <f>IF(C2069="","",IFERROR(INDEX(Levels!$A$2:$A$30,MATCH(C2069,Levels!$B$2:$B$30,0)),""))</f>
        <v/>
      </c>
      <c r="E2069" s="10">
        <f>IF(B2069="","",IFERROR(INDEX(Roster!$A$2:$A$600,MATCH(B2069,Roster!$E$2:$E$600,0)),""))</f>
        <v/>
      </c>
      <c r="F2069" s="10">
        <f>IF(C2069="","",IFERROR(INDEX(Levels!$C$2:$C$30,MATCH(C2069,Levels!$B$2:$B$30,0)),""))</f>
        <v/>
      </c>
      <c r="G2069" s="6" t="n"/>
      <c r="H2069" s="10">
        <f>IF(AND(B2069="",C2069=""),"",IF(G2069&lt;&gt;"","Void",IF(OR(B2069="",E2069=""),"Needs child",IF(D2069="","Needs level","OK"))))</f>
        <v/>
      </c>
    </row>
    <row r="2070">
      <c r="A2070" s="6" t="n"/>
      <c r="B2070" s="6" t="n"/>
      <c r="C2070" s="6" t="n"/>
      <c r="D2070" s="11">
        <f>IF(C2070="","",IFERROR(INDEX(Levels!$A$2:$A$30,MATCH(C2070,Levels!$B$2:$B$30,0)),""))</f>
        <v/>
      </c>
      <c r="E2070" s="10">
        <f>IF(B2070="","",IFERROR(INDEX(Roster!$A$2:$A$600,MATCH(B2070,Roster!$E$2:$E$600,0)),""))</f>
        <v/>
      </c>
      <c r="F2070" s="10">
        <f>IF(C2070="","",IFERROR(INDEX(Levels!$C$2:$C$30,MATCH(C2070,Levels!$B$2:$B$30,0)),""))</f>
        <v/>
      </c>
      <c r="G2070" s="6" t="n"/>
      <c r="H2070" s="10">
        <f>IF(AND(B2070="",C2070=""),"",IF(G2070&lt;&gt;"","Void",IF(OR(B2070="",E2070=""),"Needs child",IF(D2070="","Needs level","OK"))))</f>
        <v/>
      </c>
    </row>
    <row r="2071">
      <c r="A2071" s="6" t="n"/>
      <c r="B2071" s="6" t="n"/>
      <c r="C2071" s="6" t="n"/>
      <c r="D2071" s="11">
        <f>IF(C2071="","",IFERROR(INDEX(Levels!$A$2:$A$30,MATCH(C2071,Levels!$B$2:$B$30,0)),""))</f>
        <v/>
      </c>
      <c r="E2071" s="10">
        <f>IF(B2071="","",IFERROR(INDEX(Roster!$A$2:$A$600,MATCH(B2071,Roster!$E$2:$E$600,0)),""))</f>
        <v/>
      </c>
      <c r="F2071" s="10">
        <f>IF(C2071="","",IFERROR(INDEX(Levels!$C$2:$C$30,MATCH(C2071,Levels!$B$2:$B$30,0)),""))</f>
        <v/>
      </c>
      <c r="G2071" s="6" t="n"/>
      <c r="H2071" s="10">
        <f>IF(AND(B2071="",C2071=""),"",IF(G2071&lt;&gt;"","Void",IF(OR(B2071="",E2071=""),"Needs child",IF(D2071="","Needs level","OK"))))</f>
        <v/>
      </c>
    </row>
    <row r="2072">
      <c r="A2072" s="6" t="n"/>
      <c r="B2072" s="6" t="n"/>
      <c r="C2072" s="6" t="n"/>
      <c r="D2072" s="11">
        <f>IF(C2072="","",IFERROR(INDEX(Levels!$A$2:$A$30,MATCH(C2072,Levels!$B$2:$B$30,0)),""))</f>
        <v/>
      </c>
      <c r="E2072" s="10">
        <f>IF(B2072="","",IFERROR(INDEX(Roster!$A$2:$A$600,MATCH(B2072,Roster!$E$2:$E$600,0)),""))</f>
        <v/>
      </c>
      <c r="F2072" s="10">
        <f>IF(C2072="","",IFERROR(INDEX(Levels!$C$2:$C$30,MATCH(C2072,Levels!$B$2:$B$30,0)),""))</f>
        <v/>
      </c>
      <c r="G2072" s="6" t="n"/>
      <c r="H2072" s="10">
        <f>IF(AND(B2072="",C2072=""),"",IF(G2072&lt;&gt;"","Void",IF(OR(B2072="",E2072=""),"Needs child",IF(D2072="","Needs level","OK"))))</f>
        <v/>
      </c>
    </row>
    <row r="2073">
      <c r="A2073" s="6" t="n"/>
      <c r="B2073" s="6" t="n"/>
      <c r="C2073" s="6" t="n"/>
      <c r="D2073" s="11">
        <f>IF(C2073="","",IFERROR(INDEX(Levels!$A$2:$A$30,MATCH(C2073,Levels!$B$2:$B$30,0)),""))</f>
        <v/>
      </c>
      <c r="E2073" s="10">
        <f>IF(B2073="","",IFERROR(INDEX(Roster!$A$2:$A$600,MATCH(B2073,Roster!$E$2:$E$600,0)),""))</f>
        <v/>
      </c>
      <c r="F2073" s="10">
        <f>IF(C2073="","",IFERROR(INDEX(Levels!$C$2:$C$30,MATCH(C2073,Levels!$B$2:$B$30,0)),""))</f>
        <v/>
      </c>
      <c r="G2073" s="6" t="n"/>
      <c r="H2073" s="10">
        <f>IF(AND(B2073="",C2073=""),"",IF(G2073&lt;&gt;"","Void",IF(OR(B2073="",E2073=""),"Needs child",IF(D2073="","Needs level","OK"))))</f>
        <v/>
      </c>
    </row>
    <row r="2074">
      <c r="A2074" s="6" t="n"/>
      <c r="B2074" s="6" t="n"/>
      <c r="C2074" s="6" t="n"/>
      <c r="D2074" s="11">
        <f>IF(C2074="","",IFERROR(INDEX(Levels!$A$2:$A$30,MATCH(C2074,Levels!$B$2:$B$30,0)),""))</f>
        <v/>
      </c>
      <c r="E2074" s="10">
        <f>IF(B2074="","",IFERROR(INDEX(Roster!$A$2:$A$600,MATCH(B2074,Roster!$E$2:$E$600,0)),""))</f>
        <v/>
      </c>
      <c r="F2074" s="10">
        <f>IF(C2074="","",IFERROR(INDEX(Levels!$C$2:$C$30,MATCH(C2074,Levels!$B$2:$B$30,0)),""))</f>
        <v/>
      </c>
      <c r="G2074" s="6" t="n"/>
      <c r="H2074" s="10">
        <f>IF(AND(B2074="",C2074=""),"",IF(G2074&lt;&gt;"","Void",IF(OR(B2074="",E2074=""),"Needs child",IF(D2074="","Needs level","OK"))))</f>
        <v/>
      </c>
    </row>
    <row r="2075">
      <c r="A2075" s="6" t="n"/>
      <c r="B2075" s="6" t="n"/>
      <c r="C2075" s="6" t="n"/>
      <c r="D2075" s="11">
        <f>IF(C2075="","",IFERROR(INDEX(Levels!$A$2:$A$30,MATCH(C2075,Levels!$B$2:$B$30,0)),""))</f>
        <v/>
      </c>
      <c r="E2075" s="10">
        <f>IF(B2075="","",IFERROR(INDEX(Roster!$A$2:$A$600,MATCH(B2075,Roster!$E$2:$E$600,0)),""))</f>
        <v/>
      </c>
      <c r="F2075" s="10">
        <f>IF(C2075="","",IFERROR(INDEX(Levels!$C$2:$C$30,MATCH(C2075,Levels!$B$2:$B$30,0)),""))</f>
        <v/>
      </c>
      <c r="G2075" s="6" t="n"/>
      <c r="H2075" s="10">
        <f>IF(AND(B2075="",C2075=""),"",IF(G2075&lt;&gt;"","Void",IF(OR(B2075="",E2075=""),"Needs child",IF(D2075="","Needs level","OK"))))</f>
        <v/>
      </c>
    </row>
    <row r="2076">
      <c r="A2076" s="6" t="n"/>
      <c r="B2076" s="6" t="n"/>
      <c r="C2076" s="6" t="n"/>
      <c r="D2076" s="11">
        <f>IF(C2076="","",IFERROR(INDEX(Levels!$A$2:$A$30,MATCH(C2076,Levels!$B$2:$B$30,0)),""))</f>
        <v/>
      </c>
      <c r="E2076" s="10">
        <f>IF(B2076="","",IFERROR(INDEX(Roster!$A$2:$A$600,MATCH(B2076,Roster!$E$2:$E$600,0)),""))</f>
        <v/>
      </c>
      <c r="F2076" s="10">
        <f>IF(C2076="","",IFERROR(INDEX(Levels!$C$2:$C$30,MATCH(C2076,Levels!$B$2:$B$30,0)),""))</f>
        <v/>
      </c>
      <c r="G2076" s="6" t="n"/>
      <c r="H2076" s="10">
        <f>IF(AND(B2076="",C2076=""),"",IF(G2076&lt;&gt;"","Void",IF(OR(B2076="",E2076=""),"Needs child",IF(D2076="","Needs level","OK"))))</f>
        <v/>
      </c>
    </row>
    <row r="2077">
      <c r="A2077" s="6" t="n"/>
      <c r="B2077" s="6" t="n"/>
      <c r="C2077" s="6" t="n"/>
      <c r="D2077" s="11">
        <f>IF(C2077="","",IFERROR(INDEX(Levels!$A$2:$A$30,MATCH(C2077,Levels!$B$2:$B$30,0)),""))</f>
        <v/>
      </c>
      <c r="E2077" s="10">
        <f>IF(B2077="","",IFERROR(INDEX(Roster!$A$2:$A$600,MATCH(B2077,Roster!$E$2:$E$600,0)),""))</f>
        <v/>
      </c>
      <c r="F2077" s="10">
        <f>IF(C2077="","",IFERROR(INDEX(Levels!$C$2:$C$30,MATCH(C2077,Levels!$B$2:$B$30,0)),""))</f>
        <v/>
      </c>
      <c r="G2077" s="6" t="n"/>
      <c r="H2077" s="10">
        <f>IF(AND(B2077="",C2077=""),"",IF(G2077&lt;&gt;"","Void",IF(OR(B2077="",E2077=""),"Needs child",IF(D2077="","Needs level","OK"))))</f>
        <v/>
      </c>
    </row>
    <row r="2078">
      <c r="A2078" s="6" t="n"/>
      <c r="B2078" s="6" t="n"/>
      <c r="C2078" s="6" t="n"/>
      <c r="D2078" s="11">
        <f>IF(C2078="","",IFERROR(INDEX(Levels!$A$2:$A$30,MATCH(C2078,Levels!$B$2:$B$30,0)),""))</f>
        <v/>
      </c>
      <c r="E2078" s="10">
        <f>IF(B2078="","",IFERROR(INDEX(Roster!$A$2:$A$600,MATCH(B2078,Roster!$E$2:$E$600,0)),""))</f>
        <v/>
      </c>
      <c r="F2078" s="10">
        <f>IF(C2078="","",IFERROR(INDEX(Levels!$C$2:$C$30,MATCH(C2078,Levels!$B$2:$B$30,0)),""))</f>
        <v/>
      </c>
      <c r="G2078" s="6" t="n"/>
      <c r="H2078" s="10">
        <f>IF(AND(B2078="",C2078=""),"",IF(G2078&lt;&gt;"","Void",IF(OR(B2078="",E2078=""),"Needs child",IF(D2078="","Needs level","OK"))))</f>
        <v/>
      </c>
    </row>
    <row r="2079">
      <c r="A2079" s="6" t="n"/>
      <c r="B2079" s="6" t="n"/>
      <c r="C2079" s="6" t="n"/>
      <c r="D2079" s="11">
        <f>IF(C2079="","",IFERROR(INDEX(Levels!$A$2:$A$30,MATCH(C2079,Levels!$B$2:$B$30,0)),""))</f>
        <v/>
      </c>
      <c r="E2079" s="10">
        <f>IF(B2079="","",IFERROR(INDEX(Roster!$A$2:$A$600,MATCH(B2079,Roster!$E$2:$E$600,0)),""))</f>
        <v/>
      </c>
      <c r="F2079" s="10">
        <f>IF(C2079="","",IFERROR(INDEX(Levels!$C$2:$C$30,MATCH(C2079,Levels!$B$2:$B$30,0)),""))</f>
        <v/>
      </c>
      <c r="G2079" s="6" t="n"/>
      <c r="H2079" s="10">
        <f>IF(AND(B2079="",C2079=""),"",IF(G2079&lt;&gt;"","Void",IF(OR(B2079="",E2079=""),"Needs child",IF(D2079="","Needs level","OK"))))</f>
        <v/>
      </c>
    </row>
    <row r="2080">
      <c r="A2080" s="6" t="n"/>
      <c r="B2080" s="6" t="n"/>
      <c r="C2080" s="6" t="n"/>
      <c r="D2080" s="11">
        <f>IF(C2080="","",IFERROR(INDEX(Levels!$A$2:$A$30,MATCH(C2080,Levels!$B$2:$B$30,0)),""))</f>
        <v/>
      </c>
      <c r="E2080" s="10">
        <f>IF(B2080="","",IFERROR(INDEX(Roster!$A$2:$A$600,MATCH(B2080,Roster!$E$2:$E$600,0)),""))</f>
        <v/>
      </c>
      <c r="F2080" s="10">
        <f>IF(C2080="","",IFERROR(INDEX(Levels!$C$2:$C$30,MATCH(C2080,Levels!$B$2:$B$30,0)),""))</f>
        <v/>
      </c>
      <c r="G2080" s="6" t="n"/>
      <c r="H2080" s="10">
        <f>IF(AND(B2080="",C2080=""),"",IF(G2080&lt;&gt;"","Void",IF(OR(B2080="",E2080=""),"Needs child",IF(D2080="","Needs level","OK"))))</f>
        <v/>
      </c>
    </row>
    <row r="2081">
      <c r="A2081" s="6" t="n"/>
      <c r="B2081" s="6" t="n"/>
      <c r="C2081" s="6" t="n"/>
      <c r="D2081" s="11">
        <f>IF(C2081="","",IFERROR(INDEX(Levels!$A$2:$A$30,MATCH(C2081,Levels!$B$2:$B$30,0)),""))</f>
        <v/>
      </c>
      <c r="E2081" s="10">
        <f>IF(B2081="","",IFERROR(INDEX(Roster!$A$2:$A$600,MATCH(B2081,Roster!$E$2:$E$600,0)),""))</f>
        <v/>
      </c>
      <c r="F2081" s="10">
        <f>IF(C2081="","",IFERROR(INDEX(Levels!$C$2:$C$30,MATCH(C2081,Levels!$B$2:$B$30,0)),""))</f>
        <v/>
      </c>
      <c r="G2081" s="6" t="n"/>
      <c r="H2081" s="10">
        <f>IF(AND(B2081="",C2081=""),"",IF(G2081&lt;&gt;"","Void",IF(OR(B2081="",E2081=""),"Needs child",IF(D2081="","Needs level","OK"))))</f>
        <v/>
      </c>
    </row>
    <row r="2082">
      <c r="A2082" s="6" t="n"/>
      <c r="B2082" s="6" t="n"/>
      <c r="C2082" s="6" t="n"/>
      <c r="D2082" s="11">
        <f>IF(C2082="","",IFERROR(INDEX(Levels!$A$2:$A$30,MATCH(C2082,Levels!$B$2:$B$30,0)),""))</f>
        <v/>
      </c>
      <c r="E2082" s="10">
        <f>IF(B2082="","",IFERROR(INDEX(Roster!$A$2:$A$600,MATCH(B2082,Roster!$E$2:$E$600,0)),""))</f>
        <v/>
      </c>
      <c r="F2082" s="10">
        <f>IF(C2082="","",IFERROR(INDEX(Levels!$C$2:$C$30,MATCH(C2082,Levels!$B$2:$B$30,0)),""))</f>
        <v/>
      </c>
      <c r="G2082" s="6" t="n"/>
      <c r="H2082" s="10">
        <f>IF(AND(B2082="",C2082=""),"",IF(G2082&lt;&gt;"","Void",IF(OR(B2082="",E2082=""),"Needs child",IF(D2082="","Needs level","OK"))))</f>
        <v/>
      </c>
    </row>
    <row r="2083">
      <c r="A2083" s="6" t="n"/>
      <c r="B2083" s="6" t="n"/>
      <c r="C2083" s="6" t="n"/>
      <c r="D2083" s="11">
        <f>IF(C2083="","",IFERROR(INDEX(Levels!$A$2:$A$30,MATCH(C2083,Levels!$B$2:$B$30,0)),""))</f>
        <v/>
      </c>
      <c r="E2083" s="10">
        <f>IF(B2083="","",IFERROR(INDEX(Roster!$A$2:$A$600,MATCH(B2083,Roster!$E$2:$E$600,0)),""))</f>
        <v/>
      </c>
      <c r="F2083" s="10">
        <f>IF(C2083="","",IFERROR(INDEX(Levels!$C$2:$C$30,MATCH(C2083,Levels!$B$2:$B$30,0)),""))</f>
        <v/>
      </c>
      <c r="G2083" s="6" t="n"/>
      <c r="H2083" s="10">
        <f>IF(AND(B2083="",C2083=""),"",IF(G2083&lt;&gt;"","Void",IF(OR(B2083="",E2083=""),"Needs child",IF(D2083="","Needs level","OK"))))</f>
        <v/>
      </c>
    </row>
    <row r="2084">
      <c r="A2084" s="6" t="n"/>
      <c r="B2084" s="6" t="n"/>
      <c r="C2084" s="6" t="n"/>
      <c r="D2084" s="11">
        <f>IF(C2084="","",IFERROR(INDEX(Levels!$A$2:$A$30,MATCH(C2084,Levels!$B$2:$B$30,0)),""))</f>
        <v/>
      </c>
      <c r="E2084" s="10">
        <f>IF(B2084="","",IFERROR(INDEX(Roster!$A$2:$A$600,MATCH(B2084,Roster!$E$2:$E$600,0)),""))</f>
        <v/>
      </c>
      <c r="F2084" s="10">
        <f>IF(C2084="","",IFERROR(INDEX(Levels!$C$2:$C$30,MATCH(C2084,Levels!$B$2:$B$30,0)),""))</f>
        <v/>
      </c>
      <c r="G2084" s="6" t="n"/>
      <c r="H2084" s="10">
        <f>IF(AND(B2084="",C2084=""),"",IF(G2084&lt;&gt;"","Void",IF(OR(B2084="",E2084=""),"Needs child",IF(D2084="","Needs level","OK"))))</f>
        <v/>
      </c>
    </row>
    <row r="2085">
      <c r="A2085" s="6" t="n"/>
      <c r="B2085" s="6" t="n"/>
      <c r="C2085" s="6" t="n"/>
      <c r="D2085" s="11">
        <f>IF(C2085="","",IFERROR(INDEX(Levels!$A$2:$A$30,MATCH(C2085,Levels!$B$2:$B$30,0)),""))</f>
        <v/>
      </c>
      <c r="E2085" s="10">
        <f>IF(B2085="","",IFERROR(INDEX(Roster!$A$2:$A$600,MATCH(B2085,Roster!$E$2:$E$600,0)),""))</f>
        <v/>
      </c>
      <c r="F2085" s="10">
        <f>IF(C2085="","",IFERROR(INDEX(Levels!$C$2:$C$30,MATCH(C2085,Levels!$B$2:$B$30,0)),""))</f>
        <v/>
      </c>
      <c r="G2085" s="6" t="n"/>
      <c r="H2085" s="10">
        <f>IF(AND(B2085="",C2085=""),"",IF(G2085&lt;&gt;"","Void",IF(OR(B2085="",E2085=""),"Needs child",IF(D2085="","Needs level","OK"))))</f>
        <v/>
      </c>
    </row>
    <row r="2086">
      <c r="A2086" s="6" t="n"/>
      <c r="B2086" s="6" t="n"/>
      <c r="C2086" s="6" t="n"/>
      <c r="D2086" s="11">
        <f>IF(C2086="","",IFERROR(INDEX(Levels!$A$2:$A$30,MATCH(C2086,Levels!$B$2:$B$30,0)),""))</f>
        <v/>
      </c>
      <c r="E2086" s="10">
        <f>IF(B2086="","",IFERROR(INDEX(Roster!$A$2:$A$600,MATCH(B2086,Roster!$E$2:$E$600,0)),""))</f>
        <v/>
      </c>
      <c r="F2086" s="10">
        <f>IF(C2086="","",IFERROR(INDEX(Levels!$C$2:$C$30,MATCH(C2086,Levels!$B$2:$B$30,0)),""))</f>
        <v/>
      </c>
      <c r="G2086" s="6" t="n"/>
      <c r="H2086" s="10">
        <f>IF(AND(B2086="",C2086=""),"",IF(G2086&lt;&gt;"","Void",IF(OR(B2086="",E2086=""),"Needs child",IF(D2086="","Needs level","OK"))))</f>
        <v/>
      </c>
    </row>
    <row r="2087">
      <c r="A2087" s="6" t="n"/>
      <c r="B2087" s="6" t="n"/>
      <c r="C2087" s="6" t="n"/>
      <c r="D2087" s="11">
        <f>IF(C2087="","",IFERROR(INDEX(Levels!$A$2:$A$30,MATCH(C2087,Levels!$B$2:$B$30,0)),""))</f>
        <v/>
      </c>
      <c r="E2087" s="10">
        <f>IF(B2087="","",IFERROR(INDEX(Roster!$A$2:$A$600,MATCH(B2087,Roster!$E$2:$E$600,0)),""))</f>
        <v/>
      </c>
      <c r="F2087" s="10">
        <f>IF(C2087="","",IFERROR(INDEX(Levels!$C$2:$C$30,MATCH(C2087,Levels!$B$2:$B$30,0)),""))</f>
        <v/>
      </c>
      <c r="G2087" s="6" t="n"/>
      <c r="H2087" s="10">
        <f>IF(AND(B2087="",C2087=""),"",IF(G2087&lt;&gt;"","Void",IF(OR(B2087="",E2087=""),"Needs child",IF(D2087="","Needs level","OK"))))</f>
        <v/>
      </c>
    </row>
    <row r="2088">
      <c r="A2088" s="6" t="n"/>
      <c r="B2088" s="6" t="n"/>
      <c r="C2088" s="6" t="n"/>
      <c r="D2088" s="11">
        <f>IF(C2088="","",IFERROR(INDEX(Levels!$A$2:$A$30,MATCH(C2088,Levels!$B$2:$B$30,0)),""))</f>
        <v/>
      </c>
      <c r="E2088" s="10">
        <f>IF(B2088="","",IFERROR(INDEX(Roster!$A$2:$A$600,MATCH(B2088,Roster!$E$2:$E$600,0)),""))</f>
        <v/>
      </c>
      <c r="F2088" s="10">
        <f>IF(C2088="","",IFERROR(INDEX(Levels!$C$2:$C$30,MATCH(C2088,Levels!$B$2:$B$30,0)),""))</f>
        <v/>
      </c>
      <c r="G2088" s="6" t="n"/>
      <c r="H2088" s="10">
        <f>IF(AND(B2088="",C2088=""),"",IF(G2088&lt;&gt;"","Void",IF(OR(B2088="",E2088=""),"Needs child",IF(D2088="","Needs level","OK"))))</f>
        <v/>
      </c>
    </row>
    <row r="2089">
      <c r="A2089" s="6" t="n"/>
      <c r="B2089" s="6" t="n"/>
      <c r="C2089" s="6" t="n"/>
      <c r="D2089" s="11">
        <f>IF(C2089="","",IFERROR(INDEX(Levels!$A$2:$A$30,MATCH(C2089,Levels!$B$2:$B$30,0)),""))</f>
        <v/>
      </c>
      <c r="E2089" s="10">
        <f>IF(B2089="","",IFERROR(INDEX(Roster!$A$2:$A$600,MATCH(B2089,Roster!$E$2:$E$600,0)),""))</f>
        <v/>
      </c>
      <c r="F2089" s="10">
        <f>IF(C2089="","",IFERROR(INDEX(Levels!$C$2:$C$30,MATCH(C2089,Levels!$B$2:$B$30,0)),""))</f>
        <v/>
      </c>
      <c r="G2089" s="6" t="n"/>
      <c r="H2089" s="10">
        <f>IF(AND(B2089="",C2089=""),"",IF(G2089&lt;&gt;"","Void",IF(OR(B2089="",E2089=""),"Needs child",IF(D2089="","Needs level","OK"))))</f>
        <v/>
      </c>
    </row>
    <row r="2090">
      <c r="A2090" s="6" t="n"/>
      <c r="B2090" s="6" t="n"/>
      <c r="C2090" s="6" t="n"/>
      <c r="D2090" s="11">
        <f>IF(C2090="","",IFERROR(INDEX(Levels!$A$2:$A$30,MATCH(C2090,Levels!$B$2:$B$30,0)),""))</f>
        <v/>
      </c>
      <c r="E2090" s="10">
        <f>IF(B2090="","",IFERROR(INDEX(Roster!$A$2:$A$600,MATCH(B2090,Roster!$E$2:$E$600,0)),""))</f>
        <v/>
      </c>
      <c r="F2090" s="10">
        <f>IF(C2090="","",IFERROR(INDEX(Levels!$C$2:$C$30,MATCH(C2090,Levels!$B$2:$B$30,0)),""))</f>
        <v/>
      </c>
      <c r="G2090" s="6" t="n"/>
      <c r="H2090" s="10">
        <f>IF(AND(B2090="",C2090=""),"",IF(G2090&lt;&gt;"","Void",IF(OR(B2090="",E2090=""),"Needs child",IF(D2090="","Needs level","OK"))))</f>
        <v/>
      </c>
    </row>
    <row r="2091">
      <c r="A2091" s="6" t="n"/>
      <c r="B2091" s="6" t="n"/>
      <c r="C2091" s="6" t="n"/>
      <c r="D2091" s="11">
        <f>IF(C2091="","",IFERROR(INDEX(Levels!$A$2:$A$30,MATCH(C2091,Levels!$B$2:$B$30,0)),""))</f>
        <v/>
      </c>
      <c r="E2091" s="10">
        <f>IF(B2091="","",IFERROR(INDEX(Roster!$A$2:$A$600,MATCH(B2091,Roster!$E$2:$E$600,0)),""))</f>
        <v/>
      </c>
      <c r="F2091" s="10">
        <f>IF(C2091="","",IFERROR(INDEX(Levels!$C$2:$C$30,MATCH(C2091,Levels!$B$2:$B$30,0)),""))</f>
        <v/>
      </c>
      <c r="G2091" s="6" t="n"/>
      <c r="H2091" s="10">
        <f>IF(AND(B2091="",C2091=""),"",IF(G2091&lt;&gt;"","Void",IF(OR(B2091="",E2091=""),"Needs child",IF(D2091="","Needs level","OK"))))</f>
        <v/>
      </c>
    </row>
    <row r="2092">
      <c r="A2092" s="6" t="n"/>
      <c r="B2092" s="6" t="n"/>
      <c r="C2092" s="6" t="n"/>
      <c r="D2092" s="11">
        <f>IF(C2092="","",IFERROR(INDEX(Levels!$A$2:$A$30,MATCH(C2092,Levels!$B$2:$B$30,0)),""))</f>
        <v/>
      </c>
      <c r="E2092" s="10">
        <f>IF(B2092="","",IFERROR(INDEX(Roster!$A$2:$A$600,MATCH(B2092,Roster!$E$2:$E$600,0)),""))</f>
        <v/>
      </c>
      <c r="F2092" s="10">
        <f>IF(C2092="","",IFERROR(INDEX(Levels!$C$2:$C$30,MATCH(C2092,Levels!$B$2:$B$30,0)),""))</f>
        <v/>
      </c>
      <c r="G2092" s="6" t="n"/>
      <c r="H2092" s="10">
        <f>IF(AND(B2092="",C2092=""),"",IF(G2092&lt;&gt;"","Void",IF(OR(B2092="",E2092=""),"Needs child",IF(D2092="","Needs level","OK"))))</f>
        <v/>
      </c>
    </row>
    <row r="2093">
      <c r="A2093" s="6" t="n"/>
      <c r="B2093" s="6" t="n"/>
      <c r="C2093" s="6" t="n"/>
      <c r="D2093" s="11">
        <f>IF(C2093="","",IFERROR(INDEX(Levels!$A$2:$A$30,MATCH(C2093,Levels!$B$2:$B$30,0)),""))</f>
        <v/>
      </c>
      <c r="E2093" s="10">
        <f>IF(B2093="","",IFERROR(INDEX(Roster!$A$2:$A$600,MATCH(B2093,Roster!$E$2:$E$600,0)),""))</f>
        <v/>
      </c>
      <c r="F2093" s="10">
        <f>IF(C2093="","",IFERROR(INDEX(Levels!$C$2:$C$30,MATCH(C2093,Levels!$B$2:$B$30,0)),""))</f>
        <v/>
      </c>
      <c r="G2093" s="6" t="n"/>
      <c r="H2093" s="10">
        <f>IF(AND(B2093="",C2093=""),"",IF(G2093&lt;&gt;"","Void",IF(OR(B2093="",E2093=""),"Needs child",IF(D2093="","Needs level","OK"))))</f>
        <v/>
      </c>
    </row>
    <row r="2094">
      <c r="A2094" s="6" t="n"/>
      <c r="B2094" s="6" t="n"/>
      <c r="C2094" s="6" t="n"/>
      <c r="D2094" s="11">
        <f>IF(C2094="","",IFERROR(INDEX(Levels!$A$2:$A$30,MATCH(C2094,Levels!$B$2:$B$30,0)),""))</f>
        <v/>
      </c>
      <c r="E2094" s="10">
        <f>IF(B2094="","",IFERROR(INDEX(Roster!$A$2:$A$600,MATCH(B2094,Roster!$E$2:$E$600,0)),""))</f>
        <v/>
      </c>
      <c r="F2094" s="10">
        <f>IF(C2094="","",IFERROR(INDEX(Levels!$C$2:$C$30,MATCH(C2094,Levels!$B$2:$B$30,0)),""))</f>
        <v/>
      </c>
      <c r="G2094" s="6" t="n"/>
      <c r="H2094" s="10">
        <f>IF(AND(B2094="",C2094=""),"",IF(G2094&lt;&gt;"","Void",IF(OR(B2094="",E2094=""),"Needs child",IF(D2094="","Needs level","OK"))))</f>
        <v/>
      </c>
    </row>
    <row r="2095">
      <c r="A2095" s="6" t="n"/>
      <c r="B2095" s="6" t="n"/>
      <c r="C2095" s="6" t="n"/>
      <c r="D2095" s="11">
        <f>IF(C2095="","",IFERROR(INDEX(Levels!$A$2:$A$30,MATCH(C2095,Levels!$B$2:$B$30,0)),""))</f>
        <v/>
      </c>
      <c r="E2095" s="10">
        <f>IF(B2095="","",IFERROR(INDEX(Roster!$A$2:$A$600,MATCH(B2095,Roster!$E$2:$E$600,0)),""))</f>
        <v/>
      </c>
      <c r="F2095" s="10">
        <f>IF(C2095="","",IFERROR(INDEX(Levels!$C$2:$C$30,MATCH(C2095,Levels!$B$2:$B$30,0)),""))</f>
        <v/>
      </c>
      <c r="G2095" s="6" t="n"/>
      <c r="H2095" s="10">
        <f>IF(AND(B2095="",C2095=""),"",IF(G2095&lt;&gt;"","Void",IF(OR(B2095="",E2095=""),"Needs child",IF(D2095="","Needs level","OK"))))</f>
        <v/>
      </c>
    </row>
    <row r="2096">
      <c r="A2096" s="6" t="n"/>
      <c r="B2096" s="6" t="n"/>
      <c r="C2096" s="6" t="n"/>
      <c r="D2096" s="11">
        <f>IF(C2096="","",IFERROR(INDEX(Levels!$A$2:$A$30,MATCH(C2096,Levels!$B$2:$B$30,0)),""))</f>
        <v/>
      </c>
      <c r="E2096" s="10">
        <f>IF(B2096="","",IFERROR(INDEX(Roster!$A$2:$A$600,MATCH(B2096,Roster!$E$2:$E$600,0)),""))</f>
        <v/>
      </c>
      <c r="F2096" s="10">
        <f>IF(C2096="","",IFERROR(INDEX(Levels!$C$2:$C$30,MATCH(C2096,Levels!$B$2:$B$30,0)),""))</f>
        <v/>
      </c>
      <c r="G2096" s="6" t="n"/>
      <c r="H2096" s="10">
        <f>IF(AND(B2096="",C2096=""),"",IF(G2096&lt;&gt;"","Void",IF(OR(B2096="",E2096=""),"Needs child",IF(D2096="","Needs level","OK"))))</f>
        <v/>
      </c>
    </row>
    <row r="2097">
      <c r="A2097" s="6" t="n"/>
      <c r="B2097" s="6" t="n"/>
      <c r="C2097" s="6" t="n"/>
      <c r="D2097" s="11">
        <f>IF(C2097="","",IFERROR(INDEX(Levels!$A$2:$A$30,MATCH(C2097,Levels!$B$2:$B$30,0)),""))</f>
        <v/>
      </c>
      <c r="E2097" s="10">
        <f>IF(B2097="","",IFERROR(INDEX(Roster!$A$2:$A$600,MATCH(B2097,Roster!$E$2:$E$600,0)),""))</f>
        <v/>
      </c>
      <c r="F2097" s="10">
        <f>IF(C2097="","",IFERROR(INDEX(Levels!$C$2:$C$30,MATCH(C2097,Levels!$B$2:$B$30,0)),""))</f>
        <v/>
      </c>
      <c r="G2097" s="6" t="n"/>
      <c r="H2097" s="10">
        <f>IF(AND(B2097="",C2097=""),"",IF(G2097&lt;&gt;"","Void",IF(OR(B2097="",E2097=""),"Needs child",IF(D2097="","Needs level","OK"))))</f>
        <v/>
      </c>
    </row>
    <row r="2098">
      <c r="A2098" s="6" t="n"/>
      <c r="B2098" s="6" t="n"/>
      <c r="C2098" s="6" t="n"/>
      <c r="D2098" s="11">
        <f>IF(C2098="","",IFERROR(INDEX(Levels!$A$2:$A$30,MATCH(C2098,Levels!$B$2:$B$30,0)),""))</f>
        <v/>
      </c>
      <c r="E2098" s="10">
        <f>IF(B2098="","",IFERROR(INDEX(Roster!$A$2:$A$600,MATCH(B2098,Roster!$E$2:$E$600,0)),""))</f>
        <v/>
      </c>
      <c r="F2098" s="10">
        <f>IF(C2098="","",IFERROR(INDEX(Levels!$C$2:$C$30,MATCH(C2098,Levels!$B$2:$B$30,0)),""))</f>
        <v/>
      </c>
      <c r="G2098" s="6" t="n"/>
      <c r="H2098" s="10">
        <f>IF(AND(B2098="",C2098=""),"",IF(G2098&lt;&gt;"","Void",IF(OR(B2098="",E2098=""),"Needs child",IF(D2098="","Needs level","OK"))))</f>
        <v/>
      </c>
    </row>
    <row r="2099">
      <c r="A2099" s="6" t="n"/>
      <c r="B2099" s="6" t="n"/>
      <c r="C2099" s="6" t="n"/>
      <c r="D2099" s="11">
        <f>IF(C2099="","",IFERROR(INDEX(Levels!$A$2:$A$30,MATCH(C2099,Levels!$B$2:$B$30,0)),""))</f>
        <v/>
      </c>
      <c r="E2099" s="10">
        <f>IF(B2099="","",IFERROR(INDEX(Roster!$A$2:$A$600,MATCH(B2099,Roster!$E$2:$E$600,0)),""))</f>
        <v/>
      </c>
      <c r="F2099" s="10">
        <f>IF(C2099="","",IFERROR(INDEX(Levels!$C$2:$C$30,MATCH(C2099,Levels!$B$2:$B$30,0)),""))</f>
        <v/>
      </c>
      <c r="G2099" s="6" t="n"/>
      <c r="H2099" s="10">
        <f>IF(AND(B2099="",C2099=""),"",IF(G2099&lt;&gt;"","Void",IF(OR(B2099="",E2099=""),"Needs child",IF(D2099="","Needs level","OK"))))</f>
        <v/>
      </c>
    </row>
    <row r="2100">
      <c r="A2100" s="6" t="n"/>
      <c r="B2100" s="6" t="n"/>
      <c r="C2100" s="6" t="n"/>
      <c r="D2100" s="11">
        <f>IF(C2100="","",IFERROR(INDEX(Levels!$A$2:$A$30,MATCH(C2100,Levels!$B$2:$B$30,0)),""))</f>
        <v/>
      </c>
      <c r="E2100" s="10">
        <f>IF(B2100="","",IFERROR(INDEX(Roster!$A$2:$A$600,MATCH(B2100,Roster!$E$2:$E$600,0)),""))</f>
        <v/>
      </c>
      <c r="F2100" s="10">
        <f>IF(C2100="","",IFERROR(INDEX(Levels!$C$2:$C$30,MATCH(C2100,Levels!$B$2:$B$30,0)),""))</f>
        <v/>
      </c>
      <c r="G2100" s="6" t="n"/>
      <c r="H2100" s="10">
        <f>IF(AND(B2100="",C2100=""),"",IF(G2100&lt;&gt;"","Void",IF(OR(B2100="",E2100=""),"Needs child",IF(D2100="","Needs level","OK"))))</f>
        <v/>
      </c>
    </row>
    <row r="2101">
      <c r="A2101" s="6" t="n"/>
      <c r="B2101" s="6" t="n"/>
      <c r="C2101" s="6" t="n"/>
      <c r="D2101" s="11">
        <f>IF(C2101="","",IFERROR(INDEX(Levels!$A$2:$A$30,MATCH(C2101,Levels!$B$2:$B$30,0)),""))</f>
        <v/>
      </c>
      <c r="E2101" s="10">
        <f>IF(B2101="","",IFERROR(INDEX(Roster!$A$2:$A$600,MATCH(B2101,Roster!$E$2:$E$600,0)),""))</f>
        <v/>
      </c>
      <c r="F2101" s="10">
        <f>IF(C2101="","",IFERROR(INDEX(Levels!$C$2:$C$30,MATCH(C2101,Levels!$B$2:$B$30,0)),""))</f>
        <v/>
      </c>
      <c r="G2101" s="6" t="n"/>
      <c r="H2101" s="10">
        <f>IF(AND(B2101="",C2101=""),"",IF(G2101&lt;&gt;"","Void",IF(OR(B2101="",E2101=""),"Needs child",IF(D2101="","Needs level","OK"))))</f>
        <v/>
      </c>
    </row>
    <row r="2102">
      <c r="A2102" s="6" t="n"/>
      <c r="B2102" s="6" t="n"/>
      <c r="C2102" s="6" t="n"/>
      <c r="D2102" s="11">
        <f>IF(C2102="","",IFERROR(INDEX(Levels!$A$2:$A$30,MATCH(C2102,Levels!$B$2:$B$30,0)),""))</f>
        <v/>
      </c>
      <c r="E2102" s="10">
        <f>IF(B2102="","",IFERROR(INDEX(Roster!$A$2:$A$600,MATCH(B2102,Roster!$E$2:$E$600,0)),""))</f>
        <v/>
      </c>
      <c r="F2102" s="10">
        <f>IF(C2102="","",IFERROR(INDEX(Levels!$C$2:$C$30,MATCH(C2102,Levels!$B$2:$B$30,0)),""))</f>
        <v/>
      </c>
      <c r="G2102" s="6" t="n"/>
      <c r="H2102" s="10">
        <f>IF(AND(B2102="",C2102=""),"",IF(G2102&lt;&gt;"","Void",IF(OR(B2102="",E2102=""),"Needs child",IF(D2102="","Needs level","OK"))))</f>
        <v/>
      </c>
    </row>
    <row r="2103">
      <c r="A2103" s="6" t="n"/>
      <c r="B2103" s="6" t="n"/>
      <c r="C2103" s="6" t="n"/>
      <c r="D2103" s="11">
        <f>IF(C2103="","",IFERROR(INDEX(Levels!$A$2:$A$30,MATCH(C2103,Levels!$B$2:$B$30,0)),""))</f>
        <v/>
      </c>
      <c r="E2103" s="10">
        <f>IF(B2103="","",IFERROR(INDEX(Roster!$A$2:$A$600,MATCH(B2103,Roster!$E$2:$E$600,0)),""))</f>
        <v/>
      </c>
      <c r="F2103" s="10">
        <f>IF(C2103="","",IFERROR(INDEX(Levels!$C$2:$C$30,MATCH(C2103,Levels!$B$2:$B$30,0)),""))</f>
        <v/>
      </c>
      <c r="G2103" s="6" t="n"/>
      <c r="H2103" s="10">
        <f>IF(AND(B2103="",C2103=""),"",IF(G2103&lt;&gt;"","Void",IF(OR(B2103="",E2103=""),"Needs child",IF(D2103="","Needs level","OK"))))</f>
        <v/>
      </c>
    </row>
    <row r="2104">
      <c r="A2104" s="6" t="n"/>
      <c r="B2104" s="6" t="n"/>
      <c r="C2104" s="6" t="n"/>
      <c r="D2104" s="11">
        <f>IF(C2104="","",IFERROR(INDEX(Levels!$A$2:$A$30,MATCH(C2104,Levels!$B$2:$B$30,0)),""))</f>
        <v/>
      </c>
      <c r="E2104" s="10">
        <f>IF(B2104="","",IFERROR(INDEX(Roster!$A$2:$A$600,MATCH(B2104,Roster!$E$2:$E$600,0)),""))</f>
        <v/>
      </c>
      <c r="F2104" s="10">
        <f>IF(C2104="","",IFERROR(INDEX(Levels!$C$2:$C$30,MATCH(C2104,Levels!$B$2:$B$30,0)),""))</f>
        <v/>
      </c>
      <c r="G2104" s="6" t="n"/>
      <c r="H2104" s="10">
        <f>IF(AND(B2104="",C2104=""),"",IF(G2104&lt;&gt;"","Void",IF(OR(B2104="",E2104=""),"Needs child",IF(D2104="","Needs level","OK"))))</f>
        <v/>
      </c>
    </row>
    <row r="2105">
      <c r="A2105" s="6" t="n"/>
      <c r="B2105" s="6" t="n"/>
      <c r="C2105" s="6" t="n"/>
      <c r="D2105" s="11">
        <f>IF(C2105="","",IFERROR(INDEX(Levels!$A$2:$A$30,MATCH(C2105,Levels!$B$2:$B$30,0)),""))</f>
        <v/>
      </c>
      <c r="E2105" s="10">
        <f>IF(B2105="","",IFERROR(INDEX(Roster!$A$2:$A$600,MATCH(B2105,Roster!$E$2:$E$600,0)),""))</f>
        <v/>
      </c>
      <c r="F2105" s="10">
        <f>IF(C2105="","",IFERROR(INDEX(Levels!$C$2:$C$30,MATCH(C2105,Levels!$B$2:$B$30,0)),""))</f>
        <v/>
      </c>
      <c r="G2105" s="6" t="n"/>
      <c r="H2105" s="10">
        <f>IF(AND(B2105="",C2105=""),"",IF(G2105&lt;&gt;"","Void",IF(OR(B2105="",E2105=""),"Needs child",IF(D2105="","Needs level","OK"))))</f>
        <v/>
      </c>
    </row>
    <row r="2106">
      <c r="A2106" s="6" t="n"/>
      <c r="B2106" s="6" t="n"/>
      <c r="C2106" s="6" t="n"/>
      <c r="D2106" s="11">
        <f>IF(C2106="","",IFERROR(INDEX(Levels!$A$2:$A$30,MATCH(C2106,Levels!$B$2:$B$30,0)),""))</f>
        <v/>
      </c>
      <c r="E2106" s="10">
        <f>IF(B2106="","",IFERROR(INDEX(Roster!$A$2:$A$600,MATCH(B2106,Roster!$E$2:$E$600,0)),""))</f>
        <v/>
      </c>
      <c r="F2106" s="10">
        <f>IF(C2106="","",IFERROR(INDEX(Levels!$C$2:$C$30,MATCH(C2106,Levels!$B$2:$B$30,0)),""))</f>
        <v/>
      </c>
      <c r="G2106" s="6" t="n"/>
      <c r="H2106" s="10">
        <f>IF(AND(B2106="",C2106=""),"",IF(G2106&lt;&gt;"","Void",IF(OR(B2106="",E2106=""),"Needs child",IF(D2106="","Needs level","OK"))))</f>
        <v/>
      </c>
    </row>
    <row r="2107">
      <c r="A2107" s="6" t="n"/>
      <c r="B2107" s="6" t="n"/>
      <c r="C2107" s="6" t="n"/>
      <c r="D2107" s="11">
        <f>IF(C2107="","",IFERROR(INDEX(Levels!$A$2:$A$30,MATCH(C2107,Levels!$B$2:$B$30,0)),""))</f>
        <v/>
      </c>
      <c r="E2107" s="10">
        <f>IF(B2107="","",IFERROR(INDEX(Roster!$A$2:$A$600,MATCH(B2107,Roster!$E$2:$E$600,0)),""))</f>
        <v/>
      </c>
      <c r="F2107" s="10">
        <f>IF(C2107="","",IFERROR(INDEX(Levels!$C$2:$C$30,MATCH(C2107,Levels!$B$2:$B$30,0)),""))</f>
        <v/>
      </c>
      <c r="G2107" s="6" t="n"/>
      <c r="H2107" s="10">
        <f>IF(AND(B2107="",C2107=""),"",IF(G2107&lt;&gt;"","Void",IF(OR(B2107="",E2107=""),"Needs child",IF(D2107="","Needs level","OK"))))</f>
        <v/>
      </c>
    </row>
    <row r="2108">
      <c r="A2108" s="6" t="n"/>
      <c r="B2108" s="6" t="n"/>
      <c r="C2108" s="6" t="n"/>
      <c r="D2108" s="11">
        <f>IF(C2108="","",IFERROR(INDEX(Levels!$A$2:$A$30,MATCH(C2108,Levels!$B$2:$B$30,0)),""))</f>
        <v/>
      </c>
      <c r="E2108" s="10">
        <f>IF(B2108="","",IFERROR(INDEX(Roster!$A$2:$A$600,MATCH(B2108,Roster!$E$2:$E$600,0)),""))</f>
        <v/>
      </c>
      <c r="F2108" s="10">
        <f>IF(C2108="","",IFERROR(INDEX(Levels!$C$2:$C$30,MATCH(C2108,Levels!$B$2:$B$30,0)),""))</f>
        <v/>
      </c>
      <c r="G2108" s="6" t="n"/>
      <c r="H2108" s="10">
        <f>IF(AND(B2108="",C2108=""),"",IF(G2108&lt;&gt;"","Void",IF(OR(B2108="",E2108=""),"Needs child",IF(D2108="","Needs level","OK"))))</f>
        <v/>
      </c>
    </row>
    <row r="2109">
      <c r="A2109" s="6" t="n"/>
      <c r="B2109" s="6" t="n"/>
      <c r="C2109" s="6" t="n"/>
      <c r="D2109" s="11">
        <f>IF(C2109="","",IFERROR(INDEX(Levels!$A$2:$A$30,MATCH(C2109,Levels!$B$2:$B$30,0)),""))</f>
        <v/>
      </c>
      <c r="E2109" s="10">
        <f>IF(B2109="","",IFERROR(INDEX(Roster!$A$2:$A$600,MATCH(B2109,Roster!$E$2:$E$600,0)),""))</f>
        <v/>
      </c>
      <c r="F2109" s="10">
        <f>IF(C2109="","",IFERROR(INDEX(Levels!$C$2:$C$30,MATCH(C2109,Levels!$B$2:$B$30,0)),""))</f>
        <v/>
      </c>
      <c r="G2109" s="6" t="n"/>
      <c r="H2109" s="10">
        <f>IF(AND(B2109="",C2109=""),"",IF(G2109&lt;&gt;"","Void",IF(OR(B2109="",E2109=""),"Needs child",IF(D2109="","Needs level","OK"))))</f>
        <v/>
      </c>
    </row>
    <row r="2110">
      <c r="A2110" s="6" t="n"/>
      <c r="B2110" s="6" t="n"/>
      <c r="C2110" s="6" t="n"/>
      <c r="D2110" s="11">
        <f>IF(C2110="","",IFERROR(INDEX(Levels!$A$2:$A$30,MATCH(C2110,Levels!$B$2:$B$30,0)),""))</f>
        <v/>
      </c>
      <c r="E2110" s="10">
        <f>IF(B2110="","",IFERROR(INDEX(Roster!$A$2:$A$600,MATCH(B2110,Roster!$E$2:$E$600,0)),""))</f>
        <v/>
      </c>
      <c r="F2110" s="10">
        <f>IF(C2110="","",IFERROR(INDEX(Levels!$C$2:$C$30,MATCH(C2110,Levels!$B$2:$B$30,0)),""))</f>
        <v/>
      </c>
      <c r="G2110" s="6" t="n"/>
      <c r="H2110" s="10">
        <f>IF(AND(B2110="",C2110=""),"",IF(G2110&lt;&gt;"","Void",IF(OR(B2110="",E2110=""),"Needs child",IF(D2110="","Needs level","OK"))))</f>
        <v/>
      </c>
    </row>
    <row r="2111">
      <c r="A2111" s="6" t="n"/>
      <c r="B2111" s="6" t="n"/>
      <c r="C2111" s="6" t="n"/>
      <c r="D2111" s="11">
        <f>IF(C2111="","",IFERROR(INDEX(Levels!$A$2:$A$30,MATCH(C2111,Levels!$B$2:$B$30,0)),""))</f>
        <v/>
      </c>
      <c r="E2111" s="10">
        <f>IF(B2111="","",IFERROR(INDEX(Roster!$A$2:$A$600,MATCH(B2111,Roster!$E$2:$E$600,0)),""))</f>
        <v/>
      </c>
      <c r="F2111" s="10">
        <f>IF(C2111="","",IFERROR(INDEX(Levels!$C$2:$C$30,MATCH(C2111,Levels!$B$2:$B$30,0)),""))</f>
        <v/>
      </c>
      <c r="G2111" s="6" t="n"/>
      <c r="H2111" s="10">
        <f>IF(AND(B2111="",C2111=""),"",IF(G2111&lt;&gt;"","Void",IF(OR(B2111="",E2111=""),"Needs child",IF(D2111="","Needs level","OK"))))</f>
        <v/>
      </c>
    </row>
    <row r="2112">
      <c r="A2112" s="6" t="n"/>
      <c r="B2112" s="6" t="n"/>
      <c r="C2112" s="6" t="n"/>
      <c r="D2112" s="11">
        <f>IF(C2112="","",IFERROR(INDEX(Levels!$A$2:$A$30,MATCH(C2112,Levels!$B$2:$B$30,0)),""))</f>
        <v/>
      </c>
      <c r="E2112" s="10">
        <f>IF(B2112="","",IFERROR(INDEX(Roster!$A$2:$A$600,MATCH(B2112,Roster!$E$2:$E$600,0)),""))</f>
        <v/>
      </c>
      <c r="F2112" s="10">
        <f>IF(C2112="","",IFERROR(INDEX(Levels!$C$2:$C$30,MATCH(C2112,Levels!$B$2:$B$30,0)),""))</f>
        <v/>
      </c>
      <c r="G2112" s="6" t="n"/>
      <c r="H2112" s="10">
        <f>IF(AND(B2112="",C2112=""),"",IF(G2112&lt;&gt;"","Void",IF(OR(B2112="",E2112=""),"Needs child",IF(D2112="","Needs level","OK"))))</f>
        <v/>
      </c>
    </row>
    <row r="2113">
      <c r="A2113" s="6" t="n"/>
      <c r="B2113" s="6" t="n"/>
      <c r="C2113" s="6" t="n"/>
      <c r="D2113" s="11">
        <f>IF(C2113="","",IFERROR(INDEX(Levels!$A$2:$A$30,MATCH(C2113,Levels!$B$2:$B$30,0)),""))</f>
        <v/>
      </c>
      <c r="E2113" s="10">
        <f>IF(B2113="","",IFERROR(INDEX(Roster!$A$2:$A$600,MATCH(B2113,Roster!$E$2:$E$600,0)),""))</f>
        <v/>
      </c>
      <c r="F2113" s="10">
        <f>IF(C2113="","",IFERROR(INDEX(Levels!$C$2:$C$30,MATCH(C2113,Levels!$B$2:$B$30,0)),""))</f>
        <v/>
      </c>
      <c r="G2113" s="6" t="n"/>
      <c r="H2113" s="10">
        <f>IF(AND(B2113="",C2113=""),"",IF(G2113&lt;&gt;"","Void",IF(OR(B2113="",E2113=""),"Needs child",IF(D2113="","Needs level","OK"))))</f>
        <v/>
      </c>
    </row>
    <row r="2114">
      <c r="A2114" s="6" t="n"/>
      <c r="B2114" s="6" t="n"/>
      <c r="C2114" s="6" t="n"/>
      <c r="D2114" s="11">
        <f>IF(C2114="","",IFERROR(INDEX(Levels!$A$2:$A$30,MATCH(C2114,Levels!$B$2:$B$30,0)),""))</f>
        <v/>
      </c>
      <c r="E2114" s="10">
        <f>IF(B2114="","",IFERROR(INDEX(Roster!$A$2:$A$600,MATCH(B2114,Roster!$E$2:$E$600,0)),""))</f>
        <v/>
      </c>
      <c r="F2114" s="10">
        <f>IF(C2114="","",IFERROR(INDEX(Levels!$C$2:$C$30,MATCH(C2114,Levels!$B$2:$B$30,0)),""))</f>
        <v/>
      </c>
      <c r="G2114" s="6" t="n"/>
      <c r="H2114" s="10">
        <f>IF(AND(B2114="",C2114=""),"",IF(G2114&lt;&gt;"","Void",IF(OR(B2114="",E2114=""),"Needs child",IF(D2114="","Needs level","OK"))))</f>
        <v/>
      </c>
    </row>
    <row r="2115">
      <c r="A2115" s="6" t="n"/>
      <c r="B2115" s="6" t="n"/>
      <c r="C2115" s="6" t="n"/>
      <c r="D2115" s="11">
        <f>IF(C2115="","",IFERROR(INDEX(Levels!$A$2:$A$30,MATCH(C2115,Levels!$B$2:$B$30,0)),""))</f>
        <v/>
      </c>
      <c r="E2115" s="10">
        <f>IF(B2115="","",IFERROR(INDEX(Roster!$A$2:$A$600,MATCH(B2115,Roster!$E$2:$E$600,0)),""))</f>
        <v/>
      </c>
      <c r="F2115" s="10">
        <f>IF(C2115="","",IFERROR(INDEX(Levels!$C$2:$C$30,MATCH(C2115,Levels!$B$2:$B$30,0)),""))</f>
        <v/>
      </c>
      <c r="G2115" s="6" t="n"/>
      <c r="H2115" s="10">
        <f>IF(AND(B2115="",C2115=""),"",IF(G2115&lt;&gt;"","Void",IF(OR(B2115="",E2115=""),"Needs child",IF(D2115="","Needs level","OK"))))</f>
        <v/>
      </c>
    </row>
    <row r="2116">
      <c r="A2116" s="6" t="n"/>
      <c r="B2116" s="6" t="n"/>
      <c r="C2116" s="6" t="n"/>
      <c r="D2116" s="11">
        <f>IF(C2116="","",IFERROR(INDEX(Levels!$A$2:$A$30,MATCH(C2116,Levels!$B$2:$B$30,0)),""))</f>
        <v/>
      </c>
      <c r="E2116" s="10">
        <f>IF(B2116="","",IFERROR(INDEX(Roster!$A$2:$A$600,MATCH(B2116,Roster!$E$2:$E$600,0)),""))</f>
        <v/>
      </c>
      <c r="F2116" s="10">
        <f>IF(C2116="","",IFERROR(INDEX(Levels!$C$2:$C$30,MATCH(C2116,Levels!$B$2:$B$30,0)),""))</f>
        <v/>
      </c>
      <c r="G2116" s="6" t="n"/>
      <c r="H2116" s="10">
        <f>IF(AND(B2116="",C2116=""),"",IF(G2116&lt;&gt;"","Void",IF(OR(B2116="",E2116=""),"Needs child",IF(D2116="","Needs level","OK"))))</f>
        <v/>
      </c>
    </row>
    <row r="2117">
      <c r="A2117" s="6" t="n"/>
      <c r="B2117" s="6" t="n"/>
      <c r="C2117" s="6" t="n"/>
      <c r="D2117" s="11">
        <f>IF(C2117="","",IFERROR(INDEX(Levels!$A$2:$A$30,MATCH(C2117,Levels!$B$2:$B$30,0)),""))</f>
        <v/>
      </c>
      <c r="E2117" s="10">
        <f>IF(B2117="","",IFERROR(INDEX(Roster!$A$2:$A$600,MATCH(B2117,Roster!$E$2:$E$600,0)),""))</f>
        <v/>
      </c>
      <c r="F2117" s="10">
        <f>IF(C2117="","",IFERROR(INDEX(Levels!$C$2:$C$30,MATCH(C2117,Levels!$B$2:$B$30,0)),""))</f>
        <v/>
      </c>
      <c r="G2117" s="6" t="n"/>
      <c r="H2117" s="10">
        <f>IF(AND(B2117="",C2117=""),"",IF(G2117&lt;&gt;"","Void",IF(OR(B2117="",E2117=""),"Needs child",IF(D2117="","Needs level","OK"))))</f>
        <v/>
      </c>
    </row>
    <row r="2118">
      <c r="A2118" s="6" t="n"/>
      <c r="B2118" s="6" t="n"/>
      <c r="C2118" s="6" t="n"/>
      <c r="D2118" s="11">
        <f>IF(C2118="","",IFERROR(INDEX(Levels!$A$2:$A$30,MATCH(C2118,Levels!$B$2:$B$30,0)),""))</f>
        <v/>
      </c>
      <c r="E2118" s="10">
        <f>IF(B2118="","",IFERROR(INDEX(Roster!$A$2:$A$600,MATCH(B2118,Roster!$E$2:$E$600,0)),""))</f>
        <v/>
      </c>
      <c r="F2118" s="10">
        <f>IF(C2118="","",IFERROR(INDEX(Levels!$C$2:$C$30,MATCH(C2118,Levels!$B$2:$B$30,0)),""))</f>
        <v/>
      </c>
      <c r="G2118" s="6" t="n"/>
      <c r="H2118" s="10">
        <f>IF(AND(B2118="",C2118=""),"",IF(G2118&lt;&gt;"","Void",IF(OR(B2118="",E2118=""),"Needs child",IF(D2118="","Needs level","OK"))))</f>
        <v/>
      </c>
    </row>
    <row r="2119">
      <c r="A2119" s="6" t="n"/>
      <c r="B2119" s="6" t="n"/>
      <c r="C2119" s="6" t="n"/>
      <c r="D2119" s="11">
        <f>IF(C2119="","",IFERROR(INDEX(Levels!$A$2:$A$30,MATCH(C2119,Levels!$B$2:$B$30,0)),""))</f>
        <v/>
      </c>
      <c r="E2119" s="10">
        <f>IF(B2119="","",IFERROR(INDEX(Roster!$A$2:$A$600,MATCH(B2119,Roster!$E$2:$E$600,0)),""))</f>
        <v/>
      </c>
      <c r="F2119" s="10">
        <f>IF(C2119="","",IFERROR(INDEX(Levels!$C$2:$C$30,MATCH(C2119,Levels!$B$2:$B$30,0)),""))</f>
        <v/>
      </c>
      <c r="G2119" s="6" t="n"/>
      <c r="H2119" s="10">
        <f>IF(AND(B2119="",C2119=""),"",IF(G2119&lt;&gt;"","Void",IF(OR(B2119="",E2119=""),"Needs child",IF(D2119="","Needs level","OK"))))</f>
        <v/>
      </c>
    </row>
    <row r="2120">
      <c r="A2120" s="6" t="n"/>
      <c r="B2120" s="6" t="n"/>
      <c r="C2120" s="6" t="n"/>
      <c r="D2120" s="11">
        <f>IF(C2120="","",IFERROR(INDEX(Levels!$A$2:$A$30,MATCH(C2120,Levels!$B$2:$B$30,0)),""))</f>
        <v/>
      </c>
      <c r="E2120" s="10">
        <f>IF(B2120="","",IFERROR(INDEX(Roster!$A$2:$A$600,MATCH(B2120,Roster!$E$2:$E$600,0)),""))</f>
        <v/>
      </c>
      <c r="F2120" s="10">
        <f>IF(C2120="","",IFERROR(INDEX(Levels!$C$2:$C$30,MATCH(C2120,Levels!$B$2:$B$30,0)),""))</f>
        <v/>
      </c>
      <c r="G2120" s="6" t="n"/>
      <c r="H2120" s="10">
        <f>IF(AND(B2120="",C2120=""),"",IF(G2120&lt;&gt;"","Void",IF(OR(B2120="",E2120=""),"Needs child",IF(D2120="","Needs level","OK"))))</f>
        <v/>
      </c>
    </row>
    <row r="2121">
      <c r="A2121" s="6" t="n"/>
      <c r="B2121" s="6" t="n"/>
      <c r="C2121" s="6" t="n"/>
      <c r="D2121" s="11">
        <f>IF(C2121="","",IFERROR(INDEX(Levels!$A$2:$A$30,MATCH(C2121,Levels!$B$2:$B$30,0)),""))</f>
        <v/>
      </c>
      <c r="E2121" s="10">
        <f>IF(B2121="","",IFERROR(INDEX(Roster!$A$2:$A$600,MATCH(B2121,Roster!$E$2:$E$600,0)),""))</f>
        <v/>
      </c>
      <c r="F2121" s="10">
        <f>IF(C2121="","",IFERROR(INDEX(Levels!$C$2:$C$30,MATCH(C2121,Levels!$B$2:$B$30,0)),""))</f>
        <v/>
      </c>
      <c r="G2121" s="6" t="n"/>
      <c r="H2121" s="10">
        <f>IF(AND(B2121="",C2121=""),"",IF(G2121&lt;&gt;"","Void",IF(OR(B2121="",E2121=""),"Needs child",IF(D2121="","Needs level","OK"))))</f>
        <v/>
      </c>
    </row>
    <row r="2122">
      <c r="A2122" s="6" t="n"/>
      <c r="B2122" s="6" t="n"/>
      <c r="C2122" s="6" t="n"/>
      <c r="D2122" s="11">
        <f>IF(C2122="","",IFERROR(INDEX(Levels!$A$2:$A$30,MATCH(C2122,Levels!$B$2:$B$30,0)),""))</f>
        <v/>
      </c>
      <c r="E2122" s="10">
        <f>IF(B2122="","",IFERROR(INDEX(Roster!$A$2:$A$600,MATCH(B2122,Roster!$E$2:$E$600,0)),""))</f>
        <v/>
      </c>
      <c r="F2122" s="10">
        <f>IF(C2122="","",IFERROR(INDEX(Levels!$C$2:$C$30,MATCH(C2122,Levels!$B$2:$B$30,0)),""))</f>
        <v/>
      </c>
      <c r="G2122" s="6" t="n"/>
      <c r="H2122" s="10">
        <f>IF(AND(B2122="",C2122=""),"",IF(G2122&lt;&gt;"","Void",IF(OR(B2122="",E2122=""),"Needs child",IF(D2122="","Needs level","OK"))))</f>
        <v/>
      </c>
    </row>
    <row r="2123">
      <c r="A2123" s="6" t="n"/>
      <c r="B2123" s="6" t="n"/>
      <c r="C2123" s="6" t="n"/>
      <c r="D2123" s="11">
        <f>IF(C2123="","",IFERROR(INDEX(Levels!$A$2:$A$30,MATCH(C2123,Levels!$B$2:$B$30,0)),""))</f>
        <v/>
      </c>
      <c r="E2123" s="10">
        <f>IF(B2123="","",IFERROR(INDEX(Roster!$A$2:$A$600,MATCH(B2123,Roster!$E$2:$E$600,0)),""))</f>
        <v/>
      </c>
      <c r="F2123" s="10">
        <f>IF(C2123="","",IFERROR(INDEX(Levels!$C$2:$C$30,MATCH(C2123,Levels!$B$2:$B$30,0)),""))</f>
        <v/>
      </c>
      <c r="G2123" s="6" t="n"/>
      <c r="H2123" s="10">
        <f>IF(AND(B2123="",C2123=""),"",IF(G2123&lt;&gt;"","Void",IF(OR(B2123="",E2123=""),"Needs child",IF(D2123="","Needs level","OK"))))</f>
        <v/>
      </c>
    </row>
    <row r="2124">
      <c r="A2124" s="6" t="n"/>
      <c r="B2124" s="6" t="n"/>
      <c r="C2124" s="6" t="n"/>
      <c r="D2124" s="11">
        <f>IF(C2124="","",IFERROR(INDEX(Levels!$A$2:$A$30,MATCH(C2124,Levels!$B$2:$B$30,0)),""))</f>
        <v/>
      </c>
      <c r="E2124" s="10">
        <f>IF(B2124="","",IFERROR(INDEX(Roster!$A$2:$A$600,MATCH(B2124,Roster!$E$2:$E$600,0)),""))</f>
        <v/>
      </c>
      <c r="F2124" s="10">
        <f>IF(C2124="","",IFERROR(INDEX(Levels!$C$2:$C$30,MATCH(C2124,Levels!$B$2:$B$30,0)),""))</f>
        <v/>
      </c>
      <c r="G2124" s="6" t="n"/>
      <c r="H2124" s="10">
        <f>IF(AND(B2124="",C2124=""),"",IF(G2124&lt;&gt;"","Void",IF(OR(B2124="",E2124=""),"Needs child",IF(D2124="","Needs level","OK"))))</f>
        <v/>
      </c>
    </row>
    <row r="2125">
      <c r="A2125" s="6" t="n"/>
      <c r="B2125" s="6" t="n"/>
      <c r="C2125" s="6" t="n"/>
      <c r="D2125" s="11">
        <f>IF(C2125="","",IFERROR(INDEX(Levels!$A$2:$A$30,MATCH(C2125,Levels!$B$2:$B$30,0)),""))</f>
        <v/>
      </c>
      <c r="E2125" s="10">
        <f>IF(B2125="","",IFERROR(INDEX(Roster!$A$2:$A$600,MATCH(B2125,Roster!$E$2:$E$600,0)),""))</f>
        <v/>
      </c>
      <c r="F2125" s="10">
        <f>IF(C2125="","",IFERROR(INDEX(Levels!$C$2:$C$30,MATCH(C2125,Levels!$B$2:$B$30,0)),""))</f>
        <v/>
      </c>
      <c r="G2125" s="6" t="n"/>
      <c r="H2125" s="10">
        <f>IF(AND(B2125="",C2125=""),"",IF(G2125&lt;&gt;"","Void",IF(OR(B2125="",E2125=""),"Needs child",IF(D2125="","Needs level","OK"))))</f>
        <v/>
      </c>
    </row>
    <row r="2126">
      <c r="A2126" s="6" t="n"/>
      <c r="B2126" s="6" t="n"/>
      <c r="C2126" s="6" t="n"/>
      <c r="D2126" s="11">
        <f>IF(C2126="","",IFERROR(INDEX(Levels!$A$2:$A$30,MATCH(C2126,Levels!$B$2:$B$30,0)),""))</f>
        <v/>
      </c>
      <c r="E2126" s="10">
        <f>IF(B2126="","",IFERROR(INDEX(Roster!$A$2:$A$600,MATCH(B2126,Roster!$E$2:$E$600,0)),""))</f>
        <v/>
      </c>
      <c r="F2126" s="10">
        <f>IF(C2126="","",IFERROR(INDEX(Levels!$C$2:$C$30,MATCH(C2126,Levels!$B$2:$B$30,0)),""))</f>
        <v/>
      </c>
      <c r="G2126" s="6" t="n"/>
      <c r="H2126" s="10">
        <f>IF(AND(B2126="",C2126=""),"",IF(G2126&lt;&gt;"","Void",IF(OR(B2126="",E2126=""),"Needs child",IF(D2126="","Needs level","OK"))))</f>
        <v/>
      </c>
    </row>
    <row r="2127">
      <c r="A2127" s="6" t="n"/>
      <c r="B2127" s="6" t="n"/>
      <c r="C2127" s="6" t="n"/>
      <c r="D2127" s="11">
        <f>IF(C2127="","",IFERROR(INDEX(Levels!$A$2:$A$30,MATCH(C2127,Levels!$B$2:$B$30,0)),""))</f>
        <v/>
      </c>
      <c r="E2127" s="10">
        <f>IF(B2127="","",IFERROR(INDEX(Roster!$A$2:$A$600,MATCH(B2127,Roster!$E$2:$E$600,0)),""))</f>
        <v/>
      </c>
      <c r="F2127" s="10">
        <f>IF(C2127="","",IFERROR(INDEX(Levels!$C$2:$C$30,MATCH(C2127,Levels!$B$2:$B$30,0)),""))</f>
        <v/>
      </c>
      <c r="G2127" s="6" t="n"/>
      <c r="H2127" s="10">
        <f>IF(AND(B2127="",C2127=""),"",IF(G2127&lt;&gt;"","Void",IF(OR(B2127="",E2127=""),"Needs child",IF(D2127="","Needs level","OK"))))</f>
        <v/>
      </c>
    </row>
    <row r="2128">
      <c r="A2128" s="6" t="n"/>
      <c r="B2128" s="6" t="n"/>
      <c r="C2128" s="6" t="n"/>
      <c r="D2128" s="11">
        <f>IF(C2128="","",IFERROR(INDEX(Levels!$A$2:$A$30,MATCH(C2128,Levels!$B$2:$B$30,0)),""))</f>
        <v/>
      </c>
      <c r="E2128" s="10">
        <f>IF(B2128="","",IFERROR(INDEX(Roster!$A$2:$A$600,MATCH(B2128,Roster!$E$2:$E$600,0)),""))</f>
        <v/>
      </c>
      <c r="F2128" s="10">
        <f>IF(C2128="","",IFERROR(INDEX(Levels!$C$2:$C$30,MATCH(C2128,Levels!$B$2:$B$30,0)),""))</f>
        <v/>
      </c>
      <c r="G2128" s="6" t="n"/>
      <c r="H2128" s="10">
        <f>IF(AND(B2128="",C2128=""),"",IF(G2128&lt;&gt;"","Void",IF(OR(B2128="",E2128=""),"Needs child",IF(D2128="","Needs level","OK"))))</f>
        <v/>
      </c>
    </row>
    <row r="2129">
      <c r="A2129" s="6" t="n"/>
      <c r="B2129" s="6" t="n"/>
      <c r="C2129" s="6" t="n"/>
      <c r="D2129" s="11">
        <f>IF(C2129="","",IFERROR(INDEX(Levels!$A$2:$A$30,MATCH(C2129,Levels!$B$2:$B$30,0)),""))</f>
        <v/>
      </c>
      <c r="E2129" s="10">
        <f>IF(B2129="","",IFERROR(INDEX(Roster!$A$2:$A$600,MATCH(B2129,Roster!$E$2:$E$600,0)),""))</f>
        <v/>
      </c>
      <c r="F2129" s="10">
        <f>IF(C2129="","",IFERROR(INDEX(Levels!$C$2:$C$30,MATCH(C2129,Levels!$B$2:$B$30,0)),""))</f>
        <v/>
      </c>
      <c r="G2129" s="6" t="n"/>
      <c r="H2129" s="10">
        <f>IF(AND(B2129="",C2129=""),"",IF(G2129&lt;&gt;"","Void",IF(OR(B2129="",E2129=""),"Needs child",IF(D2129="","Needs level","OK"))))</f>
        <v/>
      </c>
    </row>
    <row r="2130">
      <c r="A2130" s="6" t="n"/>
      <c r="B2130" s="6" t="n"/>
      <c r="C2130" s="6" t="n"/>
      <c r="D2130" s="11">
        <f>IF(C2130="","",IFERROR(INDEX(Levels!$A$2:$A$30,MATCH(C2130,Levels!$B$2:$B$30,0)),""))</f>
        <v/>
      </c>
      <c r="E2130" s="10">
        <f>IF(B2130="","",IFERROR(INDEX(Roster!$A$2:$A$600,MATCH(B2130,Roster!$E$2:$E$600,0)),""))</f>
        <v/>
      </c>
      <c r="F2130" s="10">
        <f>IF(C2130="","",IFERROR(INDEX(Levels!$C$2:$C$30,MATCH(C2130,Levels!$B$2:$B$30,0)),""))</f>
        <v/>
      </c>
      <c r="G2130" s="6" t="n"/>
      <c r="H2130" s="10">
        <f>IF(AND(B2130="",C2130=""),"",IF(G2130&lt;&gt;"","Void",IF(OR(B2130="",E2130=""),"Needs child",IF(D2130="","Needs level","OK"))))</f>
        <v/>
      </c>
    </row>
    <row r="2131">
      <c r="A2131" s="6" t="n"/>
      <c r="B2131" s="6" t="n"/>
      <c r="C2131" s="6" t="n"/>
      <c r="D2131" s="11">
        <f>IF(C2131="","",IFERROR(INDEX(Levels!$A$2:$A$30,MATCH(C2131,Levels!$B$2:$B$30,0)),""))</f>
        <v/>
      </c>
      <c r="E2131" s="10">
        <f>IF(B2131="","",IFERROR(INDEX(Roster!$A$2:$A$600,MATCH(B2131,Roster!$E$2:$E$600,0)),""))</f>
        <v/>
      </c>
      <c r="F2131" s="10">
        <f>IF(C2131="","",IFERROR(INDEX(Levels!$C$2:$C$30,MATCH(C2131,Levels!$B$2:$B$30,0)),""))</f>
        <v/>
      </c>
      <c r="G2131" s="6" t="n"/>
      <c r="H2131" s="10">
        <f>IF(AND(B2131="",C2131=""),"",IF(G2131&lt;&gt;"","Void",IF(OR(B2131="",E2131=""),"Needs child",IF(D2131="","Needs level","OK"))))</f>
        <v/>
      </c>
    </row>
    <row r="2132">
      <c r="A2132" s="6" t="n"/>
      <c r="B2132" s="6" t="n"/>
      <c r="C2132" s="6" t="n"/>
      <c r="D2132" s="11">
        <f>IF(C2132="","",IFERROR(INDEX(Levels!$A$2:$A$30,MATCH(C2132,Levels!$B$2:$B$30,0)),""))</f>
        <v/>
      </c>
      <c r="E2132" s="10">
        <f>IF(B2132="","",IFERROR(INDEX(Roster!$A$2:$A$600,MATCH(B2132,Roster!$E$2:$E$600,0)),""))</f>
        <v/>
      </c>
      <c r="F2132" s="10">
        <f>IF(C2132="","",IFERROR(INDEX(Levels!$C$2:$C$30,MATCH(C2132,Levels!$B$2:$B$30,0)),""))</f>
        <v/>
      </c>
      <c r="G2132" s="6" t="n"/>
      <c r="H2132" s="10">
        <f>IF(AND(B2132="",C2132=""),"",IF(G2132&lt;&gt;"","Void",IF(OR(B2132="",E2132=""),"Needs child",IF(D2132="","Needs level","OK"))))</f>
        <v/>
      </c>
    </row>
    <row r="2133">
      <c r="A2133" s="6" t="n"/>
      <c r="B2133" s="6" t="n"/>
      <c r="C2133" s="6" t="n"/>
      <c r="D2133" s="11">
        <f>IF(C2133="","",IFERROR(INDEX(Levels!$A$2:$A$30,MATCH(C2133,Levels!$B$2:$B$30,0)),""))</f>
        <v/>
      </c>
      <c r="E2133" s="10">
        <f>IF(B2133="","",IFERROR(INDEX(Roster!$A$2:$A$600,MATCH(B2133,Roster!$E$2:$E$600,0)),""))</f>
        <v/>
      </c>
      <c r="F2133" s="10">
        <f>IF(C2133="","",IFERROR(INDEX(Levels!$C$2:$C$30,MATCH(C2133,Levels!$B$2:$B$30,0)),""))</f>
        <v/>
      </c>
      <c r="G2133" s="6" t="n"/>
      <c r="H2133" s="10">
        <f>IF(AND(B2133="",C2133=""),"",IF(G2133&lt;&gt;"","Void",IF(OR(B2133="",E2133=""),"Needs child",IF(D2133="","Needs level","OK"))))</f>
        <v/>
      </c>
    </row>
    <row r="2134">
      <c r="A2134" s="6" t="n"/>
      <c r="B2134" s="6" t="n"/>
      <c r="C2134" s="6" t="n"/>
      <c r="D2134" s="11">
        <f>IF(C2134="","",IFERROR(INDEX(Levels!$A$2:$A$30,MATCH(C2134,Levels!$B$2:$B$30,0)),""))</f>
        <v/>
      </c>
      <c r="E2134" s="10">
        <f>IF(B2134="","",IFERROR(INDEX(Roster!$A$2:$A$600,MATCH(B2134,Roster!$E$2:$E$600,0)),""))</f>
        <v/>
      </c>
      <c r="F2134" s="10">
        <f>IF(C2134="","",IFERROR(INDEX(Levels!$C$2:$C$30,MATCH(C2134,Levels!$B$2:$B$30,0)),""))</f>
        <v/>
      </c>
      <c r="G2134" s="6" t="n"/>
      <c r="H2134" s="10">
        <f>IF(AND(B2134="",C2134=""),"",IF(G2134&lt;&gt;"","Void",IF(OR(B2134="",E2134=""),"Needs child",IF(D2134="","Needs level","OK"))))</f>
        <v/>
      </c>
    </row>
    <row r="2135">
      <c r="A2135" s="6" t="n"/>
      <c r="B2135" s="6" t="n"/>
      <c r="C2135" s="6" t="n"/>
      <c r="D2135" s="11">
        <f>IF(C2135="","",IFERROR(INDEX(Levels!$A$2:$A$30,MATCH(C2135,Levels!$B$2:$B$30,0)),""))</f>
        <v/>
      </c>
      <c r="E2135" s="10">
        <f>IF(B2135="","",IFERROR(INDEX(Roster!$A$2:$A$600,MATCH(B2135,Roster!$E$2:$E$600,0)),""))</f>
        <v/>
      </c>
      <c r="F2135" s="10">
        <f>IF(C2135="","",IFERROR(INDEX(Levels!$C$2:$C$30,MATCH(C2135,Levels!$B$2:$B$30,0)),""))</f>
        <v/>
      </c>
      <c r="G2135" s="6" t="n"/>
      <c r="H2135" s="10">
        <f>IF(AND(B2135="",C2135=""),"",IF(G2135&lt;&gt;"","Void",IF(OR(B2135="",E2135=""),"Needs child",IF(D2135="","Needs level","OK"))))</f>
        <v/>
      </c>
    </row>
    <row r="2136">
      <c r="A2136" s="6" t="n"/>
      <c r="B2136" s="6" t="n"/>
      <c r="C2136" s="6" t="n"/>
      <c r="D2136" s="11">
        <f>IF(C2136="","",IFERROR(INDEX(Levels!$A$2:$A$30,MATCH(C2136,Levels!$B$2:$B$30,0)),""))</f>
        <v/>
      </c>
      <c r="E2136" s="10">
        <f>IF(B2136="","",IFERROR(INDEX(Roster!$A$2:$A$600,MATCH(B2136,Roster!$E$2:$E$600,0)),""))</f>
        <v/>
      </c>
      <c r="F2136" s="10">
        <f>IF(C2136="","",IFERROR(INDEX(Levels!$C$2:$C$30,MATCH(C2136,Levels!$B$2:$B$30,0)),""))</f>
        <v/>
      </c>
      <c r="G2136" s="6" t="n"/>
      <c r="H2136" s="10">
        <f>IF(AND(B2136="",C2136=""),"",IF(G2136&lt;&gt;"","Void",IF(OR(B2136="",E2136=""),"Needs child",IF(D2136="","Needs level","OK"))))</f>
        <v/>
      </c>
    </row>
    <row r="2137">
      <c r="A2137" s="6" t="n"/>
      <c r="B2137" s="6" t="n"/>
      <c r="C2137" s="6" t="n"/>
      <c r="D2137" s="11">
        <f>IF(C2137="","",IFERROR(INDEX(Levels!$A$2:$A$30,MATCH(C2137,Levels!$B$2:$B$30,0)),""))</f>
        <v/>
      </c>
      <c r="E2137" s="10">
        <f>IF(B2137="","",IFERROR(INDEX(Roster!$A$2:$A$600,MATCH(B2137,Roster!$E$2:$E$600,0)),""))</f>
        <v/>
      </c>
      <c r="F2137" s="10">
        <f>IF(C2137="","",IFERROR(INDEX(Levels!$C$2:$C$30,MATCH(C2137,Levels!$B$2:$B$30,0)),""))</f>
        <v/>
      </c>
      <c r="G2137" s="6" t="n"/>
      <c r="H2137" s="10">
        <f>IF(AND(B2137="",C2137=""),"",IF(G2137&lt;&gt;"","Void",IF(OR(B2137="",E2137=""),"Needs child",IF(D2137="","Needs level","OK"))))</f>
        <v/>
      </c>
    </row>
    <row r="2138">
      <c r="A2138" s="6" t="n"/>
      <c r="B2138" s="6" t="n"/>
      <c r="C2138" s="6" t="n"/>
      <c r="D2138" s="11">
        <f>IF(C2138="","",IFERROR(INDEX(Levels!$A$2:$A$30,MATCH(C2138,Levels!$B$2:$B$30,0)),""))</f>
        <v/>
      </c>
      <c r="E2138" s="10">
        <f>IF(B2138="","",IFERROR(INDEX(Roster!$A$2:$A$600,MATCH(B2138,Roster!$E$2:$E$600,0)),""))</f>
        <v/>
      </c>
      <c r="F2138" s="10">
        <f>IF(C2138="","",IFERROR(INDEX(Levels!$C$2:$C$30,MATCH(C2138,Levels!$B$2:$B$30,0)),""))</f>
        <v/>
      </c>
      <c r="G2138" s="6" t="n"/>
      <c r="H2138" s="10">
        <f>IF(AND(B2138="",C2138=""),"",IF(G2138&lt;&gt;"","Void",IF(OR(B2138="",E2138=""),"Needs child",IF(D2138="","Needs level","OK"))))</f>
        <v/>
      </c>
    </row>
    <row r="2139">
      <c r="A2139" s="6" t="n"/>
      <c r="B2139" s="6" t="n"/>
      <c r="C2139" s="6" t="n"/>
      <c r="D2139" s="11">
        <f>IF(C2139="","",IFERROR(INDEX(Levels!$A$2:$A$30,MATCH(C2139,Levels!$B$2:$B$30,0)),""))</f>
        <v/>
      </c>
      <c r="E2139" s="10">
        <f>IF(B2139="","",IFERROR(INDEX(Roster!$A$2:$A$600,MATCH(B2139,Roster!$E$2:$E$600,0)),""))</f>
        <v/>
      </c>
      <c r="F2139" s="10">
        <f>IF(C2139="","",IFERROR(INDEX(Levels!$C$2:$C$30,MATCH(C2139,Levels!$B$2:$B$30,0)),""))</f>
        <v/>
      </c>
      <c r="G2139" s="6" t="n"/>
      <c r="H2139" s="10">
        <f>IF(AND(B2139="",C2139=""),"",IF(G2139&lt;&gt;"","Void",IF(OR(B2139="",E2139=""),"Needs child",IF(D2139="","Needs level","OK"))))</f>
        <v/>
      </c>
    </row>
    <row r="2140">
      <c r="A2140" s="6" t="n"/>
      <c r="B2140" s="6" t="n"/>
      <c r="C2140" s="6" t="n"/>
      <c r="D2140" s="11">
        <f>IF(C2140="","",IFERROR(INDEX(Levels!$A$2:$A$30,MATCH(C2140,Levels!$B$2:$B$30,0)),""))</f>
        <v/>
      </c>
      <c r="E2140" s="10">
        <f>IF(B2140="","",IFERROR(INDEX(Roster!$A$2:$A$600,MATCH(B2140,Roster!$E$2:$E$600,0)),""))</f>
        <v/>
      </c>
      <c r="F2140" s="10">
        <f>IF(C2140="","",IFERROR(INDEX(Levels!$C$2:$C$30,MATCH(C2140,Levels!$B$2:$B$30,0)),""))</f>
        <v/>
      </c>
      <c r="G2140" s="6" t="n"/>
      <c r="H2140" s="10">
        <f>IF(AND(B2140="",C2140=""),"",IF(G2140&lt;&gt;"","Void",IF(OR(B2140="",E2140=""),"Needs child",IF(D2140="","Needs level","OK"))))</f>
        <v/>
      </c>
    </row>
    <row r="2141">
      <c r="A2141" s="6" t="n"/>
      <c r="B2141" s="6" t="n"/>
      <c r="C2141" s="6" t="n"/>
      <c r="D2141" s="11">
        <f>IF(C2141="","",IFERROR(INDEX(Levels!$A$2:$A$30,MATCH(C2141,Levels!$B$2:$B$30,0)),""))</f>
        <v/>
      </c>
      <c r="E2141" s="10">
        <f>IF(B2141="","",IFERROR(INDEX(Roster!$A$2:$A$600,MATCH(B2141,Roster!$E$2:$E$600,0)),""))</f>
        <v/>
      </c>
      <c r="F2141" s="10">
        <f>IF(C2141="","",IFERROR(INDEX(Levels!$C$2:$C$30,MATCH(C2141,Levels!$B$2:$B$30,0)),""))</f>
        <v/>
      </c>
      <c r="G2141" s="6" t="n"/>
      <c r="H2141" s="10">
        <f>IF(AND(B2141="",C2141=""),"",IF(G2141&lt;&gt;"","Void",IF(OR(B2141="",E2141=""),"Needs child",IF(D2141="","Needs level","OK"))))</f>
        <v/>
      </c>
    </row>
    <row r="2142">
      <c r="A2142" s="6" t="n"/>
      <c r="B2142" s="6" t="n"/>
      <c r="C2142" s="6" t="n"/>
      <c r="D2142" s="11">
        <f>IF(C2142="","",IFERROR(INDEX(Levels!$A$2:$A$30,MATCH(C2142,Levels!$B$2:$B$30,0)),""))</f>
        <v/>
      </c>
      <c r="E2142" s="10">
        <f>IF(B2142="","",IFERROR(INDEX(Roster!$A$2:$A$600,MATCH(B2142,Roster!$E$2:$E$600,0)),""))</f>
        <v/>
      </c>
      <c r="F2142" s="10">
        <f>IF(C2142="","",IFERROR(INDEX(Levels!$C$2:$C$30,MATCH(C2142,Levels!$B$2:$B$30,0)),""))</f>
        <v/>
      </c>
      <c r="G2142" s="6" t="n"/>
      <c r="H2142" s="10">
        <f>IF(AND(B2142="",C2142=""),"",IF(G2142&lt;&gt;"","Void",IF(OR(B2142="",E2142=""),"Needs child",IF(D2142="","Needs level","OK"))))</f>
        <v/>
      </c>
    </row>
    <row r="2143">
      <c r="A2143" s="6" t="n"/>
      <c r="B2143" s="6" t="n"/>
      <c r="C2143" s="6" t="n"/>
      <c r="D2143" s="11">
        <f>IF(C2143="","",IFERROR(INDEX(Levels!$A$2:$A$30,MATCH(C2143,Levels!$B$2:$B$30,0)),""))</f>
        <v/>
      </c>
      <c r="E2143" s="10">
        <f>IF(B2143="","",IFERROR(INDEX(Roster!$A$2:$A$600,MATCH(B2143,Roster!$E$2:$E$600,0)),""))</f>
        <v/>
      </c>
      <c r="F2143" s="10">
        <f>IF(C2143="","",IFERROR(INDEX(Levels!$C$2:$C$30,MATCH(C2143,Levels!$B$2:$B$30,0)),""))</f>
        <v/>
      </c>
      <c r="G2143" s="6" t="n"/>
      <c r="H2143" s="10">
        <f>IF(AND(B2143="",C2143=""),"",IF(G2143&lt;&gt;"","Void",IF(OR(B2143="",E2143=""),"Needs child",IF(D2143="","Needs level","OK"))))</f>
        <v/>
      </c>
    </row>
    <row r="2144">
      <c r="A2144" s="6" t="n"/>
      <c r="B2144" s="6" t="n"/>
      <c r="C2144" s="6" t="n"/>
      <c r="D2144" s="11">
        <f>IF(C2144="","",IFERROR(INDEX(Levels!$A$2:$A$30,MATCH(C2144,Levels!$B$2:$B$30,0)),""))</f>
        <v/>
      </c>
      <c r="E2144" s="10">
        <f>IF(B2144="","",IFERROR(INDEX(Roster!$A$2:$A$600,MATCH(B2144,Roster!$E$2:$E$600,0)),""))</f>
        <v/>
      </c>
      <c r="F2144" s="10">
        <f>IF(C2144="","",IFERROR(INDEX(Levels!$C$2:$C$30,MATCH(C2144,Levels!$B$2:$B$30,0)),""))</f>
        <v/>
      </c>
      <c r="G2144" s="6" t="n"/>
      <c r="H2144" s="10">
        <f>IF(AND(B2144="",C2144=""),"",IF(G2144&lt;&gt;"","Void",IF(OR(B2144="",E2144=""),"Needs child",IF(D2144="","Needs level","OK"))))</f>
        <v/>
      </c>
    </row>
    <row r="2145">
      <c r="A2145" s="6" t="n"/>
      <c r="B2145" s="6" t="n"/>
      <c r="C2145" s="6" t="n"/>
      <c r="D2145" s="11">
        <f>IF(C2145="","",IFERROR(INDEX(Levels!$A$2:$A$30,MATCH(C2145,Levels!$B$2:$B$30,0)),""))</f>
        <v/>
      </c>
      <c r="E2145" s="10">
        <f>IF(B2145="","",IFERROR(INDEX(Roster!$A$2:$A$600,MATCH(B2145,Roster!$E$2:$E$600,0)),""))</f>
        <v/>
      </c>
      <c r="F2145" s="10">
        <f>IF(C2145="","",IFERROR(INDEX(Levels!$C$2:$C$30,MATCH(C2145,Levels!$B$2:$B$30,0)),""))</f>
        <v/>
      </c>
      <c r="G2145" s="6" t="n"/>
      <c r="H2145" s="10">
        <f>IF(AND(B2145="",C2145=""),"",IF(G2145&lt;&gt;"","Void",IF(OR(B2145="",E2145=""),"Needs child",IF(D2145="","Needs level","OK"))))</f>
        <v/>
      </c>
    </row>
    <row r="2146">
      <c r="A2146" s="6" t="n"/>
      <c r="B2146" s="6" t="n"/>
      <c r="C2146" s="6" t="n"/>
      <c r="D2146" s="11">
        <f>IF(C2146="","",IFERROR(INDEX(Levels!$A$2:$A$30,MATCH(C2146,Levels!$B$2:$B$30,0)),""))</f>
        <v/>
      </c>
      <c r="E2146" s="10">
        <f>IF(B2146="","",IFERROR(INDEX(Roster!$A$2:$A$600,MATCH(B2146,Roster!$E$2:$E$600,0)),""))</f>
        <v/>
      </c>
      <c r="F2146" s="10">
        <f>IF(C2146="","",IFERROR(INDEX(Levels!$C$2:$C$30,MATCH(C2146,Levels!$B$2:$B$30,0)),""))</f>
        <v/>
      </c>
      <c r="G2146" s="6" t="n"/>
      <c r="H2146" s="10">
        <f>IF(AND(B2146="",C2146=""),"",IF(G2146&lt;&gt;"","Void",IF(OR(B2146="",E2146=""),"Needs child",IF(D2146="","Needs level","OK"))))</f>
        <v/>
      </c>
    </row>
    <row r="2147">
      <c r="A2147" s="6" t="n"/>
      <c r="B2147" s="6" t="n"/>
      <c r="C2147" s="6" t="n"/>
      <c r="D2147" s="11">
        <f>IF(C2147="","",IFERROR(INDEX(Levels!$A$2:$A$30,MATCH(C2147,Levels!$B$2:$B$30,0)),""))</f>
        <v/>
      </c>
      <c r="E2147" s="10">
        <f>IF(B2147="","",IFERROR(INDEX(Roster!$A$2:$A$600,MATCH(B2147,Roster!$E$2:$E$600,0)),""))</f>
        <v/>
      </c>
      <c r="F2147" s="10">
        <f>IF(C2147="","",IFERROR(INDEX(Levels!$C$2:$C$30,MATCH(C2147,Levels!$B$2:$B$30,0)),""))</f>
        <v/>
      </c>
      <c r="G2147" s="6" t="n"/>
      <c r="H2147" s="10">
        <f>IF(AND(B2147="",C2147=""),"",IF(G2147&lt;&gt;"","Void",IF(OR(B2147="",E2147=""),"Needs child",IF(D2147="","Needs level","OK"))))</f>
        <v/>
      </c>
    </row>
    <row r="2148">
      <c r="A2148" s="6" t="n"/>
      <c r="B2148" s="6" t="n"/>
      <c r="C2148" s="6" t="n"/>
      <c r="D2148" s="11">
        <f>IF(C2148="","",IFERROR(INDEX(Levels!$A$2:$A$30,MATCH(C2148,Levels!$B$2:$B$30,0)),""))</f>
        <v/>
      </c>
      <c r="E2148" s="10">
        <f>IF(B2148="","",IFERROR(INDEX(Roster!$A$2:$A$600,MATCH(B2148,Roster!$E$2:$E$600,0)),""))</f>
        <v/>
      </c>
      <c r="F2148" s="10">
        <f>IF(C2148="","",IFERROR(INDEX(Levels!$C$2:$C$30,MATCH(C2148,Levels!$B$2:$B$30,0)),""))</f>
        <v/>
      </c>
      <c r="G2148" s="6" t="n"/>
      <c r="H2148" s="10">
        <f>IF(AND(B2148="",C2148=""),"",IF(G2148&lt;&gt;"","Void",IF(OR(B2148="",E2148=""),"Needs child",IF(D2148="","Needs level","OK"))))</f>
        <v/>
      </c>
    </row>
    <row r="2149">
      <c r="A2149" s="6" t="n"/>
      <c r="B2149" s="6" t="n"/>
      <c r="C2149" s="6" t="n"/>
      <c r="D2149" s="11">
        <f>IF(C2149="","",IFERROR(INDEX(Levels!$A$2:$A$30,MATCH(C2149,Levels!$B$2:$B$30,0)),""))</f>
        <v/>
      </c>
      <c r="E2149" s="10">
        <f>IF(B2149="","",IFERROR(INDEX(Roster!$A$2:$A$600,MATCH(B2149,Roster!$E$2:$E$600,0)),""))</f>
        <v/>
      </c>
      <c r="F2149" s="10">
        <f>IF(C2149="","",IFERROR(INDEX(Levels!$C$2:$C$30,MATCH(C2149,Levels!$B$2:$B$30,0)),""))</f>
        <v/>
      </c>
      <c r="G2149" s="6" t="n"/>
      <c r="H2149" s="10">
        <f>IF(AND(B2149="",C2149=""),"",IF(G2149&lt;&gt;"","Void",IF(OR(B2149="",E2149=""),"Needs child",IF(D2149="","Needs level","OK"))))</f>
        <v/>
      </c>
    </row>
    <row r="2150">
      <c r="A2150" s="6" t="n"/>
      <c r="B2150" s="6" t="n"/>
      <c r="C2150" s="6" t="n"/>
      <c r="D2150" s="11">
        <f>IF(C2150="","",IFERROR(INDEX(Levels!$A$2:$A$30,MATCH(C2150,Levels!$B$2:$B$30,0)),""))</f>
        <v/>
      </c>
      <c r="E2150" s="10">
        <f>IF(B2150="","",IFERROR(INDEX(Roster!$A$2:$A$600,MATCH(B2150,Roster!$E$2:$E$600,0)),""))</f>
        <v/>
      </c>
      <c r="F2150" s="10">
        <f>IF(C2150="","",IFERROR(INDEX(Levels!$C$2:$C$30,MATCH(C2150,Levels!$B$2:$B$30,0)),""))</f>
        <v/>
      </c>
      <c r="G2150" s="6" t="n"/>
      <c r="H2150" s="10">
        <f>IF(AND(B2150="",C2150=""),"",IF(G2150&lt;&gt;"","Void",IF(OR(B2150="",E2150=""),"Needs child",IF(D2150="","Needs level","OK"))))</f>
        <v/>
      </c>
    </row>
    <row r="2151">
      <c r="A2151" s="6" t="n"/>
      <c r="B2151" s="6" t="n"/>
      <c r="C2151" s="6" t="n"/>
      <c r="D2151" s="11">
        <f>IF(C2151="","",IFERROR(INDEX(Levels!$A$2:$A$30,MATCH(C2151,Levels!$B$2:$B$30,0)),""))</f>
        <v/>
      </c>
      <c r="E2151" s="10">
        <f>IF(B2151="","",IFERROR(INDEX(Roster!$A$2:$A$600,MATCH(B2151,Roster!$E$2:$E$600,0)),""))</f>
        <v/>
      </c>
      <c r="F2151" s="10">
        <f>IF(C2151="","",IFERROR(INDEX(Levels!$C$2:$C$30,MATCH(C2151,Levels!$B$2:$B$30,0)),""))</f>
        <v/>
      </c>
      <c r="G2151" s="6" t="n"/>
      <c r="H2151" s="10">
        <f>IF(AND(B2151="",C2151=""),"",IF(G2151&lt;&gt;"","Void",IF(OR(B2151="",E2151=""),"Needs child",IF(D2151="","Needs level","OK"))))</f>
        <v/>
      </c>
    </row>
    <row r="2152">
      <c r="A2152" s="6" t="n"/>
      <c r="B2152" s="6" t="n"/>
      <c r="C2152" s="6" t="n"/>
      <c r="D2152" s="11">
        <f>IF(C2152="","",IFERROR(INDEX(Levels!$A$2:$A$30,MATCH(C2152,Levels!$B$2:$B$30,0)),""))</f>
        <v/>
      </c>
      <c r="E2152" s="10">
        <f>IF(B2152="","",IFERROR(INDEX(Roster!$A$2:$A$600,MATCH(B2152,Roster!$E$2:$E$600,0)),""))</f>
        <v/>
      </c>
      <c r="F2152" s="10">
        <f>IF(C2152="","",IFERROR(INDEX(Levels!$C$2:$C$30,MATCH(C2152,Levels!$B$2:$B$30,0)),""))</f>
        <v/>
      </c>
      <c r="G2152" s="6" t="n"/>
      <c r="H2152" s="10">
        <f>IF(AND(B2152="",C2152=""),"",IF(G2152&lt;&gt;"","Void",IF(OR(B2152="",E2152=""),"Needs child",IF(D2152="","Needs level","OK"))))</f>
        <v/>
      </c>
    </row>
    <row r="2153">
      <c r="A2153" s="6" t="n"/>
      <c r="B2153" s="6" t="n"/>
      <c r="C2153" s="6" t="n"/>
      <c r="D2153" s="11">
        <f>IF(C2153="","",IFERROR(INDEX(Levels!$A$2:$A$30,MATCH(C2153,Levels!$B$2:$B$30,0)),""))</f>
        <v/>
      </c>
      <c r="E2153" s="10">
        <f>IF(B2153="","",IFERROR(INDEX(Roster!$A$2:$A$600,MATCH(B2153,Roster!$E$2:$E$600,0)),""))</f>
        <v/>
      </c>
      <c r="F2153" s="10">
        <f>IF(C2153="","",IFERROR(INDEX(Levels!$C$2:$C$30,MATCH(C2153,Levels!$B$2:$B$30,0)),""))</f>
        <v/>
      </c>
      <c r="G2153" s="6" t="n"/>
      <c r="H2153" s="10">
        <f>IF(AND(B2153="",C2153=""),"",IF(G2153&lt;&gt;"","Void",IF(OR(B2153="",E2153=""),"Needs child",IF(D2153="","Needs level","OK"))))</f>
        <v/>
      </c>
    </row>
    <row r="2154">
      <c r="A2154" s="6" t="n"/>
      <c r="B2154" s="6" t="n"/>
      <c r="C2154" s="6" t="n"/>
      <c r="D2154" s="11">
        <f>IF(C2154="","",IFERROR(INDEX(Levels!$A$2:$A$30,MATCH(C2154,Levels!$B$2:$B$30,0)),""))</f>
        <v/>
      </c>
      <c r="E2154" s="10">
        <f>IF(B2154="","",IFERROR(INDEX(Roster!$A$2:$A$600,MATCH(B2154,Roster!$E$2:$E$600,0)),""))</f>
        <v/>
      </c>
      <c r="F2154" s="10">
        <f>IF(C2154="","",IFERROR(INDEX(Levels!$C$2:$C$30,MATCH(C2154,Levels!$B$2:$B$30,0)),""))</f>
        <v/>
      </c>
      <c r="G2154" s="6" t="n"/>
      <c r="H2154" s="10">
        <f>IF(AND(B2154="",C2154=""),"",IF(G2154&lt;&gt;"","Void",IF(OR(B2154="",E2154=""),"Needs child",IF(D2154="","Needs level","OK"))))</f>
        <v/>
      </c>
    </row>
    <row r="2155">
      <c r="A2155" s="6" t="n"/>
      <c r="B2155" s="6" t="n"/>
      <c r="C2155" s="6" t="n"/>
      <c r="D2155" s="11">
        <f>IF(C2155="","",IFERROR(INDEX(Levels!$A$2:$A$30,MATCH(C2155,Levels!$B$2:$B$30,0)),""))</f>
        <v/>
      </c>
      <c r="E2155" s="10">
        <f>IF(B2155="","",IFERROR(INDEX(Roster!$A$2:$A$600,MATCH(B2155,Roster!$E$2:$E$600,0)),""))</f>
        <v/>
      </c>
      <c r="F2155" s="10">
        <f>IF(C2155="","",IFERROR(INDEX(Levels!$C$2:$C$30,MATCH(C2155,Levels!$B$2:$B$30,0)),""))</f>
        <v/>
      </c>
      <c r="G2155" s="6" t="n"/>
      <c r="H2155" s="10">
        <f>IF(AND(B2155="",C2155=""),"",IF(G2155&lt;&gt;"","Void",IF(OR(B2155="",E2155=""),"Needs child",IF(D2155="","Needs level","OK"))))</f>
        <v/>
      </c>
    </row>
    <row r="2156">
      <c r="A2156" s="6" t="n"/>
      <c r="B2156" s="6" t="n"/>
      <c r="C2156" s="6" t="n"/>
      <c r="D2156" s="11">
        <f>IF(C2156="","",IFERROR(INDEX(Levels!$A$2:$A$30,MATCH(C2156,Levels!$B$2:$B$30,0)),""))</f>
        <v/>
      </c>
      <c r="E2156" s="10">
        <f>IF(B2156="","",IFERROR(INDEX(Roster!$A$2:$A$600,MATCH(B2156,Roster!$E$2:$E$600,0)),""))</f>
        <v/>
      </c>
      <c r="F2156" s="10">
        <f>IF(C2156="","",IFERROR(INDEX(Levels!$C$2:$C$30,MATCH(C2156,Levels!$B$2:$B$30,0)),""))</f>
        <v/>
      </c>
      <c r="G2156" s="6" t="n"/>
      <c r="H2156" s="10">
        <f>IF(AND(B2156="",C2156=""),"",IF(G2156&lt;&gt;"","Void",IF(OR(B2156="",E2156=""),"Needs child",IF(D2156="","Needs level","OK"))))</f>
        <v/>
      </c>
    </row>
    <row r="2157">
      <c r="A2157" s="6" t="n"/>
      <c r="B2157" s="6" t="n"/>
      <c r="C2157" s="6" t="n"/>
      <c r="D2157" s="11">
        <f>IF(C2157="","",IFERROR(INDEX(Levels!$A$2:$A$30,MATCH(C2157,Levels!$B$2:$B$30,0)),""))</f>
        <v/>
      </c>
      <c r="E2157" s="10">
        <f>IF(B2157="","",IFERROR(INDEX(Roster!$A$2:$A$600,MATCH(B2157,Roster!$E$2:$E$600,0)),""))</f>
        <v/>
      </c>
      <c r="F2157" s="10">
        <f>IF(C2157="","",IFERROR(INDEX(Levels!$C$2:$C$30,MATCH(C2157,Levels!$B$2:$B$30,0)),""))</f>
        <v/>
      </c>
      <c r="G2157" s="6" t="n"/>
      <c r="H2157" s="10">
        <f>IF(AND(B2157="",C2157=""),"",IF(G2157&lt;&gt;"","Void",IF(OR(B2157="",E2157=""),"Needs child",IF(D2157="","Needs level","OK"))))</f>
        <v/>
      </c>
    </row>
    <row r="2158">
      <c r="A2158" s="6" t="n"/>
      <c r="B2158" s="6" t="n"/>
      <c r="C2158" s="6" t="n"/>
      <c r="D2158" s="11">
        <f>IF(C2158="","",IFERROR(INDEX(Levels!$A$2:$A$30,MATCH(C2158,Levels!$B$2:$B$30,0)),""))</f>
        <v/>
      </c>
      <c r="E2158" s="10">
        <f>IF(B2158="","",IFERROR(INDEX(Roster!$A$2:$A$600,MATCH(B2158,Roster!$E$2:$E$600,0)),""))</f>
        <v/>
      </c>
      <c r="F2158" s="10">
        <f>IF(C2158="","",IFERROR(INDEX(Levels!$C$2:$C$30,MATCH(C2158,Levels!$B$2:$B$30,0)),""))</f>
        <v/>
      </c>
      <c r="G2158" s="6" t="n"/>
      <c r="H2158" s="10">
        <f>IF(AND(B2158="",C2158=""),"",IF(G2158&lt;&gt;"","Void",IF(OR(B2158="",E2158=""),"Needs child",IF(D2158="","Needs level","OK"))))</f>
        <v/>
      </c>
    </row>
    <row r="2159">
      <c r="A2159" s="6" t="n"/>
      <c r="B2159" s="6" t="n"/>
      <c r="C2159" s="6" t="n"/>
      <c r="D2159" s="11">
        <f>IF(C2159="","",IFERROR(INDEX(Levels!$A$2:$A$30,MATCH(C2159,Levels!$B$2:$B$30,0)),""))</f>
        <v/>
      </c>
      <c r="E2159" s="10">
        <f>IF(B2159="","",IFERROR(INDEX(Roster!$A$2:$A$600,MATCH(B2159,Roster!$E$2:$E$600,0)),""))</f>
        <v/>
      </c>
      <c r="F2159" s="10">
        <f>IF(C2159="","",IFERROR(INDEX(Levels!$C$2:$C$30,MATCH(C2159,Levels!$B$2:$B$30,0)),""))</f>
        <v/>
      </c>
      <c r="G2159" s="6" t="n"/>
      <c r="H2159" s="10">
        <f>IF(AND(B2159="",C2159=""),"",IF(G2159&lt;&gt;"","Void",IF(OR(B2159="",E2159=""),"Needs child",IF(D2159="","Needs level","OK"))))</f>
        <v/>
      </c>
    </row>
    <row r="2160">
      <c r="A2160" s="6" t="n"/>
      <c r="B2160" s="6" t="n"/>
      <c r="C2160" s="6" t="n"/>
      <c r="D2160" s="11">
        <f>IF(C2160="","",IFERROR(INDEX(Levels!$A$2:$A$30,MATCH(C2160,Levels!$B$2:$B$30,0)),""))</f>
        <v/>
      </c>
      <c r="E2160" s="10">
        <f>IF(B2160="","",IFERROR(INDEX(Roster!$A$2:$A$600,MATCH(B2160,Roster!$E$2:$E$600,0)),""))</f>
        <v/>
      </c>
      <c r="F2160" s="10">
        <f>IF(C2160="","",IFERROR(INDEX(Levels!$C$2:$C$30,MATCH(C2160,Levels!$B$2:$B$30,0)),""))</f>
        <v/>
      </c>
      <c r="G2160" s="6" t="n"/>
      <c r="H2160" s="10">
        <f>IF(AND(B2160="",C2160=""),"",IF(G2160&lt;&gt;"","Void",IF(OR(B2160="",E2160=""),"Needs child",IF(D2160="","Needs level","OK"))))</f>
        <v/>
      </c>
    </row>
    <row r="2161">
      <c r="A2161" s="6" t="n"/>
      <c r="B2161" s="6" t="n"/>
      <c r="C2161" s="6" t="n"/>
      <c r="D2161" s="11">
        <f>IF(C2161="","",IFERROR(INDEX(Levels!$A$2:$A$30,MATCH(C2161,Levels!$B$2:$B$30,0)),""))</f>
        <v/>
      </c>
      <c r="E2161" s="10">
        <f>IF(B2161="","",IFERROR(INDEX(Roster!$A$2:$A$600,MATCH(B2161,Roster!$E$2:$E$600,0)),""))</f>
        <v/>
      </c>
      <c r="F2161" s="10">
        <f>IF(C2161="","",IFERROR(INDEX(Levels!$C$2:$C$30,MATCH(C2161,Levels!$B$2:$B$30,0)),""))</f>
        <v/>
      </c>
      <c r="G2161" s="6" t="n"/>
      <c r="H2161" s="10">
        <f>IF(AND(B2161="",C2161=""),"",IF(G2161&lt;&gt;"","Void",IF(OR(B2161="",E2161=""),"Needs child",IF(D2161="","Needs level","OK"))))</f>
        <v/>
      </c>
    </row>
    <row r="2162">
      <c r="A2162" s="6" t="n"/>
      <c r="B2162" s="6" t="n"/>
      <c r="C2162" s="6" t="n"/>
      <c r="D2162" s="11">
        <f>IF(C2162="","",IFERROR(INDEX(Levels!$A$2:$A$30,MATCH(C2162,Levels!$B$2:$B$30,0)),""))</f>
        <v/>
      </c>
      <c r="E2162" s="10">
        <f>IF(B2162="","",IFERROR(INDEX(Roster!$A$2:$A$600,MATCH(B2162,Roster!$E$2:$E$600,0)),""))</f>
        <v/>
      </c>
      <c r="F2162" s="10">
        <f>IF(C2162="","",IFERROR(INDEX(Levels!$C$2:$C$30,MATCH(C2162,Levels!$B$2:$B$30,0)),""))</f>
        <v/>
      </c>
      <c r="G2162" s="6" t="n"/>
      <c r="H2162" s="10">
        <f>IF(AND(B2162="",C2162=""),"",IF(G2162&lt;&gt;"","Void",IF(OR(B2162="",E2162=""),"Needs child",IF(D2162="","Needs level","OK"))))</f>
        <v/>
      </c>
    </row>
    <row r="2163">
      <c r="A2163" s="6" t="n"/>
      <c r="B2163" s="6" t="n"/>
      <c r="C2163" s="6" t="n"/>
      <c r="D2163" s="11">
        <f>IF(C2163="","",IFERROR(INDEX(Levels!$A$2:$A$30,MATCH(C2163,Levels!$B$2:$B$30,0)),""))</f>
        <v/>
      </c>
      <c r="E2163" s="10">
        <f>IF(B2163="","",IFERROR(INDEX(Roster!$A$2:$A$600,MATCH(B2163,Roster!$E$2:$E$600,0)),""))</f>
        <v/>
      </c>
      <c r="F2163" s="10">
        <f>IF(C2163="","",IFERROR(INDEX(Levels!$C$2:$C$30,MATCH(C2163,Levels!$B$2:$B$30,0)),""))</f>
        <v/>
      </c>
      <c r="G2163" s="6" t="n"/>
      <c r="H2163" s="10">
        <f>IF(AND(B2163="",C2163=""),"",IF(G2163&lt;&gt;"","Void",IF(OR(B2163="",E2163=""),"Needs child",IF(D2163="","Needs level","OK"))))</f>
        <v/>
      </c>
    </row>
    <row r="2164">
      <c r="A2164" s="6" t="n"/>
      <c r="B2164" s="6" t="n"/>
      <c r="C2164" s="6" t="n"/>
      <c r="D2164" s="11">
        <f>IF(C2164="","",IFERROR(INDEX(Levels!$A$2:$A$30,MATCH(C2164,Levels!$B$2:$B$30,0)),""))</f>
        <v/>
      </c>
      <c r="E2164" s="10">
        <f>IF(B2164="","",IFERROR(INDEX(Roster!$A$2:$A$600,MATCH(B2164,Roster!$E$2:$E$600,0)),""))</f>
        <v/>
      </c>
      <c r="F2164" s="10">
        <f>IF(C2164="","",IFERROR(INDEX(Levels!$C$2:$C$30,MATCH(C2164,Levels!$B$2:$B$30,0)),""))</f>
        <v/>
      </c>
      <c r="G2164" s="6" t="n"/>
      <c r="H2164" s="10">
        <f>IF(AND(B2164="",C2164=""),"",IF(G2164&lt;&gt;"","Void",IF(OR(B2164="",E2164=""),"Needs child",IF(D2164="","Needs level","OK"))))</f>
        <v/>
      </c>
    </row>
    <row r="2165">
      <c r="A2165" s="6" t="n"/>
      <c r="B2165" s="6" t="n"/>
      <c r="C2165" s="6" t="n"/>
      <c r="D2165" s="11">
        <f>IF(C2165="","",IFERROR(INDEX(Levels!$A$2:$A$30,MATCH(C2165,Levels!$B$2:$B$30,0)),""))</f>
        <v/>
      </c>
      <c r="E2165" s="10">
        <f>IF(B2165="","",IFERROR(INDEX(Roster!$A$2:$A$600,MATCH(B2165,Roster!$E$2:$E$600,0)),""))</f>
        <v/>
      </c>
      <c r="F2165" s="10">
        <f>IF(C2165="","",IFERROR(INDEX(Levels!$C$2:$C$30,MATCH(C2165,Levels!$B$2:$B$30,0)),""))</f>
        <v/>
      </c>
      <c r="G2165" s="6" t="n"/>
      <c r="H2165" s="10">
        <f>IF(AND(B2165="",C2165=""),"",IF(G2165&lt;&gt;"","Void",IF(OR(B2165="",E2165=""),"Needs child",IF(D2165="","Needs level","OK"))))</f>
        <v/>
      </c>
    </row>
    <row r="2166">
      <c r="A2166" s="6" t="n"/>
      <c r="B2166" s="6" t="n"/>
      <c r="C2166" s="6" t="n"/>
      <c r="D2166" s="11">
        <f>IF(C2166="","",IFERROR(INDEX(Levels!$A$2:$A$30,MATCH(C2166,Levels!$B$2:$B$30,0)),""))</f>
        <v/>
      </c>
      <c r="E2166" s="10">
        <f>IF(B2166="","",IFERROR(INDEX(Roster!$A$2:$A$600,MATCH(B2166,Roster!$E$2:$E$600,0)),""))</f>
        <v/>
      </c>
      <c r="F2166" s="10">
        <f>IF(C2166="","",IFERROR(INDEX(Levels!$C$2:$C$30,MATCH(C2166,Levels!$B$2:$B$30,0)),""))</f>
        <v/>
      </c>
      <c r="G2166" s="6" t="n"/>
      <c r="H2166" s="10">
        <f>IF(AND(B2166="",C2166=""),"",IF(G2166&lt;&gt;"","Void",IF(OR(B2166="",E2166=""),"Needs child",IF(D2166="","Needs level","OK"))))</f>
        <v/>
      </c>
    </row>
    <row r="2167">
      <c r="A2167" s="6" t="n"/>
      <c r="B2167" s="6" t="n"/>
      <c r="C2167" s="6" t="n"/>
      <c r="D2167" s="11">
        <f>IF(C2167="","",IFERROR(INDEX(Levels!$A$2:$A$30,MATCH(C2167,Levels!$B$2:$B$30,0)),""))</f>
        <v/>
      </c>
      <c r="E2167" s="10">
        <f>IF(B2167="","",IFERROR(INDEX(Roster!$A$2:$A$600,MATCH(B2167,Roster!$E$2:$E$600,0)),""))</f>
        <v/>
      </c>
      <c r="F2167" s="10">
        <f>IF(C2167="","",IFERROR(INDEX(Levels!$C$2:$C$30,MATCH(C2167,Levels!$B$2:$B$30,0)),""))</f>
        <v/>
      </c>
      <c r="G2167" s="6" t="n"/>
      <c r="H2167" s="10">
        <f>IF(AND(B2167="",C2167=""),"",IF(G2167&lt;&gt;"","Void",IF(OR(B2167="",E2167=""),"Needs child",IF(D2167="","Needs level","OK"))))</f>
        <v/>
      </c>
    </row>
    <row r="2168">
      <c r="A2168" s="6" t="n"/>
      <c r="B2168" s="6" t="n"/>
      <c r="C2168" s="6" t="n"/>
      <c r="D2168" s="11">
        <f>IF(C2168="","",IFERROR(INDEX(Levels!$A$2:$A$30,MATCH(C2168,Levels!$B$2:$B$30,0)),""))</f>
        <v/>
      </c>
      <c r="E2168" s="10">
        <f>IF(B2168="","",IFERROR(INDEX(Roster!$A$2:$A$600,MATCH(B2168,Roster!$E$2:$E$600,0)),""))</f>
        <v/>
      </c>
      <c r="F2168" s="10">
        <f>IF(C2168="","",IFERROR(INDEX(Levels!$C$2:$C$30,MATCH(C2168,Levels!$B$2:$B$30,0)),""))</f>
        <v/>
      </c>
      <c r="G2168" s="6" t="n"/>
      <c r="H2168" s="10">
        <f>IF(AND(B2168="",C2168=""),"",IF(G2168&lt;&gt;"","Void",IF(OR(B2168="",E2168=""),"Needs child",IF(D2168="","Needs level","OK"))))</f>
        <v/>
      </c>
    </row>
    <row r="2169">
      <c r="A2169" s="6" t="n"/>
      <c r="B2169" s="6" t="n"/>
      <c r="C2169" s="6" t="n"/>
      <c r="D2169" s="11">
        <f>IF(C2169="","",IFERROR(INDEX(Levels!$A$2:$A$30,MATCH(C2169,Levels!$B$2:$B$30,0)),""))</f>
        <v/>
      </c>
      <c r="E2169" s="10">
        <f>IF(B2169="","",IFERROR(INDEX(Roster!$A$2:$A$600,MATCH(B2169,Roster!$E$2:$E$600,0)),""))</f>
        <v/>
      </c>
      <c r="F2169" s="10">
        <f>IF(C2169="","",IFERROR(INDEX(Levels!$C$2:$C$30,MATCH(C2169,Levels!$B$2:$B$30,0)),""))</f>
        <v/>
      </c>
      <c r="G2169" s="6" t="n"/>
      <c r="H2169" s="10">
        <f>IF(AND(B2169="",C2169=""),"",IF(G2169&lt;&gt;"","Void",IF(OR(B2169="",E2169=""),"Needs child",IF(D2169="","Needs level","OK"))))</f>
        <v/>
      </c>
    </row>
    <row r="2170">
      <c r="A2170" s="6" t="n"/>
      <c r="B2170" s="6" t="n"/>
      <c r="C2170" s="6" t="n"/>
      <c r="D2170" s="11">
        <f>IF(C2170="","",IFERROR(INDEX(Levels!$A$2:$A$30,MATCH(C2170,Levels!$B$2:$B$30,0)),""))</f>
        <v/>
      </c>
      <c r="E2170" s="10">
        <f>IF(B2170="","",IFERROR(INDEX(Roster!$A$2:$A$600,MATCH(B2170,Roster!$E$2:$E$600,0)),""))</f>
        <v/>
      </c>
      <c r="F2170" s="10">
        <f>IF(C2170="","",IFERROR(INDEX(Levels!$C$2:$C$30,MATCH(C2170,Levels!$B$2:$B$30,0)),""))</f>
        <v/>
      </c>
      <c r="G2170" s="6" t="n"/>
      <c r="H2170" s="10">
        <f>IF(AND(B2170="",C2170=""),"",IF(G2170&lt;&gt;"","Void",IF(OR(B2170="",E2170=""),"Needs child",IF(D2170="","Needs level","OK"))))</f>
        <v/>
      </c>
    </row>
    <row r="2171">
      <c r="A2171" s="6" t="n"/>
      <c r="B2171" s="6" t="n"/>
      <c r="C2171" s="6" t="n"/>
      <c r="D2171" s="11">
        <f>IF(C2171="","",IFERROR(INDEX(Levels!$A$2:$A$30,MATCH(C2171,Levels!$B$2:$B$30,0)),""))</f>
        <v/>
      </c>
      <c r="E2171" s="10">
        <f>IF(B2171="","",IFERROR(INDEX(Roster!$A$2:$A$600,MATCH(B2171,Roster!$E$2:$E$600,0)),""))</f>
        <v/>
      </c>
      <c r="F2171" s="10">
        <f>IF(C2171="","",IFERROR(INDEX(Levels!$C$2:$C$30,MATCH(C2171,Levels!$B$2:$B$30,0)),""))</f>
        <v/>
      </c>
      <c r="G2171" s="6" t="n"/>
      <c r="H2171" s="10">
        <f>IF(AND(B2171="",C2171=""),"",IF(G2171&lt;&gt;"","Void",IF(OR(B2171="",E2171=""),"Needs child",IF(D2171="","Needs level","OK"))))</f>
        <v/>
      </c>
    </row>
    <row r="2172">
      <c r="A2172" s="6" t="n"/>
      <c r="B2172" s="6" t="n"/>
      <c r="C2172" s="6" t="n"/>
      <c r="D2172" s="11">
        <f>IF(C2172="","",IFERROR(INDEX(Levels!$A$2:$A$30,MATCH(C2172,Levels!$B$2:$B$30,0)),""))</f>
        <v/>
      </c>
      <c r="E2172" s="10">
        <f>IF(B2172="","",IFERROR(INDEX(Roster!$A$2:$A$600,MATCH(B2172,Roster!$E$2:$E$600,0)),""))</f>
        <v/>
      </c>
      <c r="F2172" s="10">
        <f>IF(C2172="","",IFERROR(INDEX(Levels!$C$2:$C$30,MATCH(C2172,Levels!$B$2:$B$30,0)),""))</f>
        <v/>
      </c>
      <c r="G2172" s="6" t="n"/>
      <c r="H2172" s="10">
        <f>IF(AND(B2172="",C2172=""),"",IF(G2172&lt;&gt;"","Void",IF(OR(B2172="",E2172=""),"Needs child",IF(D2172="","Needs level","OK"))))</f>
        <v/>
      </c>
    </row>
    <row r="2173">
      <c r="A2173" s="6" t="n"/>
      <c r="B2173" s="6" t="n"/>
      <c r="C2173" s="6" t="n"/>
      <c r="D2173" s="11">
        <f>IF(C2173="","",IFERROR(INDEX(Levels!$A$2:$A$30,MATCH(C2173,Levels!$B$2:$B$30,0)),""))</f>
        <v/>
      </c>
      <c r="E2173" s="10">
        <f>IF(B2173="","",IFERROR(INDEX(Roster!$A$2:$A$600,MATCH(B2173,Roster!$E$2:$E$600,0)),""))</f>
        <v/>
      </c>
      <c r="F2173" s="10">
        <f>IF(C2173="","",IFERROR(INDEX(Levels!$C$2:$C$30,MATCH(C2173,Levels!$B$2:$B$30,0)),""))</f>
        <v/>
      </c>
      <c r="G2173" s="6" t="n"/>
      <c r="H2173" s="10">
        <f>IF(AND(B2173="",C2173=""),"",IF(G2173&lt;&gt;"","Void",IF(OR(B2173="",E2173=""),"Needs child",IF(D2173="","Needs level","OK"))))</f>
        <v/>
      </c>
    </row>
    <row r="2174">
      <c r="A2174" s="6" t="n"/>
      <c r="B2174" s="6" t="n"/>
      <c r="C2174" s="6" t="n"/>
      <c r="D2174" s="11">
        <f>IF(C2174="","",IFERROR(INDEX(Levels!$A$2:$A$30,MATCH(C2174,Levels!$B$2:$B$30,0)),""))</f>
        <v/>
      </c>
      <c r="E2174" s="10">
        <f>IF(B2174="","",IFERROR(INDEX(Roster!$A$2:$A$600,MATCH(B2174,Roster!$E$2:$E$600,0)),""))</f>
        <v/>
      </c>
      <c r="F2174" s="10">
        <f>IF(C2174="","",IFERROR(INDEX(Levels!$C$2:$C$30,MATCH(C2174,Levels!$B$2:$B$30,0)),""))</f>
        <v/>
      </c>
      <c r="G2174" s="6" t="n"/>
      <c r="H2174" s="10">
        <f>IF(AND(B2174="",C2174=""),"",IF(G2174&lt;&gt;"","Void",IF(OR(B2174="",E2174=""),"Needs child",IF(D2174="","Needs level","OK"))))</f>
        <v/>
      </c>
    </row>
    <row r="2175">
      <c r="A2175" s="6" t="n"/>
      <c r="B2175" s="6" t="n"/>
      <c r="C2175" s="6" t="n"/>
      <c r="D2175" s="11">
        <f>IF(C2175="","",IFERROR(INDEX(Levels!$A$2:$A$30,MATCH(C2175,Levels!$B$2:$B$30,0)),""))</f>
        <v/>
      </c>
      <c r="E2175" s="10">
        <f>IF(B2175="","",IFERROR(INDEX(Roster!$A$2:$A$600,MATCH(B2175,Roster!$E$2:$E$600,0)),""))</f>
        <v/>
      </c>
      <c r="F2175" s="10">
        <f>IF(C2175="","",IFERROR(INDEX(Levels!$C$2:$C$30,MATCH(C2175,Levels!$B$2:$B$30,0)),""))</f>
        <v/>
      </c>
      <c r="G2175" s="6" t="n"/>
      <c r="H2175" s="10">
        <f>IF(AND(B2175="",C2175=""),"",IF(G2175&lt;&gt;"","Void",IF(OR(B2175="",E2175=""),"Needs child",IF(D2175="","Needs level","OK"))))</f>
        <v/>
      </c>
    </row>
    <row r="2176">
      <c r="A2176" s="6" t="n"/>
      <c r="B2176" s="6" t="n"/>
      <c r="C2176" s="6" t="n"/>
      <c r="D2176" s="11">
        <f>IF(C2176="","",IFERROR(INDEX(Levels!$A$2:$A$30,MATCH(C2176,Levels!$B$2:$B$30,0)),""))</f>
        <v/>
      </c>
      <c r="E2176" s="10">
        <f>IF(B2176="","",IFERROR(INDEX(Roster!$A$2:$A$600,MATCH(B2176,Roster!$E$2:$E$600,0)),""))</f>
        <v/>
      </c>
      <c r="F2176" s="10">
        <f>IF(C2176="","",IFERROR(INDEX(Levels!$C$2:$C$30,MATCH(C2176,Levels!$B$2:$B$30,0)),""))</f>
        <v/>
      </c>
      <c r="G2176" s="6" t="n"/>
      <c r="H2176" s="10">
        <f>IF(AND(B2176="",C2176=""),"",IF(G2176&lt;&gt;"","Void",IF(OR(B2176="",E2176=""),"Needs child",IF(D2176="","Needs level","OK"))))</f>
        <v/>
      </c>
    </row>
    <row r="2177">
      <c r="A2177" s="6" t="n"/>
      <c r="B2177" s="6" t="n"/>
      <c r="C2177" s="6" t="n"/>
      <c r="D2177" s="11">
        <f>IF(C2177="","",IFERROR(INDEX(Levels!$A$2:$A$30,MATCH(C2177,Levels!$B$2:$B$30,0)),""))</f>
        <v/>
      </c>
      <c r="E2177" s="10">
        <f>IF(B2177="","",IFERROR(INDEX(Roster!$A$2:$A$600,MATCH(B2177,Roster!$E$2:$E$600,0)),""))</f>
        <v/>
      </c>
      <c r="F2177" s="10">
        <f>IF(C2177="","",IFERROR(INDEX(Levels!$C$2:$C$30,MATCH(C2177,Levels!$B$2:$B$30,0)),""))</f>
        <v/>
      </c>
      <c r="G2177" s="6" t="n"/>
      <c r="H2177" s="10">
        <f>IF(AND(B2177="",C2177=""),"",IF(G2177&lt;&gt;"","Void",IF(OR(B2177="",E2177=""),"Needs child",IF(D2177="","Needs level","OK"))))</f>
        <v/>
      </c>
    </row>
    <row r="2178">
      <c r="A2178" s="6" t="n"/>
      <c r="B2178" s="6" t="n"/>
      <c r="C2178" s="6" t="n"/>
      <c r="D2178" s="11">
        <f>IF(C2178="","",IFERROR(INDEX(Levels!$A$2:$A$30,MATCH(C2178,Levels!$B$2:$B$30,0)),""))</f>
        <v/>
      </c>
      <c r="E2178" s="10">
        <f>IF(B2178="","",IFERROR(INDEX(Roster!$A$2:$A$600,MATCH(B2178,Roster!$E$2:$E$600,0)),""))</f>
        <v/>
      </c>
      <c r="F2178" s="10">
        <f>IF(C2178="","",IFERROR(INDEX(Levels!$C$2:$C$30,MATCH(C2178,Levels!$B$2:$B$30,0)),""))</f>
        <v/>
      </c>
      <c r="G2178" s="6" t="n"/>
      <c r="H2178" s="10">
        <f>IF(AND(B2178="",C2178=""),"",IF(G2178&lt;&gt;"","Void",IF(OR(B2178="",E2178=""),"Needs child",IF(D2178="","Needs level","OK"))))</f>
        <v/>
      </c>
    </row>
    <row r="2179">
      <c r="A2179" s="6" t="n"/>
      <c r="B2179" s="6" t="n"/>
      <c r="C2179" s="6" t="n"/>
      <c r="D2179" s="11">
        <f>IF(C2179="","",IFERROR(INDEX(Levels!$A$2:$A$30,MATCH(C2179,Levels!$B$2:$B$30,0)),""))</f>
        <v/>
      </c>
      <c r="E2179" s="10">
        <f>IF(B2179="","",IFERROR(INDEX(Roster!$A$2:$A$600,MATCH(B2179,Roster!$E$2:$E$600,0)),""))</f>
        <v/>
      </c>
      <c r="F2179" s="10">
        <f>IF(C2179="","",IFERROR(INDEX(Levels!$C$2:$C$30,MATCH(C2179,Levels!$B$2:$B$30,0)),""))</f>
        <v/>
      </c>
      <c r="G2179" s="6" t="n"/>
      <c r="H2179" s="10">
        <f>IF(AND(B2179="",C2179=""),"",IF(G2179&lt;&gt;"","Void",IF(OR(B2179="",E2179=""),"Needs child",IF(D2179="","Needs level","OK"))))</f>
        <v/>
      </c>
    </row>
    <row r="2180">
      <c r="A2180" s="6" t="n"/>
      <c r="B2180" s="6" t="n"/>
      <c r="C2180" s="6" t="n"/>
      <c r="D2180" s="11">
        <f>IF(C2180="","",IFERROR(INDEX(Levels!$A$2:$A$30,MATCH(C2180,Levels!$B$2:$B$30,0)),""))</f>
        <v/>
      </c>
      <c r="E2180" s="10">
        <f>IF(B2180="","",IFERROR(INDEX(Roster!$A$2:$A$600,MATCH(B2180,Roster!$E$2:$E$600,0)),""))</f>
        <v/>
      </c>
      <c r="F2180" s="10">
        <f>IF(C2180="","",IFERROR(INDEX(Levels!$C$2:$C$30,MATCH(C2180,Levels!$B$2:$B$30,0)),""))</f>
        <v/>
      </c>
      <c r="G2180" s="6" t="n"/>
      <c r="H2180" s="10">
        <f>IF(AND(B2180="",C2180=""),"",IF(G2180&lt;&gt;"","Void",IF(OR(B2180="",E2180=""),"Needs child",IF(D2180="","Needs level","OK"))))</f>
        <v/>
      </c>
    </row>
    <row r="2181">
      <c r="A2181" s="6" t="n"/>
      <c r="B2181" s="6" t="n"/>
      <c r="C2181" s="6" t="n"/>
      <c r="D2181" s="11">
        <f>IF(C2181="","",IFERROR(INDEX(Levels!$A$2:$A$30,MATCH(C2181,Levels!$B$2:$B$30,0)),""))</f>
        <v/>
      </c>
      <c r="E2181" s="10">
        <f>IF(B2181="","",IFERROR(INDEX(Roster!$A$2:$A$600,MATCH(B2181,Roster!$E$2:$E$600,0)),""))</f>
        <v/>
      </c>
      <c r="F2181" s="10">
        <f>IF(C2181="","",IFERROR(INDEX(Levels!$C$2:$C$30,MATCH(C2181,Levels!$B$2:$B$30,0)),""))</f>
        <v/>
      </c>
      <c r="G2181" s="6" t="n"/>
      <c r="H2181" s="10">
        <f>IF(AND(B2181="",C2181=""),"",IF(G2181&lt;&gt;"","Void",IF(OR(B2181="",E2181=""),"Needs child",IF(D2181="","Needs level","OK"))))</f>
        <v/>
      </c>
    </row>
    <row r="2182">
      <c r="A2182" s="6" t="n"/>
      <c r="B2182" s="6" t="n"/>
      <c r="C2182" s="6" t="n"/>
      <c r="D2182" s="11">
        <f>IF(C2182="","",IFERROR(INDEX(Levels!$A$2:$A$30,MATCH(C2182,Levels!$B$2:$B$30,0)),""))</f>
        <v/>
      </c>
      <c r="E2182" s="10">
        <f>IF(B2182="","",IFERROR(INDEX(Roster!$A$2:$A$600,MATCH(B2182,Roster!$E$2:$E$600,0)),""))</f>
        <v/>
      </c>
      <c r="F2182" s="10">
        <f>IF(C2182="","",IFERROR(INDEX(Levels!$C$2:$C$30,MATCH(C2182,Levels!$B$2:$B$30,0)),""))</f>
        <v/>
      </c>
      <c r="G2182" s="6" t="n"/>
      <c r="H2182" s="10">
        <f>IF(AND(B2182="",C2182=""),"",IF(G2182&lt;&gt;"","Void",IF(OR(B2182="",E2182=""),"Needs child",IF(D2182="","Needs level","OK"))))</f>
        <v/>
      </c>
    </row>
    <row r="2183">
      <c r="A2183" s="6" t="n"/>
      <c r="B2183" s="6" t="n"/>
      <c r="C2183" s="6" t="n"/>
      <c r="D2183" s="11">
        <f>IF(C2183="","",IFERROR(INDEX(Levels!$A$2:$A$30,MATCH(C2183,Levels!$B$2:$B$30,0)),""))</f>
        <v/>
      </c>
      <c r="E2183" s="10">
        <f>IF(B2183="","",IFERROR(INDEX(Roster!$A$2:$A$600,MATCH(B2183,Roster!$E$2:$E$600,0)),""))</f>
        <v/>
      </c>
      <c r="F2183" s="10">
        <f>IF(C2183="","",IFERROR(INDEX(Levels!$C$2:$C$30,MATCH(C2183,Levels!$B$2:$B$30,0)),""))</f>
        <v/>
      </c>
      <c r="G2183" s="6" t="n"/>
      <c r="H2183" s="10">
        <f>IF(AND(B2183="",C2183=""),"",IF(G2183&lt;&gt;"","Void",IF(OR(B2183="",E2183=""),"Needs child",IF(D2183="","Needs level","OK"))))</f>
        <v/>
      </c>
    </row>
    <row r="2184">
      <c r="A2184" s="6" t="n"/>
      <c r="B2184" s="6" t="n"/>
      <c r="C2184" s="6" t="n"/>
      <c r="D2184" s="11">
        <f>IF(C2184="","",IFERROR(INDEX(Levels!$A$2:$A$30,MATCH(C2184,Levels!$B$2:$B$30,0)),""))</f>
        <v/>
      </c>
      <c r="E2184" s="10">
        <f>IF(B2184="","",IFERROR(INDEX(Roster!$A$2:$A$600,MATCH(B2184,Roster!$E$2:$E$600,0)),""))</f>
        <v/>
      </c>
      <c r="F2184" s="10">
        <f>IF(C2184="","",IFERROR(INDEX(Levels!$C$2:$C$30,MATCH(C2184,Levels!$B$2:$B$30,0)),""))</f>
        <v/>
      </c>
      <c r="G2184" s="6" t="n"/>
      <c r="H2184" s="10">
        <f>IF(AND(B2184="",C2184=""),"",IF(G2184&lt;&gt;"","Void",IF(OR(B2184="",E2184=""),"Needs child",IF(D2184="","Needs level","OK"))))</f>
        <v/>
      </c>
    </row>
    <row r="2185">
      <c r="A2185" s="6" t="n"/>
      <c r="B2185" s="6" t="n"/>
      <c r="C2185" s="6" t="n"/>
      <c r="D2185" s="11">
        <f>IF(C2185="","",IFERROR(INDEX(Levels!$A$2:$A$30,MATCH(C2185,Levels!$B$2:$B$30,0)),""))</f>
        <v/>
      </c>
      <c r="E2185" s="10">
        <f>IF(B2185="","",IFERROR(INDEX(Roster!$A$2:$A$600,MATCH(B2185,Roster!$E$2:$E$600,0)),""))</f>
        <v/>
      </c>
      <c r="F2185" s="10">
        <f>IF(C2185="","",IFERROR(INDEX(Levels!$C$2:$C$30,MATCH(C2185,Levels!$B$2:$B$30,0)),""))</f>
        <v/>
      </c>
      <c r="G2185" s="6" t="n"/>
      <c r="H2185" s="10">
        <f>IF(AND(B2185="",C2185=""),"",IF(G2185&lt;&gt;"","Void",IF(OR(B2185="",E2185=""),"Needs child",IF(D2185="","Needs level","OK"))))</f>
        <v/>
      </c>
    </row>
    <row r="2186">
      <c r="A2186" s="6" t="n"/>
      <c r="B2186" s="6" t="n"/>
      <c r="C2186" s="6" t="n"/>
      <c r="D2186" s="11">
        <f>IF(C2186="","",IFERROR(INDEX(Levels!$A$2:$A$30,MATCH(C2186,Levels!$B$2:$B$30,0)),""))</f>
        <v/>
      </c>
      <c r="E2186" s="10">
        <f>IF(B2186="","",IFERROR(INDEX(Roster!$A$2:$A$600,MATCH(B2186,Roster!$E$2:$E$600,0)),""))</f>
        <v/>
      </c>
      <c r="F2186" s="10">
        <f>IF(C2186="","",IFERROR(INDEX(Levels!$C$2:$C$30,MATCH(C2186,Levels!$B$2:$B$30,0)),""))</f>
        <v/>
      </c>
      <c r="G2186" s="6" t="n"/>
      <c r="H2186" s="10">
        <f>IF(AND(B2186="",C2186=""),"",IF(G2186&lt;&gt;"","Void",IF(OR(B2186="",E2186=""),"Needs child",IF(D2186="","Needs level","OK"))))</f>
        <v/>
      </c>
    </row>
    <row r="2187">
      <c r="A2187" s="6" t="n"/>
      <c r="B2187" s="6" t="n"/>
      <c r="C2187" s="6" t="n"/>
      <c r="D2187" s="11">
        <f>IF(C2187="","",IFERROR(INDEX(Levels!$A$2:$A$30,MATCH(C2187,Levels!$B$2:$B$30,0)),""))</f>
        <v/>
      </c>
      <c r="E2187" s="10">
        <f>IF(B2187="","",IFERROR(INDEX(Roster!$A$2:$A$600,MATCH(B2187,Roster!$E$2:$E$600,0)),""))</f>
        <v/>
      </c>
      <c r="F2187" s="10">
        <f>IF(C2187="","",IFERROR(INDEX(Levels!$C$2:$C$30,MATCH(C2187,Levels!$B$2:$B$30,0)),""))</f>
        <v/>
      </c>
      <c r="G2187" s="6" t="n"/>
      <c r="H2187" s="10">
        <f>IF(AND(B2187="",C2187=""),"",IF(G2187&lt;&gt;"","Void",IF(OR(B2187="",E2187=""),"Needs child",IF(D2187="","Needs level","OK"))))</f>
        <v/>
      </c>
    </row>
    <row r="2188">
      <c r="A2188" s="6" t="n"/>
      <c r="B2188" s="6" t="n"/>
      <c r="C2188" s="6" t="n"/>
      <c r="D2188" s="11">
        <f>IF(C2188="","",IFERROR(INDEX(Levels!$A$2:$A$30,MATCH(C2188,Levels!$B$2:$B$30,0)),""))</f>
        <v/>
      </c>
      <c r="E2188" s="10">
        <f>IF(B2188="","",IFERROR(INDEX(Roster!$A$2:$A$600,MATCH(B2188,Roster!$E$2:$E$600,0)),""))</f>
        <v/>
      </c>
      <c r="F2188" s="10">
        <f>IF(C2188="","",IFERROR(INDEX(Levels!$C$2:$C$30,MATCH(C2188,Levels!$B$2:$B$30,0)),""))</f>
        <v/>
      </c>
      <c r="G2188" s="6" t="n"/>
      <c r="H2188" s="10">
        <f>IF(AND(B2188="",C2188=""),"",IF(G2188&lt;&gt;"","Void",IF(OR(B2188="",E2188=""),"Needs child",IF(D2188="","Needs level","OK"))))</f>
        <v/>
      </c>
    </row>
    <row r="2189">
      <c r="A2189" s="6" t="n"/>
      <c r="B2189" s="6" t="n"/>
      <c r="C2189" s="6" t="n"/>
      <c r="D2189" s="11">
        <f>IF(C2189="","",IFERROR(INDEX(Levels!$A$2:$A$30,MATCH(C2189,Levels!$B$2:$B$30,0)),""))</f>
        <v/>
      </c>
      <c r="E2189" s="10">
        <f>IF(B2189="","",IFERROR(INDEX(Roster!$A$2:$A$600,MATCH(B2189,Roster!$E$2:$E$600,0)),""))</f>
        <v/>
      </c>
      <c r="F2189" s="10">
        <f>IF(C2189="","",IFERROR(INDEX(Levels!$C$2:$C$30,MATCH(C2189,Levels!$B$2:$B$30,0)),""))</f>
        <v/>
      </c>
      <c r="G2189" s="6" t="n"/>
      <c r="H2189" s="10">
        <f>IF(AND(B2189="",C2189=""),"",IF(G2189&lt;&gt;"","Void",IF(OR(B2189="",E2189=""),"Needs child",IF(D2189="","Needs level","OK"))))</f>
        <v/>
      </c>
    </row>
    <row r="2190">
      <c r="A2190" s="6" t="n"/>
      <c r="B2190" s="6" t="n"/>
      <c r="C2190" s="6" t="n"/>
      <c r="D2190" s="11">
        <f>IF(C2190="","",IFERROR(INDEX(Levels!$A$2:$A$30,MATCH(C2190,Levels!$B$2:$B$30,0)),""))</f>
        <v/>
      </c>
      <c r="E2190" s="10">
        <f>IF(B2190="","",IFERROR(INDEX(Roster!$A$2:$A$600,MATCH(B2190,Roster!$E$2:$E$600,0)),""))</f>
        <v/>
      </c>
      <c r="F2190" s="10">
        <f>IF(C2190="","",IFERROR(INDEX(Levels!$C$2:$C$30,MATCH(C2190,Levels!$B$2:$B$30,0)),""))</f>
        <v/>
      </c>
      <c r="G2190" s="6" t="n"/>
      <c r="H2190" s="10">
        <f>IF(AND(B2190="",C2190=""),"",IF(G2190&lt;&gt;"","Void",IF(OR(B2190="",E2190=""),"Needs child",IF(D2190="","Needs level","OK"))))</f>
        <v/>
      </c>
    </row>
    <row r="2191">
      <c r="A2191" s="6" t="n"/>
      <c r="B2191" s="6" t="n"/>
      <c r="C2191" s="6" t="n"/>
      <c r="D2191" s="11">
        <f>IF(C2191="","",IFERROR(INDEX(Levels!$A$2:$A$30,MATCH(C2191,Levels!$B$2:$B$30,0)),""))</f>
        <v/>
      </c>
      <c r="E2191" s="10">
        <f>IF(B2191="","",IFERROR(INDEX(Roster!$A$2:$A$600,MATCH(B2191,Roster!$E$2:$E$600,0)),""))</f>
        <v/>
      </c>
      <c r="F2191" s="10">
        <f>IF(C2191="","",IFERROR(INDEX(Levels!$C$2:$C$30,MATCH(C2191,Levels!$B$2:$B$30,0)),""))</f>
        <v/>
      </c>
      <c r="G2191" s="6" t="n"/>
      <c r="H2191" s="10">
        <f>IF(AND(B2191="",C2191=""),"",IF(G2191&lt;&gt;"","Void",IF(OR(B2191="",E2191=""),"Needs child",IF(D2191="","Needs level","OK"))))</f>
        <v/>
      </c>
    </row>
    <row r="2192">
      <c r="A2192" s="6" t="n"/>
      <c r="B2192" s="6" t="n"/>
      <c r="C2192" s="6" t="n"/>
      <c r="D2192" s="11">
        <f>IF(C2192="","",IFERROR(INDEX(Levels!$A$2:$A$30,MATCH(C2192,Levels!$B$2:$B$30,0)),""))</f>
        <v/>
      </c>
      <c r="E2192" s="10">
        <f>IF(B2192="","",IFERROR(INDEX(Roster!$A$2:$A$600,MATCH(B2192,Roster!$E$2:$E$600,0)),""))</f>
        <v/>
      </c>
      <c r="F2192" s="10">
        <f>IF(C2192="","",IFERROR(INDEX(Levels!$C$2:$C$30,MATCH(C2192,Levels!$B$2:$B$30,0)),""))</f>
        <v/>
      </c>
      <c r="G2192" s="6" t="n"/>
      <c r="H2192" s="10">
        <f>IF(AND(B2192="",C2192=""),"",IF(G2192&lt;&gt;"","Void",IF(OR(B2192="",E2192=""),"Needs child",IF(D2192="","Needs level","OK"))))</f>
        <v/>
      </c>
    </row>
    <row r="2193">
      <c r="A2193" s="6" t="n"/>
      <c r="B2193" s="6" t="n"/>
      <c r="C2193" s="6" t="n"/>
      <c r="D2193" s="11">
        <f>IF(C2193="","",IFERROR(INDEX(Levels!$A$2:$A$30,MATCH(C2193,Levels!$B$2:$B$30,0)),""))</f>
        <v/>
      </c>
      <c r="E2193" s="10">
        <f>IF(B2193="","",IFERROR(INDEX(Roster!$A$2:$A$600,MATCH(B2193,Roster!$E$2:$E$600,0)),""))</f>
        <v/>
      </c>
      <c r="F2193" s="10">
        <f>IF(C2193="","",IFERROR(INDEX(Levels!$C$2:$C$30,MATCH(C2193,Levels!$B$2:$B$30,0)),""))</f>
        <v/>
      </c>
      <c r="G2193" s="6" t="n"/>
      <c r="H2193" s="10">
        <f>IF(AND(B2193="",C2193=""),"",IF(G2193&lt;&gt;"","Void",IF(OR(B2193="",E2193=""),"Needs child",IF(D2193="","Needs level","OK"))))</f>
        <v/>
      </c>
    </row>
    <row r="2194">
      <c r="A2194" s="6" t="n"/>
      <c r="B2194" s="6" t="n"/>
      <c r="C2194" s="6" t="n"/>
      <c r="D2194" s="11">
        <f>IF(C2194="","",IFERROR(INDEX(Levels!$A$2:$A$30,MATCH(C2194,Levels!$B$2:$B$30,0)),""))</f>
        <v/>
      </c>
      <c r="E2194" s="10">
        <f>IF(B2194="","",IFERROR(INDEX(Roster!$A$2:$A$600,MATCH(B2194,Roster!$E$2:$E$600,0)),""))</f>
        <v/>
      </c>
      <c r="F2194" s="10">
        <f>IF(C2194="","",IFERROR(INDEX(Levels!$C$2:$C$30,MATCH(C2194,Levels!$B$2:$B$30,0)),""))</f>
        <v/>
      </c>
      <c r="G2194" s="6" t="n"/>
      <c r="H2194" s="10">
        <f>IF(AND(B2194="",C2194=""),"",IF(G2194&lt;&gt;"","Void",IF(OR(B2194="",E2194=""),"Needs child",IF(D2194="","Needs level","OK"))))</f>
        <v/>
      </c>
    </row>
    <row r="2195">
      <c r="A2195" s="6" t="n"/>
      <c r="B2195" s="6" t="n"/>
      <c r="C2195" s="6" t="n"/>
      <c r="D2195" s="11">
        <f>IF(C2195="","",IFERROR(INDEX(Levels!$A$2:$A$30,MATCH(C2195,Levels!$B$2:$B$30,0)),""))</f>
        <v/>
      </c>
      <c r="E2195" s="10">
        <f>IF(B2195="","",IFERROR(INDEX(Roster!$A$2:$A$600,MATCH(B2195,Roster!$E$2:$E$600,0)),""))</f>
        <v/>
      </c>
      <c r="F2195" s="10">
        <f>IF(C2195="","",IFERROR(INDEX(Levels!$C$2:$C$30,MATCH(C2195,Levels!$B$2:$B$30,0)),""))</f>
        <v/>
      </c>
      <c r="G2195" s="6" t="n"/>
      <c r="H2195" s="10">
        <f>IF(AND(B2195="",C2195=""),"",IF(G2195&lt;&gt;"","Void",IF(OR(B2195="",E2195=""),"Needs child",IF(D2195="","Needs level","OK"))))</f>
        <v/>
      </c>
    </row>
    <row r="2196">
      <c r="A2196" s="6" t="n"/>
      <c r="B2196" s="6" t="n"/>
      <c r="C2196" s="6" t="n"/>
      <c r="D2196" s="11">
        <f>IF(C2196="","",IFERROR(INDEX(Levels!$A$2:$A$30,MATCH(C2196,Levels!$B$2:$B$30,0)),""))</f>
        <v/>
      </c>
      <c r="E2196" s="10">
        <f>IF(B2196="","",IFERROR(INDEX(Roster!$A$2:$A$600,MATCH(B2196,Roster!$E$2:$E$600,0)),""))</f>
        <v/>
      </c>
      <c r="F2196" s="10">
        <f>IF(C2196="","",IFERROR(INDEX(Levels!$C$2:$C$30,MATCH(C2196,Levels!$B$2:$B$30,0)),""))</f>
        <v/>
      </c>
      <c r="G2196" s="6" t="n"/>
      <c r="H2196" s="10">
        <f>IF(AND(B2196="",C2196=""),"",IF(G2196&lt;&gt;"","Void",IF(OR(B2196="",E2196=""),"Needs child",IF(D2196="","Needs level","OK"))))</f>
        <v/>
      </c>
    </row>
    <row r="2197">
      <c r="A2197" s="6" t="n"/>
      <c r="B2197" s="6" t="n"/>
      <c r="C2197" s="6" t="n"/>
      <c r="D2197" s="11">
        <f>IF(C2197="","",IFERROR(INDEX(Levels!$A$2:$A$30,MATCH(C2197,Levels!$B$2:$B$30,0)),""))</f>
        <v/>
      </c>
      <c r="E2197" s="10">
        <f>IF(B2197="","",IFERROR(INDEX(Roster!$A$2:$A$600,MATCH(B2197,Roster!$E$2:$E$600,0)),""))</f>
        <v/>
      </c>
      <c r="F2197" s="10">
        <f>IF(C2197="","",IFERROR(INDEX(Levels!$C$2:$C$30,MATCH(C2197,Levels!$B$2:$B$30,0)),""))</f>
        <v/>
      </c>
      <c r="G2197" s="6" t="n"/>
      <c r="H2197" s="10">
        <f>IF(AND(B2197="",C2197=""),"",IF(G2197&lt;&gt;"","Void",IF(OR(B2197="",E2197=""),"Needs child",IF(D2197="","Needs level","OK"))))</f>
        <v/>
      </c>
    </row>
    <row r="2198">
      <c r="A2198" s="6" t="n"/>
      <c r="B2198" s="6" t="n"/>
      <c r="C2198" s="6" t="n"/>
      <c r="D2198" s="11">
        <f>IF(C2198="","",IFERROR(INDEX(Levels!$A$2:$A$30,MATCH(C2198,Levels!$B$2:$B$30,0)),""))</f>
        <v/>
      </c>
      <c r="E2198" s="10">
        <f>IF(B2198="","",IFERROR(INDEX(Roster!$A$2:$A$600,MATCH(B2198,Roster!$E$2:$E$600,0)),""))</f>
        <v/>
      </c>
      <c r="F2198" s="10">
        <f>IF(C2198="","",IFERROR(INDEX(Levels!$C$2:$C$30,MATCH(C2198,Levels!$B$2:$B$30,0)),""))</f>
        <v/>
      </c>
      <c r="G2198" s="6" t="n"/>
      <c r="H2198" s="10">
        <f>IF(AND(B2198="",C2198=""),"",IF(G2198&lt;&gt;"","Void",IF(OR(B2198="",E2198=""),"Needs child",IF(D2198="","Needs level","OK"))))</f>
        <v/>
      </c>
    </row>
    <row r="2199">
      <c r="A2199" s="6" t="n"/>
      <c r="B2199" s="6" t="n"/>
      <c r="C2199" s="6" t="n"/>
      <c r="D2199" s="11">
        <f>IF(C2199="","",IFERROR(INDEX(Levels!$A$2:$A$30,MATCH(C2199,Levels!$B$2:$B$30,0)),""))</f>
        <v/>
      </c>
      <c r="E2199" s="10">
        <f>IF(B2199="","",IFERROR(INDEX(Roster!$A$2:$A$600,MATCH(B2199,Roster!$E$2:$E$600,0)),""))</f>
        <v/>
      </c>
      <c r="F2199" s="10">
        <f>IF(C2199="","",IFERROR(INDEX(Levels!$C$2:$C$30,MATCH(C2199,Levels!$B$2:$B$30,0)),""))</f>
        <v/>
      </c>
      <c r="G2199" s="6" t="n"/>
      <c r="H2199" s="10">
        <f>IF(AND(B2199="",C2199=""),"",IF(G2199&lt;&gt;"","Void",IF(OR(B2199="",E2199=""),"Needs child",IF(D2199="","Needs level","OK"))))</f>
        <v/>
      </c>
    </row>
    <row r="2200">
      <c r="A2200" s="6" t="n"/>
      <c r="B2200" s="6" t="n"/>
      <c r="C2200" s="6" t="n"/>
      <c r="D2200" s="11">
        <f>IF(C2200="","",IFERROR(INDEX(Levels!$A$2:$A$30,MATCH(C2200,Levels!$B$2:$B$30,0)),""))</f>
        <v/>
      </c>
      <c r="E2200" s="10">
        <f>IF(B2200="","",IFERROR(INDEX(Roster!$A$2:$A$600,MATCH(B2200,Roster!$E$2:$E$600,0)),""))</f>
        <v/>
      </c>
      <c r="F2200" s="10">
        <f>IF(C2200="","",IFERROR(INDEX(Levels!$C$2:$C$30,MATCH(C2200,Levels!$B$2:$B$30,0)),""))</f>
        <v/>
      </c>
      <c r="G2200" s="6" t="n"/>
      <c r="H2200" s="10">
        <f>IF(AND(B2200="",C2200=""),"",IF(G2200&lt;&gt;"","Void",IF(OR(B2200="",E2200=""),"Needs child",IF(D2200="","Needs level","OK"))))</f>
        <v/>
      </c>
    </row>
    <row r="2201">
      <c r="A2201" s="6" t="n"/>
      <c r="B2201" s="6" t="n"/>
      <c r="C2201" s="6" t="n"/>
      <c r="D2201" s="11">
        <f>IF(C2201="","",IFERROR(INDEX(Levels!$A$2:$A$30,MATCH(C2201,Levels!$B$2:$B$30,0)),""))</f>
        <v/>
      </c>
      <c r="E2201" s="10">
        <f>IF(B2201="","",IFERROR(INDEX(Roster!$A$2:$A$600,MATCH(B2201,Roster!$E$2:$E$600,0)),""))</f>
        <v/>
      </c>
      <c r="F2201" s="10">
        <f>IF(C2201="","",IFERROR(INDEX(Levels!$C$2:$C$30,MATCH(C2201,Levels!$B$2:$B$30,0)),""))</f>
        <v/>
      </c>
      <c r="G2201" s="6" t="n"/>
      <c r="H2201" s="10">
        <f>IF(AND(B2201="",C2201=""),"",IF(G2201&lt;&gt;"","Void",IF(OR(B2201="",E2201=""),"Needs child",IF(D2201="","Needs level","OK"))))</f>
        <v/>
      </c>
    </row>
    <row r="2202">
      <c r="A2202" s="6" t="n"/>
      <c r="B2202" s="6" t="n"/>
      <c r="C2202" s="6" t="n"/>
      <c r="D2202" s="11">
        <f>IF(C2202="","",IFERROR(INDEX(Levels!$A$2:$A$30,MATCH(C2202,Levels!$B$2:$B$30,0)),""))</f>
        <v/>
      </c>
      <c r="E2202" s="10">
        <f>IF(B2202="","",IFERROR(INDEX(Roster!$A$2:$A$600,MATCH(B2202,Roster!$E$2:$E$600,0)),""))</f>
        <v/>
      </c>
      <c r="F2202" s="10">
        <f>IF(C2202="","",IFERROR(INDEX(Levels!$C$2:$C$30,MATCH(C2202,Levels!$B$2:$B$30,0)),""))</f>
        <v/>
      </c>
      <c r="G2202" s="6" t="n"/>
      <c r="H2202" s="10">
        <f>IF(AND(B2202="",C2202=""),"",IF(G2202&lt;&gt;"","Void",IF(OR(B2202="",E2202=""),"Needs child",IF(D2202="","Needs level","OK"))))</f>
        <v/>
      </c>
    </row>
    <row r="2203">
      <c r="A2203" s="6" t="n"/>
      <c r="B2203" s="6" t="n"/>
      <c r="C2203" s="6" t="n"/>
      <c r="D2203" s="11">
        <f>IF(C2203="","",IFERROR(INDEX(Levels!$A$2:$A$30,MATCH(C2203,Levels!$B$2:$B$30,0)),""))</f>
        <v/>
      </c>
      <c r="E2203" s="10">
        <f>IF(B2203="","",IFERROR(INDEX(Roster!$A$2:$A$600,MATCH(B2203,Roster!$E$2:$E$600,0)),""))</f>
        <v/>
      </c>
      <c r="F2203" s="10">
        <f>IF(C2203="","",IFERROR(INDEX(Levels!$C$2:$C$30,MATCH(C2203,Levels!$B$2:$B$30,0)),""))</f>
        <v/>
      </c>
      <c r="G2203" s="6" t="n"/>
      <c r="H2203" s="10">
        <f>IF(AND(B2203="",C2203=""),"",IF(G2203&lt;&gt;"","Void",IF(OR(B2203="",E2203=""),"Needs child",IF(D2203="","Needs level","OK"))))</f>
        <v/>
      </c>
    </row>
    <row r="2204">
      <c r="A2204" s="6" t="n"/>
      <c r="B2204" s="6" t="n"/>
      <c r="C2204" s="6" t="n"/>
      <c r="D2204" s="11">
        <f>IF(C2204="","",IFERROR(INDEX(Levels!$A$2:$A$30,MATCH(C2204,Levels!$B$2:$B$30,0)),""))</f>
        <v/>
      </c>
      <c r="E2204" s="10">
        <f>IF(B2204="","",IFERROR(INDEX(Roster!$A$2:$A$600,MATCH(B2204,Roster!$E$2:$E$600,0)),""))</f>
        <v/>
      </c>
      <c r="F2204" s="10">
        <f>IF(C2204="","",IFERROR(INDEX(Levels!$C$2:$C$30,MATCH(C2204,Levels!$B$2:$B$30,0)),""))</f>
        <v/>
      </c>
      <c r="G2204" s="6" t="n"/>
      <c r="H2204" s="10">
        <f>IF(AND(B2204="",C2204=""),"",IF(G2204&lt;&gt;"","Void",IF(OR(B2204="",E2204=""),"Needs child",IF(D2204="","Needs level","OK"))))</f>
        <v/>
      </c>
    </row>
    <row r="2205">
      <c r="A2205" s="6" t="n"/>
      <c r="B2205" s="6" t="n"/>
      <c r="C2205" s="6" t="n"/>
      <c r="D2205" s="11">
        <f>IF(C2205="","",IFERROR(INDEX(Levels!$A$2:$A$30,MATCH(C2205,Levels!$B$2:$B$30,0)),""))</f>
        <v/>
      </c>
      <c r="E2205" s="10">
        <f>IF(B2205="","",IFERROR(INDEX(Roster!$A$2:$A$600,MATCH(B2205,Roster!$E$2:$E$600,0)),""))</f>
        <v/>
      </c>
      <c r="F2205" s="10">
        <f>IF(C2205="","",IFERROR(INDEX(Levels!$C$2:$C$30,MATCH(C2205,Levels!$B$2:$B$30,0)),""))</f>
        <v/>
      </c>
      <c r="G2205" s="6" t="n"/>
      <c r="H2205" s="10">
        <f>IF(AND(B2205="",C2205=""),"",IF(G2205&lt;&gt;"","Void",IF(OR(B2205="",E2205=""),"Needs child",IF(D2205="","Needs level","OK"))))</f>
        <v/>
      </c>
    </row>
    <row r="2206">
      <c r="A2206" s="6" t="n"/>
      <c r="B2206" s="6" t="n"/>
      <c r="C2206" s="6" t="n"/>
      <c r="D2206" s="11">
        <f>IF(C2206="","",IFERROR(INDEX(Levels!$A$2:$A$30,MATCH(C2206,Levels!$B$2:$B$30,0)),""))</f>
        <v/>
      </c>
      <c r="E2206" s="10">
        <f>IF(B2206="","",IFERROR(INDEX(Roster!$A$2:$A$600,MATCH(B2206,Roster!$E$2:$E$600,0)),""))</f>
        <v/>
      </c>
      <c r="F2206" s="10">
        <f>IF(C2206="","",IFERROR(INDEX(Levels!$C$2:$C$30,MATCH(C2206,Levels!$B$2:$B$30,0)),""))</f>
        <v/>
      </c>
      <c r="G2206" s="6" t="n"/>
      <c r="H2206" s="10">
        <f>IF(AND(B2206="",C2206=""),"",IF(G2206&lt;&gt;"","Void",IF(OR(B2206="",E2206=""),"Needs child",IF(D2206="","Needs level","OK"))))</f>
        <v/>
      </c>
    </row>
    <row r="2207">
      <c r="A2207" s="6" t="n"/>
      <c r="B2207" s="6" t="n"/>
      <c r="C2207" s="6" t="n"/>
      <c r="D2207" s="11">
        <f>IF(C2207="","",IFERROR(INDEX(Levels!$A$2:$A$30,MATCH(C2207,Levels!$B$2:$B$30,0)),""))</f>
        <v/>
      </c>
      <c r="E2207" s="10">
        <f>IF(B2207="","",IFERROR(INDEX(Roster!$A$2:$A$600,MATCH(B2207,Roster!$E$2:$E$600,0)),""))</f>
        <v/>
      </c>
      <c r="F2207" s="10">
        <f>IF(C2207="","",IFERROR(INDEX(Levels!$C$2:$C$30,MATCH(C2207,Levels!$B$2:$B$30,0)),""))</f>
        <v/>
      </c>
      <c r="G2207" s="6" t="n"/>
      <c r="H2207" s="10">
        <f>IF(AND(B2207="",C2207=""),"",IF(G2207&lt;&gt;"","Void",IF(OR(B2207="",E2207=""),"Needs child",IF(D2207="","Needs level","OK"))))</f>
        <v/>
      </c>
    </row>
    <row r="2208">
      <c r="A2208" s="6" t="n"/>
      <c r="B2208" s="6" t="n"/>
      <c r="C2208" s="6" t="n"/>
      <c r="D2208" s="11">
        <f>IF(C2208="","",IFERROR(INDEX(Levels!$A$2:$A$30,MATCH(C2208,Levels!$B$2:$B$30,0)),""))</f>
        <v/>
      </c>
      <c r="E2208" s="10">
        <f>IF(B2208="","",IFERROR(INDEX(Roster!$A$2:$A$600,MATCH(B2208,Roster!$E$2:$E$600,0)),""))</f>
        <v/>
      </c>
      <c r="F2208" s="10">
        <f>IF(C2208="","",IFERROR(INDEX(Levels!$C$2:$C$30,MATCH(C2208,Levels!$B$2:$B$30,0)),""))</f>
        <v/>
      </c>
      <c r="G2208" s="6" t="n"/>
      <c r="H2208" s="10">
        <f>IF(AND(B2208="",C2208=""),"",IF(G2208&lt;&gt;"","Void",IF(OR(B2208="",E2208=""),"Needs child",IF(D2208="","Needs level","OK"))))</f>
        <v/>
      </c>
    </row>
    <row r="2209">
      <c r="A2209" s="6" t="n"/>
      <c r="B2209" s="6" t="n"/>
      <c r="C2209" s="6" t="n"/>
      <c r="D2209" s="11">
        <f>IF(C2209="","",IFERROR(INDEX(Levels!$A$2:$A$30,MATCH(C2209,Levels!$B$2:$B$30,0)),""))</f>
        <v/>
      </c>
      <c r="E2209" s="10">
        <f>IF(B2209="","",IFERROR(INDEX(Roster!$A$2:$A$600,MATCH(B2209,Roster!$E$2:$E$600,0)),""))</f>
        <v/>
      </c>
      <c r="F2209" s="10">
        <f>IF(C2209="","",IFERROR(INDEX(Levels!$C$2:$C$30,MATCH(C2209,Levels!$B$2:$B$30,0)),""))</f>
        <v/>
      </c>
      <c r="G2209" s="6" t="n"/>
      <c r="H2209" s="10">
        <f>IF(AND(B2209="",C2209=""),"",IF(G2209&lt;&gt;"","Void",IF(OR(B2209="",E2209=""),"Needs child",IF(D2209="","Needs level","OK"))))</f>
        <v/>
      </c>
    </row>
    <row r="2210">
      <c r="A2210" s="6" t="n"/>
      <c r="B2210" s="6" t="n"/>
      <c r="C2210" s="6" t="n"/>
      <c r="D2210" s="11">
        <f>IF(C2210="","",IFERROR(INDEX(Levels!$A$2:$A$30,MATCH(C2210,Levels!$B$2:$B$30,0)),""))</f>
        <v/>
      </c>
      <c r="E2210" s="10">
        <f>IF(B2210="","",IFERROR(INDEX(Roster!$A$2:$A$600,MATCH(B2210,Roster!$E$2:$E$600,0)),""))</f>
        <v/>
      </c>
      <c r="F2210" s="10">
        <f>IF(C2210="","",IFERROR(INDEX(Levels!$C$2:$C$30,MATCH(C2210,Levels!$B$2:$B$30,0)),""))</f>
        <v/>
      </c>
      <c r="G2210" s="6" t="n"/>
      <c r="H2210" s="10">
        <f>IF(AND(B2210="",C2210=""),"",IF(G2210&lt;&gt;"","Void",IF(OR(B2210="",E2210=""),"Needs child",IF(D2210="","Needs level","OK"))))</f>
        <v/>
      </c>
    </row>
    <row r="2211">
      <c r="A2211" s="6" t="n"/>
      <c r="B2211" s="6" t="n"/>
      <c r="C2211" s="6" t="n"/>
      <c r="D2211" s="11">
        <f>IF(C2211="","",IFERROR(INDEX(Levels!$A$2:$A$30,MATCH(C2211,Levels!$B$2:$B$30,0)),""))</f>
        <v/>
      </c>
      <c r="E2211" s="10">
        <f>IF(B2211="","",IFERROR(INDEX(Roster!$A$2:$A$600,MATCH(B2211,Roster!$E$2:$E$600,0)),""))</f>
        <v/>
      </c>
      <c r="F2211" s="10">
        <f>IF(C2211="","",IFERROR(INDEX(Levels!$C$2:$C$30,MATCH(C2211,Levels!$B$2:$B$30,0)),""))</f>
        <v/>
      </c>
      <c r="G2211" s="6" t="n"/>
      <c r="H2211" s="10">
        <f>IF(AND(B2211="",C2211=""),"",IF(G2211&lt;&gt;"","Void",IF(OR(B2211="",E2211=""),"Needs child",IF(D2211="","Needs level","OK"))))</f>
        <v/>
      </c>
    </row>
    <row r="2212">
      <c r="A2212" s="6" t="n"/>
      <c r="B2212" s="6" t="n"/>
      <c r="C2212" s="6" t="n"/>
      <c r="D2212" s="11">
        <f>IF(C2212="","",IFERROR(INDEX(Levels!$A$2:$A$30,MATCH(C2212,Levels!$B$2:$B$30,0)),""))</f>
        <v/>
      </c>
      <c r="E2212" s="10">
        <f>IF(B2212="","",IFERROR(INDEX(Roster!$A$2:$A$600,MATCH(B2212,Roster!$E$2:$E$600,0)),""))</f>
        <v/>
      </c>
      <c r="F2212" s="10">
        <f>IF(C2212="","",IFERROR(INDEX(Levels!$C$2:$C$30,MATCH(C2212,Levels!$B$2:$B$30,0)),""))</f>
        <v/>
      </c>
      <c r="G2212" s="6" t="n"/>
      <c r="H2212" s="10">
        <f>IF(AND(B2212="",C2212=""),"",IF(G2212&lt;&gt;"","Void",IF(OR(B2212="",E2212=""),"Needs child",IF(D2212="","Needs level","OK"))))</f>
        <v/>
      </c>
    </row>
    <row r="2213">
      <c r="A2213" s="6" t="n"/>
      <c r="B2213" s="6" t="n"/>
      <c r="C2213" s="6" t="n"/>
      <c r="D2213" s="11">
        <f>IF(C2213="","",IFERROR(INDEX(Levels!$A$2:$A$30,MATCH(C2213,Levels!$B$2:$B$30,0)),""))</f>
        <v/>
      </c>
      <c r="E2213" s="10">
        <f>IF(B2213="","",IFERROR(INDEX(Roster!$A$2:$A$600,MATCH(B2213,Roster!$E$2:$E$600,0)),""))</f>
        <v/>
      </c>
      <c r="F2213" s="10">
        <f>IF(C2213="","",IFERROR(INDEX(Levels!$C$2:$C$30,MATCH(C2213,Levels!$B$2:$B$30,0)),""))</f>
        <v/>
      </c>
      <c r="G2213" s="6" t="n"/>
      <c r="H2213" s="10">
        <f>IF(AND(B2213="",C2213=""),"",IF(G2213&lt;&gt;"","Void",IF(OR(B2213="",E2213=""),"Needs child",IF(D2213="","Needs level","OK"))))</f>
        <v/>
      </c>
    </row>
    <row r="2214">
      <c r="A2214" s="6" t="n"/>
      <c r="B2214" s="6" t="n"/>
      <c r="C2214" s="6" t="n"/>
      <c r="D2214" s="11">
        <f>IF(C2214="","",IFERROR(INDEX(Levels!$A$2:$A$30,MATCH(C2214,Levels!$B$2:$B$30,0)),""))</f>
        <v/>
      </c>
      <c r="E2214" s="10">
        <f>IF(B2214="","",IFERROR(INDEX(Roster!$A$2:$A$600,MATCH(B2214,Roster!$E$2:$E$600,0)),""))</f>
        <v/>
      </c>
      <c r="F2214" s="10">
        <f>IF(C2214="","",IFERROR(INDEX(Levels!$C$2:$C$30,MATCH(C2214,Levels!$B$2:$B$30,0)),""))</f>
        <v/>
      </c>
      <c r="G2214" s="6" t="n"/>
      <c r="H2214" s="10">
        <f>IF(AND(B2214="",C2214=""),"",IF(G2214&lt;&gt;"","Void",IF(OR(B2214="",E2214=""),"Needs child",IF(D2214="","Needs level","OK"))))</f>
        <v/>
      </c>
    </row>
    <row r="2215">
      <c r="A2215" s="6" t="n"/>
      <c r="B2215" s="6" t="n"/>
      <c r="C2215" s="6" t="n"/>
      <c r="D2215" s="11">
        <f>IF(C2215="","",IFERROR(INDEX(Levels!$A$2:$A$30,MATCH(C2215,Levels!$B$2:$B$30,0)),""))</f>
        <v/>
      </c>
      <c r="E2215" s="10">
        <f>IF(B2215="","",IFERROR(INDEX(Roster!$A$2:$A$600,MATCH(B2215,Roster!$E$2:$E$600,0)),""))</f>
        <v/>
      </c>
      <c r="F2215" s="10">
        <f>IF(C2215="","",IFERROR(INDEX(Levels!$C$2:$C$30,MATCH(C2215,Levels!$B$2:$B$30,0)),""))</f>
        <v/>
      </c>
      <c r="G2215" s="6" t="n"/>
      <c r="H2215" s="10">
        <f>IF(AND(B2215="",C2215=""),"",IF(G2215&lt;&gt;"","Void",IF(OR(B2215="",E2215=""),"Needs child",IF(D2215="","Needs level","OK"))))</f>
        <v/>
      </c>
    </row>
    <row r="2216">
      <c r="A2216" s="6" t="n"/>
      <c r="B2216" s="6" t="n"/>
      <c r="C2216" s="6" t="n"/>
      <c r="D2216" s="11">
        <f>IF(C2216="","",IFERROR(INDEX(Levels!$A$2:$A$30,MATCH(C2216,Levels!$B$2:$B$30,0)),""))</f>
        <v/>
      </c>
      <c r="E2216" s="10">
        <f>IF(B2216="","",IFERROR(INDEX(Roster!$A$2:$A$600,MATCH(B2216,Roster!$E$2:$E$600,0)),""))</f>
        <v/>
      </c>
      <c r="F2216" s="10">
        <f>IF(C2216="","",IFERROR(INDEX(Levels!$C$2:$C$30,MATCH(C2216,Levels!$B$2:$B$30,0)),""))</f>
        <v/>
      </c>
      <c r="G2216" s="6" t="n"/>
      <c r="H2216" s="10">
        <f>IF(AND(B2216="",C2216=""),"",IF(G2216&lt;&gt;"","Void",IF(OR(B2216="",E2216=""),"Needs child",IF(D2216="","Needs level","OK"))))</f>
        <v/>
      </c>
    </row>
    <row r="2217">
      <c r="A2217" s="6" t="n"/>
      <c r="B2217" s="6" t="n"/>
      <c r="C2217" s="6" t="n"/>
      <c r="D2217" s="11">
        <f>IF(C2217="","",IFERROR(INDEX(Levels!$A$2:$A$30,MATCH(C2217,Levels!$B$2:$B$30,0)),""))</f>
        <v/>
      </c>
      <c r="E2217" s="10">
        <f>IF(B2217="","",IFERROR(INDEX(Roster!$A$2:$A$600,MATCH(B2217,Roster!$E$2:$E$600,0)),""))</f>
        <v/>
      </c>
      <c r="F2217" s="10">
        <f>IF(C2217="","",IFERROR(INDEX(Levels!$C$2:$C$30,MATCH(C2217,Levels!$B$2:$B$30,0)),""))</f>
        <v/>
      </c>
      <c r="G2217" s="6" t="n"/>
      <c r="H2217" s="10">
        <f>IF(AND(B2217="",C2217=""),"",IF(G2217&lt;&gt;"","Void",IF(OR(B2217="",E2217=""),"Needs child",IF(D2217="","Needs level","OK"))))</f>
        <v/>
      </c>
    </row>
    <row r="2218">
      <c r="A2218" s="6" t="n"/>
      <c r="B2218" s="6" t="n"/>
      <c r="C2218" s="6" t="n"/>
      <c r="D2218" s="11">
        <f>IF(C2218="","",IFERROR(INDEX(Levels!$A$2:$A$30,MATCH(C2218,Levels!$B$2:$B$30,0)),""))</f>
        <v/>
      </c>
      <c r="E2218" s="10">
        <f>IF(B2218="","",IFERROR(INDEX(Roster!$A$2:$A$600,MATCH(B2218,Roster!$E$2:$E$600,0)),""))</f>
        <v/>
      </c>
      <c r="F2218" s="10">
        <f>IF(C2218="","",IFERROR(INDEX(Levels!$C$2:$C$30,MATCH(C2218,Levels!$B$2:$B$30,0)),""))</f>
        <v/>
      </c>
      <c r="G2218" s="6" t="n"/>
      <c r="H2218" s="10">
        <f>IF(AND(B2218="",C2218=""),"",IF(G2218&lt;&gt;"","Void",IF(OR(B2218="",E2218=""),"Needs child",IF(D2218="","Needs level","OK"))))</f>
        <v/>
      </c>
    </row>
    <row r="2219">
      <c r="A2219" s="6" t="n"/>
      <c r="B2219" s="6" t="n"/>
      <c r="C2219" s="6" t="n"/>
      <c r="D2219" s="11">
        <f>IF(C2219="","",IFERROR(INDEX(Levels!$A$2:$A$30,MATCH(C2219,Levels!$B$2:$B$30,0)),""))</f>
        <v/>
      </c>
      <c r="E2219" s="10">
        <f>IF(B2219="","",IFERROR(INDEX(Roster!$A$2:$A$600,MATCH(B2219,Roster!$E$2:$E$600,0)),""))</f>
        <v/>
      </c>
      <c r="F2219" s="10">
        <f>IF(C2219="","",IFERROR(INDEX(Levels!$C$2:$C$30,MATCH(C2219,Levels!$B$2:$B$30,0)),""))</f>
        <v/>
      </c>
      <c r="G2219" s="6" t="n"/>
      <c r="H2219" s="10">
        <f>IF(AND(B2219="",C2219=""),"",IF(G2219&lt;&gt;"","Void",IF(OR(B2219="",E2219=""),"Needs child",IF(D2219="","Needs level","OK"))))</f>
        <v/>
      </c>
    </row>
    <row r="2220">
      <c r="A2220" s="6" t="n"/>
      <c r="B2220" s="6" t="n"/>
      <c r="C2220" s="6" t="n"/>
      <c r="D2220" s="11">
        <f>IF(C2220="","",IFERROR(INDEX(Levels!$A$2:$A$30,MATCH(C2220,Levels!$B$2:$B$30,0)),""))</f>
        <v/>
      </c>
      <c r="E2220" s="10">
        <f>IF(B2220="","",IFERROR(INDEX(Roster!$A$2:$A$600,MATCH(B2220,Roster!$E$2:$E$600,0)),""))</f>
        <v/>
      </c>
      <c r="F2220" s="10">
        <f>IF(C2220="","",IFERROR(INDEX(Levels!$C$2:$C$30,MATCH(C2220,Levels!$B$2:$B$30,0)),""))</f>
        <v/>
      </c>
      <c r="G2220" s="6" t="n"/>
      <c r="H2220" s="10">
        <f>IF(AND(B2220="",C2220=""),"",IF(G2220&lt;&gt;"","Void",IF(OR(B2220="",E2220=""),"Needs child",IF(D2220="","Needs level","OK"))))</f>
        <v/>
      </c>
    </row>
    <row r="2221">
      <c r="A2221" s="6" t="n"/>
      <c r="B2221" s="6" t="n"/>
      <c r="C2221" s="6" t="n"/>
      <c r="D2221" s="11">
        <f>IF(C2221="","",IFERROR(INDEX(Levels!$A$2:$A$30,MATCH(C2221,Levels!$B$2:$B$30,0)),""))</f>
        <v/>
      </c>
      <c r="E2221" s="10">
        <f>IF(B2221="","",IFERROR(INDEX(Roster!$A$2:$A$600,MATCH(B2221,Roster!$E$2:$E$600,0)),""))</f>
        <v/>
      </c>
      <c r="F2221" s="10">
        <f>IF(C2221="","",IFERROR(INDEX(Levels!$C$2:$C$30,MATCH(C2221,Levels!$B$2:$B$30,0)),""))</f>
        <v/>
      </c>
      <c r="G2221" s="6" t="n"/>
      <c r="H2221" s="10">
        <f>IF(AND(B2221="",C2221=""),"",IF(G2221&lt;&gt;"","Void",IF(OR(B2221="",E2221=""),"Needs child",IF(D2221="","Needs level","OK"))))</f>
        <v/>
      </c>
    </row>
    <row r="2222">
      <c r="A2222" s="6" t="n"/>
      <c r="B2222" s="6" t="n"/>
      <c r="C2222" s="6" t="n"/>
      <c r="D2222" s="11">
        <f>IF(C2222="","",IFERROR(INDEX(Levels!$A$2:$A$30,MATCH(C2222,Levels!$B$2:$B$30,0)),""))</f>
        <v/>
      </c>
      <c r="E2222" s="10">
        <f>IF(B2222="","",IFERROR(INDEX(Roster!$A$2:$A$600,MATCH(B2222,Roster!$E$2:$E$600,0)),""))</f>
        <v/>
      </c>
      <c r="F2222" s="10">
        <f>IF(C2222="","",IFERROR(INDEX(Levels!$C$2:$C$30,MATCH(C2222,Levels!$B$2:$B$30,0)),""))</f>
        <v/>
      </c>
      <c r="G2222" s="6" t="n"/>
      <c r="H2222" s="10">
        <f>IF(AND(B2222="",C2222=""),"",IF(G2222&lt;&gt;"","Void",IF(OR(B2222="",E2222=""),"Needs child",IF(D2222="","Needs level","OK"))))</f>
        <v/>
      </c>
    </row>
    <row r="2223">
      <c r="A2223" s="6" t="n"/>
      <c r="B2223" s="6" t="n"/>
      <c r="C2223" s="6" t="n"/>
      <c r="D2223" s="11">
        <f>IF(C2223="","",IFERROR(INDEX(Levels!$A$2:$A$30,MATCH(C2223,Levels!$B$2:$B$30,0)),""))</f>
        <v/>
      </c>
      <c r="E2223" s="10">
        <f>IF(B2223="","",IFERROR(INDEX(Roster!$A$2:$A$600,MATCH(B2223,Roster!$E$2:$E$600,0)),""))</f>
        <v/>
      </c>
      <c r="F2223" s="10">
        <f>IF(C2223="","",IFERROR(INDEX(Levels!$C$2:$C$30,MATCH(C2223,Levels!$B$2:$B$30,0)),""))</f>
        <v/>
      </c>
      <c r="G2223" s="6" t="n"/>
      <c r="H2223" s="10">
        <f>IF(AND(B2223="",C2223=""),"",IF(G2223&lt;&gt;"","Void",IF(OR(B2223="",E2223=""),"Needs child",IF(D2223="","Needs level","OK"))))</f>
        <v/>
      </c>
    </row>
    <row r="2224">
      <c r="A2224" s="6" t="n"/>
      <c r="B2224" s="6" t="n"/>
      <c r="C2224" s="6" t="n"/>
      <c r="D2224" s="11">
        <f>IF(C2224="","",IFERROR(INDEX(Levels!$A$2:$A$30,MATCH(C2224,Levels!$B$2:$B$30,0)),""))</f>
        <v/>
      </c>
      <c r="E2224" s="10">
        <f>IF(B2224="","",IFERROR(INDEX(Roster!$A$2:$A$600,MATCH(B2224,Roster!$E$2:$E$600,0)),""))</f>
        <v/>
      </c>
      <c r="F2224" s="10">
        <f>IF(C2224="","",IFERROR(INDEX(Levels!$C$2:$C$30,MATCH(C2224,Levels!$B$2:$B$30,0)),""))</f>
        <v/>
      </c>
      <c r="G2224" s="6" t="n"/>
      <c r="H2224" s="10">
        <f>IF(AND(B2224="",C2224=""),"",IF(G2224&lt;&gt;"","Void",IF(OR(B2224="",E2224=""),"Needs child",IF(D2224="","Needs level","OK"))))</f>
        <v/>
      </c>
    </row>
    <row r="2225">
      <c r="A2225" s="6" t="n"/>
      <c r="B2225" s="6" t="n"/>
      <c r="C2225" s="6" t="n"/>
      <c r="D2225" s="11">
        <f>IF(C2225="","",IFERROR(INDEX(Levels!$A$2:$A$30,MATCH(C2225,Levels!$B$2:$B$30,0)),""))</f>
        <v/>
      </c>
      <c r="E2225" s="10">
        <f>IF(B2225="","",IFERROR(INDEX(Roster!$A$2:$A$600,MATCH(B2225,Roster!$E$2:$E$600,0)),""))</f>
        <v/>
      </c>
      <c r="F2225" s="10">
        <f>IF(C2225="","",IFERROR(INDEX(Levels!$C$2:$C$30,MATCH(C2225,Levels!$B$2:$B$30,0)),""))</f>
        <v/>
      </c>
      <c r="G2225" s="6" t="n"/>
      <c r="H2225" s="10">
        <f>IF(AND(B2225="",C2225=""),"",IF(G2225&lt;&gt;"","Void",IF(OR(B2225="",E2225=""),"Needs child",IF(D2225="","Needs level","OK"))))</f>
        <v/>
      </c>
    </row>
    <row r="2226">
      <c r="A2226" s="6" t="n"/>
      <c r="B2226" s="6" t="n"/>
      <c r="C2226" s="6" t="n"/>
      <c r="D2226" s="11">
        <f>IF(C2226="","",IFERROR(INDEX(Levels!$A$2:$A$30,MATCH(C2226,Levels!$B$2:$B$30,0)),""))</f>
        <v/>
      </c>
      <c r="E2226" s="10">
        <f>IF(B2226="","",IFERROR(INDEX(Roster!$A$2:$A$600,MATCH(B2226,Roster!$E$2:$E$600,0)),""))</f>
        <v/>
      </c>
      <c r="F2226" s="10">
        <f>IF(C2226="","",IFERROR(INDEX(Levels!$C$2:$C$30,MATCH(C2226,Levels!$B$2:$B$30,0)),""))</f>
        <v/>
      </c>
      <c r="G2226" s="6" t="n"/>
      <c r="H2226" s="10">
        <f>IF(AND(B2226="",C2226=""),"",IF(G2226&lt;&gt;"","Void",IF(OR(B2226="",E2226=""),"Needs child",IF(D2226="","Needs level","OK"))))</f>
        <v/>
      </c>
    </row>
    <row r="2227">
      <c r="A2227" s="6" t="n"/>
      <c r="B2227" s="6" t="n"/>
      <c r="C2227" s="6" t="n"/>
      <c r="D2227" s="11">
        <f>IF(C2227="","",IFERROR(INDEX(Levels!$A$2:$A$30,MATCH(C2227,Levels!$B$2:$B$30,0)),""))</f>
        <v/>
      </c>
      <c r="E2227" s="10">
        <f>IF(B2227="","",IFERROR(INDEX(Roster!$A$2:$A$600,MATCH(B2227,Roster!$E$2:$E$600,0)),""))</f>
        <v/>
      </c>
      <c r="F2227" s="10">
        <f>IF(C2227="","",IFERROR(INDEX(Levels!$C$2:$C$30,MATCH(C2227,Levels!$B$2:$B$30,0)),""))</f>
        <v/>
      </c>
      <c r="G2227" s="6" t="n"/>
      <c r="H2227" s="10">
        <f>IF(AND(B2227="",C2227=""),"",IF(G2227&lt;&gt;"","Void",IF(OR(B2227="",E2227=""),"Needs child",IF(D2227="","Needs level","OK"))))</f>
        <v/>
      </c>
    </row>
    <row r="2228">
      <c r="A2228" s="6" t="n"/>
      <c r="B2228" s="6" t="n"/>
      <c r="C2228" s="6" t="n"/>
      <c r="D2228" s="11">
        <f>IF(C2228="","",IFERROR(INDEX(Levels!$A$2:$A$30,MATCH(C2228,Levels!$B$2:$B$30,0)),""))</f>
        <v/>
      </c>
      <c r="E2228" s="10">
        <f>IF(B2228="","",IFERROR(INDEX(Roster!$A$2:$A$600,MATCH(B2228,Roster!$E$2:$E$600,0)),""))</f>
        <v/>
      </c>
      <c r="F2228" s="10">
        <f>IF(C2228="","",IFERROR(INDEX(Levels!$C$2:$C$30,MATCH(C2228,Levels!$B$2:$B$30,0)),""))</f>
        <v/>
      </c>
      <c r="G2228" s="6" t="n"/>
      <c r="H2228" s="10">
        <f>IF(AND(B2228="",C2228=""),"",IF(G2228&lt;&gt;"","Void",IF(OR(B2228="",E2228=""),"Needs child",IF(D2228="","Needs level","OK"))))</f>
        <v/>
      </c>
    </row>
    <row r="2229">
      <c r="A2229" s="6" t="n"/>
      <c r="B2229" s="6" t="n"/>
      <c r="C2229" s="6" t="n"/>
      <c r="D2229" s="11">
        <f>IF(C2229="","",IFERROR(INDEX(Levels!$A$2:$A$30,MATCH(C2229,Levels!$B$2:$B$30,0)),""))</f>
        <v/>
      </c>
      <c r="E2229" s="10">
        <f>IF(B2229="","",IFERROR(INDEX(Roster!$A$2:$A$600,MATCH(B2229,Roster!$E$2:$E$600,0)),""))</f>
        <v/>
      </c>
      <c r="F2229" s="10">
        <f>IF(C2229="","",IFERROR(INDEX(Levels!$C$2:$C$30,MATCH(C2229,Levels!$B$2:$B$30,0)),""))</f>
        <v/>
      </c>
      <c r="G2229" s="6" t="n"/>
      <c r="H2229" s="10">
        <f>IF(AND(B2229="",C2229=""),"",IF(G2229&lt;&gt;"","Void",IF(OR(B2229="",E2229=""),"Needs child",IF(D2229="","Needs level","OK"))))</f>
        <v/>
      </c>
    </row>
    <row r="2230">
      <c r="A2230" s="6" t="n"/>
      <c r="B2230" s="6" t="n"/>
      <c r="C2230" s="6" t="n"/>
      <c r="D2230" s="11">
        <f>IF(C2230="","",IFERROR(INDEX(Levels!$A$2:$A$30,MATCH(C2230,Levels!$B$2:$B$30,0)),""))</f>
        <v/>
      </c>
      <c r="E2230" s="10">
        <f>IF(B2230="","",IFERROR(INDEX(Roster!$A$2:$A$600,MATCH(B2230,Roster!$E$2:$E$600,0)),""))</f>
        <v/>
      </c>
      <c r="F2230" s="10">
        <f>IF(C2230="","",IFERROR(INDEX(Levels!$C$2:$C$30,MATCH(C2230,Levels!$B$2:$B$30,0)),""))</f>
        <v/>
      </c>
      <c r="G2230" s="6" t="n"/>
      <c r="H2230" s="10">
        <f>IF(AND(B2230="",C2230=""),"",IF(G2230&lt;&gt;"","Void",IF(OR(B2230="",E2230=""),"Needs child",IF(D2230="","Needs level","OK"))))</f>
        <v/>
      </c>
    </row>
    <row r="2231">
      <c r="A2231" s="6" t="n"/>
      <c r="B2231" s="6" t="n"/>
      <c r="C2231" s="6" t="n"/>
      <c r="D2231" s="11">
        <f>IF(C2231="","",IFERROR(INDEX(Levels!$A$2:$A$30,MATCH(C2231,Levels!$B$2:$B$30,0)),""))</f>
        <v/>
      </c>
      <c r="E2231" s="10">
        <f>IF(B2231="","",IFERROR(INDEX(Roster!$A$2:$A$600,MATCH(B2231,Roster!$E$2:$E$600,0)),""))</f>
        <v/>
      </c>
      <c r="F2231" s="10">
        <f>IF(C2231="","",IFERROR(INDEX(Levels!$C$2:$C$30,MATCH(C2231,Levels!$B$2:$B$30,0)),""))</f>
        <v/>
      </c>
      <c r="G2231" s="6" t="n"/>
      <c r="H2231" s="10">
        <f>IF(AND(B2231="",C2231=""),"",IF(G2231&lt;&gt;"","Void",IF(OR(B2231="",E2231=""),"Needs child",IF(D2231="","Needs level","OK"))))</f>
        <v/>
      </c>
    </row>
    <row r="2232">
      <c r="A2232" s="6" t="n"/>
      <c r="B2232" s="6" t="n"/>
      <c r="C2232" s="6" t="n"/>
      <c r="D2232" s="11">
        <f>IF(C2232="","",IFERROR(INDEX(Levels!$A$2:$A$30,MATCH(C2232,Levels!$B$2:$B$30,0)),""))</f>
        <v/>
      </c>
      <c r="E2232" s="10">
        <f>IF(B2232="","",IFERROR(INDEX(Roster!$A$2:$A$600,MATCH(B2232,Roster!$E$2:$E$600,0)),""))</f>
        <v/>
      </c>
      <c r="F2232" s="10">
        <f>IF(C2232="","",IFERROR(INDEX(Levels!$C$2:$C$30,MATCH(C2232,Levels!$B$2:$B$30,0)),""))</f>
        <v/>
      </c>
      <c r="G2232" s="6" t="n"/>
      <c r="H2232" s="10">
        <f>IF(AND(B2232="",C2232=""),"",IF(G2232&lt;&gt;"","Void",IF(OR(B2232="",E2232=""),"Needs child",IF(D2232="","Needs level","OK"))))</f>
        <v/>
      </c>
    </row>
    <row r="2233">
      <c r="A2233" s="6" t="n"/>
      <c r="B2233" s="6" t="n"/>
      <c r="C2233" s="6" t="n"/>
      <c r="D2233" s="11">
        <f>IF(C2233="","",IFERROR(INDEX(Levels!$A$2:$A$30,MATCH(C2233,Levels!$B$2:$B$30,0)),""))</f>
        <v/>
      </c>
      <c r="E2233" s="10">
        <f>IF(B2233="","",IFERROR(INDEX(Roster!$A$2:$A$600,MATCH(B2233,Roster!$E$2:$E$600,0)),""))</f>
        <v/>
      </c>
      <c r="F2233" s="10">
        <f>IF(C2233="","",IFERROR(INDEX(Levels!$C$2:$C$30,MATCH(C2233,Levels!$B$2:$B$30,0)),""))</f>
        <v/>
      </c>
      <c r="G2233" s="6" t="n"/>
      <c r="H2233" s="10">
        <f>IF(AND(B2233="",C2233=""),"",IF(G2233&lt;&gt;"","Void",IF(OR(B2233="",E2233=""),"Needs child",IF(D2233="","Needs level","OK"))))</f>
        <v/>
      </c>
    </row>
    <row r="2234">
      <c r="A2234" s="6" t="n"/>
      <c r="B2234" s="6" t="n"/>
      <c r="C2234" s="6" t="n"/>
      <c r="D2234" s="11">
        <f>IF(C2234="","",IFERROR(INDEX(Levels!$A$2:$A$30,MATCH(C2234,Levels!$B$2:$B$30,0)),""))</f>
        <v/>
      </c>
      <c r="E2234" s="10">
        <f>IF(B2234="","",IFERROR(INDEX(Roster!$A$2:$A$600,MATCH(B2234,Roster!$E$2:$E$600,0)),""))</f>
        <v/>
      </c>
      <c r="F2234" s="10">
        <f>IF(C2234="","",IFERROR(INDEX(Levels!$C$2:$C$30,MATCH(C2234,Levels!$B$2:$B$30,0)),""))</f>
        <v/>
      </c>
      <c r="G2234" s="6" t="n"/>
      <c r="H2234" s="10">
        <f>IF(AND(B2234="",C2234=""),"",IF(G2234&lt;&gt;"","Void",IF(OR(B2234="",E2234=""),"Needs child",IF(D2234="","Needs level","OK"))))</f>
        <v/>
      </c>
    </row>
    <row r="2235">
      <c r="A2235" s="6" t="n"/>
      <c r="B2235" s="6" t="n"/>
      <c r="C2235" s="6" t="n"/>
      <c r="D2235" s="11">
        <f>IF(C2235="","",IFERROR(INDEX(Levels!$A$2:$A$30,MATCH(C2235,Levels!$B$2:$B$30,0)),""))</f>
        <v/>
      </c>
      <c r="E2235" s="10">
        <f>IF(B2235="","",IFERROR(INDEX(Roster!$A$2:$A$600,MATCH(B2235,Roster!$E$2:$E$600,0)),""))</f>
        <v/>
      </c>
      <c r="F2235" s="10">
        <f>IF(C2235="","",IFERROR(INDEX(Levels!$C$2:$C$30,MATCH(C2235,Levels!$B$2:$B$30,0)),""))</f>
        <v/>
      </c>
      <c r="G2235" s="6" t="n"/>
      <c r="H2235" s="10">
        <f>IF(AND(B2235="",C2235=""),"",IF(G2235&lt;&gt;"","Void",IF(OR(B2235="",E2235=""),"Needs child",IF(D2235="","Needs level","OK"))))</f>
        <v/>
      </c>
    </row>
    <row r="2236">
      <c r="A2236" s="6" t="n"/>
      <c r="B2236" s="6" t="n"/>
      <c r="C2236" s="6" t="n"/>
      <c r="D2236" s="11">
        <f>IF(C2236="","",IFERROR(INDEX(Levels!$A$2:$A$30,MATCH(C2236,Levels!$B$2:$B$30,0)),""))</f>
        <v/>
      </c>
      <c r="E2236" s="10">
        <f>IF(B2236="","",IFERROR(INDEX(Roster!$A$2:$A$600,MATCH(B2236,Roster!$E$2:$E$600,0)),""))</f>
        <v/>
      </c>
      <c r="F2236" s="10">
        <f>IF(C2236="","",IFERROR(INDEX(Levels!$C$2:$C$30,MATCH(C2236,Levels!$B$2:$B$30,0)),""))</f>
        <v/>
      </c>
      <c r="G2236" s="6" t="n"/>
      <c r="H2236" s="10">
        <f>IF(AND(B2236="",C2236=""),"",IF(G2236&lt;&gt;"","Void",IF(OR(B2236="",E2236=""),"Needs child",IF(D2236="","Needs level","OK"))))</f>
        <v/>
      </c>
    </row>
    <row r="2237">
      <c r="A2237" s="6" t="n"/>
      <c r="B2237" s="6" t="n"/>
      <c r="C2237" s="6" t="n"/>
      <c r="D2237" s="11">
        <f>IF(C2237="","",IFERROR(INDEX(Levels!$A$2:$A$30,MATCH(C2237,Levels!$B$2:$B$30,0)),""))</f>
        <v/>
      </c>
      <c r="E2237" s="10">
        <f>IF(B2237="","",IFERROR(INDEX(Roster!$A$2:$A$600,MATCH(B2237,Roster!$E$2:$E$600,0)),""))</f>
        <v/>
      </c>
      <c r="F2237" s="10">
        <f>IF(C2237="","",IFERROR(INDEX(Levels!$C$2:$C$30,MATCH(C2237,Levels!$B$2:$B$30,0)),""))</f>
        <v/>
      </c>
      <c r="G2237" s="6" t="n"/>
      <c r="H2237" s="10">
        <f>IF(AND(B2237="",C2237=""),"",IF(G2237&lt;&gt;"","Void",IF(OR(B2237="",E2237=""),"Needs child",IF(D2237="","Needs level","OK"))))</f>
        <v/>
      </c>
    </row>
    <row r="2238">
      <c r="A2238" s="6" t="n"/>
      <c r="B2238" s="6" t="n"/>
      <c r="C2238" s="6" t="n"/>
      <c r="D2238" s="11">
        <f>IF(C2238="","",IFERROR(INDEX(Levels!$A$2:$A$30,MATCH(C2238,Levels!$B$2:$B$30,0)),""))</f>
        <v/>
      </c>
      <c r="E2238" s="10">
        <f>IF(B2238="","",IFERROR(INDEX(Roster!$A$2:$A$600,MATCH(B2238,Roster!$E$2:$E$600,0)),""))</f>
        <v/>
      </c>
      <c r="F2238" s="10">
        <f>IF(C2238="","",IFERROR(INDEX(Levels!$C$2:$C$30,MATCH(C2238,Levels!$B$2:$B$30,0)),""))</f>
        <v/>
      </c>
      <c r="G2238" s="6" t="n"/>
      <c r="H2238" s="10">
        <f>IF(AND(B2238="",C2238=""),"",IF(G2238&lt;&gt;"","Void",IF(OR(B2238="",E2238=""),"Needs child",IF(D2238="","Needs level","OK"))))</f>
        <v/>
      </c>
    </row>
    <row r="2239">
      <c r="A2239" s="6" t="n"/>
      <c r="B2239" s="6" t="n"/>
      <c r="C2239" s="6" t="n"/>
      <c r="D2239" s="11">
        <f>IF(C2239="","",IFERROR(INDEX(Levels!$A$2:$A$30,MATCH(C2239,Levels!$B$2:$B$30,0)),""))</f>
        <v/>
      </c>
      <c r="E2239" s="10">
        <f>IF(B2239="","",IFERROR(INDEX(Roster!$A$2:$A$600,MATCH(B2239,Roster!$E$2:$E$600,0)),""))</f>
        <v/>
      </c>
      <c r="F2239" s="10">
        <f>IF(C2239="","",IFERROR(INDEX(Levels!$C$2:$C$30,MATCH(C2239,Levels!$B$2:$B$30,0)),""))</f>
        <v/>
      </c>
      <c r="G2239" s="6" t="n"/>
      <c r="H2239" s="10">
        <f>IF(AND(B2239="",C2239=""),"",IF(G2239&lt;&gt;"","Void",IF(OR(B2239="",E2239=""),"Needs child",IF(D2239="","Needs level","OK"))))</f>
        <v/>
      </c>
    </row>
    <row r="2240">
      <c r="A2240" s="6" t="n"/>
      <c r="B2240" s="6" t="n"/>
      <c r="C2240" s="6" t="n"/>
      <c r="D2240" s="11">
        <f>IF(C2240="","",IFERROR(INDEX(Levels!$A$2:$A$30,MATCH(C2240,Levels!$B$2:$B$30,0)),""))</f>
        <v/>
      </c>
      <c r="E2240" s="10">
        <f>IF(B2240="","",IFERROR(INDEX(Roster!$A$2:$A$600,MATCH(B2240,Roster!$E$2:$E$600,0)),""))</f>
        <v/>
      </c>
      <c r="F2240" s="10">
        <f>IF(C2240="","",IFERROR(INDEX(Levels!$C$2:$C$30,MATCH(C2240,Levels!$B$2:$B$30,0)),""))</f>
        <v/>
      </c>
      <c r="G2240" s="6" t="n"/>
      <c r="H2240" s="10">
        <f>IF(AND(B2240="",C2240=""),"",IF(G2240&lt;&gt;"","Void",IF(OR(B2240="",E2240=""),"Needs child",IF(D2240="","Needs level","OK"))))</f>
        <v/>
      </c>
    </row>
    <row r="2241">
      <c r="A2241" s="6" t="n"/>
      <c r="B2241" s="6" t="n"/>
      <c r="C2241" s="6" t="n"/>
      <c r="D2241" s="11">
        <f>IF(C2241="","",IFERROR(INDEX(Levels!$A$2:$A$30,MATCH(C2241,Levels!$B$2:$B$30,0)),""))</f>
        <v/>
      </c>
      <c r="E2241" s="10">
        <f>IF(B2241="","",IFERROR(INDEX(Roster!$A$2:$A$600,MATCH(B2241,Roster!$E$2:$E$600,0)),""))</f>
        <v/>
      </c>
      <c r="F2241" s="10">
        <f>IF(C2241="","",IFERROR(INDEX(Levels!$C$2:$C$30,MATCH(C2241,Levels!$B$2:$B$30,0)),""))</f>
        <v/>
      </c>
      <c r="G2241" s="6" t="n"/>
      <c r="H2241" s="10">
        <f>IF(AND(B2241="",C2241=""),"",IF(G2241&lt;&gt;"","Void",IF(OR(B2241="",E2241=""),"Needs child",IF(D2241="","Needs level","OK"))))</f>
        <v/>
      </c>
    </row>
    <row r="2242">
      <c r="A2242" s="6" t="n"/>
      <c r="B2242" s="6" t="n"/>
      <c r="C2242" s="6" t="n"/>
      <c r="D2242" s="11">
        <f>IF(C2242="","",IFERROR(INDEX(Levels!$A$2:$A$30,MATCH(C2242,Levels!$B$2:$B$30,0)),""))</f>
        <v/>
      </c>
      <c r="E2242" s="10">
        <f>IF(B2242="","",IFERROR(INDEX(Roster!$A$2:$A$600,MATCH(B2242,Roster!$E$2:$E$600,0)),""))</f>
        <v/>
      </c>
      <c r="F2242" s="10">
        <f>IF(C2242="","",IFERROR(INDEX(Levels!$C$2:$C$30,MATCH(C2242,Levels!$B$2:$B$30,0)),""))</f>
        <v/>
      </c>
      <c r="G2242" s="6" t="n"/>
      <c r="H2242" s="10">
        <f>IF(AND(B2242="",C2242=""),"",IF(G2242&lt;&gt;"","Void",IF(OR(B2242="",E2242=""),"Needs child",IF(D2242="","Needs level","OK"))))</f>
        <v/>
      </c>
    </row>
    <row r="2243">
      <c r="A2243" s="6" t="n"/>
      <c r="B2243" s="6" t="n"/>
      <c r="C2243" s="6" t="n"/>
      <c r="D2243" s="11">
        <f>IF(C2243="","",IFERROR(INDEX(Levels!$A$2:$A$30,MATCH(C2243,Levels!$B$2:$B$30,0)),""))</f>
        <v/>
      </c>
      <c r="E2243" s="10">
        <f>IF(B2243="","",IFERROR(INDEX(Roster!$A$2:$A$600,MATCH(B2243,Roster!$E$2:$E$600,0)),""))</f>
        <v/>
      </c>
      <c r="F2243" s="10">
        <f>IF(C2243="","",IFERROR(INDEX(Levels!$C$2:$C$30,MATCH(C2243,Levels!$B$2:$B$30,0)),""))</f>
        <v/>
      </c>
      <c r="G2243" s="6" t="n"/>
      <c r="H2243" s="10">
        <f>IF(AND(B2243="",C2243=""),"",IF(G2243&lt;&gt;"","Void",IF(OR(B2243="",E2243=""),"Needs child",IF(D2243="","Needs level","OK"))))</f>
        <v/>
      </c>
    </row>
    <row r="2244">
      <c r="A2244" s="6" t="n"/>
      <c r="B2244" s="6" t="n"/>
      <c r="C2244" s="6" t="n"/>
      <c r="D2244" s="11">
        <f>IF(C2244="","",IFERROR(INDEX(Levels!$A$2:$A$30,MATCH(C2244,Levels!$B$2:$B$30,0)),""))</f>
        <v/>
      </c>
      <c r="E2244" s="10">
        <f>IF(B2244="","",IFERROR(INDEX(Roster!$A$2:$A$600,MATCH(B2244,Roster!$E$2:$E$600,0)),""))</f>
        <v/>
      </c>
      <c r="F2244" s="10">
        <f>IF(C2244="","",IFERROR(INDEX(Levels!$C$2:$C$30,MATCH(C2244,Levels!$B$2:$B$30,0)),""))</f>
        <v/>
      </c>
      <c r="G2244" s="6" t="n"/>
      <c r="H2244" s="10">
        <f>IF(AND(B2244="",C2244=""),"",IF(G2244&lt;&gt;"","Void",IF(OR(B2244="",E2244=""),"Needs child",IF(D2244="","Needs level","OK"))))</f>
        <v/>
      </c>
    </row>
    <row r="2245">
      <c r="A2245" s="6" t="n"/>
      <c r="B2245" s="6" t="n"/>
      <c r="C2245" s="6" t="n"/>
      <c r="D2245" s="11">
        <f>IF(C2245="","",IFERROR(INDEX(Levels!$A$2:$A$30,MATCH(C2245,Levels!$B$2:$B$30,0)),""))</f>
        <v/>
      </c>
      <c r="E2245" s="10">
        <f>IF(B2245="","",IFERROR(INDEX(Roster!$A$2:$A$600,MATCH(B2245,Roster!$E$2:$E$600,0)),""))</f>
        <v/>
      </c>
      <c r="F2245" s="10">
        <f>IF(C2245="","",IFERROR(INDEX(Levels!$C$2:$C$30,MATCH(C2245,Levels!$B$2:$B$30,0)),""))</f>
        <v/>
      </c>
      <c r="G2245" s="6" t="n"/>
      <c r="H2245" s="10">
        <f>IF(AND(B2245="",C2245=""),"",IF(G2245&lt;&gt;"","Void",IF(OR(B2245="",E2245=""),"Needs child",IF(D2245="","Needs level","OK"))))</f>
        <v/>
      </c>
    </row>
    <row r="2246">
      <c r="A2246" s="6" t="n"/>
      <c r="B2246" s="6" t="n"/>
      <c r="C2246" s="6" t="n"/>
      <c r="D2246" s="11">
        <f>IF(C2246="","",IFERROR(INDEX(Levels!$A$2:$A$30,MATCH(C2246,Levels!$B$2:$B$30,0)),""))</f>
        <v/>
      </c>
      <c r="E2246" s="10">
        <f>IF(B2246="","",IFERROR(INDEX(Roster!$A$2:$A$600,MATCH(B2246,Roster!$E$2:$E$600,0)),""))</f>
        <v/>
      </c>
      <c r="F2246" s="10">
        <f>IF(C2246="","",IFERROR(INDEX(Levels!$C$2:$C$30,MATCH(C2246,Levels!$B$2:$B$30,0)),""))</f>
        <v/>
      </c>
      <c r="G2246" s="6" t="n"/>
      <c r="H2246" s="10">
        <f>IF(AND(B2246="",C2246=""),"",IF(G2246&lt;&gt;"","Void",IF(OR(B2246="",E2246=""),"Needs child",IF(D2246="","Needs level","OK"))))</f>
        <v/>
      </c>
    </row>
    <row r="2247">
      <c r="A2247" s="6" t="n"/>
      <c r="B2247" s="6" t="n"/>
      <c r="C2247" s="6" t="n"/>
      <c r="D2247" s="11">
        <f>IF(C2247="","",IFERROR(INDEX(Levels!$A$2:$A$30,MATCH(C2247,Levels!$B$2:$B$30,0)),""))</f>
        <v/>
      </c>
      <c r="E2247" s="10">
        <f>IF(B2247="","",IFERROR(INDEX(Roster!$A$2:$A$600,MATCH(B2247,Roster!$E$2:$E$600,0)),""))</f>
        <v/>
      </c>
      <c r="F2247" s="10">
        <f>IF(C2247="","",IFERROR(INDEX(Levels!$C$2:$C$30,MATCH(C2247,Levels!$B$2:$B$30,0)),""))</f>
        <v/>
      </c>
      <c r="G2247" s="6" t="n"/>
      <c r="H2247" s="10">
        <f>IF(AND(B2247="",C2247=""),"",IF(G2247&lt;&gt;"","Void",IF(OR(B2247="",E2247=""),"Needs child",IF(D2247="","Needs level","OK"))))</f>
        <v/>
      </c>
    </row>
    <row r="2248">
      <c r="A2248" s="6" t="n"/>
      <c r="B2248" s="6" t="n"/>
      <c r="C2248" s="6" t="n"/>
      <c r="D2248" s="11">
        <f>IF(C2248="","",IFERROR(INDEX(Levels!$A$2:$A$30,MATCH(C2248,Levels!$B$2:$B$30,0)),""))</f>
        <v/>
      </c>
      <c r="E2248" s="10">
        <f>IF(B2248="","",IFERROR(INDEX(Roster!$A$2:$A$600,MATCH(B2248,Roster!$E$2:$E$600,0)),""))</f>
        <v/>
      </c>
      <c r="F2248" s="10">
        <f>IF(C2248="","",IFERROR(INDEX(Levels!$C$2:$C$30,MATCH(C2248,Levels!$B$2:$B$30,0)),""))</f>
        <v/>
      </c>
      <c r="G2248" s="6" t="n"/>
      <c r="H2248" s="10">
        <f>IF(AND(B2248="",C2248=""),"",IF(G2248&lt;&gt;"","Void",IF(OR(B2248="",E2248=""),"Needs child",IF(D2248="","Needs level","OK"))))</f>
        <v/>
      </c>
    </row>
    <row r="2249">
      <c r="A2249" s="6" t="n"/>
      <c r="B2249" s="6" t="n"/>
      <c r="C2249" s="6" t="n"/>
      <c r="D2249" s="11">
        <f>IF(C2249="","",IFERROR(INDEX(Levels!$A$2:$A$30,MATCH(C2249,Levels!$B$2:$B$30,0)),""))</f>
        <v/>
      </c>
      <c r="E2249" s="10">
        <f>IF(B2249="","",IFERROR(INDEX(Roster!$A$2:$A$600,MATCH(B2249,Roster!$E$2:$E$600,0)),""))</f>
        <v/>
      </c>
      <c r="F2249" s="10">
        <f>IF(C2249="","",IFERROR(INDEX(Levels!$C$2:$C$30,MATCH(C2249,Levels!$B$2:$B$30,0)),""))</f>
        <v/>
      </c>
      <c r="G2249" s="6" t="n"/>
      <c r="H2249" s="10">
        <f>IF(AND(B2249="",C2249=""),"",IF(G2249&lt;&gt;"","Void",IF(OR(B2249="",E2249=""),"Needs child",IF(D2249="","Needs level","OK"))))</f>
        <v/>
      </c>
    </row>
    <row r="2250">
      <c r="A2250" s="6" t="n"/>
      <c r="B2250" s="6" t="n"/>
      <c r="C2250" s="6" t="n"/>
      <c r="D2250" s="11">
        <f>IF(C2250="","",IFERROR(INDEX(Levels!$A$2:$A$30,MATCH(C2250,Levels!$B$2:$B$30,0)),""))</f>
        <v/>
      </c>
      <c r="E2250" s="10">
        <f>IF(B2250="","",IFERROR(INDEX(Roster!$A$2:$A$600,MATCH(B2250,Roster!$E$2:$E$600,0)),""))</f>
        <v/>
      </c>
      <c r="F2250" s="10">
        <f>IF(C2250="","",IFERROR(INDEX(Levels!$C$2:$C$30,MATCH(C2250,Levels!$B$2:$B$30,0)),""))</f>
        <v/>
      </c>
      <c r="G2250" s="6" t="n"/>
      <c r="H2250" s="10">
        <f>IF(AND(B2250="",C2250=""),"",IF(G2250&lt;&gt;"","Void",IF(OR(B2250="",E2250=""),"Needs child",IF(D2250="","Needs level","OK"))))</f>
        <v/>
      </c>
    </row>
    <row r="2251">
      <c r="A2251" s="6" t="n"/>
      <c r="B2251" s="6" t="n"/>
      <c r="C2251" s="6" t="n"/>
      <c r="D2251" s="11">
        <f>IF(C2251="","",IFERROR(INDEX(Levels!$A$2:$A$30,MATCH(C2251,Levels!$B$2:$B$30,0)),""))</f>
        <v/>
      </c>
      <c r="E2251" s="10">
        <f>IF(B2251="","",IFERROR(INDEX(Roster!$A$2:$A$600,MATCH(B2251,Roster!$E$2:$E$600,0)),""))</f>
        <v/>
      </c>
      <c r="F2251" s="10">
        <f>IF(C2251="","",IFERROR(INDEX(Levels!$C$2:$C$30,MATCH(C2251,Levels!$B$2:$B$30,0)),""))</f>
        <v/>
      </c>
      <c r="G2251" s="6" t="n"/>
      <c r="H2251" s="10">
        <f>IF(AND(B2251="",C2251=""),"",IF(G2251&lt;&gt;"","Void",IF(OR(B2251="",E2251=""),"Needs child",IF(D2251="","Needs level","OK"))))</f>
        <v/>
      </c>
    </row>
    <row r="2252">
      <c r="A2252" s="6" t="n"/>
      <c r="B2252" s="6" t="n"/>
      <c r="C2252" s="6" t="n"/>
      <c r="D2252" s="11">
        <f>IF(C2252="","",IFERROR(INDEX(Levels!$A$2:$A$30,MATCH(C2252,Levels!$B$2:$B$30,0)),""))</f>
        <v/>
      </c>
      <c r="E2252" s="10">
        <f>IF(B2252="","",IFERROR(INDEX(Roster!$A$2:$A$600,MATCH(B2252,Roster!$E$2:$E$600,0)),""))</f>
        <v/>
      </c>
      <c r="F2252" s="10">
        <f>IF(C2252="","",IFERROR(INDEX(Levels!$C$2:$C$30,MATCH(C2252,Levels!$B$2:$B$30,0)),""))</f>
        <v/>
      </c>
      <c r="G2252" s="6" t="n"/>
      <c r="H2252" s="10">
        <f>IF(AND(B2252="",C2252=""),"",IF(G2252&lt;&gt;"","Void",IF(OR(B2252="",E2252=""),"Needs child",IF(D2252="","Needs level","OK"))))</f>
        <v/>
      </c>
    </row>
    <row r="2253">
      <c r="A2253" s="6" t="n"/>
      <c r="B2253" s="6" t="n"/>
      <c r="C2253" s="6" t="n"/>
      <c r="D2253" s="11">
        <f>IF(C2253="","",IFERROR(INDEX(Levels!$A$2:$A$30,MATCH(C2253,Levels!$B$2:$B$30,0)),""))</f>
        <v/>
      </c>
      <c r="E2253" s="10">
        <f>IF(B2253="","",IFERROR(INDEX(Roster!$A$2:$A$600,MATCH(B2253,Roster!$E$2:$E$600,0)),""))</f>
        <v/>
      </c>
      <c r="F2253" s="10">
        <f>IF(C2253="","",IFERROR(INDEX(Levels!$C$2:$C$30,MATCH(C2253,Levels!$B$2:$B$30,0)),""))</f>
        <v/>
      </c>
      <c r="G2253" s="6" t="n"/>
      <c r="H2253" s="10">
        <f>IF(AND(B2253="",C2253=""),"",IF(G2253&lt;&gt;"","Void",IF(OR(B2253="",E2253=""),"Needs child",IF(D2253="","Needs level","OK"))))</f>
        <v/>
      </c>
    </row>
    <row r="2254">
      <c r="A2254" s="6" t="n"/>
      <c r="B2254" s="6" t="n"/>
      <c r="C2254" s="6" t="n"/>
      <c r="D2254" s="11">
        <f>IF(C2254="","",IFERROR(INDEX(Levels!$A$2:$A$30,MATCH(C2254,Levels!$B$2:$B$30,0)),""))</f>
        <v/>
      </c>
      <c r="E2254" s="10">
        <f>IF(B2254="","",IFERROR(INDEX(Roster!$A$2:$A$600,MATCH(B2254,Roster!$E$2:$E$600,0)),""))</f>
        <v/>
      </c>
      <c r="F2254" s="10">
        <f>IF(C2254="","",IFERROR(INDEX(Levels!$C$2:$C$30,MATCH(C2254,Levels!$B$2:$B$30,0)),""))</f>
        <v/>
      </c>
      <c r="G2254" s="6" t="n"/>
      <c r="H2254" s="10">
        <f>IF(AND(B2254="",C2254=""),"",IF(G2254&lt;&gt;"","Void",IF(OR(B2254="",E2254=""),"Needs child",IF(D2254="","Needs level","OK"))))</f>
        <v/>
      </c>
    </row>
    <row r="2255">
      <c r="A2255" s="6" t="n"/>
      <c r="B2255" s="6" t="n"/>
      <c r="C2255" s="6" t="n"/>
      <c r="D2255" s="11">
        <f>IF(C2255="","",IFERROR(INDEX(Levels!$A$2:$A$30,MATCH(C2255,Levels!$B$2:$B$30,0)),""))</f>
        <v/>
      </c>
      <c r="E2255" s="10">
        <f>IF(B2255="","",IFERROR(INDEX(Roster!$A$2:$A$600,MATCH(B2255,Roster!$E$2:$E$600,0)),""))</f>
        <v/>
      </c>
      <c r="F2255" s="10">
        <f>IF(C2255="","",IFERROR(INDEX(Levels!$C$2:$C$30,MATCH(C2255,Levels!$B$2:$B$30,0)),""))</f>
        <v/>
      </c>
      <c r="G2255" s="6" t="n"/>
      <c r="H2255" s="10">
        <f>IF(AND(B2255="",C2255=""),"",IF(G2255&lt;&gt;"","Void",IF(OR(B2255="",E2255=""),"Needs child",IF(D2255="","Needs level","OK"))))</f>
        <v/>
      </c>
    </row>
    <row r="2256">
      <c r="A2256" s="6" t="n"/>
      <c r="B2256" s="6" t="n"/>
      <c r="C2256" s="6" t="n"/>
      <c r="D2256" s="11">
        <f>IF(C2256="","",IFERROR(INDEX(Levels!$A$2:$A$30,MATCH(C2256,Levels!$B$2:$B$30,0)),""))</f>
        <v/>
      </c>
      <c r="E2256" s="10">
        <f>IF(B2256="","",IFERROR(INDEX(Roster!$A$2:$A$600,MATCH(B2256,Roster!$E$2:$E$600,0)),""))</f>
        <v/>
      </c>
      <c r="F2256" s="10">
        <f>IF(C2256="","",IFERROR(INDEX(Levels!$C$2:$C$30,MATCH(C2256,Levels!$B$2:$B$30,0)),""))</f>
        <v/>
      </c>
      <c r="G2256" s="6" t="n"/>
      <c r="H2256" s="10">
        <f>IF(AND(B2256="",C2256=""),"",IF(G2256&lt;&gt;"","Void",IF(OR(B2256="",E2256=""),"Needs child",IF(D2256="","Needs level","OK"))))</f>
        <v/>
      </c>
    </row>
    <row r="2257">
      <c r="A2257" s="6" t="n"/>
      <c r="B2257" s="6" t="n"/>
      <c r="C2257" s="6" t="n"/>
      <c r="D2257" s="11">
        <f>IF(C2257="","",IFERROR(INDEX(Levels!$A$2:$A$30,MATCH(C2257,Levels!$B$2:$B$30,0)),""))</f>
        <v/>
      </c>
      <c r="E2257" s="10">
        <f>IF(B2257="","",IFERROR(INDEX(Roster!$A$2:$A$600,MATCH(B2257,Roster!$E$2:$E$600,0)),""))</f>
        <v/>
      </c>
      <c r="F2257" s="10">
        <f>IF(C2257="","",IFERROR(INDEX(Levels!$C$2:$C$30,MATCH(C2257,Levels!$B$2:$B$30,0)),""))</f>
        <v/>
      </c>
      <c r="G2257" s="6" t="n"/>
      <c r="H2257" s="10">
        <f>IF(AND(B2257="",C2257=""),"",IF(G2257&lt;&gt;"","Void",IF(OR(B2257="",E2257=""),"Needs child",IF(D2257="","Needs level","OK"))))</f>
        <v/>
      </c>
    </row>
    <row r="2258">
      <c r="A2258" s="6" t="n"/>
      <c r="B2258" s="6" t="n"/>
      <c r="C2258" s="6" t="n"/>
      <c r="D2258" s="11">
        <f>IF(C2258="","",IFERROR(INDEX(Levels!$A$2:$A$30,MATCH(C2258,Levels!$B$2:$B$30,0)),""))</f>
        <v/>
      </c>
      <c r="E2258" s="10">
        <f>IF(B2258="","",IFERROR(INDEX(Roster!$A$2:$A$600,MATCH(B2258,Roster!$E$2:$E$600,0)),""))</f>
        <v/>
      </c>
      <c r="F2258" s="10">
        <f>IF(C2258="","",IFERROR(INDEX(Levels!$C$2:$C$30,MATCH(C2258,Levels!$B$2:$B$30,0)),""))</f>
        <v/>
      </c>
      <c r="G2258" s="6" t="n"/>
      <c r="H2258" s="10">
        <f>IF(AND(B2258="",C2258=""),"",IF(G2258&lt;&gt;"","Void",IF(OR(B2258="",E2258=""),"Needs child",IF(D2258="","Needs level","OK"))))</f>
        <v/>
      </c>
    </row>
    <row r="2259">
      <c r="A2259" s="6" t="n"/>
      <c r="B2259" s="6" t="n"/>
      <c r="C2259" s="6" t="n"/>
      <c r="D2259" s="11">
        <f>IF(C2259="","",IFERROR(INDEX(Levels!$A$2:$A$30,MATCH(C2259,Levels!$B$2:$B$30,0)),""))</f>
        <v/>
      </c>
      <c r="E2259" s="10">
        <f>IF(B2259="","",IFERROR(INDEX(Roster!$A$2:$A$600,MATCH(B2259,Roster!$E$2:$E$600,0)),""))</f>
        <v/>
      </c>
      <c r="F2259" s="10">
        <f>IF(C2259="","",IFERROR(INDEX(Levels!$C$2:$C$30,MATCH(C2259,Levels!$B$2:$B$30,0)),""))</f>
        <v/>
      </c>
      <c r="G2259" s="6" t="n"/>
      <c r="H2259" s="10">
        <f>IF(AND(B2259="",C2259=""),"",IF(G2259&lt;&gt;"","Void",IF(OR(B2259="",E2259=""),"Needs child",IF(D2259="","Needs level","OK"))))</f>
        <v/>
      </c>
    </row>
    <row r="2260">
      <c r="A2260" s="6" t="n"/>
      <c r="B2260" s="6" t="n"/>
      <c r="C2260" s="6" t="n"/>
      <c r="D2260" s="11">
        <f>IF(C2260="","",IFERROR(INDEX(Levels!$A$2:$A$30,MATCH(C2260,Levels!$B$2:$B$30,0)),""))</f>
        <v/>
      </c>
      <c r="E2260" s="10">
        <f>IF(B2260="","",IFERROR(INDEX(Roster!$A$2:$A$600,MATCH(B2260,Roster!$E$2:$E$600,0)),""))</f>
        <v/>
      </c>
      <c r="F2260" s="10">
        <f>IF(C2260="","",IFERROR(INDEX(Levels!$C$2:$C$30,MATCH(C2260,Levels!$B$2:$B$30,0)),""))</f>
        <v/>
      </c>
      <c r="G2260" s="6" t="n"/>
      <c r="H2260" s="10">
        <f>IF(AND(B2260="",C2260=""),"",IF(G2260&lt;&gt;"","Void",IF(OR(B2260="",E2260=""),"Needs child",IF(D2260="","Needs level","OK"))))</f>
        <v/>
      </c>
    </row>
    <row r="2261">
      <c r="A2261" s="6" t="n"/>
      <c r="B2261" s="6" t="n"/>
      <c r="C2261" s="6" t="n"/>
      <c r="D2261" s="11">
        <f>IF(C2261="","",IFERROR(INDEX(Levels!$A$2:$A$30,MATCH(C2261,Levels!$B$2:$B$30,0)),""))</f>
        <v/>
      </c>
      <c r="E2261" s="10">
        <f>IF(B2261="","",IFERROR(INDEX(Roster!$A$2:$A$600,MATCH(B2261,Roster!$E$2:$E$600,0)),""))</f>
        <v/>
      </c>
      <c r="F2261" s="10">
        <f>IF(C2261="","",IFERROR(INDEX(Levels!$C$2:$C$30,MATCH(C2261,Levels!$B$2:$B$30,0)),""))</f>
        <v/>
      </c>
      <c r="G2261" s="6" t="n"/>
      <c r="H2261" s="10">
        <f>IF(AND(B2261="",C2261=""),"",IF(G2261&lt;&gt;"","Void",IF(OR(B2261="",E2261=""),"Needs child",IF(D2261="","Needs level","OK"))))</f>
        <v/>
      </c>
    </row>
    <row r="2262">
      <c r="A2262" s="6" t="n"/>
      <c r="B2262" s="6" t="n"/>
      <c r="C2262" s="6" t="n"/>
      <c r="D2262" s="11">
        <f>IF(C2262="","",IFERROR(INDEX(Levels!$A$2:$A$30,MATCH(C2262,Levels!$B$2:$B$30,0)),""))</f>
        <v/>
      </c>
      <c r="E2262" s="10">
        <f>IF(B2262="","",IFERROR(INDEX(Roster!$A$2:$A$600,MATCH(B2262,Roster!$E$2:$E$600,0)),""))</f>
        <v/>
      </c>
      <c r="F2262" s="10">
        <f>IF(C2262="","",IFERROR(INDEX(Levels!$C$2:$C$30,MATCH(C2262,Levels!$B$2:$B$30,0)),""))</f>
        <v/>
      </c>
      <c r="G2262" s="6" t="n"/>
      <c r="H2262" s="10">
        <f>IF(AND(B2262="",C2262=""),"",IF(G2262&lt;&gt;"","Void",IF(OR(B2262="",E2262=""),"Needs child",IF(D2262="","Needs level","OK"))))</f>
        <v/>
      </c>
    </row>
    <row r="2263">
      <c r="A2263" s="6" t="n"/>
      <c r="B2263" s="6" t="n"/>
      <c r="C2263" s="6" t="n"/>
      <c r="D2263" s="11">
        <f>IF(C2263="","",IFERROR(INDEX(Levels!$A$2:$A$30,MATCH(C2263,Levels!$B$2:$B$30,0)),""))</f>
        <v/>
      </c>
      <c r="E2263" s="10">
        <f>IF(B2263="","",IFERROR(INDEX(Roster!$A$2:$A$600,MATCH(B2263,Roster!$E$2:$E$600,0)),""))</f>
        <v/>
      </c>
      <c r="F2263" s="10">
        <f>IF(C2263="","",IFERROR(INDEX(Levels!$C$2:$C$30,MATCH(C2263,Levels!$B$2:$B$30,0)),""))</f>
        <v/>
      </c>
      <c r="G2263" s="6" t="n"/>
      <c r="H2263" s="10">
        <f>IF(AND(B2263="",C2263=""),"",IF(G2263&lt;&gt;"","Void",IF(OR(B2263="",E2263=""),"Needs child",IF(D2263="","Needs level","OK"))))</f>
        <v/>
      </c>
    </row>
    <row r="2264">
      <c r="A2264" s="6" t="n"/>
      <c r="B2264" s="6" t="n"/>
      <c r="C2264" s="6" t="n"/>
      <c r="D2264" s="11">
        <f>IF(C2264="","",IFERROR(INDEX(Levels!$A$2:$A$30,MATCH(C2264,Levels!$B$2:$B$30,0)),""))</f>
        <v/>
      </c>
      <c r="E2264" s="10">
        <f>IF(B2264="","",IFERROR(INDEX(Roster!$A$2:$A$600,MATCH(B2264,Roster!$E$2:$E$600,0)),""))</f>
        <v/>
      </c>
      <c r="F2264" s="10">
        <f>IF(C2264="","",IFERROR(INDEX(Levels!$C$2:$C$30,MATCH(C2264,Levels!$B$2:$B$30,0)),""))</f>
        <v/>
      </c>
      <c r="G2264" s="6" t="n"/>
      <c r="H2264" s="10">
        <f>IF(AND(B2264="",C2264=""),"",IF(G2264&lt;&gt;"","Void",IF(OR(B2264="",E2264=""),"Needs child",IF(D2264="","Needs level","OK"))))</f>
        <v/>
      </c>
    </row>
    <row r="2265">
      <c r="A2265" s="6" t="n"/>
      <c r="B2265" s="6" t="n"/>
      <c r="C2265" s="6" t="n"/>
      <c r="D2265" s="11">
        <f>IF(C2265="","",IFERROR(INDEX(Levels!$A$2:$A$30,MATCH(C2265,Levels!$B$2:$B$30,0)),""))</f>
        <v/>
      </c>
      <c r="E2265" s="10">
        <f>IF(B2265="","",IFERROR(INDEX(Roster!$A$2:$A$600,MATCH(B2265,Roster!$E$2:$E$600,0)),""))</f>
        <v/>
      </c>
      <c r="F2265" s="10">
        <f>IF(C2265="","",IFERROR(INDEX(Levels!$C$2:$C$30,MATCH(C2265,Levels!$B$2:$B$30,0)),""))</f>
        <v/>
      </c>
      <c r="G2265" s="6" t="n"/>
      <c r="H2265" s="10">
        <f>IF(AND(B2265="",C2265=""),"",IF(G2265&lt;&gt;"","Void",IF(OR(B2265="",E2265=""),"Needs child",IF(D2265="","Needs level","OK"))))</f>
        <v/>
      </c>
    </row>
    <row r="2266">
      <c r="A2266" s="6" t="n"/>
      <c r="B2266" s="6" t="n"/>
      <c r="C2266" s="6" t="n"/>
      <c r="D2266" s="11">
        <f>IF(C2266="","",IFERROR(INDEX(Levels!$A$2:$A$30,MATCH(C2266,Levels!$B$2:$B$30,0)),""))</f>
        <v/>
      </c>
      <c r="E2266" s="10">
        <f>IF(B2266="","",IFERROR(INDEX(Roster!$A$2:$A$600,MATCH(B2266,Roster!$E$2:$E$600,0)),""))</f>
        <v/>
      </c>
      <c r="F2266" s="10">
        <f>IF(C2266="","",IFERROR(INDEX(Levels!$C$2:$C$30,MATCH(C2266,Levels!$B$2:$B$30,0)),""))</f>
        <v/>
      </c>
      <c r="G2266" s="6" t="n"/>
      <c r="H2266" s="10">
        <f>IF(AND(B2266="",C2266=""),"",IF(G2266&lt;&gt;"","Void",IF(OR(B2266="",E2266=""),"Needs child",IF(D2266="","Needs level","OK"))))</f>
        <v/>
      </c>
    </row>
    <row r="2267">
      <c r="A2267" s="6" t="n"/>
      <c r="B2267" s="6" t="n"/>
      <c r="C2267" s="6" t="n"/>
      <c r="D2267" s="11">
        <f>IF(C2267="","",IFERROR(INDEX(Levels!$A$2:$A$30,MATCH(C2267,Levels!$B$2:$B$30,0)),""))</f>
        <v/>
      </c>
      <c r="E2267" s="10">
        <f>IF(B2267="","",IFERROR(INDEX(Roster!$A$2:$A$600,MATCH(B2267,Roster!$E$2:$E$600,0)),""))</f>
        <v/>
      </c>
      <c r="F2267" s="10">
        <f>IF(C2267="","",IFERROR(INDEX(Levels!$C$2:$C$30,MATCH(C2267,Levels!$B$2:$B$30,0)),""))</f>
        <v/>
      </c>
      <c r="G2267" s="6" t="n"/>
      <c r="H2267" s="10">
        <f>IF(AND(B2267="",C2267=""),"",IF(G2267&lt;&gt;"","Void",IF(OR(B2267="",E2267=""),"Needs child",IF(D2267="","Needs level","OK"))))</f>
        <v/>
      </c>
    </row>
    <row r="2268">
      <c r="A2268" s="6" t="n"/>
      <c r="B2268" s="6" t="n"/>
      <c r="C2268" s="6" t="n"/>
      <c r="D2268" s="11">
        <f>IF(C2268="","",IFERROR(INDEX(Levels!$A$2:$A$30,MATCH(C2268,Levels!$B$2:$B$30,0)),""))</f>
        <v/>
      </c>
      <c r="E2268" s="10">
        <f>IF(B2268="","",IFERROR(INDEX(Roster!$A$2:$A$600,MATCH(B2268,Roster!$E$2:$E$600,0)),""))</f>
        <v/>
      </c>
      <c r="F2268" s="10">
        <f>IF(C2268="","",IFERROR(INDEX(Levels!$C$2:$C$30,MATCH(C2268,Levels!$B$2:$B$30,0)),""))</f>
        <v/>
      </c>
      <c r="G2268" s="6" t="n"/>
      <c r="H2268" s="10">
        <f>IF(AND(B2268="",C2268=""),"",IF(G2268&lt;&gt;"","Void",IF(OR(B2268="",E2268=""),"Needs child",IF(D2268="","Needs level","OK"))))</f>
        <v/>
      </c>
    </row>
    <row r="2269">
      <c r="A2269" s="6" t="n"/>
      <c r="B2269" s="6" t="n"/>
      <c r="C2269" s="6" t="n"/>
      <c r="D2269" s="11">
        <f>IF(C2269="","",IFERROR(INDEX(Levels!$A$2:$A$30,MATCH(C2269,Levels!$B$2:$B$30,0)),""))</f>
        <v/>
      </c>
      <c r="E2269" s="10">
        <f>IF(B2269="","",IFERROR(INDEX(Roster!$A$2:$A$600,MATCH(B2269,Roster!$E$2:$E$600,0)),""))</f>
        <v/>
      </c>
      <c r="F2269" s="10">
        <f>IF(C2269="","",IFERROR(INDEX(Levels!$C$2:$C$30,MATCH(C2269,Levels!$B$2:$B$30,0)),""))</f>
        <v/>
      </c>
      <c r="G2269" s="6" t="n"/>
      <c r="H2269" s="10">
        <f>IF(AND(B2269="",C2269=""),"",IF(G2269&lt;&gt;"","Void",IF(OR(B2269="",E2269=""),"Needs child",IF(D2269="","Needs level","OK"))))</f>
        <v/>
      </c>
    </row>
    <row r="2270">
      <c r="A2270" s="6" t="n"/>
      <c r="B2270" s="6" t="n"/>
      <c r="C2270" s="6" t="n"/>
      <c r="D2270" s="11">
        <f>IF(C2270="","",IFERROR(INDEX(Levels!$A$2:$A$30,MATCH(C2270,Levels!$B$2:$B$30,0)),""))</f>
        <v/>
      </c>
      <c r="E2270" s="10">
        <f>IF(B2270="","",IFERROR(INDEX(Roster!$A$2:$A$600,MATCH(B2270,Roster!$E$2:$E$600,0)),""))</f>
        <v/>
      </c>
      <c r="F2270" s="10">
        <f>IF(C2270="","",IFERROR(INDEX(Levels!$C$2:$C$30,MATCH(C2270,Levels!$B$2:$B$30,0)),""))</f>
        <v/>
      </c>
      <c r="G2270" s="6" t="n"/>
      <c r="H2270" s="10">
        <f>IF(AND(B2270="",C2270=""),"",IF(G2270&lt;&gt;"","Void",IF(OR(B2270="",E2270=""),"Needs child",IF(D2270="","Needs level","OK"))))</f>
        <v/>
      </c>
    </row>
    <row r="2271">
      <c r="A2271" s="6" t="n"/>
      <c r="B2271" s="6" t="n"/>
      <c r="C2271" s="6" t="n"/>
      <c r="D2271" s="11">
        <f>IF(C2271="","",IFERROR(INDEX(Levels!$A$2:$A$30,MATCH(C2271,Levels!$B$2:$B$30,0)),""))</f>
        <v/>
      </c>
      <c r="E2271" s="10">
        <f>IF(B2271="","",IFERROR(INDEX(Roster!$A$2:$A$600,MATCH(B2271,Roster!$E$2:$E$600,0)),""))</f>
        <v/>
      </c>
      <c r="F2271" s="10">
        <f>IF(C2271="","",IFERROR(INDEX(Levels!$C$2:$C$30,MATCH(C2271,Levels!$B$2:$B$30,0)),""))</f>
        <v/>
      </c>
      <c r="G2271" s="6" t="n"/>
      <c r="H2271" s="10">
        <f>IF(AND(B2271="",C2271=""),"",IF(G2271&lt;&gt;"","Void",IF(OR(B2271="",E2271=""),"Needs child",IF(D2271="","Needs level","OK"))))</f>
        <v/>
      </c>
    </row>
    <row r="2272">
      <c r="A2272" s="6" t="n"/>
      <c r="B2272" s="6" t="n"/>
      <c r="C2272" s="6" t="n"/>
      <c r="D2272" s="11">
        <f>IF(C2272="","",IFERROR(INDEX(Levels!$A$2:$A$30,MATCH(C2272,Levels!$B$2:$B$30,0)),""))</f>
        <v/>
      </c>
      <c r="E2272" s="10">
        <f>IF(B2272="","",IFERROR(INDEX(Roster!$A$2:$A$600,MATCH(B2272,Roster!$E$2:$E$600,0)),""))</f>
        <v/>
      </c>
      <c r="F2272" s="10">
        <f>IF(C2272="","",IFERROR(INDEX(Levels!$C$2:$C$30,MATCH(C2272,Levels!$B$2:$B$30,0)),""))</f>
        <v/>
      </c>
      <c r="G2272" s="6" t="n"/>
      <c r="H2272" s="10">
        <f>IF(AND(B2272="",C2272=""),"",IF(G2272&lt;&gt;"","Void",IF(OR(B2272="",E2272=""),"Needs child",IF(D2272="","Needs level","OK"))))</f>
        <v/>
      </c>
    </row>
    <row r="2273">
      <c r="A2273" s="6" t="n"/>
      <c r="B2273" s="6" t="n"/>
      <c r="C2273" s="6" t="n"/>
      <c r="D2273" s="11">
        <f>IF(C2273="","",IFERROR(INDEX(Levels!$A$2:$A$30,MATCH(C2273,Levels!$B$2:$B$30,0)),""))</f>
        <v/>
      </c>
      <c r="E2273" s="10">
        <f>IF(B2273="","",IFERROR(INDEX(Roster!$A$2:$A$600,MATCH(B2273,Roster!$E$2:$E$600,0)),""))</f>
        <v/>
      </c>
      <c r="F2273" s="10">
        <f>IF(C2273="","",IFERROR(INDEX(Levels!$C$2:$C$30,MATCH(C2273,Levels!$B$2:$B$30,0)),""))</f>
        <v/>
      </c>
      <c r="G2273" s="6" t="n"/>
      <c r="H2273" s="10">
        <f>IF(AND(B2273="",C2273=""),"",IF(G2273&lt;&gt;"","Void",IF(OR(B2273="",E2273=""),"Needs child",IF(D2273="","Needs level","OK"))))</f>
        <v/>
      </c>
    </row>
    <row r="2274">
      <c r="A2274" s="6" t="n"/>
      <c r="B2274" s="6" t="n"/>
      <c r="C2274" s="6" t="n"/>
      <c r="D2274" s="11">
        <f>IF(C2274="","",IFERROR(INDEX(Levels!$A$2:$A$30,MATCH(C2274,Levels!$B$2:$B$30,0)),""))</f>
        <v/>
      </c>
      <c r="E2274" s="10">
        <f>IF(B2274="","",IFERROR(INDEX(Roster!$A$2:$A$600,MATCH(B2274,Roster!$E$2:$E$600,0)),""))</f>
        <v/>
      </c>
      <c r="F2274" s="10">
        <f>IF(C2274="","",IFERROR(INDEX(Levels!$C$2:$C$30,MATCH(C2274,Levels!$B$2:$B$30,0)),""))</f>
        <v/>
      </c>
      <c r="G2274" s="6" t="n"/>
      <c r="H2274" s="10">
        <f>IF(AND(B2274="",C2274=""),"",IF(G2274&lt;&gt;"","Void",IF(OR(B2274="",E2274=""),"Needs child",IF(D2274="","Needs level","OK"))))</f>
        <v/>
      </c>
    </row>
    <row r="2275">
      <c r="A2275" s="6" t="n"/>
      <c r="B2275" s="6" t="n"/>
      <c r="C2275" s="6" t="n"/>
      <c r="D2275" s="11">
        <f>IF(C2275="","",IFERROR(INDEX(Levels!$A$2:$A$30,MATCH(C2275,Levels!$B$2:$B$30,0)),""))</f>
        <v/>
      </c>
      <c r="E2275" s="10">
        <f>IF(B2275="","",IFERROR(INDEX(Roster!$A$2:$A$600,MATCH(B2275,Roster!$E$2:$E$600,0)),""))</f>
        <v/>
      </c>
      <c r="F2275" s="10">
        <f>IF(C2275="","",IFERROR(INDEX(Levels!$C$2:$C$30,MATCH(C2275,Levels!$B$2:$B$30,0)),""))</f>
        <v/>
      </c>
      <c r="G2275" s="6" t="n"/>
      <c r="H2275" s="10">
        <f>IF(AND(B2275="",C2275=""),"",IF(G2275&lt;&gt;"","Void",IF(OR(B2275="",E2275=""),"Needs child",IF(D2275="","Needs level","OK"))))</f>
        <v/>
      </c>
    </row>
    <row r="2276">
      <c r="A2276" s="6" t="n"/>
      <c r="B2276" s="6" t="n"/>
      <c r="C2276" s="6" t="n"/>
      <c r="D2276" s="11">
        <f>IF(C2276="","",IFERROR(INDEX(Levels!$A$2:$A$30,MATCH(C2276,Levels!$B$2:$B$30,0)),""))</f>
        <v/>
      </c>
      <c r="E2276" s="10">
        <f>IF(B2276="","",IFERROR(INDEX(Roster!$A$2:$A$600,MATCH(B2276,Roster!$E$2:$E$600,0)),""))</f>
        <v/>
      </c>
      <c r="F2276" s="10">
        <f>IF(C2276="","",IFERROR(INDEX(Levels!$C$2:$C$30,MATCH(C2276,Levels!$B$2:$B$30,0)),""))</f>
        <v/>
      </c>
      <c r="G2276" s="6" t="n"/>
      <c r="H2276" s="10">
        <f>IF(AND(B2276="",C2276=""),"",IF(G2276&lt;&gt;"","Void",IF(OR(B2276="",E2276=""),"Needs child",IF(D2276="","Needs level","OK"))))</f>
        <v/>
      </c>
    </row>
    <row r="2277">
      <c r="A2277" s="6" t="n"/>
      <c r="B2277" s="6" t="n"/>
      <c r="C2277" s="6" t="n"/>
      <c r="D2277" s="11">
        <f>IF(C2277="","",IFERROR(INDEX(Levels!$A$2:$A$30,MATCH(C2277,Levels!$B$2:$B$30,0)),""))</f>
        <v/>
      </c>
      <c r="E2277" s="10">
        <f>IF(B2277="","",IFERROR(INDEX(Roster!$A$2:$A$600,MATCH(B2277,Roster!$E$2:$E$600,0)),""))</f>
        <v/>
      </c>
      <c r="F2277" s="10">
        <f>IF(C2277="","",IFERROR(INDEX(Levels!$C$2:$C$30,MATCH(C2277,Levels!$B$2:$B$30,0)),""))</f>
        <v/>
      </c>
      <c r="G2277" s="6" t="n"/>
      <c r="H2277" s="10">
        <f>IF(AND(B2277="",C2277=""),"",IF(G2277&lt;&gt;"","Void",IF(OR(B2277="",E2277=""),"Needs child",IF(D2277="","Needs level","OK"))))</f>
        <v/>
      </c>
    </row>
    <row r="2278">
      <c r="A2278" s="6" t="n"/>
      <c r="B2278" s="6" t="n"/>
      <c r="C2278" s="6" t="n"/>
      <c r="D2278" s="11">
        <f>IF(C2278="","",IFERROR(INDEX(Levels!$A$2:$A$30,MATCH(C2278,Levels!$B$2:$B$30,0)),""))</f>
        <v/>
      </c>
      <c r="E2278" s="10">
        <f>IF(B2278="","",IFERROR(INDEX(Roster!$A$2:$A$600,MATCH(B2278,Roster!$E$2:$E$600,0)),""))</f>
        <v/>
      </c>
      <c r="F2278" s="10">
        <f>IF(C2278="","",IFERROR(INDEX(Levels!$C$2:$C$30,MATCH(C2278,Levels!$B$2:$B$30,0)),""))</f>
        <v/>
      </c>
      <c r="G2278" s="6" t="n"/>
      <c r="H2278" s="10">
        <f>IF(AND(B2278="",C2278=""),"",IF(G2278&lt;&gt;"","Void",IF(OR(B2278="",E2278=""),"Needs child",IF(D2278="","Needs level","OK"))))</f>
        <v/>
      </c>
    </row>
    <row r="2279">
      <c r="A2279" s="6" t="n"/>
      <c r="B2279" s="6" t="n"/>
      <c r="C2279" s="6" t="n"/>
      <c r="D2279" s="11">
        <f>IF(C2279="","",IFERROR(INDEX(Levels!$A$2:$A$30,MATCH(C2279,Levels!$B$2:$B$30,0)),""))</f>
        <v/>
      </c>
      <c r="E2279" s="10">
        <f>IF(B2279="","",IFERROR(INDEX(Roster!$A$2:$A$600,MATCH(B2279,Roster!$E$2:$E$600,0)),""))</f>
        <v/>
      </c>
      <c r="F2279" s="10">
        <f>IF(C2279="","",IFERROR(INDEX(Levels!$C$2:$C$30,MATCH(C2279,Levels!$B$2:$B$30,0)),""))</f>
        <v/>
      </c>
      <c r="G2279" s="6" t="n"/>
      <c r="H2279" s="10">
        <f>IF(AND(B2279="",C2279=""),"",IF(G2279&lt;&gt;"","Void",IF(OR(B2279="",E2279=""),"Needs child",IF(D2279="","Needs level","OK"))))</f>
        <v/>
      </c>
    </row>
    <row r="2280">
      <c r="A2280" s="6" t="n"/>
      <c r="B2280" s="6" t="n"/>
      <c r="C2280" s="6" t="n"/>
      <c r="D2280" s="11">
        <f>IF(C2280="","",IFERROR(INDEX(Levels!$A$2:$A$30,MATCH(C2280,Levels!$B$2:$B$30,0)),""))</f>
        <v/>
      </c>
      <c r="E2280" s="10">
        <f>IF(B2280="","",IFERROR(INDEX(Roster!$A$2:$A$600,MATCH(B2280,Roster!$E$2:$E$600,0)),""))</f>
        <v/>
      </c>
      <c r="F2280" s="10">
        <f>IF(C2280="","",IFERROR(INDEX(Levels!$C$2:$C$30,MATCH(C2280,Levels!$B$2:$B$30,0)),""))</f>
        <v/>
      </c>
      <c r="G2280" s="6" t="n"/>
      <c r="H2280" s="10">
        <f>IF(AND(B2280="",C2280=""),"",IF(G2280&lt;&gt;"","Void",IF(OR(B2280="",E2280=""),"Needs child",IF(D2280="","Needs level","OK"))))</f>
        <v/>
      </c>
    </row>
    <row r="2281">
      <c r="A2281" s="6" t="n"/>
      <c r="B2281" s="6" t="n"/>
      <c r="C2281" s="6" t="n"/>
      <c r="D2281" s="11">
        <f>IF(C2281="","",IFERROR(INDEX(Levels!$A$2:$A$30,MATCH(C2281,Levels!$B$2:$B$30,0)),""))</f>
        <v/>
      </c>
      <c r="E2281" s="10">
        <f>IF(B2281="","",IFERROR(INDEX(Roster!$A$2:$A$600,MATCH(B2281,Roster!$E$2:$E$600,0)),""))</f>
        <v/>
      </c>
      <c r="F2281" s="10">
        <f>IF(C2281="","",IFERROR(INDEX(Levels!$C$2:$C$30,MATCH(C2281,Levels!$B$2:$B$30,0)),""))</f>
        <v/>
      </c>
      <c r="G2281" s="6" t="n"/>
      <c r="H2281" s="10">
        <f>IF(AND(B2281="",C2281=""),"",IF(G2281&lt;&gt;"","Void",IF(OR(B2281="",E2281=""),"Needs child",IF(D2281="","Needs level","OK"))))</f>
        <v/>
      </c>
    </row>
    <row r="2282">
      <c r="A2282" s="6" t="n"/>
      <c r="B2282" s="6" t="n"/>
      <c r="C2282" s="6" t="n"/>
      <c r="D2282" s="11">
        <f>IF(C2282="","",IFERROR(INDEX(Levels!$A$2:$A$30,MATCH(C2282,Levels!$B$2:$B$30,0)),""))</f>
        <v/>
      </c>
      <c r="E2282" s="10">
        <f>IF(B2282="","",IFERROR(INDEX(Roster!$A$2:$A$600,MATCH(B2282,Roster!$E$2:$E$600,0)),""))</f>
        <v/>
      </c>
      <c r="F2282" s="10">
        <f>IF(C2282="","",IFERROR(INDEX(Levels!$C$2:$C$30,MATCH(C2282,Levels!$B$2:$B$30,0)),""))</f>
        <v/>
      </c>
      <c r="G2282" s="6" t="n"/>
      <c r="H2282" s="10">
        <f>IF(AND(B2282="",C2282=""),"",IF(G2282&lt;&gt;"","Void",IF(OR(B2282="",E2282=""),"Needs child",IF(D2282="","Needs level","OK"))))</f>
        <v/>
      </c>
    </row>
    <row r="2283">
      <c r="A2283" s="6" t="n"/>
      <c r="B2283" s="6" t="n"/>
      <c r="C2283" s="6" t="n"/>
      <c r="D2283" s="11">
        <f>IF(C2283="","",IFERROR(INDEX(Levels!$A$2:$A$30,MATCH(C2283,Levels!$B$2:$B$30,0)),""))</f>
        <v/>
      </c>
      <c r="E2283" s="10">
        <f>IF(B2283="","",IFERROR(INDEX(Roster!$A$2:$A$600,MATCH(B2283,Roster!$E$2:$E$600,0)),""))</f>
        <v/>
      </c>
      <c r="F2283" s="10">
        <f>IF(C2283="","",IFERROR(INDEX(Levels!$C$2:$C$30,MATCH(C2283,Levels!$B$2:$B$30,0)),""))</f>
        <v/>
      </c>
      <c r="G2283" s="6" t="n"/>
      <c r="H2283" s="10">
        <f>IF(AND(B2283="",C2283=""),"",IF(G2283&lt;&gt;"","Void",IF(OR(B2283="",E2283=""),"Needs child",IF(D2283="","Needs level","OK"))))</f>
        <v/>
      </c>
    </row>
    <row r="2284">
      <c r="A2284" s="6" t="n"/>
      <c r="B2284" s="6" t="n"/>
      <c r="C2284" s="6" t="n"/>
      <c r="D2284" s="11">
        <f>IF(C2284="","",IFERROR(INDEX(Levels!$A$2:$A$30,MATCH(C2284,Levels!$B$2:$B$30,0)),""))</f>
        <v/>
      </c>
      <c r="E2284" s="10">
        <f>IF(B2284="","",IFERROR(INDEX(Roster!$A$2:$A$600,MATCH(B2284,Roster!$E$2:$E$600,0)),""))</f>
        <v/>
      </c>
      <c r="F2284" s="10">
        <f>IF(C2284="","",IFERROR(INDEX(Levels!$C$2:$C$30,MATCH(C2284,Levels!$B$2:$B$30,0)),""))</f>
        <v/>
      </c>
      <c r="G2284" s="6" t="n"/>
      <c r="H2284" s="10">
        <f>IF(AND(B2284="",C2284=""),"",IF(G2284&lt;&gt;"","Void",IF(OR(B2284="",E2284=""),"Needs child",IF(D2284="","Needs level","OK"))))</f>
        <v/>
      </c>
    </row>
    <row r="2285">
      <c r="A2285" s="6" t="n"/>
      <c r="B2285" s="6" t="n"/>
      <c r="C2285" s="6" t="n"/>
      <c r="D2285" s="11">
        <f>IF(C2285="","",IFERROR(INDEX(Levels!$A$2:$A$30,MATCH(C2285,Levels!$B$2:$B$30,0)),""))</f>
        <v/>
      </c>
      <c r="E2285" s="10">
        <f>IF(B2285="","",IFERROR(INDEX(Roster!$A$2:$A$600,MATCH(B2285,Roster!$E$2:$E$600,0)),""))</f>
        <v/>
      </c>
      <c r="F2285" s="10">
        <f>IF(C2285="","",IFERROR(INDEX(Levels!$C$2:$C$30,MATCH(C2285,Levels!$B$2:$B$30,0)),""))</f>
        <v/>
      </c>
      <c r="G2285" s="6" t="n"/>
      <c r="H2285" s="10">
        <f>IF(AND(B2285="",C2285=""),"",IF(G2285&lt;&gt;"","Void",IF(OR(B2285="",E2285=""),"Needs child",IF(D2285="","Needs level","OK"))))</f>
        <v/>
      </c>
    </row>
    <row r="2286">
      <c r="A2286" s="6" t="n"/>
      <c r="B2286" s="6" t="n"/>
      <c r="C2286" s="6" t="n"/>
      <c r="D2286" s="11">
        <f>IF(C2286="","",IFERROR(INDEX(Levels!$A$2:$A$30,MATCH(C2286,Levels!$B$2:$B$30,0)),""))</f>
        <v/>
      </c>
      <c r="E2286" s="10">
        <f>IF(B2286="","",IFERROR(INDEX(Roster!$A$2:$A$600,MATCH(B2286,Roster!$E$2:$E$600,0)),""))</f>
        <v/>
      </c>
      <c r="F2286" s="10">
        <f>IF(C2286="","",IFERROR(INDEX(Levels!$C$2:$C$30,MATCH(C2286,Levels!$B$2:$B$30,0)),""))</f>
        <v/>
      </c>
      <c r="G2286" s="6" t="n"/>
      <c r="H2286" s="10">
        <f>IF(AND(B2286="",C2286=""),"",IF(G2286&lt;&gt;"","Void",IF(OR(B2286="",E2286=""),"Needs child",IF(D2286="","Needs level","OK"))))</f>
        <v/>
      </c>
    </row>
    <row r="2287">
      <c r="A2287" s="6" t="n"/>
      <c r="B2287" s="6" t="n"/>
      <c r="C2287" s="6" t="n"/>
      <c r="D2287" s="11">
        <f>IF(C2287="","",IFERROR(INDEX(Levels!$A$2:$A$30,MATCH(C2287,Levels!$B$2:$B$30,0)),""))</f>
        <v/>
      </c>
      <c r="E2287" s="10">
        <f>IF(B2287="","",IFERROR(INDEX(Roster!$A$2:$A$600,MATCH(B2287,Roster!$E$2:$E$600,0)),""))</f>
        <v/>
      </c>
      <c r="F2287" s="10">
        <f>IF(C2287="","",IFERROR(INDEX(Levels!$C$2:$C$30,MATCH(C2287,Levels!$B$2:$B$30,0)),""))</f>
        <v/>
      </c>
      <c r="G2287" s="6" t="n"/>
      <c r="H2287" s="10">
        <f>IF(AND(B2287="",C2287=""),"",IF(G2287&lt;&gt;"","Void",IF(OR(B2287="",E2287=""),"Needs child",IF(D2287="","Needs level","OK"))))</f>
        <v/>
      </c>
    </row>
    <row r="2288">
      <c r="A2288" s="6" t="n"/>
      <c r="B2288" s="6" t="n"/>
      <c r="C2288" s="6" t="n"/>
      <c r="D2288" s="11">
        <f>IF(C2288="","",IFERROR(INDEX(Levels!$A$2:$A$30,MATCH(C2288,Levels!$B$2:$B$30,0)),""))</f>
        <v/>
      </c>
      <c r="E2288" s="10">
        <f>IF(B2288="","",IFERROR(INDEX(Roster!$A$2:$A$600,MATCH(B2288,Roster!$E$2:$E$600,0)),""))</f>
        <v/>
      </c>
      <c r="F2288" s="10">
        <f>IF(C2288="","",IFERROR(INDEX(Levels!$C$2:$C$30,MATCH(C2288,Levels!$B$2:$B$30,0)),""))</f>
        <v/>
      </c>
      <c r="G2288" s="6" t="n"/>
      <c r="H2288" s="10">
        <f>IF(AND(B2288="",C2288=""),"",IF(G2288&lt;&gt;"","Void",IF(OR(B2288="",E2288=""),"Needs child",IF(D2288="","Needs level","OK"))))</f>
        <v/>
      </c>
    </row>
    <row r="2289">
      <c r="A2289" s="6" t="n"/>
      <c r="B2289" s="6" t="n"/>
      <c r="C2289" s="6" t="n"/>
      <c r="D2289" s="11">
        <f>IF(C2289="","",IFERROR(INDEX(Levels!$A$2:$A$30,MATCH(C2289,Levels!$B$2:$B$30,0)),""))</f>
        <v/>
      </c>
      <c r="E2289" s="10">
        <f>IF(B2289="","",IFERROR(INDEX(Roster!$A$2:$A$600,MATCH(B2289,Roster!$E$2:$E$600,0)),""))</f>
        <v/>
      </c>
      <c r="F2289" s="10">
        <f>IF(C2289="","",IFERROR(INDEX(Levels!$C$2:$C$30,MATCH(C2289,Levels!$B$2:$B$30,0)),""))</f>
        <v/>
      </c>
      <c r="G2289" s="6" t="n"/>
      <c r="H2289" s="10">
        <f>IF(AND(B2289="",C2289=""),"",IF(G2289&lt;&gt;"","Void",IF(OR(B2289="",E2289=""),"Needs child",IF(D2289="","Needs level","OK"))))</f>
        <v/>
      </c>
    </row>
    <row r="2290">
      <c r="A2290" s="6" t="n"/>
      <c r="B2290" s="6" t="n"/>
      <c r="C2290" s="6" t="n"/>
      <c r="D2290" s="11">
        <f>IF(C2290="","",IFERROR(INDEX(Levels!$A$2:$A$30,MATCH(C2290,Levels!$B$2:$B$30,0)),""))</f>
        <v/>
      </c>
      <c r="E2290" s="10">
        <f>IF(B2290="","",IFERROR(INDEX(Roster!$A$2:$A$600,MATCH(B2290,Roster!$E$2:$E$600,0)),""))</f>
        <v/>
      </c>
      <c r="F2290" s="10">
        <f>IF(C2290="","",IFERROR(INDEX(Levels!$C$2:$C$30,MATCH(C2290,Levels!$B$2:$B$30,0)),""))</f>
        <v/>
      </c>
      <c r="G2290" s="6" t="n"/>
      <c r="H2290" s="10">
        <f>IF(AND(B2290="",C2290=""),"",IF(G2290&lt;&gt;"","Void",IF(OR(B2290="",E2290=""),"Needs child",IF(D2290="","Needs level","OK"))))</f>
        <v/>
      </c>
    </row>
    <row r="2291">
      <c r="A2291" s="6" t="n"/>
      <c r="B2291" s="6" t="n"/>
      <c r="C2291" s="6" t="n"/>
      <c r="D2291" s="11">
        <f>IF(C2291="","",IFERROR(INDEX(Levels!$A$2:$A$30,MATCH(C2291,Levels!$B$2:$B$30,0)),""))</f>
        <v/>
      </c>
      <c r="E2291" s="10">
        <f>IF(B2291="","",IFERROR(INDEX(Roster!$A$2:$A$600,MATCH(B2291,Roster!$E$2:$E$600,0)),""))</f>
        <v/>
      </c>
      <c r="F2291" s="10">
        <f>IF(C2291="","",IFERROR(INDEX(Levels!$C$2:$C$30,MATCH(C2291,Levels!$B$2:$B$30,0)),""))</f>
        <v/>
      </c>
      <c r="G2291" s="6" t="n"/>
      <c r="H2291" s="10">
        <f>IF(AND(B2291="",C2291=""),"",IF(G2291&lt;&gt;"","Void",IF(OR(B2291="",E2291=""),"Needs child",IF(D2291="","Needs level","OK"))))</f>
        <v/>
      </c>
    </row>
    <row r="2292">
      <c r="A2292" s="6" t="n"/>
      <c r="B2292" s="6" t="n"/>
      <c r="C2292" s="6" t="n"/>
      <c r="D2292" s="11">
        <f>IF(C2292="","",IFERROR(INDEX(Levels!$A$2:$A$30,MATCH(C2292,Levels!$B$2:$B$30,0)),""))</f>
        <v/>
      </c>
      <c r="E2292" s="10">
        <f>IF(B2292="","",IFERROR(INDEX(Roster!$A$2:$A$600,MATCH(B2292,Roster!$E$2:$E$600,0)),""))</f>
        <v/>
      </c>
      <c r="F2292" s="10">
        <f>IF(C2292="","",IFERROR(INDEX(Levels!$C$2:$C$30,MATCH(C2292,Levels!$B$2:$B$30,0)),""))</f>
        <v/>
      </c>
      <c r="G2292" s="6" t="n"/>
      <c r="H2292" s="10">
        <f>IF(AND(B2292="",C2292=""),"",IF(G2292&lt;&gt;"","Void",IF(OR(B2292="",E2292=""),"Needs child",IF(D2292="","Needs level","OK"))))</f>
        <v/>
      </c>
    </row>
    <row r="2293">
      <c r="A2293" s="6" t="n"/>
      <c r="B2293" s="6" t="n"/>
      <c r="C2293" s="6" t="n"/>
      <c r="D2293" s="11">
        <f>IF(C2293="","",IFERROR(INDEX(Levels!$A$2:$A$30,MATCH(C2293,Levels!$B$2:$B$30,0)),""))</f>
        <v/>
      </c>
      <c r="E2293" s="10">
        <f>IF(B2293="","",IFERROR(INDEX(Roster!$A$2:$A$600,MATCH(B2293,Roster!$E$2:$E$600,0)),""))</f>
        <v/>
      </c>
      <c r="F2293" s="10">
        <f>IF(C2293="","",IFERROR(INDEX(Levels!$C$2:$C$30,MATCH(C2293,Levels!$B$2:$B$30,0)),""))</f>
        <v/>
      </c>
      <c r="G2293" s="6" t="n"/>
      <c r="H2293" s="10">
        <f>IF(AND(B2293="",C2293=""),"",IF(G2293&lt;&gt;"","Void",IF(OR(B2293="",E2293=""),"Needs child",IF(D2293="","Needs level","OK"))))</f>
        <v/>
      </c>
    </row>
    <row r="2294">
      <c r="A2294" s="6" t="n"/>
      <c r="B2294" s="6" t="n"/>
      <c r="C2294" s="6" t="n"/>
      <c r="D2294" s="11">
        <f>IF(C2294="","",IFERROR(INDEX(Levels!$A$2:$A$30,MATCH(C2294,Levels!$B$2:$B$30,0)),""))</f>
        <v/>
      </c>
      <c r="E2294" s="10">
        <f>IF(B2294="","",IFERROR(INDEX(Roster!$A$2:$A$600,MATCH(B2294,Roster!$E$2:$E$600,0)),""))</f>
        <v/>
      </c>
      <c r="F2294" s="10">
        <f>IF(C2294="","",IFERROR(INDEX(Levels!$C$2:$C$30,MATCH(C2294,Levels!$B$2:$B$30,0)),""))</f>
        <v/>
      </c>
      <c r="G2294" s="6" t="n"/>
      <c r="H2294" s="10">
        <f>IF(AND(B2294="",C2294=""),"",IF(G2294&lt;&gt;"","Void",IF(OR(B2294="",E2294=""),"Needs child",IF(D2294="","Needs level","OK"))))</f>
        <v/>
      </c>
    </row>
    <row r="2295">
      <c r="A2295" s="6" t="n"/>
      <c r="B2295" s="6" t="n"/>
      <c r="C2295" s="6" t="n"/>
      <c r="D2295" s="11">
        <f>IF(C2295="","",IFERROR(INDEX(Levels!$A$2:$A$30,MATCH(C2295,Levels!$B$2:$B$30,0)),""))</f>
        <v/>
      </c>
      <c r="E2295" s="10">
        <f>IF(B2295="","",IFERROR(INDEX(Roster!$A$2:$A$600,MATCH(B2295,Roster!$E$2:$E$600,0)),""))</f>
        <v/>
      </c>
      <c r="F2295" s="10">
        <f>IF(C2295="","",IFERROR(INDEX(Levels!$C$2:$C$30,MATCH(C2295,Levels!$B$2:$B$30,0)),""))</f>
        <v/>
      </c>
      <c r="G2295" s="6" t="n"/>
      <c r="H2295" s="10">
        <f>IF(AND(B2295="",C2295=""),"",IF(G2295&lt;&gt;"","Void",IF(OR(B2295="",E2295=""),"Needs child",IF(D2295="","Needs level","OK"))))</f>
        <v/>
      </c>
    </row>
    <row r="2296">
      <c r="A2296" s="6" t="n"/>
      <c r="B2296" s="6" t="n"/>
      <c r="C2296" s="6" t="n"/>
      <c r="D2296" s="11">
        <f>IF(C2296="","",IFERROR(INDEX(Levels!$A$2:$A$30,MATCH(C2296,Levels!$B$2:$B$30,0)),""))</f>
        <v/>
      </c>
      <c r="E2296" s="10">
        <f>IF(B2296="","",IFERROR(INDEX(Roster!$A$2:$A$600,MATCH(B2296,Roster!$E$2:$E$600,0)),""))</f>
        <v/>
      </c>
      <c r="F2296" s="10">
        <f>IF(C2296="","",IFERROR(INDEX(Levels!$C$2:$C$30,MATCH(C2296,Levels!$B$2:$B$30,0)),""))</f>
        <v/>
      </c>
      <c r="G2296" s="6" t="n"/>
      <c r="H2296" s="10">
        <f>IF(AND(B2296="",C2296=""),"",IF(G2296&lt;&gt;"","Void",IF(OR(B2296="",E2296=""),"Needs child",IF(D2296="","Needs level","OK"))))</f>
        <v/>
      </c>
    </row>
    <row r="2297">
      <c r="A2297" s="6" t="n"/>
      <c r="B2297" s="6" t="n"/>
      <c r="C2297" s="6" t="n"/>
      <c r="D2297" s="11">
        <f>IF(C2297="","",IFERROR(INDEX(Levels!$A$2:$A$30,MATCH(C2297,Levels!$B$2:$B$30,0)),""))</f>
        <v/>
      </c>
      <c r="E2297" s="10">
        <f>IF(B2297="","",IFERROR(INDEX(Roster!$A$2:$A$600,MATCH(B2297,Roster!$E$2:$E$600,0)),""))</f>
        <v/>
      </c>
      <c r="F2297" s="10">
        <f>IF(C2297="","",IFERROR(INDEX(Levels!$C$2:$C$30,MATCH(C2297,Levels!$B$2:$B$30,0)),""))</f>
        <v/>
      </c>
      <c r="G2297" s="6" t="n"/>
      <c r="H2297" s="10">
        <f>IF(AND(B2297="",C2297=""),"",IF(G2297&lt;&gt;"","Void",IF(OR(B2297="",E2297=""),"Needs child",IF(D2297="","Needs level","OK"))))</f>
        <v/>
      </c>
    </row>
    <row r="2298">
      <c r="A2298" s="6" t="n"/>
      <c r="B2298" s="6" t="n"/>
      <c r="C2298" s="6" t="n"/>
      <c r="D2298" s="11">
        <f>IF(C2298="","",IFERROR(INDEX(Levels!$A$2:$A$30,MATCH(C2298,Levels!$B$2:$B$30,0)),""))</f>
        <v/>
      </c>
      <c r="E2298" s="10">
        <f>IF(B2298="","",IFERROR(INDEX(Roster!$A$2:$A$600,MATCH(B2298,Roster!$E$2:$E$600,0)),""))</f>
        <v/>
      </c>
      <c r="F2298" s="10">
        <f>IF(C2298="","",IFERROR(INDEX(Levels!$C$2:$C$30,MATCH(C2298,Levels!$B$2:$B$30,0)),""))</f>
        <v/>
      </c>
      <c r="G2298" s="6" t="n"/>
      <c r="H2298" s="10">
        <f>IF(AND(B2298="",C2298=""),"",IF(G2298&lt;&gt;"","Void",IF(OR(B2298="",E2298=""),"Needs child",IF(D2298="","Needs level","OK"))))</f>
        <v/>
      </c>
    </row>
    <row r="2299">
      <c r="A2299" s="6" t="n"/>
      <c r="B2299" s="6" t="n"/>
      <c r="C2299" s="6" t="n"/>
      <c r="D2299" s="11">
        <f>IF(C2299="","",IFERROR(INDEX(Levels!$A$2:$A$30,MATCH(C2299,Levels!$B$2:$B$30,0)),""))</f>
        <v/>
      </c>
      <c r="E2299" s="10">
        <f>IF(B2299="","",IFERROR(INDEX(Roster!$A$2:$A$600,MATCH(B2299,Roster!$E$2:$E$600,0)),""))</f>
        <v/>
      </c>
      <c r="F2299" s="10">
        <f>IF(C2299="","",IFERROR(INDEX(Levels!$C$2:$C$30,MATCH(C2299,Levels!$B$2:$B$30,0)),""))</f>
        <v/>
      </c>
      <c r="G2299" s="6" t="n"/>
      <c r="H2299" s="10">
        <f>IF(AND(B2299="",C2299=""),"",IF(G2299&lt;&gt;"","Void",IF(OR(B2299="",E2299=""),"Needs child",IF(D2299="","Needs level","OK"))))</f>
        <v/>
      </c>
    </row>
    <row r="2300">
      <c r="A2300" s="6" t="n"/>
      <c r="B2300" s="6" t="n"/>
      <c r="C2300" s="6" t="n"/>
      <c r="D2300" s="11">
        <f>IF(C2300="","",IFERROR(INDEX(Levels!$A$2:$A$30,MATCH(C2300,Levels!$B$2:$B$30,0)),""))</f>
        <v/>
      </c>
      <c r="E2300" s="10">
        <f>IF(B2300="","",IFERROR(INDEX(Roster!$A$2:$A$600,MATCH(B2300,Roster!$E$2:$E$600,0)),""))</f>
        <v/>
      </c>
      <c r="F2300" s="10">
        <f>IF(C2300="","",IFERROR(INDEX(Levels!$C$2:$C$30,MATCH(C2300,Levels!$B$2:$B$30,0)),""))</f>
        <v/>
      </c>
      <c r="G2300" s="6" t="n"/>
      <c r="H2300" s="10">
        <f>IF(AND(B2300="",C2300=""),"",IF(G2300&lt;&gt;"","Void",IF(OR(B2300="",E2300=""),"Needs child",IF(D2300="","Needs level","OK"))))</f>
        <v/>
      </c>
    </row>
    <row r="2301">
      <c r="A2301" s="6" t="n"/>
      <c r="B2301" s="6" t="n"/>
      <c r="C2301" s="6" t="n"/>
      <c r="D2301" s="11">
        <f>IF(C2301="","",IFERROR(INDEX(Levels!$A$2:$A$30,MATCH(C2301,Levels!$B$2:$B$30,0)),""))</f>
        <v/>
      </c>
      <c r="E2301" s="10">
        <f>IF(B2301="","",IFERROR(INDEX(Roster!$A$2:$A$600,MATCH(B2301,Roster!$E$2:$E$600,0)),""))</f>
        <v/>
      </c>
      <c r="F2301" s="10">
        <f>IF(C2301="","",IFERROR(INDEX(Levels!$C$2:$C$30,MATCH(C2301,Levels!$B$2:$B$30,0)),""))</f>
        <v/>
      </c>
      <c r="G2301" s="6" t="n"/>
      <c r="H2301" s="10">
        <f>IF(AND(B2301="",C2301=""),"",IF(G2301&lt;&gt;"","Void",IF(OR(B2301="",E2301=""),"Needs child",IF(D2301="","Needs level","OK"))))</f>
        <v/>
      </c>
    </row>
    <row r="2302">
      <c r="A2302" s="6" t="n"/>
      <c r="B2302" s="6" t="n"/>
      <c r="C2302" s="6" t="n"/>
      <c r="D2302" s="11">
        <f>IF(C2302="","",IFERROR(INDEX(Levels!$A$2:$A$30,MATCH(C2302,Levels!$B$2:$B$30,0)),""))</f>
        <v/>
      </c>
      <c r="E2302" s="10">
        <f>IF(B2302="","",IFERROR(INDEX(Roster!$A$2:$A$600,MATCH(B2302,Roster!$E$2:$E$600,0)),""))</f>
        <v/>
      </c>
      <c r="F2302" s="10">
        <f>IF(C2302="","",IFERROR(INDEX(Levels!$C$2:$C$30,MATCH(C2302,Levels!$B$2:$B$30,0)),""))</f>
        <v/>
      </c>
      <c r="G2302" s="6" t="n"/>
      <c r="H2302" s="10">
        <f>IF(AND(B2302="",C2302=""),"",IF(G2302&lt;&gt;"","Void",IF(OR(B2302="",E2302=""),"Needs child",IF(D2302="","Needs level","OK"))))</f>
        <v/>
      </c>
    </row>
    <row r="2303">
      <c r="A2303" s="6" t="n"/>
      <c r="B2303" s="6" t="n"/>
      <c r="C2303" s="6" t="n"/>
      <c r="D2303" s="11">
        <f>IF(C2303="","",IFERROR(INDEX(Levels!$A$2:$A$30,MATCH(C2303,Levels!$B$2:$B$30,0)),""))</f>
        <v/>
      </c>
      <c r="E2303" s="10">
        <f>IF(B2303="","",IFERROR(INDEX(Roster!$A$2:$A$600,MATCH(B2303,Roster!$E$2:$E$600,0)),""))</f>
        <v/>
      </c>
      <c r="F2303" s="10">
        <f>IF(C2303="","",IFERROR(INDEX(Levels!$C$2:$C$30,MATCH(C2303,Levels!$B$2:$B$30,0)),""))</f>
        <v/>
      </c>
      <c r="G2303" s="6" t="n"/>
      <c r="H2303" s="10">
        <f>IF(AND(B2303="",C2303=""),"",IF(G2303&lt;&gt;"","Void",IF(OR(B2303="",E2303=""),"Needs child",IF(D2303="","Needs level","OK"))))</f>
        <v/>
      </c>
    </row>
    <row r="2304">
      <c r="A2304" s="6" t="n"/>
      <c r="B2304" s="6" t="n"/>
      <c r="C2304" s="6" t="n"/>
      <c r="D2304" s="11">
        <f>IF(C2304="","",IFERROR(INDEX(Levels!$A$2:$A$30,MATCH(C2304,Levels!$B$2:$B$30,0)),""))</f>
        <v/>
      </c>
      <c r="E2304" s="10">
        <f>IF(B2304="","",IFERROR(INDEX(Roster!$A$2:$A$600,MATCH(B2304,Roster!$E$2:$E$600,0)),""))</f>
        <v/>
      </c>
      <c r="F2304" s="10">
        <f>IF(C2304="","",IFERROR(INDEX(Levels!$C$2:$C$30,MATCH(C2304,Levels!$B$2:$B$30,0)),""))</f>
        <v/>
      </c>
      <c r="G2304" s="6" t="n"/>
      <c r="H2304" s="10">
        <f>IF(AND(B2304="",C2304=""),"",IF(G2304&lt;&gt;"","Void",IF(OR(B2304="",E2304=""),"Needs child",IF(D2304="","Needs level","OK"))))</f>
        <v/>
      </c>
    </row>
    <row r="2305">
      <c r="A2305" s="6" t="n"/>
      <c r="B2305" s="6" t="n"/>
      <c r="C2305" s="6" t="n"/>
      <c r="D2305" s="11">
        <f>IF(C2305="","",IFERROR(INDEX(Levels!$A$2:$A$30,MATCH(C2305,Levels!$B$2:$B$30,0)),""))</f>
        <v/>
      </c>
      <c r="E2305" s="10">
        <f>IF(B2305="","",IFERROR(INDEX(Roster!$A$2:$A$600,MATCH(B2305,Roster!$E$2:$E$600,0)),""))</f>
        <v/>
      </c>
      <c r="F2305" s="10">
        <f>IF(C2305="","",IFERROR(INDEX(Levels!$C$2:$C$30,MATCH(C2305,Levels!$B$2:$B$30,0)),""))</f>
        <v/>
      </c>
      <c r="G2305" s="6" t="n"/>
      <c r="H2305" s="10">
        <f>IF(AND(B2305="",C2305=""),"",IF(G2305&lt;&gt;"","Void",IF(OR(B2305="",E2305=""),"Needs child",IF(D2305="","Needs level","OK"))))</f>
        <v/>
      </c>
    </row>
    <row r="2306">
      <c r="A2306" s="6" t="n"/>
      <c r="B2306" s="6" t="n"/>
      <c r="C2306" s="6" t="n"/>
      <c r="D2306" s="11">
        <f>IF(C2306="","",IFERROR(INDEX(Levels!$A$2:$A$30,MATCH(C2306,Levels!$B$2:$B$30,0)),""))</f>
        <v/>
      </c>
      <c r="E2306" s="10">
        <f>IF(B2306="","",IFERROR(INDEX(Roster!$A$2:$A$600,MATCH(B2306,Roster!$E$2:$E$600,0)),""))</f>
        <v/>
      </c>
      <c r="F2306" s="10">
        <f>IF(C2306="","",IFERROR(INDEX(Levels!$C$2:$C$30,MATCH(C2306,Levels!$B$2:$B$30,0)),""))</f>
        <v/>
      </c>
      <c r="G2306" s="6" t="n"/>
      <c r="H2306" s="10">
        <f>IF(AND(B2306="",C2306=""),"",IF(G2306&lt;&gt;"","Void",IF(OR(B2306="",E2306=""),"Needs child",IF(D2306="","Needs level","OK"))))</f>
        <v/>
      </c>
    </row>
    <row r="2307">
      <c r="A2307" s="6" t="n"/>
      <c r="B2307" s="6" t="n"/>
      <c r="C2307" s="6" t="n"/>
      <c r="D2307" s="11">
        <f>IF(C2307="","",IFERROR(INDEX(Levels!$A$2:$A$30,MATCH(C2307,Levels!$B$2:$B$30,0)),""))</f>
        <v/>
      </c>
      <c r="E2307" s="10">
        <f>IF(B2307="","",IFERROR(INDEX(Roster!$A$2:$A$600,MATCH(B2307,Roster!$E$2:$E$600,0)),""))</f>
        <v/>
      </c>
      <c r="F2307" s="10">
        <f>IF(C2307="","",IFERROR(INDEX(Levels!$C$2:$C$30,MATCH(C2307,Levels!$B$2:$B$30,0)),""))</f>
        <v/>
      </c>
      <c r="G2307" s="6" t="n"/>
      <c r="H2307" s="10">
        <f>IF(AND(B2307="",C2307=""),"",IF(G2307&lt;&gt;"","Void",IF(OR(B2307="",E2307=""),"Needs child",IF(D2307="","Needs level","OK"))))</f>
        <v/>
      </c>
    </row>
    <row r="2308">
      <c r="A2308" s="6" t="n"/>
      <c r="B2308" s="6" t="n"/>
      <c r="C2308" s="6" t="n"/>
      <c r="D2308" s="11">
        <f>IF(C2308="","",IFERROR(INDEX(Levels!$A$2:$A$30,MATCH(C2308,Levels!$B$2:$B$30,0)),""))</f>
        <v/>
      </c>
      <c r="E2308" s="10">
        <f>IF(B2308="","",IFERROR(INDEX(Roster!$A$2:$A$600,MATCH(B2308,Roster!$E$2:$E$600,0)),""))</f>
        <v/>
      </c>
      <c r="F2308" s="10">
        <f>IF(C2308="","",IFERROR(INDEX(Levels!$C$2:$C$30,MATCH(C2308,Levels!$B$2:$B$30,0)),""))</f>
        <v/>
      </c>
      <c r="G2308" s="6" t="n"/>
      <c r="H2308" s="10">
        <f>IF(AND(B2308="",C2308=""),"",IF(G2308&lt;&gt;"","Void",IF(OR(B2308="",E2308=""),"Needs child",IF(D2308="","Needs level","OK"))))</f>
        <v/>
      </c>
    </row>
    <row r="2309">
      <c r="A2309" s="6" t="n"/>
      <c r="B2309" s="6" t="n"/>
      <c r="C2309" s="6" t="n"/>
      <c r="D2309" s="11">
        <f>IF(C2309="","",IFERROR(INDEX(Levels!$A$2:$A$30,MATCH(C2309,Levels!$B$2:$B$30,0)),""))</f>
        <v/>
      </c>
      <c r="E2309" s="10">
        <f>IF(B2309="","",IFERROR(INDEX(Roster!$A$2:$A$600,MATCH(B2309,Roster!$E$2:$E$600,0)),""))</f>
        <v/>
      </c>
      <c r="F2309" s="10">
        <f>IF(C2309="","",IFERROR(INDEX(Levels!$C$2:$C$30,MATCH(C2309,Levels!$B$2:$B$30,0)),""))</f>
        <v/>
      </c>
      <c r="G2309" s="6" t="n"/>
      <c r="H2309" s="10">
        <f>IF(AND(B2309="",C2309=""),"",IF(G2309&lt;&gt;"","Void",IF(OR(B2309="",E2309=""),"Needs child",IF(D2309="","Needs level","OK"))))</f>
        <v/>
      </c>
    </row>
    <row r="2310">
      <c r="A2310" s="6" t="n"/>
      <c r="B2310" s="6" t="n"/>
      <c r="C2310" s="6" t="n"/>
      <c r="D2310" s="11">
        <f>IF(C2310="","",IFERROR(INDEX(Levels!$A$2:$A$30,MATCH(C2310,Levels!$B$2:$B$30,0)),""))</f>
        <v/>
      </c>
      <c r="E2310" s="10">
        <f>IF(B2310="","",IFERROR(INDEX(Roster!$A$2:$A$600,MATCH(B2310,Roster!$E$2:$E$600,0)),""))</f>
        <v/>
      </c>
      <c r="F2310" s="10">
        <f>IF(C2310="","",IFERROR(INDEX(Levels!$C$2:$C$30,MATCH(C2310,Levels!$B$2:$B$30,0)),""))</f>
        <v/>
      </c>
      <c r="G2310" s="6" t="n"/>
      <c r="H2310" s="10">
        <f>IF(AND(B2310="",C2310=""),"",IF(G2310&lt;&gt;"","Void",IF(OR(B2310="",E2310=""),"Needs child",IF(D2310="","Needs level","OK"))))</f>
        <v/>
      </c>
    </row>
    <row r="2311">
      <c r="A2311" s="6" t="n"/>
      <c r="B2311" s="6" t="n"/>
      <c r="C2311" s="6" t="n"/>
      <c r="D2311" s="11">
        <f>IF(C2311="","",IFERROR(INDEX(Levels!$A$2:$A$30,MATCH(C2311,Levels!$B$2:$B$30,0)),""))</f>
        <v/>
      </c>
      <c r="E2311" s="10">
        <f>IF(B2311="","",IFERROR(INDEX(Roster!$A$2:$A$600,MATCH(B2311,Roster!$E$2:$E$600,0)),""))</f>
        <v/>
      </c>
      <c r="F2311" s="10">
        <f>IF(C2311="","",IFERROR(INDEX(Levels!$C$2:$C$30,MATCH(C2311,Levels!$B$2:$B$30,0)),""))</f>
        <v/>
      </c>
      <c r="G2311" s="6" t="n"/>
      <c r="H2311" s="10">
        <f>IF(AND(B2311="",C2311=""),"",IF(G2311&lt;&gt;"","Void",IF(OR(B2311="",E2311=""),"Needs child",IF(D2311="","Needs level","OK"))))</f>
        <v/>
      </c>
    </row>
    <row r="2312">
      <c r="A2312" s="6" t="n"/>
      <c r="B2312" s="6" t="n"/>
      <c r="C2312" s="6" t="n"/>
      <c r="D2312" s="11">
        <f>IF(C2312="","",IFERROR(INDEX(Levels!$A$2:$A$30,MATCH(C2312,Levels!$B$2:$B$30,0)),""))</f>
        <v/>
      </c>
      <c r="E2312" s="10">
        <f>IF(B2312="","",IFERROR(INDEX(Roster!$A$2:$A$600,MATCH(B2312,Roster!$E$2:$E$600,0)),""))</f>
        <v/>
      </c>
      <c r="F2312" s="10">
        <f>IF(C2312="","",IFERROR(INDEX(Levels!$C$2:$C$30,MATCH(C2312,Levels!$B$2:$B$30,0)),""))</f>
        <v/>
      </c>
      <c r="G2312" s="6" t="n"/>
      <c r="H2312" s="10">
        <f>IF(AND(B2312="",C2312=""),"",IF(G2312&lt;&gt;"","Void",IF(OR(B2312="",E2312=""),"Needs child",IF(D2312="","Needs level","OK"))))</f>
        <v/>
      </c>
    </row>
    <row r="2313">
      <c r="A2313" s="6" t="n"/>
      <c r="B2313" s="6" t="n"/>
      <c r="C2313" s="6" t="n"/>
      <c r="D2313" s="11">
        <f>IF(C2313="","",IFERROR(INDEX(Levels!$A$2:$A$30,MATCH(C2313,Levels!$B$2:$B$30,0)),""))</f>
        <v/>
      </c>
      <c r="E2313" s="10">
        <f>IF(B2313="","",IFERROR(INDEX(Roster!$A$2:$A$600,MATCH(B2313,Roster!$E$2:$E$600,0)),""))</f>
        <v/>
      </c>
      <c r="F2313" s="10">
        <f>IF(C2313="","",IFERROR(INDEX(Levels!$C$2:$C$30,MATCH(C2313,Levels!$B$2:$B$30,0)),""))</f>
        <v/>
      </c>
      <c r="G2313" s="6" t="n"/>
      <c r="H2313" s="10">
        <f>IF(AND(B2313="",C2313=""),"",IF(G2313&lt;&gt;"","Void",IF(OR(B2313="",E2313=""),"Needs child",IF(D2313="","Needs level","OK"))))</f>
        <v/>
      </c>
    </row>
    <row r="2314">
      <c r="A2314" s="6" t="n"/>
      <c r="B2314" s="6" t="n"/>
      <c r="C2314" s="6" t="n"/>
      <c r="D2314" s="11">
        <f>IF(C2314="","",IFERROR(INDEX(Levels!$A$2:$A$30,MATCH(C2314,Levels!$B$2:$B$30,0)),""))</f>
        <v/>
      </c>
      <c r="E2314" s="10">
        <f>IF(B2314="","",IFERROR(INDEX(Roster!$A$2:$A$600,MATCH(B2314,Roster!$E$2:$E$600,0)),""))</f>
        <v/>
      </c>
      <c r="F2314" s="10">
        <f>IF(C2314="","",IFERROR(INDEX(Levels!$C$2:$C$30,MATCH(C2314,Levels!$B$2:$B$30,0)),""))</f>
        <v/>
      </c>
      <c r="G2314" s="6" t="n"/>
      <c r="H2314" s="10">
        <f>IF(AND(B2314="",C2314=""),"",IF(G2314&lt;&gt;"","Void",IF(OR(B2314="",E2314=""),"Needs child",IF(D2314="","Needs level","OK"))))</f>
        <v/>
      </c>
    </row>
    <row r="2315">
      <c r="A2315" s="6" t="n"/>
      <c r="B2315" s="6" t="n"/>
      <c r="C2315" s="6" t="n"/>
      <c r="D2315" s="11">
        <f>IF(C2315="","",IFERROR(INDEX(Levels!$A$2:$A$30,MATCH(C2315,Levels!$B$2:$B$30,0)),""))</f>
        <v/>
      </c>
      <c r="E2315" s="10">
        <f>IF(B2315="","",IFERROR(INDEX(Roster!$A$2:$A$600,MATCH(B2315,Roster!$E$2:$E$600,0)),""))</f>
        <v/>
      </c>
      <c r="F2315" s="10">
        <f>IF(C2315="","",IFERROR(INDEX(Levels!$C$2:$C$30,MATCH(C2315,Levels!$B$2:$B$30,0)),""))</f>
        <v/>
      </c>
      <c r="G2315" s="6" t="n"/>
      <c r="H2315" s="10">
        <f>IF(AND(B2315="",C2315=""),"",IF(G2315&lt;&gt;"","Void",IF(OR(B2315="",E2315=""),"Needs child",IF(D2315="","Needs level","OK"))))</f>
        <v/>
      </c>
    </row>
    <row r="2316">
      <c r="A2316" s="6" t="n"/>
      <c r="B2316" s="6" t="n"/>
      <c r="C2316" s="6" t="n"/>
      <c r="D2316" s="11">
        <f>IF(C2316="","",IFERROR(INDEX(Levels!$A$2:$A$30,MATCH(C2316,Levels!$B$2:$B$30,0)),""))</f>
        <v/>
      </c>
      <c r="E2316" s="10">
        <f>IF(B2316="","",IFERROR(INDEX(Roster!$A$2:$A$600,MATCH(B2316,Roster!$E$2:$E$600,0)),""))</f>
        <v/>
      </c>
      <c r="F2316" s="10">
        <f>IF(C2316="","",IFERROR(INDEX(Levels!$C$2:$C$30,MATCH(C2316,Levels!$B$2:$B$30,0)),""))</f>
        <v/>
      </c>
      <c r="G2316" s="6" t="n"/>
      <c r="H2316" s="10">
        <f>IF(AND(B2316="",C2316=""),"",IF(G2316&lt;&gt;"","Void",IF(OR(B2316="",E2316=""),"Needs child",IF(D2316="","Needs level","OK"))))</f>
        <v/>
      </c>
    </row>
    <row r="2317">
      <c r="A2317" s="6" t="n"/>
      <c r="B2317" s="6" t="n"/>
      <c r="C2317" s="6" t="n"/>
      <c r="D2317" s="11">
        <f>IF(C2317="","",IFERROR(INDEX(Levels!$A$2:$A$30,MATCH(C2317,Levels!$B$2:$B$30,0)),""))</f>
        <v/>
      </c>
      <c r="E2317" s="10">
        <f>IF(B2317="","",IFERROR(INDEX(Roster!$A$2:$A$600,MATCH(B2317,Roster!$E$2:$E$600,0)),""))</f>
        <v/>
      </c>
      <c r="F2317" s="10">
        <f>IF(C2317="","",IFERROR(INDEX(Levels!$C$2:$C$30,MATCH(C2317,Levels!$B$2:$B$30,0)),""))</f>
        <v/>
      </c>
      <c r="G2317" s="6" t="n"/>
      <c r="H2317" s="10">
        <f>IF(AND(B2317="",C2317=""),"",IF(G2317&lt;&gt;"","Void",IF(OR(B2317="",E2317=""),"Needs child",IF(D2317="","Needs level","OK"))))</f>
        <v/>
      </c>
    </row>
    <row r="2318">
      <c r="A2318" s="6" t="n"/>
      <c r="B2318" s="6" t="n"/>
      <c r="C2318" s="6" t="n"/>
      <c r="D2318" s="11">
        <f>IF(C2318="","",IFERROR(INDEX(Levels!$A$2:$A$30,MATCH(C2318,Levels!$B$2:$B$30,0)),""))</f>
        <v/>
      </c>
      <c r="E2318" s="10">
        <f>IF(B2318="","",IFERROR(INDEX(Roster!$A$2:$A$600,MATCH(B2318,Roster!$E$2:$E$600,0)),""))</f>
        <v/>
      </c>
      <c r="F2318" s="10">
        <f>IF(C2318="","",IFERROR(INDEX(Levels!$C$2:$C$30,MATCH(C2318,Levels!$B$2:$B$30,0)),""))</f>
        <v/>
      </c>
      <c r="G2318" s="6" t="n"/>
      <c r="H2318" s="10">
        <f>IF(AND(B2318="",C2318=""),"",IF(G2318&lt;&gt;"","Void",IF(OR(B2318="",E2318=""),"Needs child",IF(D2318="","Needs level","OK"))))</f>
        <v/>
      </c>
    </row>
    <row r="2319">
      <c r="A2319" s="6" t="n"/>
      <c r="B2319" s="6" t="n"/>
      <c r="C2319" s="6" t="n"/>
      <c r="D2319" s="11">
        <f>IF(C2319="","",IFERROR(INDEX(Levels!$A$2:$A$30,MATCH(C2319,Levels!$B$2:$B$30,0)),""))</f>
        <v/>
      </c>
      <c r="E2319" s="10">
        <f>IF(B2319="","",IFERROR(INDEX(Roster!$A$2:$A$600,MATCH(B2319,Roster!$E$2:$E$600,0)),""))</f>
        <v/>
      </c>
      <c r="F2319" s="10">
        <f>IF(C2319="","",IFERROR(INDEX(Levels!$C$2:$C$30,MATCH(C2319,Levels!$B$2:$B$30,0)),""))</f>
        <v/>
      </c>
      <c r="G2319" s="6" t="n"/>
      <c r="H2319" s="10">
        <f>IF(AND(B2319="",C2319=""),"",IF(G2319&lt;&gt;"","Void",IF(OR(B2319="",E2319=""),"Needs child",IF(D2319="","Needs level","OK"))))</f>
        <v/>
      </c>
    </row>
    <row r="2320">
      <c r="A2320" s="6" t="n"/>
      <c r="B2320" s="6" t="n"/>
      <c r="C2320" s="6" t="n"/>
      <c r="D2320" s="11">
        <f>IF(C2320="","",IFERROR(INDEX(Levels!$A$2:$A$30,MATCH(C2320,Levels!$B$2:$B$30,0)),""))</f>
        <v/>
      </c>
      <c r="E2320" s="10">
        <f>IF(B2320="","",IFERROR(INDEX(Roster!$A$2:$A$600,MATCH(B2320,Roster!$E$2:$E$600,0)),""))</f>
        <v/>
      </c>
      <c r="F2320" s="10">
        <f>IF(C2320="","",IFERROR(INDEX(Levels!$C$2:$C$30,MATCH(C2320,Levels!$B$2:$B$30,0)),""))</f>
        <v/>
      </c>
      <c r="G2320" s="6" t="n"/>
      <c r="H2320" s="10">
        <f>IF(AND(B2320="",C2320=""),"",IF(G2320&lt;&gt;"","Void",IF(OR(B2320="",E2320=""),"Needs child",IF(D2320="","Needs level","OK"))))</f>
        <v/>
      </c>
    </row>
    <row r="2321">
      <c r="A2321" s="6" t="n"/>
      <c r="B2321" s="6" t="n"/>
      <c r="C2321" s="6" t="n"/>
      <c r="D2321" s="11">
        <f>IF(C2321="","",IFERROR(INDEX(Levels!$A$2:$A$30,MATCH(C2321,Levels!$B$2:$B$30,0)),""))</f>
        <v/>
      </c>
      <c r="E2321" s="10">
        <f>IF(B2321="","",IFERROR(INDEX(Roster!$A$2:$A$600,MATCH(B2321,Roster!$E$2:$E$600,0)),""))</f>
        <v/>
      </c>
      <c r="F2321" s="10">
        <f>IF(C2321="","",IFERROR(INDEX(Levels!$C$2:$C$30,MATCH(C2321,Levels!$B$2:$B$30,0)),""))</f>
        <v/>
      </c>
      <c r="G2321" s="6" t="n"/>
      <c r="H2321" s="10">
        <f>IF(AND(B2321="",C2321=""),"",IF(G2321&lt;&gt;"","Void",IF(OR(B2321="",E2321=""),"Needs child",IF(D2321="","Needs level","OK"))))</f>
        <v/>
      </c>
    </row>
    <row r="2322">
      <c r="A2322" s="6" t="n"/>
      <c r="B2322" s="6" t="n"/>
      <c r="C2322" s="6" t="n"/>
      <c r="D2322" s="11">
        <f>IF(C2322="","",IFERROR(INDEX(Levels!$A$2:$A$30,MATCH(C2322,Levels!$B$2:$B$30,0)),""))</f>
        <v/>
      </c>
      <c r="E2322" s="10">
        <f>IF(B2322="","",IFERROR(INDEX(Roster!$A$2:$A$600,MATCH(B2322,Roster!$E$2:$E$600,0)),""))</f>
        <v/>
      </c>
      <c r="F2322" s="10">
        <f>IF(C2322="","",IFERROR(INDEX(Levels!$C$2:$C$30,MATCH(C2322,Levels!$B$2:$B$30,0)),""))</f>
        <v/>
      </c>
      <c r="G2322" s="6" t="n"/>
      <c r="H2322" s="10">
        <f>IF(AND(B2322="",C2322=""),"",IF(G2322&lt;&gt;"","Void",IF(OR(B2322="",E2322=""),"Needs child",IF(D2322="","Needs level","OK"))))</f>
        <v/>
      </c>
    </row>
    <row r="2323">
      <c r="A2323" s="6" t="n"/>
      <c r="B2323" s="6" t="n"/>
      <c r="C2323" s="6" t="n"/>
      <c r="D2323" s="11">
        <f>IF(C2323="","",IFERROR(INDEX(Levels!$A$2:$A$30,MATCH(C2323,Levels!$B$2:$B$30,0)),""))</f>
        <v/>
      </c>
      <c r="E2323" s="10">
        <f>IF(B2323="","",IFERROR(INDEX(Roster!$A$2:$A$600,MATCH(B2323,Roster!$E$2:$E$600,0)),""))</f>
        <v/>
      </c>
      <c r="F2323" s="10">
        <f>IF(C2323="","",IFERROR(INDEX(Levels!$C$2:$C$30,MATCH(C2323,Levels!$B$2:$B$30,0)),""))</f>
        <v/>
      </c>
      <c r="G2323" s="6" t="n"/>
      <c r="H2323" s="10">
        <f>IF(AND(B2323="",C2323=""),"",IF(G2323&lt;&gt;"","Void",IF(OR(B2323="",E2323=""),"Needs child",IF(D2323="","Needs level","OK"))))</f>
        <v/>
      </c>
    </row>
    <row r="2324">
      <c r="A2324" s="6" t="n"/>
      <c r="B2324" s="6" t="n"/>
      <c r="C2324" s="6" t="n"/>
      <c r="D2324" s="11">
        <f>IF(C2324="","",IFERROR(INDEX(Levels!$A$2:$A$30,MATCH(C2324,Levels!$B$2:$B$30,0)),""))</f>
        <v/>
      </c>
      <c r="E2324" s="10">
        <f>IF(B2324="","",IFERROR(INDEX(Roster!$A$2:$A$600,MATCH(B2324,Roster!$E$2:$E$600,0)),""))</f>
        <v/>
      </c>
      <c r="F2324" s="10">
        <f>IF(C2324="","",IFERROR(INDEX(Levels!$C$2:$C$30,MATCH(C2324,Levels!$B$2:$B$30,0)),""))</f>
        <v/>
      </c>
      <c r="G2324" s="6" t="n"/>
      <c r="H2324" s="10">
        <f>IF(AND(B2324="",C2324=""),"",IF(G2324&lt;&gt;"","Void",IF(OR(B2324="",E2324=""),"Needs child",IF(D2324="","Needs level","OK"))))</f>
        <v/>
      </c>
    </row>
    <row r="2325">
      <c r="A2325" s="6" t="n"/>
      <c r="B2325" s="6" t="n"/>
      <c r="C2325" s="6" t="n"/>
      <c r="D2325" s="11">
        <f>IF(C2325="","",IFERROR(INDEX(Levels!$A$2:$A$30,MATCH(C2325,Levels!$B$2:$B$30,0)),""))</f>
        <v/>
      </c>
      <c r="E2325" s="10">
        <f>IF(B2325="","",IFERROR(INDEX(Roster!$A$2:$A$600,MATCH(B2325,Roster!$E$2:$E$600,0)),""))</f>
        <v/>
      </c>
      <c r="F2325" s="10">
        <f>IF(C2325="","",IFERROR(INDEX(Levels!$C$2:$C$30,MATCH(C2325,Levels!$B$2:$B$30,0)),""))</f>
        <v/>
      </c>
      <c r="G2325" s="6" t="n"/>
      <c r="H2325" s="10">
        <f>IF(AND(B2325="",C2325=""),"",IF(G2325&lt;&gt;"","Void",IF(OR(B2325="",E2325=""),"Needs child",IF(D2325="","Needs level","OK"))))</f>
        <v/>
      </c>
    </row>
    <row r="2326">
      <c r="A2326" s="6" t="n"/>
      <c r="B2326" s="6" t="n"/>
      <c r="C2326" s="6" t="n"/>
      <c r="D2326" s="11">
        <f>IF(C2326="","",IFERROR(INDEX(Levels!$A$2:$A$30,MATCH(C2326,Levels!$B$2:$B$30,0)),""))</f>
        <v/>
      </c>
      <c r="E2326" s="10">
        <f>IF(B2326="","",IFERROR(INDEX(Roster!$A$2:$A$600,MATCH(B2326,Roster!$E$2:$E$600,0)),""))</f>
        <v/>
      </c>
      <c r="F2326" s="10">
        <f>IF(C2326="","",IFERROR(INDEX(Levels!$C$2:$C$30,MATCH(C2326,Levels!$B$2:$B$30,0)),""))</f>
        <v/>
      </c>
      <c r="G2326" s="6" t="n"/>
      <c r="H2326" s="10">
        <f>IF(AND(B2326="",C2326=""),"",IF(G2326&lt;&gt;"","Void",IF(OR(B2326="",E2326=""),"Needs child",IF(D2326="","Needs level","OK"))))</f>
        <v/>
      </c>
    </row>
    <row r="2327">
      <c r="A2327" s="6" t="n"/>
      <c r="B2327" s="6" t="n"/>
      <c r="C2327" s="6" t="n"/>
      <c r="D2327" s="11">
        <f>IF(C2327="","",IFERROR(INDEX(Levels!$A$2:$A$30,MATCH(C2327,Levels!$B$2:$B$30,0)),""))</f>
        <v/>
      </c>
      <c r="E2327" s="10">
        <f>IF(B2327="","",IFERROR(INDEX(Roster!$A$2:$A$600,MATCH(B2327,Roster!$E$2:$E$600,0)),""))</f>
        <v/>
      </c>
      <c r="F2327" s="10">
        <f>IF(C2327="","",IFERROR(INDEX(Levels!$C$2:$C$30,MATCH(C2327,Levels!$B$2:$B$30,0)),""))</f>
        <v/>
      </c>
      <c r="G2327" s="6" t="n"/>
      <c r="H2327" s="10">
        <f>IF(AND(B2327="",C2327=""),"",IF(G2327&lt;&gt;"","Void",IF(OR(B2327="",E2327=""),"Needs child",IF(D2327="","Needs level","OK"))))</f>
        <v/>
      </c>
    </row>
    <row r="2328">
      <c r="A2328" s="6" t="n"/>
      <c r="B2328" s="6" t="n"/>
      <c r="C2328" s="6" t="n"/>
      <c r="D2328" s="11">
        <f>IF(C2328="","",IFERROR(INDEX(Levels!$A$2:$A$30,MATCH(C2328,Levels!$B$2:$B$30,0)),""))</f>
        <v/>
      </c>
      <c r="E2328" s="10">
        <f>IF(B2328="","",IFERROR(INDEX(Roster!$A$2:$A$600,MATCH(B2328,Roster!$E$2:$E$600,0)),""))</f>
        <v/>
      </c>
      <c r="F2328" s="10">
        <f>IF(C2328="","",IFERROR(INDEX(Levels!$C$2:$C$30,MATCH(C2328,Levels!$B$2:$B$30,0)),""))</f>
        <v/>
      </c>
      <c r="G2328" s="6" t="n"/>
      <c r="H2328" s="10">
        <f>IF(AND(B2328="",C2328=""),"",IF(G2328&lt;&gt;"","Void",IF(OR(B2328="",E2328=""),"Needs child",IF(D2328="","Needs level","OK"))))</f>
        <v/>
      </c>
    </row>
    <row r="2329">
      <c r="A2329" s="6" t="n"/>
      <c r="B2329" s="6" t="n"/>
      <c r="C2329" s="6" t="n"/>
      <c r="D2329" s="11">
        <f>IF(C2329="","",IFERROR(INDEX(Levels!$A$2:$A$30,MATCH(C2329,Levels!$B$2:$B$30,0)),""))</f>
        <v/>
      </c>
      <c r="E2329" s="10">
        <f>IF(B2329="","",IFERROR(INDEX(Roster!$A$2:$A$600,MATCH(B2329,Roster!$E$2:$E$600,0)),""))</f>
        <v/>
      </c>
      <c r="F2329" s="10">
        <f>IF(C2329="","",IFERROR(INDEX(Levels!$C$2:$C$30,MATCH(C2329,Levels!$B$2:$B$30,0)),""))</f>
        <v/>
      </c>
      <c r="G2329" s="6" t="n"/>
      <c r="H2329" s="10">
        <f>IF(AND(B2329="",C2329=""),"",IF(G2329&lt;&gt;"","Void",IF(OR(B2329="",E2329=""),"Needs child",IF(D2329="","Needs level","OK"))))</f>
        <v/>
      </c>
    </row>
    <row r="2330">
      <c r="A2330" s="6" t="n"/>
      <c r="B2330" s="6" t="n"/>
      <c r="C2330" s="6" t="n"/>
      <c r="D2330" s="11">
        <f>IF(C2330="","",IFERROR(INDEX(Levels!$A$2:$A$30,MATCH(C2330,Levels!$B$2:$B$30,0)),""))</f>
        <v/>
      </c>
      <c r="E2330" s="10">
        <f>IF(B2330="","",IFERROR(INDEX(Roster!$A$2:$A$600,MATCH(B2330,Roster!$E$2:$E$600,0)),""))</f>
        <v/>
      </c>
      <c r="F2330" s="10">
        <f>IF(C2330="","",IFERROR(INDEX(Levels!$C$2:$C$30,MATCH(C2330,Levels!$B$2:$B$30,0)),""))</f>
        <v/>
      </c>
      <c r="G2330" s="6" t="n"/>
      <c r="H2330" s="10">
        <f>IF(AND(B2330="",C2330=""),"",IF(G2330&lt;&gt;"","Void",IF(OR(B2330="",E2330=""),"Needs child",IF(D2330="","Needs level","OK"))))</f>
        <v/>
      </c>
    </row>
    <row r="2331">
      <c r="A2331" s="6" t="n"/>
      <c r="B2331" s="6" t="n"/>
      <c r="C2331" s="6" t="n"/>
      <c r="D2331" s="11">
        <f>IF(C2331="","",IFERROR(INDEX(Levels!$A$2:$A$30,MATCH(C2331,Levels!$B$2:$B$30,0)),""))</f>
        <v/>
      </c>
      <c r="E2331" s="10">
        <f>IF(B2331="","",IFERROR(INDEX(Roster!$A$2:$A$600,MATCH(B2331,Roster!$E$2:$E$600,0)),""))</f>
        <v/>
      </c>
      <c r="F2331" s="10">
        <f>IF(C2331="","",IFERROR(INDEX(Levels!$C$2:$C$30,MATCH(C2331,Levels!$B$2:$B$30,0)),""))</f>
        <v/>
      </c>
      <c r="G2331" s="6" t="n"/>
      <c r="H2331" s="10">
        <f>IF(AND(B2331="",C2331=""),"",IF(G2331&lt;&gt;"","Void",IF(OR(B2331="",E2331=""),"Needs child",IF(D2331="","Needs level","OK"))))</f>
        <v/>
      </c>
    </row>
    <row r="2332">
      <c r="A2332" s="6" t="n"/>
      <c r="B2332" s="6" t="n"/>
      <c r="C2332" s="6" t="n"/>
      <c r="D2332" s="11">
        <f>IF(C2332="","",IFERROR(INDEX(Levels!$A$2:$A$30,MATCH(C2332,Levels!$B$2:$B$30,0)),""))</f>
        <v/>
      </c>
      <c r="E2332" s="10">
        <f>IF(B2332="","",IFERROR(INDEX(Roster!$A$2:$A$600,MATCH(B2332,Roster!$E$2:$E$600,0)),""))</f>
        <v/>
      </c>
      <c r="F2332" s="10">
        <f>IF(C2332="","",IFERROR(INDEX(Levels!$C$2:$C$30,MATCH(C2332,Levels!$B$2:$B$30,0)),""))</f>
        <v/>
      </c>
      <c r="G2332" s="6" t="n"/>
      <c r="H2332" s="10">
        <f>IF(AND(B2332="",C2332=""),"",IF(G2332&lt;&gt;"","Void",IF(OR(B2332="",E2332=""),"Needs child",IF(D2332="","Needs level","OK"))))</f>
        <v/>
      </c>
    </row>
    <row r="2333">
      <c r="A2333" s="6" t="n"/>
      <c r="B2333" s="6" t="n"/>
      <c r="C2333" s="6" t="n"/>
      <c r="D2333" s="11">
        <f>IF(C2333="","",IFERROR(INDEX(Levels!$A$2:$A$30,MATCH(C2333,Levels!$B$2:$B$30,0)),""))</f>
        <v/>
      </c>
      <c r="E2333" s="10">
        <f>IF(B2333="","",IFERROR(INDEX(Roster!$A$2:$A$600,MATCH(B2333,Roster!$E$2:$E$600,0)),""))</f>
        <v/>
      </c>
      <c r="F2333" s="10">
        <f>IF(C2333="","",IFERROR(INDEX(Levels!$C$2:$C$30,MATCH(C2333,Levels!$B$2:$B$30,0)),""))</f>
        <v/>
      </c>
      <c r="G2333" s="6" t="n"/>
      <c r="H2333" s="10">
        <f>IF(AND(B2333="",C2333=""),"",IF(G2333&lt;&gt;"","Void",IF(OR(B2333="",E2333=""),"Needs child",IF(D2333="","Needs level","OK"))))</f>
        <v/>
      </c>
    </row>
    <row r="2334">
      <c r="A2334" s="6" t="n"/>
      <c r="B2334" s="6" t="n"/>
      <c r="C2334" s="6" t="n"/>
      <c r="D2334" s="11">
        <f>IF(C2334="","",IFERROR(INDEX(Levels!$A$2:$A$30,MATCH(C2334,Levels!$B$2:$B$30,0)),""))</f>
        <v/>
      </c>
      <c r="E2334" s="10">
        <f>IF(B2334="","",IFERROR(INDEX(Roster!$A$2:$A$600,MATCH(B2334,Roster!$E$2:$E$600,0)),""))</f>
        <v/>
      </c>
      <c r="F2334" s="10">
        <f>IF(C2334="","",IFERROR(INDEX(Levels!$C$2:$C$30,MATCH(C2334,Levels!$B$2:$B$30,0)),""))</f>
        <v/>
      </c>
      <c r="G2334" s="6" t="n"/>
      <c r="H2334" s="10">
        <f>IF(AND(B2334="",C2334=""),"",IF(G2334&lt;&gt;"","Void",IF(OR(B2334="",E2334=""),"Needs child",IF(D2334="","Needs level","OK"))))</f>
        <v/>
      </c>
    </row>
    <row r="2335">
      <c r="A2335" s="6" t="n"/>
      <c r="B2335" s="6" t="n"/>
      <c r="C2335" s="6" t="n"/>
      <c r="D2335" s="11">
        <f>IF(C2335="","",IFERROR(INDEX(Levels!$A$2:$A$30,MATCH(C2335,Levels!$B$2:$B$30,0)),""))</f>
        <v/>
      </c>
      <c r="E2335" s="10">
        <f>IF(B2335="","",IFERROR(INDEX(Roster!$A$2:$A$600,MATCH(B2335,Roster!$E$2:$E$600,0)),""))</f>
        <v/>
      </c>
      <c r="F2335" s="10">
        <f>IF(C2335="","",IFERROR(INDEX(Levels!$C$2:$C$30,MATCH(C2335,Levels!$B$2:$B$30,0)),""))</f>
        <v/>
      </c>
      <c r="G2335" s="6" t="n"/>
      <c r="H2335" s="10">
        <f>IF(AND(B2335="",C2335=""),"",IF(G2335&lt;&gt;"","Void",IF(OR(B2335="",E2335=""),"Needs child",IF(D2335="","Needs level","OK"))))</f>
        <v/>
      </c>
    </row>
    <row r="2336">
      <c r="A2336" s="6" t="n"/>
      <c r="B2336" s="6" t="n"/>
      <c r="C2336" s="6" t="n"/>
      <c r="D2336" s="11">
        <f>IF(C2336="","",IFERROR(INDEX(Levels!$A$2:$A$30,MATCH(C2336,Levels!$B$2:$B$30,0)),""))</f>
        <v/>
      </c>
      <c r="E2336" s="10">
        <f>IF(B2336="","",IFERROR(INDEX(Roster!$A$2:$A$600,MATCH(B2336,Roster!$E$2:$E$600,0)),""))</f>
        <v/>
      </c>
      <c r="F2336" s="10">
        <f>IF(C2336="","",IFERROR(INDEX(Levels!$C$2:$C$30,MATCH(C2336,Levels!$B$2:$B$30,0)),""))</f>
        <v/>
      </c>
      <c r="G2336" s="6" t="n"/>
      <c r="H2336" s="10">
        <f>IF(AND(B2336="",C2336=""),"",IF(G2336&lt;&gt;"","Void",IF(OR(B2336="",E2336=""),"Needs child",IF(D2336="","Needs level","OK"))))</f>
        <v/>
      </c>
    </row>
    <row r="2337">
      <c r="A2337" s="6" t="n"/>
      <c r="B2337" s="6" t="n"/>
      <c r="C2337" s="6" t="n"/>
      <c r="D2337" s="11">
        <f>IF(C2337="","",IFERROR(INDEX(Levels!$A$2:$A$30,MATCH(C2337,Levels!$B$2:$B$30,0)),""))</f>
        <v/>
      </c>
      <c r="E2337" s="10">
        <f>IF(B2337="","",IFERROR(INDEX(Roster!$A$2:$A$600,MATCH(B2337,Roster!$E$2:$E$600,0)),""))</f>
        <v/>
      </c>
      <c r="F2337" s="10">
        <f>IF(C2337="","",IFERROR(INDEX(Levels!$C$2:$C$30,MATCH(C2337,Levels!$B$2:$B$30,0)),""))</f>
        <v/>
      </c>
      <c r="G2337" s="6" t="n"/>
      <c r="H2337" s="10">
        <f>IF(AND(B2337="",C2337=""),"",IF(G2337&lt;&gt;"","Void",IF(OR(B2337="",E2337=""),"Needs child",IF(D2337="","Needs level","OK"))))</f>
        <v/>
      </c>
    </row>
    <row r="2338">
      <c r="A2338" s="6" t="n"/>
      <c r="B2338" s="6" t="n"/>
      <c r="C2338" s="6" t="n"/>
      <c r="D2338" s="11">
        <f>IF(C2338="","",IFERROR(INDEX(Levels!$A$2:$A$30,MATCH(C2338,Levels!$B$2:$B$30,0)),""))</f>
        <v/>
      </c>
      <c r="E2338" s="10">
        <f>IF(B2338="","",IFERROR(INDEX(Roster!$A$2:$A$600,MATCH(B2338,Roster!$E$2:$E$600,0)),""))</f>
        <v/>
      </c>
      <c r="F2338" s="10">
        <f>IF(C2338="","",IFERROR(INDEX(Levels!$C$2:$C$30,MATCH(C2338,Levels!$B$2:$B$30,0)),""))</f>
        <v/>
      </c>
      <c r="G2338" s="6" t="n"/>
      <c r="H2338" s="10">
        <f>IF(AND(B2338="",C2338=""),"",IF(G2338&lt;&gt;"","Void",IF(OR(B2338="",E2338=""),"Needs child",IF(D2338="","Needs level","OK"))))</f>
        <v/>
      </c>
    </row>
    <row r="2339">
      <c r="A2339" s="6" t="n"/>
      <c r="B2339" s="6" t="n"/>
      <c r="C2339" s="6" t="n"/>
      <c r="D2339" s="11">
        <f>IF(C2339="","",IFERROR(INDEX(Levels!$A$2:$A$30,MATCH(C2339,Levels!$B$2:$B$30,0)),""))</f>
        <v/>
      </c>
      <c r="E2339" s="10">
        <f>IF(B2339="","",IFERROR(INDEX(Roster!$A$2:$A$600,MATCH(B2339,Roster!$E$2:$E$600,0)),""))</f>
        <v/>
      </c>
      <c r="F2339" s="10">
        <f>IF(C2339="","",IFERROR(INDEX(Levels!$C$2:$C$30,MATCH(C2339,Levels!$B$2:$B$30,0)),""))</f>
        <v/>
      </c>
      <c r="G2339" s="6" t="n"/>
      <c r="H2339" s="10">
        <f>IF(AND(B2339="",C2339=""),"",IF(G2339&lt;&gt;"","Void",IF(OR(B2339="",E2339=""),"Needs child",IF(D2339="","Needs level","OK"))))</f>
        <v/>
      </c>
    </row>
    <row r="2340">
      <c r="A2340" s="6" t="n"/>
      <c r="B2340" s="6" t="n"/>
      <c r="C2340" s="6" t="n"/>
      <c r="D2340" s="11">
        <f>IF(C2340="","",IFERROR(INDEX(Levels!$A$2:$A$30,MATCH(C2340,Levels!$B$2:$B$30,0)),""))</f>
        <v/>
      </c>
      <c r="E2340" s="10">
        <f>IF(B2340="","",IFERROR(INDEX(Roster!$A$2:$A$600,MATCH(B2340,Roster!$E$2:$E$600,0)),""))</f>
        <v/>
      </c>
      <c r="F2340" s="10">
        <f>IF(C2340="","",IFERROR(INDEX(Levels!$C$2:$C$30,MATCH(C2340,Levels!$B$2:$B$30,0)),""))</f>
        <v/>
      </c>
      <c r="G2340" s="6" t="n"/>
      <c r="H2340" s="10">
        <f>IF(AND(B2340="",C2340=""),"",IF(G2340&lt;&gt;"","Void",IF(OR(B2340="",E2340=""),"Needs child",IF(D2340="","Needs level","OK"))))</f>
        <v/>
      </c>
    </row>
    <row r="2341">
      <c r="A2341" s="6" t="n"/>
      <c r="B2341" s="6" t="n"/>
      <c r="C2341" s="6" t="n"/>
      <c r="D2341" s="11">
        <f>IF(C2341="","",IFERROR(INDEX(Levels!$A$2:$A$30,MATCH(C2341,Levels!$B$2:$B$30,0)),""))</f>
        <v/>
      </c>
      <c r="E2341" s="10">
        <f>IF(B2341="","",IFERROR(INDEX(Roster!$A$2:$A$600,MATCH(B2341,Roster!$E$2:$E$600,0)),""))</f>
        <v/>
      </c>
      <c r="F2341" s="10">
        <f>IF(C2341="","",IFERROR(INDEX(Levels!$C$2:$C$30,MATCH(C2341,Levels!$B$2:$B$30,0)),""))</f>
        <v/>
      </c>
      <c r="G2341" s="6" t="n"/>
      <c r="H2341" s="10">
        <f>IF(AND(B2341="",C2341=""),"",IF(G2341&lt;&gt;"","Void",IF(OR(B2341="",E2341=""),"Needs child",IF(D2341="","Needs level","OK"))))</f>
        <v/>
      </c>
    </row>
    <row r="2342">
      <c r="A2342" s="6" t="n"/>
      <c r="B2342" s="6" t="n"/>
      <c r="C2342" s="6" t="n"/>
      <c r="D2342" s="11">
        <f>IF(C2342="","",IFERROR(INDEX(Levels!$A$2:$A$30,MATCH(C2342,Levels!$B$2:$B$30,0)),""))</f>
        <v/>
      </c>
      <c r="E2342" s="10">
        <f>IF(B2342="","",IFERROR(INDEX(Roster!$A$2:$A$600,MATCH(B2342,Roster!$E$2:$E$600,0)),""))</f>
        <v/>
      </c>
      <c r="F2342" s="10">
        <f>IF(C2342="","",IFERROR(INDEX(Levels!$C$2:$C$30,MATCH(C2342,Levels!$B$2:$B$30,0)),""))</f>
        <v/>
      </c>
      <c r="G2342" s="6" t="n"/>
      <c r="H2342" s="10">
        <f>IF(AND(B2342="",C2342=""),"",IF(G2342&lt;&gt;"","Void",IF(OR(B2342="",E2342=""),"Needs child",IF(D2342="","Needs level","OK"))))</f>
        <v/>
      </c>
    </row>
    <row r="2343">
      <c r="A2343" s="6" t="n"/>
      <c r="B2343" s="6" t="n"/>
      <c r="C2343" s="6" t="n"/>
      <c r="D2343" s="11">
        <f>IF(C2343="","",IFERROR(INDEX(Levels!$A$2:$A$30,MATCH(C2343,Levels!$B$2:$B$30,0)),""))</f>
        <v/>
      </c>
      <c r="E2343" s="10">
        <f>IF(B2343="","",IFERROR(INDEX(Roster!$A$2:$A$600,MATCH(B2343,Roster!$E$2:$E$600,0)),""))</f>
        <v/>
      </c>
      <c r="F2343" s="10">
        <f>IF(C2343="","",IFERROR(INDEX(Levels!$C$2:$C$30,MATCH(C2343,Levels!$B$2:$B$30,0)),""))</f>
        <v/>
      </c>
      <c r="G2343" s="6" t="n"/>
      <c r="H2343" s="10">
        <f>IF(AND(B2343="",C2343=""),"",IF(G2343&lt;&gt;"","Void",IF(OR(B2343="",E2343=""),"Needs child",IF(D2343="","Needs level","OK"))))</f>
        <v/>
      </c>
    </row>
    <row r="2344">
      <c r="A2344" s="6" t="n"/>
      <c r="B2344" s="6" t="n"/>
      <c r="C2344" s="6" t="n"/>
      <c r="D2344" s="11">
        <f>IF(C2344="","",IFERROR(INDEX(Levels!$A$2:$A$30,MATCH(C2344,Levels!$B$2:$B$30,0)),""))</f>
        <v/>
      </c>
      <c r="E2344" s="10">
        <f>IF(B2344="","",IFERROR(INDEX(Roster!$A$2:$A$600,MATCH(B2344,Roster!$E$2:$E$600,0)),""))</f>
        <v/>
      </c>
      <c r="F2344" s="10">
        <f>IF(C2344="","",IFERROR(INDEX(Levels!$C$2:$C$30,MATCH(C2344,Levels!$B$2:$B$30,0)),""))</f>
        <v/>
      </c>
      <c r="G2344" s="6" t="n"/>
      <c r="H2344" s="10">
        <f>IF(AND(B2344="",C2344=""),"",IF(G2344&lt;&gt;"","Void",IF(OR(B2344="",E2344=""),"Needs child",IF(D2344="","Needs level","OK"))))</f>
        <v/>
      </c>
    </row>
    <row r="2345">
      <c r="A2345" s="6" t="n"/>
      <c r="B2345" s="6" t="n"/>
      <c r="C2345" s="6" t="n"/>
      <c r="D2345" s="11">
        <f>IF(C2345="","",IFERROR(INDEX(Levels!$A$2:$A$30,MATCH(C2345,Levels!$B$2:$B$30,0)),""))</f>
        <v/>
      </c>
      <c r="E2345" s="10">
        <f>IF(B2345="","",IFERROR(INDEX(Roster!$A$2:$A$600,MATCH(B2345,Roster!$E$2:$E$600,0)),""))</f>
        <v/>
      </c>
      <c r="F2345" s="10">
        <f>IF(C2345="","",IFERROR(INDEX(Levels!$C$2:$C$30,MATCH(C2345,Levels!$B$2:$B$30,0)),""))</f>
        <v/>
      </c>
      <c r="G2345" s="6" t="n"/>
      <c r="H2345" s="10">
        <f>IF(AND(B2345="",C2345=""),"",IF(G2345&lt;&gt;"","Void",IF(OR(B2345="",E2345=""),"Needs child",IF(D2345="","Needs level","OK"))))</f>
        <v/>
      </c>
    </row>
    <row r="2346">
      <c r="A2346" s="6" t="n"/>
      <c r="B2346" s="6" t="n"/>
      <c r="C2346" s="6" t="n"/>
      <c r="D2346" s="11">
        <f>IF(C2346="","",IFERROR(INDEX(Levels!$A$2:$A$30,MATCH(C2346,Levels!$B$2:$B$30,0)),""))</f>
        <v/>
      </c>
      <c r="E2346" s="10">
        <f>IF(B2346="","",IFERROR(INDEX(Roster!$A$2:$A$600,MATCH(B2346,Roster!$E$2:$E$600,0)),""))</f>
        <v/>
      </c>
      <c r="F2346" s="10">
        <f>IF(C2346="","",IFERROR(INDEX(Levels!$C$2:$C$30,MATCH(C2346,Levels!$B$2:$B$30,0)),""))</f>
        <v/>
      </c>
      <c r="G2346" s="6" t="n"/>
      <c r="H2346" s="10">
        <f>IF(AND(B2346="",C2346=""),"",IF(G2346&lt;&gt;"","Void",IF(OR(B2346="",E2346=""),"Needs child",IF(D2346="","Needs level","OK"))))</f>
        <v/>
      </c>
    </row>
    <row r="2347">
      <c r="A2347" s="6" t="n"/>
      <c r="B2347" s="6" t="n"/>
      <c r="C2347" s="6" t="n"/>
      <c r="D2347" s="11">
        <f>IF(C2347="","",IFERROR(INDEX(Levels!$A$2:$A$30,MATCH(C2347,Levels!$B$2:$B$30,0)),""))</f>
        <v/>
      </c>
      <c r="E2347" s="10">
        <f>IF(B2347="","",IFERROR(INDEX(Roster!$A$2:$A$600,MATCH(B2347,Roster!$E$2:$E$600,0)),""))</f>
        <v/>
      </c>
      <c r="F2347" s="10">
        <f>IF(C2347="","",IFERROR(INDEX(Levels!$C$2:$C$30,MATCH(C2347,Levels!$B$2:$B$30,0)),""))</f>
        <v/>
      </c>
      <c r="G2347" s="6" t="n"/>
      <c r="H2347" s="10">
        <f>IF(AND(B2347="",C2347=""),"",IF(G2347&lt;&gt;"","Void",IF(OR(B2347="",E2347=""),"Needs child",IF(D2347="","Needs level","OK"))))</f>
        <v/>
      </c>
    </row>
    <row r="2348">
      <c r="A2348" s="6" t="n"/>
      <c r="B2348" s="6" t="n"/>
      <c r="C2348" s="6" t="n"/>
      <c r="D2348" s="11">
        <f>IF(C2348="","",IFERROR(INDEX(Levels!$A$2:$A$30,MATCH(C2348,Levels!$B$2:$B$30,0)),""))</f>
        <v/>
      </c>
      <c r="E2348" s="10">
        <f>IF(B2348="","",IFERROR(INDEX(Roster!$A$2:$A$600,MATCH(B2348,Roster!$E$2:$E$600,0)),""))</f>
        <v/>
      </c>
      <c r="F2348" s="10">
        <f>IF(C2348="","",IFERROR(INDEX(Levels!$C$2:$C$30,MATCH(C2348,Levels!$B$2:$B$30,0)),""))</f>
        <v/>
      </c>
      <c r="G2348" s="6" t="n"/>
      <c r="H2348" s="10">
        <f>IF(AND(B2348="",C2348=""),"",IF(G2348&lt;&gt;"","Void",IF(OR(B2348="",E2348=""),"Needs child",IF(D2348="","Needs level","OK"))))</f>
        <v/>
      </c>
    </row>
    <row r="2349">
      <c r="A2349" s="6" t="n"/>
      <c r="B2349" s="6" t="n"/>
      <c r="C2349" s="6" t="n"/>
      <c r="D2349" s="11">
        <f>IF(C2349="","",IFERROR(INDEX(Levels!$A$2:$A$30,MATCH(C2349,Levels!$B$2:$B$30,0)),""))</f>
        <v/>
      </c>
      <c r="E2349" s="10">
        <f>IF(B2349="","",IFERROR(INDEX(Roster!$A$2:$A$600,MATCH(B2349,Roster!$E$2:$E$600,0)),""))</f>
        <v/>
      </c>
      <c r="F2349" s="10">
        <f>IF(C2349="","",IFERROR(INDEX(Levels!$C$2:$C$30,MATCH(C2349,Levels!$B$2:$B$30,0)),""))</f>
        <v/>
      </c>
      <c r="G2349" s="6" t="n"/>
      <c r="H2349" s="10">
        <f>IF(AND(B2349="",C2349=""),"",IF(G2349&lt;&gt;"","Void",IF(OR(B2349="",E2349=""),"Needs child",IF(D2349="","Needs level","OK"))))</f>
        <v/>
      </c>
    </row>
    <row r="2350">
      <c r="A2350" s="6" t="n"/>
      <c r="B2350" s="6" t="n"/>
      <c r="C2350" s="6" t="n"/>
      <c r="D2350" s="11">
        <f>IF(C2350="","",IFERROR(INDEX(Levels!$A$2:$A$30,MATCH(C2350,Levels!$B$2:$B$30,0)),""))</f>
        <v/>
      </c>
      <c r="E2350" s="10">
        <f>IF(B2350="","",IFERROR(INDEX(Roster!$A$2:$A$600,MATCH(B2350,Roster!$E$2:$E$600,0)),""))</f>
        <v/>
      </c>
      <c r="F2350" s="10">
        <f>IF(C2350="","",IFERROR(INDEX(Levels!$C$2:$C$30,MATCH(C2350,Levels!$B$2:$B$30,0)),""))</f>
        <v/>
      </c>
      <c r="G2350" s="6" t="n"/>
      <c r="H2350" s="10">
        <f>IF(AND(B2350="",C2350=""),"",IF(G2350&lt;&gt;"","Void",IF(OR(B2350="",E2350=""),"Needs child",IF(D2350="","Needs level","OK"))))</f>
        <v/>
      </c>
    </row>
    <row r="2351">
      <c r="A2351" s="6" t="n"/>
      <c r="B2351" s="6" t="n"/>
      <c r="C2351" s="6" t="n"/>
      <c r="D2351" s="11">
        <f>IF(C2351="","",IFERROR(INDEX(Levels!$A$2:$A$30,MATCH(C2351,Levels!$B$2:$B$30,0)),""))</f>
        <v/>
      </c>
      <c r="E2351" s="10">
        <f>IF(B2351="","",IFERROR(INDEX(Roster!$A$2:$A$600,MATCH(B2351,Roster!$E$2:$E$600,0)),""))</f>
        <v/>
      </c>
      <c r="F2351" s="10">
        <f>IF(C2351="","",IFERROR(INDEX(Levels!$C$2:$C$30,MATCH(C2351,Levels!$B$2:$B$30,0)),""))</f>
        <v/>
      </c>
      <c r="G2351" s="6" t="n"/>
      <c r="H2351" s="10">
        <f>IF(AND(B2351="",C2351=""),"",IF(G2351&lt;&gt;"","Void",IF(OR(B2351="",E2351=""),"Needs child",IF(D2351="","Needs level","OK"))))</f>
        <v/>
      </c>
    </row>
    <row r="2352">
      <c r="A2352" s="6" t="n"/>
      <c r="B2352" s="6" t="n"/>
      <c r="C2352" s="6" t="n"/>
      <c r="D2352" s="11">
        <f>IF(C2352="","",IFERROR(INDEX(Levels!$A$2:$A$30,MATCH(C2352,Levels!$B$2:$B$30,0)),""))</f>
        <v/>
      </c>
      <c r="E2352" s="10">
        <f>IF(B2352="","",IFERROR(INDEX(Roster!$A$2:$A$600,MATCH(B2352,Roster!$E$2:$E$600,0)),""))</f>
        <v/>
      </c>
      <c r="F2352" s="10">
        <f>IF(C2352="","",IFERROR(INDEX(Levels!$C$2:$C$30,MATCH(C2352,Levels!$B$2:$B$30,0)),""))</f>
        <v/>
      </c>
      <c r="G2352" s="6" t="n"/>
      <c r="H2352" s="10">
        <f>IF(AND(B2352="",C2352=""),"",IF(G2352&lt;&gt;"","Void",IF(OR(B2352="",E2352=""),"Needs child",IF(D2352="","Needs level","OK"))))</f>
        <v/>
      </c>
    </row>
    <row r="2353">
      <c r="A2353" s="6" t="n"/>
      <c r="B2353" s="6" t="n"/>
      <c r="C2353" s="6" t="n"/>
      <c r="D2353" s="11">
        <f>IF(C2353="","",IFERROR(INDEX(Levels!$A$2:$A$30,MATCH(C2353,Levels!$B$2:$B$30,0)),""))</f>
        <v/>
      </c>
      <c r="E2353" s="10">
        <f>IF(B2353="","",IFERROR(INDEX(Roster!$A$2:$A$600,MATCH(B2353,Roster!$E$2:$E$600,0)),""))</f>
        <v/>
      </c>
      <c r="F2353" s="10">
        <f>IF(C2353="","",IFERROR(INDEX(Levels!$C$2:$C$30,MATCH(C2353,Levels!$B$2:$B$30,0)),""))</f>
        <v/>
      </c>
      <c r="G2353" s="6" t="n"/>
      <c r="H2353" s="10">
        <f>IF(AND(B2353="",C2353=""),"",IF(G2353&lt;&gt;"","Void",IF(OR(B2353="",E2353=""),"Needs child",IF(D2353="","Needs level","OK"))))</f>
        <v/>
      </c>
    </row>
    <row r="2354">
      <c r="A2354" s="6" t="n"/>
      <c r="B2354" s="6" t="n"/>
      <c r="C2354" s="6" t="n"/>
      <c r="D2354" s="11">
        <f>IF(C2354="","",IFERROR(INDEX(Levels!$A$2:$A$30,MATCH(C2354,Levels!$B$2:$B$30,0)),""))</f>
        <v/>
      </c>
      <c r="E2354" s="10">
        <f>IF(B2354="","",IFERROR(INDEX(Roster!$A$2:$A$600,MATCH(B2354,Roster!$E$2:$E$600,0)),""))</f>
        <v/>
      </c>
      <c r="F2354" s="10">
        <f>IF(C2354="","",IFERROR(INDEX(Levels!$C$2:$C$30,MATCH(C2354,Levels!$B$2:$B$30,0)),""))</f>
        <v/>
      </c>
      <c r="G2354" s="6" t="n"/>
      <c r="H2354" s="10">
        <f>IF(AND(B2354="",C2354=""),"",IF(G2354&lt;&gt;"","Void",IF(OR(B2354="",E2354=""),"Needs child",IF(D2354="","Needs level","OK"))))</f>
        <v/>
      </c>
    </row>
    <row r="2355">
      <c r="A2355" s="6" t="n"/>
      <c r="B2355" s="6" t="n"/>
      <c r="C2355" s="6" t="n"/>
      <c r="D2355" s="11">
        <f>IF(C2355="","",IFERROR(INDEX(Levels!$A$2:$A$30,MATCH(C2355,Levels!$B$2:$B$30,0)),""))</f>
        <v/>
      </c>
      <c r="E2355" s="10">
        <f>IF(B2355="","",IFERROR(INDEX(Roster!$A$2:$A$600,MATCH(B2355,Roster!$E$2:$E$600,0)),""))</f>
        <v/>
      </c>
      <c r="F2355" s="10">
        <f>IF(C2355="","",IFERROR(INDEX(Levels!$C$2:$C$30,MATCH(C2355,Levels!$B$2:$B$30,0)),""))</f>
        <v/>
      </c>
      <c r="G2355" s="6" t="n"/>
      <c r="H2355" s="10">
        <f>IF(AND(B2355="",C2355=""),"",IF(G2355&lt;&gt;"","Void",IF(OR(B2355="",E2355=""),"Needs child",IF(D2355="","Needs level","OK"))))</f>
        <v/>
      </c>
    </row>
    <row r="2356">
      <c r="A2356" s="6" t="n"/>
      <c r="B2356" s="6" t="n"/>
      <c r="C2356" s="6" t="n"/>
      <c r="D2356" s="11">
        <f>IF(C2356="","",IFERROR(INDEX(Levels!$A$2:$A$30,MATCH(C2356,Levels!$B$2:$B$30,0)),""))</f>
        <v/>
      </c>
      <c r="E2356" s="10">
        <f>IF(B2356="","",IFERROR(INDEX(Roster!$A$2:$A$600,MATCH(B2356,Roster!$E$2:$E$600,0)),""))</f>
        <v/>
      </c>
      <c r="F2356" s="10">
        <f>IF(C2356="","",IFERROR(INDEX(Levels!$C$2:$C$30,MATCH(C2356,Levels!$B$2:$B$30,0)),""))</f>
        <v/>
      </c>
      <c r="G2356" s="6" t="n"/>
      <c r="H2356" s="10">
        <f>IF(AND(B2356="",C2356=""),"",IF(G2356&lt;&gt;"","Void",IF(OR(B2356="",E2356=""),"Needs child",IF(D2356="","Needs level","OK"))))</f>
        <v/>
      </c>
    </row>
    <row r="2357">
      <c r="A2357" s="6" t="n"/>
      <c r="B2357" s="6" t="n"/>
      <c r="C2357" s="6" t="n"/>
      <c r="D2357" s="11">
        <f>IF(C2357="","",IFERROR(INDEX(Levels!$A$2:$A$30,MATCH(C2357,Levels!$B$2:$B$30,0)),""))</f>
        <v/>
      </c>
      <c r="E2357" s="10">
        <f>IF(B2357="","",IFERROR(INDEX(Roster!$A$2:$A$600,MATCH(B2357,Roster!$E$2:$E$600,0)),""))</f>
        <v/>
      </c>
      <c r="F2357" s="10">
        <f>IF(C2357="","",IFERROR(INDEX(Levels!$C$2:$C$30,MATCH(C2357,Levels!$B$2:$B$30,0)),""))</f>
        <v/>
      </c>
      <c r="G2357" s="6" t="n"/>
      <c r="H2357" s="10">
        <f>IF(AND(B2357="",C2357=""),"",IF(G2357&lt;&gt;"","Void",IF(OR(B2357="",E2357=""),"Needs child",IF(D2357="","Needs level","OK"))))</f>
        <v/>
      </c>
    </row>
    <row r="2358">
      <c r="A2358" s="6" t="n"/>
      <c r="B2358" s="6" t="n"/>
      <c r="C2358" s="6" t="n"/>
      <c r="D2358" s="11">
        <f>IF(C2358="","",IFERROR(INDEX(Levels!$A$2:$A$30,MATCH(C2358,Levels!$B$2:$B$30,0)),""))</f>
        <v/>
      </c>
      <c r="E2358" s="10">
        <f>IF(B2358="","",IFERROR(INDEX(Roster!$A$2:$A$600,MATCH(B2358,Roster!$E$2:$E$600,0)),""))</f>
        <v/>
      </c>
      <c r="F2358" s="10">
        <f>IF(C2358="","",IFERROR(INDEX(Levels!$C$2:$C$30,MATCH(C2358,Levels!$B$2:$B$30,0)),""))</f>
        <v/>
      </c>
      <c r="G2358" s="6" t="n"/>
      <c r="H2358" s="10">
        <f>IF(AND(B2358="",C2358=""),"",IF(G2358&lt;&gt;"","Void",IF(OR(B2358="",E2358=""),"Needs child",IF(D2358="","Needs level","OK"))))</f>
        <v/>
      </c>
    </row>
    <row r="2359">
      <c r="A2359" s="6" t="n"/>
      <c r="B2359" s="6" t="n"/>
      <c r="C2359" s="6" t="n"/>
      <c r="D2359" s="11">
        <f>IF(C2359="","",IFERROR(INDEX(Levels!$A$2:$A$30,MATCH(C2359,Levels!$B$2:$B$30,0)),""))</f>
        <v/>
      </c>
      <c r="E2359" s="10">
        <f>IF(B2359="","",IFERROR(INDEX(Roster!$A$2:$A$600,MATCH(B2359,Roster!$E$2:$E$600,0)),""))</f>
        <v/>
      </c>
      <c r="F2359" s="10">
        <f>IF(C2359="","",IFERROR(INDEX(Levels!$C$2:$C$30,MATCH(C2359,Levels!$B$2:$B$30,0)),""))</f>
        <v/>
      </c>
      <c r="G2359" s="6" t="n"/>
      <c r="H2359" s="10">
        <f>IF(AND(B2359="",C2359=""),"",IF(G2359&lt;&gt;"","Void",IF(OR(B2359="",E2359=""),"Needs child",IF(D2359="","Needs level","OK"))))</f>
        <v/>
      </c>
    </row>
    <row r="2360">
      <c r="A2360" s="6" t="n"/>
      <c r="B2360" s="6" t="n"/>
      <c r="C2360" s="6" t="n"/>
      <c r="D2360" s="11">
        <f>IF(C2360="","",IFERROR(INDEX(Levels!$A$2:$A$30,MATCH(C2360,Levels!$B$2:$B$30,0)),""))</f>
        <v/>
      </c>
      <c r="E2360" s="10">
        <f>IF(B2360="","",IFERROR(INDEX(Roster!$A$2:$A$600,MATCH(B2360,Roster!$E$2:$E$600,0)),""))</f>
        <v/>
      </c>
      <c r="F2360" s="10">
        <f>IF(C2360="","",IFERROR(INDEX(Levels!$C$2:$C$30,MATCH(C2360,Levels!$B$2:$B$30,0)),""))</f>
        <v/>
      </c>
      <c r="G2360" s="6" t="n"/>
      <c r="H2360" s="10">
        <f>IF(AND(B2360="",C2360=""),"",IF(G2360&lt;&gt;"","Void",IF(OR(B2360="",E2360=""),"Needs child",IF(D2360="","Needs level","OK"))))</f>
        <v/>
      </c>
    </row>
    <row r="2361">
      <c r="A2361" s="6" t="n"/>
      <c r="B2361" s="6" t="n"/>
      <c r="C2361" s="6" t="n"/>
      <c r="D2361" s="11">
        <f>IF(C2361="","",IFERROR(INDEX(Levels!$A$2:$A$30,MATCH(C2361,Levels!$B$2:$B$30,0)),""))</f>
        <v/>
      </c>
      <c r="E2361" s="10">
        <f>IF(B2361="","",IFERROR(INDEX(Roster!$A$2:$A$600,MATCH(B2361,Roster!$E$2:$E$600,0)),""))</f>
        <v/>
      </c>
      <c r="F2361" s="10">
        <f>IF(C2361="","",IFERROR(INDEX(Levels!$C$2:$C$30,MATCH(C2361,Levels!$B$2:$B$30,0)),""))</f>
        <v/>
      </c>
      <c r="G2361" s="6" t="n"/>
      <c r="H2361" s="10">
        <f>IF(AND(B2361="",C2361=""),"",IF(G2361&lt;&gt;"","Void",IF(OR(B2361="",E2361=""),"Needs child",IF(D2361="","Needs level","OK"))))</f>
        <v/>
      </c>
    </row>
    <row r="2362">
      <c r="A2362" s="6" t="n"/>
      <c r="B2362" s="6" t="n"/>
      <c r="C2362" s="6" t="n"/>
      <c r="D2362" s="11">
        <f>IF(C2362="","",IFERROR(INDEX(Levels!$A$2:$A$30,MATCH(C2362,Levels!$B$2:$B$30,0)),""))</f>
        <v/>
      </c>
      <c r="E2362" s="10">
        <f>IF(B2362="","",IFERROR(INDEX(Roster!$A$2:$A$600,MATCH(B2362,Roster!$E$2:$E$600,0)),""))</f>
        <v/>
      </c>
      <c r="F2362" s="10">
        <f>IF(C2362="","",IFERROR(INDEX(Levels!$C$2:$C$30,MATCH(C2362,Levels!$B$2:$B$30,0)),""))</f>
        <v/>
      </c>
      <c r="G2362" s="6" t="n"/>
      <c r="H2362" s="10">
        <f>IF(AND(B2362="",C2362=""),"",IF(G2362&lt;&gt;"","Void",IF(OR(B2362="",E2362=""),"Needs child",IF(D2362="","Needs level","OK"))))</f>
        <v/>
      </c>
    </row>
    <row r="2363">
      <c r="A2363" s="6" t="n"/>
      <c r="B2363" s="6" t="n"/>
      <c r="C2363" s="6" t="n"/>
      <c r="D2363" s="11">
        <f>IF(C2363="","",IFERROR(INDEX(Levels!$A$2:$A$30,MATCH(C2363,Levels!$B$2:$B$30,0)),""))</f>
        <v/>
      </c>
      <c r="E2363" s="10">
        <f>IF(B2363="","",IFERROR(INDEX(Roster!$A$2:$A$600,MATCH(B2363,Roster!$E$2:$E$600,0)),""))</f>
        <v/>
      </c>
      <c r="F2363" s="10">
        <f>IF(C2363="","",IFERROR(INDEX(Levels!$C$2:$C$30,MATCH(C2363,Levels!$B$2:$B$30,0)),""))</f>
        <v/>
      </c>
      <c r="G2363" s="6" t="n"/>
      <c r="H2363" s="10">
        <f>IF(AND(B2363="",C2363=""),"",IF(G2363&lt;&gt;"","Void",IF(OR(B2363="",E2363=""),"Needs child",IF(D2363="","Needs level","OK"))))</f>
        <v/>
      </c>
    </row>
    <row r="2364">
      <c r="A2364" s="6" t="n"/>
      <c r="B2364" s="6" t="n"/>
      <c r="C2364" s="6" t="n"/>
      <c r="D2364" s="11">
        <f>IF(C2364="","",IFERROR(INDEX(Levels!$A$2:$A$30,MATCH(C2364,Levels!$B$2:$B$30,0)),""))</f>
        <v/>
      </c>
      <c r="E2364" s="10">
        <f>IF(B2364="","",IFERROR(INDEX(Roster!$A$2:$A$600,MATCH(B2364,Roster!$E$2:$E$600,0)),""))</f>
        <v/>
      </c>
      <c r="F2364" s="10">
        <f>IF(C2364="","",IFERROR(INDEX(Levels!$C$2:$C$30,MATCH(C2364,Levels!$B$2:$B$30,0)),""))</f>
        <v/>
      </c>
      <c r="G2364" s="6" t="n"/>
      <c r="H2364" s="10">
        <f>IF(AND(B2364="",C2364=""),"",IF(G2364&lt;&gt;"","Void",IF(OR(B2364="",E2364=""),"Needs child",IF(D2364="","Needs level","OK"))))</f>
        <v/>
      </c>
    </row>
    <row r="2365">
      <c r="A2365" s="6" t="n"/>
      <c r="B2365" s="6" t="n"/>
      <c r="C2365" s="6" t="n"/>
      <c r="D2365" s="11">
        <f>IF(C2365="","",IFERROR(INDEX(Levels!$A$2:$A$30,MATCH(C2365,Levels!$B$2:$B$30,0)),""))</f>
        <v/>
      </c>
      <c r="E2365" s="10">
        <f>IF(B2365="","",IFERROR(INDEX(Roster!$A$2:$A$600,MATCH(B2365,Roster!$E$2:$E$600,0)),""))</f>
        <v/>
      </c>
      <c r="F2365" s="10">
        <f>IF(C2365="","",IFERROR(INDEX(Levels!$C$2:$C$30,MATCH(C2365,Levels!$B$2:$B$30,0)),""))</f>
        <v/>
      </c>
      <c r="G2365" s="6" t="n"/>
      <c r="H2365" s="10">
        <f>IF(AND(B2365="",C2365=""),"",IF(G2365&lt;&gt;"","Void",IF(OR(B2365="",E2365=""),"Needs child",IF(D2365="","Needs level","OK"))))</f>
        <v/>
      </c>
    </row>
    <row r="2366">
      <c r="A2366" s="6" t="n"/>
      <c r="B2366" s="6" t="n"/>
      <c r="C2366" s="6" t="n"/>
      <c r="D2366" s="11">
        <f>IF(C2366="","",IFERROR(INDEX(Levels!$A$2:$A$30,MATCH(C2366,Levels!$B$2:$B$30,0)),""))</f>
        <v/>
      </c>
      <c r="E2366" s="10">
        <f>IF(B2366="","",IFERROR(INDEX(Roster!$A$2:$A$600,MATCH(B2366,Roster!$E$2:$E$600,0)),""))</f>
        <v/>
      </c>
      <c r="F2366" s="10">
        <f>IF(C2366="","",IFERROR(INDEX(Levels!$C$2:$C$30,MATCH(C2366,Levels!$B$2:$B$30,0)),""))</f>
        <v/>
      </c>
      <c r="G2366" s="6" t="n"/>
      <c r="H2366" s="10">
        <f>IF(AND(B2366="",C2366=""),"",IF(G2366&lt;&gt;"","Void",IF(OR(B2366="",E2366=""),"Needs child",IF(D2366="","Needs level","OK"))))</f>
        <v/>
      </c>
    </row>
    <row r="2367">
      <c r="A2367" s="6" t="n"/>
      <c r="B2367" s="6" t="n"/>
      <c r="C2367" s="6" t="n"/>
      <c r="D2367" s="11">
        <f>IF(C2367="","",IFERROR(INDEX(Levels!$A$2:$A$30,MATCH(C2367,Levels!$B$2:$B$30,0)),""))</f>
        <v/>
      </c>
      <c r="E2367" s="10">
        <f>IF(B2367="","",IFERROR(INDEX(Roster!$A$2:$A$600,MATCH(B2367,Roster!$E$2:$E$600,0)),""))</f>
        <v/>
      </c>
      <c r="F2367" s="10">
        <f>IF(C2367="","",IFERROR(INDEX(Levels!$C$2:$C$30,MATCH(C2367,Levels!$B$2:$B$30,0)),""))</f>
        <v/>
      </c>
      <c r="G2367" s="6" t="n"/>
      <c r="H2367" s="10">
        <f>IF(AND(B2367="",C2367=""),"",IF(G2367&lt;&gt;"","Void",IF(OR(B2367="",E2367=""),"Needs child",IF(D2367="","Needs level","OK"))))</f>
        <v/>
      </c>
    </row>
    <row r="2368">
      <c r="A2368" s="6" t="n"/>
      <c r="B2368" s="6" t="n"/>
      <c r="C2368" s="6" t="n"/>
      <c r="D2368" s="11">
        <f>IF(C2368="","",IFERROR(INDEX(Levels!$A$2:$A$30,MATCH(C2368,Levels!$B$2:$B$30,0)),""))</f>
        <v/>
      </c>
      <c r="E2368" s="10">
        <f>IF(B2368="","",IFERROR(INDEX(Roster!$A$2:$A$600,MATCH(B2368,Roster!$E$2:$E$600,0)),""))</f>
        <v/>
      </c>
      <c r="F2368" s="10">
        <f>IF(C2368="","",IFERROR(INDEX(Levels!$C$2:$C$30,MATCH(C2368,Levels!$B$2:$B$30,0)),""))</f>
        <v/>
      </c>
      <c r="G2368" s="6" t="n"/>
      <c r="H2368" s="10">
        <f>IF(AND(B2368="",C2368=""),"",IF(G2368&lt;&gt;"","Void",IF(OR(B2368="",E2368=""),"Needs child",IF(D2368="","Needs level","OK"))))</f>
        <v/>
      </c>
    </row>
    <row r="2369">
      <c r="A2369" s="6" t="n"/>
      <c r="B2369" s="6" t="n"/>
      <c r="C2369" s="6" t="n"/>
      <c r="D2369" s="11">
        <f>IF(C2369="","",IFERROR(INDEX(Levels!$A$2:$A$30,MATCH(C2369,Levels!$B$2:$B$30,0)),""))</f>
        <v/>
      </c>
      <c r="E2369" s="10">
        <f>IF(B2369="","",IFERROR(INDEX(Roster!$A$2:$A$600,MATCH(B2369,Roster!$E$2:$E$600,0)),""))</f>
        <v/>
      </c>
      <c r="F2369" s="10">
        <f>IF(C2369="","",IFERROR(INDEX(Levels!$C$2:$C$30,MATCH(C2369,Levels!$B$2:$B$30,0)),""))</f>
        <v/>
      </c>
      <c r="G2369" s="6" t="n"/>
      <c r="H2369" s="10">
        <f>IF(AND(B2369="",C2369=""),"",IF(G2369&lt;&gt;"","Void",IF(OR(B2369="",E2369=""),"Needs child",IF(D2369="","Needs level","OK"))))</f>
        <v/>
      </c>
    </row>
    <row r="2370">
      <c r="A2370" s="6" t="n"/>
      <c r="B2370" s="6" t="n"/>
      <c r="C2370" s="6" t="n"/>
      <c r="D2370" s="11">
        <f>IF(C2370="","",IFERROR(INDEX(Levels!$A$2:$A$30,MATCH(C2370,Levels!$B$2:$B$30,0)),""))</f>
        <v/>
      </c>
      <c r="E2370" s="10">
        <f>IF(B2370="","",IFERROR(INDEX(Roster!$A$2:$A$600,MATCH(B2370,Roster!$E$2:$E$600,0)),""))</f>
        <v/>
      </c>
      <c r="F2370" s="10">
        <f>IF(C2370="","",IFERROR(INDEX(Levels!$C$2:$C$30,MATCH(C2370,Levels!$B$2:$B$30,0)),""))</f>
        <v/>
      </c>
      <c r="G2370" s="6" t="n"/>
      <c r="H2370" s="10">
        <f>IF(AND(B2370="",C2370=""),"",IF(G2370&lt;&gt;"","Void",IF(OR(B2370="",E2370=""),"Needs child",IF(D2370="","Needs level","OK"))))</f>
        <v/>
      </c>
    </row>
    <row r="2371">
      <c r="A2371" s="6" t="n"/>
      <c r="B2371" s="6" t="n"/>
      <c r="C2371" s="6" t="n"/>
      <c r="D2371" s="11">
        <f>IF(C2371="","",IFERROR(INDEX(Levels!$A$2:$A$30,MATCH(C2371,Levels!$B$2:$B$30,0)),""))</f>
        <v/>
      </c>
      <c r="E2371" s="10">
        <f>IF(B2371="","",IFERROR(INDEX(Roster!$A$2:$A$600,MATCH(B2371,Roster!$E$2:$E$600,0)),""))</f>
        <v/>
      </c>
      <c r="F2371" s="10">
        <f>IF(C2371="","",IFERROR(INDEX(Levels!$C$2:$C$30,MATCH(C2371,Levels!$B$2:$B$30,0)),""))</f>
        <v/>
      </c>
      <c r="G2371" s="6" t="n"/>
      <c r="H2371" s="10">
        <f>IF(AND(B2371="",C2371=""),"",IF(G2371&lt;&gt;"","Void",IF(OR(B2371="",E2371=""),"Needs child",IF(D2371="","Needs level","OK"))))</f>
        <v/>
      </c>
    </row>
    <row r="2372">
      <c r="A2372" s="6" t="n"/>
      <c r="B2372" s="6" t="n"/>
      <c r="C2372" s="6" t="n"/>
      <c r="D2372" s="11">
        <f>IF(C2372="","",IFERROR(INDEX(Levels!$A$2:$A$30,MATCH(C2372,Levels!$B$2:$B$30,0)),""))</f>
        <v/>
      </c>
      <c r="E2372" s="10">
        <f>IF(B2372="","",IFERROR(INDEX(Roster!$A$2:$A$600,MATCH(B2372,Roster!$E$2:$E$600,0)),""))</f>
        <v/>
      </c>
      <c r="F2372" s="10">
        <f>IF(C2372="","",IFERROR(INDEX(Levels!$C$2:$C$30,MATCH(C2372,Levels!$B$2:$B$30,0)),""))</f>
        <v/>
      </c>
      <c r="G2372" s="6" t="n"/>
      <c r="H2372" s="10">
        <f>IF(AND(B2372="",C2372=""),"",IF(G2372&lt;&gt;"","Void",IF(OR(B2372="",E2372=""),"Needs child",IF(D2372="","Needs level","OK"))))</f>
        <v/>
      </c>
    </row>
    <row r="2373">
      <c r="A2373" s="6" t="n"/>
      <c r="B2373" s="6" t="n"/>
      <c r="C2373" s="6" t="n"/>
      <c r="D2373" s="11">
        <f>IF(C2373="","",IFERROR(INDEX(Levels!$A$2:$A$30,MATCH(C2373,Levels!$B$2:$B$30,0)),""))</f>
        <v/>
      </c>
      <c r="E2373" s="10">
        <f>IF(B2373="","",IFERROR(INDEX(Roster!$A$2:$A$600,MATCH(B2373,Roster!$E$2:$E$600,0)),""))</f>
        <v/>
      </c>
      <c r="F2373" s="10">
        <f>IF(C2373="","",IFERROR(INDEX(Levels!$C$2:$C$30,MATCH(C2373,Levels!$B$2:$B$30,0)),""))</f>
        <v/>
      </c>
      <c r="G2373" s="6" t="n"/>
      <c r="H2373" s="10">
        <f>IF(AND(B2373="",C2373=""),"",IF(G2373&lt;&gt;"","Void",IF(OR(B2373="",E2373=""),"Needs child",IF(D2373="","Needs level","OK"))))</f>
        <v/>
      </c>
    </row>
    <row r="2374">
      <c r="A2374" s="6" t="n"/>
      <c r="B2374" s="6" t="n"/>
      <c r="C2374" s="6" t="n"/>
      <c r="D2374" s="11">
        <f>IF(C2374="","",IFERROR(INDEX(Levels!$A$2:$A$30,MATCH(C2374,Levels!$B$2:$B$30,0)),""))</f>
        <v/>
      </c>
      <c r="E2374" s="10">
        <f>IF(B2374="","",IFERROR(INDEX(Roster!$A$2:$A$600,MATCH(B2374,Roster!$E$2:$E$600,0)),""))</f>
        <v/>
      </c>
      <c r="F2374" s="10">
        <f>IF(C2374="","",IFERROR(INDEX(Levels!$C$2:$C$30,MATCH(C2374,Levels!$B$2:$B$30,0)),""))</f>
        <v/>
      </c>
      <c r="G2374" s="6" t="n"/>
      <c r="H2374" s="10">
        <f>IF(AND(B2374="",C2374=""),"",IF(G2374&lt;&gt;"","Void",IF(OR(B2374="",E2374=""),"Needs child",IF(D2374="","Needs level","OK"))))</f>
        <v/>
      </c>
    </row>
    <row r="2375">
      <c r="A2375" s="6" t="n"/>
      <c r="B2375" s="6" t="n"/>
      <c r="C2375" s="6" t="n"/>
      <c r="D2375" s="11">
        <f>IF(C2375="","",IFERROR(INDEX(Levels!$A$2:$A$30,MATCH(C2375,Levels!$B$2:$B$30,0)),""))</f>
        <v/>
      </c>
      <c r="E2375" s="10">
        <f>IF(B2375="","",IFERROR(INDEX(Roster!$A$2:$A$600,MATCH(B2375,Roster!$E$2:$E$600,0)),""))</f>
        <v/>
      </c>
      <c r="F2375" s="10">
        <f>IF(C2375="","",IFERROR(INDEX(Levels!$C$2:$C$30,MATCH(C2375,Levels!$B$2:$B$30,0)),""))</f>
        <v/>
      </c>
      <c r="G2375" s="6" t="n"/>
      <c r="H2375" s="10">
        <f>IF(AND(B2375="",C2375=""),"",IF(G2375&lt;&gt;"","Void",IF(OR(B2375="",E2375=""),"Needs child",IF(D2375="","Needs level","OK"))))</f>
        <v/>
      </c>
    </row>
    <row r="2376">
      <c r="A2376" s="6" t="n"/>
      <c r="B2376" s="6" t="n"/>
      <c r="C2376" s="6" t="n"/>
      <c r="D2376" s="11">
        <f>IF(C2376="","",IFERROR(INDEX(Levels!$A$2:$A$30,MATCH(C2376,Levels!$B$2:$B$30,0)),""))</f>
        <v/>
      </c>
      <c r="E2376" s="10">
        <f>IF(B2376="","",IFERROR(INDEX(Roster!$A$2:$A$600,MATCH(B2376,Roster!$E$2:$E$600,0)),""))</f>
        <v/>
      </c>
      <c r="F2376" s="10">
        <f>IF(C2376="","",IFERROR(INDEX(Levels!$C$2:$C$30,MATCH(C2376,Levels!$B$2:$B$30,0)),""))</f>
        <v/>
      </c>
      <c r="G2376" s="6" t="n"/>
      <c r="H2376" s="10">
        <f>IF(AND(B2376="",C2376=""),"",IF(G2376&lt;&gt;"","Void",IF(OR(B2376="",E2376=""),"Needs child",IF(D2376="","Needs level","OK"))))</f>
        <v/>
      </c>
    </row>
    <row r="2377">
      <c r="A2377" s="6" t="n"/>
      <c r="B2377" s="6" t="n"/>
      <c r="C2377" s="6" t="n"/>
      <c r="D2377" s="11">
        <f>IF(C2377="","",IFERROR(INDEX(Levels!$A$2:$A$30,MATCH(C2377,Levels!$B$2:$B$30,0)),""))</f>
        <v/>
      </c>
      <c r="E2377" s="10">
        <f>IF(B2377="","",IFERROR(INDEX(Roster!$A$2:$A$600,MATCH(B2377,Roster!$E$2:$E$600,0)),""))</f>
        <v/>
      </c>
      <c r="F2377" s="10">
        <f>IF(C2377="","",IFERROR(INDEX(Levels!$C$2:$C$30,MATCH(C2377,Levels!$B$2:$B$30,0)),""))</f>
        <v/>
      </c>
      <c r="G2377" s="6" t="n"/>
      <c r="H2377" s="10">
        <f>IF(AND(B2377="",C2377=""),"",IF(G2377&lt;&gt;"","Void",IF(OR(B2377="",E2377=""),"Needs child",IF(D2377="","Needs level","OK"))))</f>
        <v/>
      </c>
    </row>
    <row r="2378">
      <c r="A2378" s="6" t="n"/>
      <c r="B2378" s="6" t="n"/>
      <c r="C2378" s="6" t="n"/>
      <c r="D2378" s="11">
        <f>IF(C2378="","",IFERROR(INDEX(Levels!$A$2:$A$30,MATCH(C2378,Levels!$B$2:$B$30,0)),""))</f>
        <v/>
      </c>
      <c r="E2378" s="10">
        <f>IF(B2378="","",IFERROR(INDEX(Roster!$A$2:$A$600,MATCH(B2378,Roster!$E$2:$E$600,0)),""))</f>
        <v/>
      </c>
      <c r="F2378" s="10">
        <f>IF(C2378="","",IFERROR(INDEX(Levels!$C$2:$C$30,MATCH(C2378,Levels!$B$2:$B$30,0)),""))</f>
        <v/>
      </c>
      <c r="G2378" s="6" t="n"/>
      <c r="H2378" s="10">
        <f>IF(AND(B2378="",C2378=""),"",IF(G2378&lt;&gt;"","Void",IF(OR(B2378="",E2378=""),"Needs child",IF(D2378="","Needs level","OK"))))</f>
        <v/>
      </c>
    </row>
    <row r="2379">
      <c r="A2379" s="6" t="n"/>
      <c r="B2379" s="6" t="n"/>
      <c r="C2379" s="6" t="n"/>
      <c r="D2379" s="11">
        <f>IF(C2379="","",IFERROR(INDEX(Levels!$A$2:$A$30,MATCH(C2379,Levels!$B$2:$B$30,0)),""))</f>
        <v/>
      </c>
      <c r="E2379" s="10">
        <f>IF(B2379="","",IFERROR(INDEX(Roster!$A$2:$A$600,MATCH(B2379,Roster!$E$2:$E$600,0)),""))</f>
        <v/>
      </c>
      <c r="F2379" s="10">
        <f>IF(C2379="","",IFERROR(INDEX(Levels!$C$2:$C$30,MATCH(C2379,Levels!$B$2:$B$30,0)),""))</f>
        <v/>
      </c>
      <c r="G2379" s="6" t="n"/>
      <c r="H2379" s="10">
        <f>IF(AND(B2379="",C2379=""),"",IF(G2379&lt;&gt;"","Void",IF(OR(B2379="",E2379=""),"Needs child",IF(D2379="","Needs level","OK"))))</f>
        <v/>
      </c>
    </row>
    <row r="2380">
      <c r="A2380" s="6" t="n"/>
      <c r="B2380" s="6" t="n"/>
      <c r="C2380" s="6" t="n"/>
      <c r="D2380" s="11">
        <f>IF(C2380="","",IFERROR(INDEX(Levels!$A$2:$A$30,MATCH(C2380,Levels!$B$2:$B$30,0)),""))</f>
        <v/>
      </c>
      <c r="E2380" s="10">
        <f>IF(B2380="","",IFERROR(INDEX(Roster!$A$2:$A$600,MATCH(B2380,Roster!$E$2:$E$600,0)),""))</f>
        <v/>
      </c>
      <c r="F2380" s="10">
        <f>IF(C2380="","",IFERROR(INDEX(Levels!$C$2:$C$30,MATCH(C2380,Levels!$B$2:$B$30,0)),""))</f>
        <v/>
      </c>
      <c r="G2380" s="6" t="n"/>
      <c r="H2380" s="10">
        <f>IF(AND(B2380="",C2380=""),"",IF(G2380&lt;&gt;"","Void",IF(OR(B2380="",E2380=""),"Needs child",IF(D2380="","Needs level","OK"))))</f>
        <v/>
      </c>
    </row>
    <row r="2381">
      <c r="A2381" s="6" t="n"/>
      <c r="B2381" s="6" t="n"/>
      <c r="C2381" s="6" t="n"/>
      <c r="D2381" s="11">
        <f>IF(C2381="","",IFERROR(INDEX(Levels!$A$2:$A$30,MATCH(C2381,Levels!$B$2:$B$30,0)),""))</f>
        <v/>
      </c>
      <c r="E2381" s="10">
        <f>IF(B2381="","",IFERROR(INDEX(Roster!$A$2:$A$600,MATCH(B2381,Roster!$E$2:$E$600,0)),""))</f>
        <v/>
      </c>
      <c r="F2381" s="10">
        <f>IF(C2381="","",IFERROR(INDEX(Levels!$C$2:$C$30,MATCH(C2381,Levels!$B$2:$B$30,0)),""))</f>
        <v/>
      </c>
      <c r="G2381" s="6" t="n"/>
      <c r="H2381" s="10">
        <f>IF(AND(B2381="",C2381=""),"",IF(G2381&lt;&gt;"","Void",IF(OR(B2381="",E2381=""),"Needs child",IF(D2381="","Needs level","OK"))))</f>
        <v/>
      </c>
    </row>
    <row r="2382">
      <c r="A2382" s="6" t="n"/>
      <c r="B2382" s="6" t="n"/>
      <c r="C2382" s="6" t="n"/>
      <c r="D2382" s="11">
        <f>IF(C2382="","",IFERROR(INDEX(Levels!$A$2:$A$30,MATCH(C2382,Levels!$B$2:$B$30,0)),""))</f>
        <v/>
      </c>
      <c r="E2382" s="10">
        <f>IF(B2382="","",IFERROR(INDEX(Roster!$A$2:$A$600,MATCH(B2382,Roster!$E$2:$E$600,0)),""))</f>
        <v/>
      </c>
      <c r="F2382" s="10">
        <f>IF(C2382="","",IFERROR(INDEX(Levels!$C$2:$C$30,MATCH(C2382,Levels!$B$2:$B$30,0)),""))</f>
        <v/>
      </c>
      <c r="G2382" s="6" t="n"/>
      <c r="H2382" s="10">
        <f>IF(AND(B2382="",C2382=""),"",IF(G2382&lt;&gt;"","Void",IF(OR(B2382="",E2382=""),"Needs child",IF(D2382="","Needs level","OK"))))</f>
        <v/>
      </c>
    </row>
    <row r="2383">
      <c r="A2383" s="6" t="n"/>
      <c r="B2383" s="6" t="n"/>
      <c r="C2383" s="6" t="n"/>
      <c r="D2383" s="11">
        <f>IF(C2383="","",IFERROR(INDEX(Levels!$A$2:$A$30,MATCH(C2383,Levels!$B$2:$B$30,0)),""))</f>
        <v/>
      </c>
      <c r="E2383" s="10">
        <f>IF(B2383="","",IFERROR(INDEX(Roster!$A$2:$A$600,MATCH(B2383,Roster!$E$2:$E$600,0)),""))</f>
        <v/>
      </c>
      <c r="F2383" s="10">
        <f>IF(C2383="","",IFERROR(INDEX(Levels!$C$2:$C$30,MATCH(C2383,Levels!$B$2:$B$30,0)),""))</f>
        <v/>
      </c>
      <c r="G2383" s="6" t="n"/>
      <c r="H2383" s="10">
        <f>IF(AND(B2383="",C2383=""),"",IF(G2383&lt;&gt;"","Void",IF(OR(B2383="",E2383=""),"Needs child",IF(D2383="","Needs level","OK"))))</f>
        <v/>
      </c>
    </row>
    <row r="2384">
      <c r="A2384" s="6" t="n"/>
      <c r="B2384" s="6" t="n"/>
      <c r="C2384" s="6" t="n"/>
      <c r="D2384" s="11">
        <f>IF(C2384="","",IFERROR(INDEX(Levels!$A$2:$A$30,MATCH(C2384,Levels!$B$2:$B$30,0)),""))</f>
        <v/>
      </c>
      <c r="E2384" s="10">
        <f>IF(B2384="","",IFERROR(INDEX(Roster!$A$2:$A$600,MATCH(B2384,Roster!$E$2:$E$600,0)),""))</f>
        <v/>
      </c>
      <c r="F2384" s="10">
        <f>IF(C2384="","",IFERROR(INDEX(Levels!$C$2:$C$30,MATCH(C2384,Levels!$B$2:$B$30,0)),""))</f>
        <v/>
      </c>
      <c r="G2384" s="6" t="n"/>
      <c r="H2384" s="10">
        <f>IF(AND(B2384="",C2384=""),"",IF(G2384&lt;&gt;"","Void",IF(OR(B2384="",E2384=""),"Needs child",IF(D2384="","Needs level","OK"))))</f>
        <v/>
      </c>
    </row>
    <row r="2385">
      <c r="A2385" s="6" t="n"/>
      <c r="B2385" s="6" t="n"/>
      <c r="C2385" s="6" t="n"/>
      <c r="D2385" s="11">
        <f>IF(C2385="","",IFERROR(INDEX(Levels!$A$2:$A$30,MATCH(C2385,Levels!$B$2:$B$30,0)),""))</f>
        <v/>
      </c>
      <c r="E2385" s="10">
        <f>IF(B2385="","",IFERROR(INDEX(Roster!$A$2:$A$600,MATCH(B2385,Roster!$E$2:$E$600,0)),""))</f>
        <v/>
      </c>
      <c r="F2385" s="10">
        <f>IF(C2385="","",IFERROR(INDEX(Levels!$C$2:$C$30,MATCH(C2385,Levels!$B$2:$B$30,0)),""))</f>
        <v/>
      </c>
      <c r="G2385" s="6" t="n"/>
      <c r="H2385" s="10">
        <f>IF(AND(B2385="",C2385=""),"",IF(G2385&lt;&gt;"","Void",IF(OR(B2385="",E2385=""),"Needs child",IF(D2385="","Needs level","OK"))))</f>
        <v/>
      </c>
    </row>
    <row r="2386">
      <c r="A2386" s="6" t="n"/>
      <c r="B2386" s="6" t="n"/>
      <c r="C2386" s="6" t="n"/>
      <c r="D2386" s="11">
        <f>IF(C2386="","",IFERROR(INDEX(Levels!$A$2:$A$30,MATCH(C2386,Levels!$B$2:$B$30,0)),""))</f>
        <v/>
      </c>
      <c r="E2386" s="10">
        <f>IF(B2386="","",IFERROR(INDEX(Roster!$A$2:$A$600,MATCH(B2386,Roster!$E$2:$E$600,0)),""))</f>
        <v/>
      </c>
      <c r="F2386" s="10">
        <f>IF(C2386="","",IFERROR(INDEX(Levels!$C$2:$C$30,MATCH(C2386,Levels!$B$2:$B$30,0)),""))</f>
        <v/>
      </c>
      <c r="G2386" s="6" t="n"/>
      <c r="H2386" s="10">
        <f>IF(AND(B2386="",C2386=""),"",IF(G2386&lt;&gt;"","Void",IF(OR(B2386="",E2386=""),"Needs child",IF(D2386="","Needs level","OK"))))</f>
        <v/>
      </c>
    </row>
    <row r="2387">
      <c r="A2387" s="6" t="n"/>
      <c r="B2387" s="6" t="n"/>
      <c r="C2387" s="6" t="n"/>
      <c r="D2387" s="11">
        <f>IF(C2387="","",IFERROR(INDEX(Levels!$A$2:$A$30,MATCH(C2387,Levels!$B$2:$B$30,0)),""))</f>
        <v/>
      </c>
      <c r="E2387" s="10">
        <f>IF(B2387="","",IFERROR(INDEX(Roster!$A$2:$A$600,MATCH(B2387,Roster!$E$2:$E$600,0)),""))</f>
        <v/>
      </c>
      <c r="F2387" s="10">
        <f>IF(C2387="","",IFERROR(INDEX(Levels!$C$2:$C$30,MATCH(C2387,Levels!$B$2:$B$30,0)),""))</f>
        <v/>
      </c>
      <c r="G2387" s="6" t="n"/>
      <c r="H2387" s="10">
        <f>IF(AND(B2387="",C2387=""),"",IF(G2387&lt;&gt;"","Void",IF(OR(B2387="",E2387=""),"Needs child",IF(D2387="","Needs level","OK"))))</f>
        <v/>
      </c>
    </row>
    <row r="2388">
      <c r="A2388" s="6" t="n"/>
      <c r="B2388" s="6" t="n"/>
      <c r="C2388" s="6" t="n"/>
      <c r="D2388" s="11">
        <f>IF(C2388="","",IFERROR(INDEX(Levels!$A$2:$A$30,MATCH(C2388,Levels!$B$2:$B$30,0)),""))</f>
        <v/>
      </c>
      <c r="E2388" s="10">
        <f>IF(B2388="","",IFERROR(INDEX(Roster!$A$2:$A$600,MATCH(B2388,Roster!$E$2:$E$600,0)),""))</f>
        <v/>
      </c>
      <c r="F2388" s="10">
        <f>IF(C2388="","",IFERROR(INDEX(Levels!$C$2:$C$30,MATCH(C2388,Levels!$B$2:$B$30,0)),""))</f>
        <v/>
      </c>
      <c r="G2388" s="6" t="n"/>
      <c r="H2388" s="10">
        <f>IF(AND(B2388="",C2388=""),"",IF(G2388&lt;&gt;"","Void",IF(OR(B2388="",E2388=""),"Needs child",IF(D2388="","Needs level","OK"))))</f>
        <v/>
      </c>
    </row>
    <row r="2389">
      <c r="A2389" s="6" t="n"/>
      <c r="B2389" s="6" t="n"/>
      <c r="C2389" s="6" t="n"/>
      <c r="D2389" s="11">
        <f>IF(C2389="","",IFERROR(INDEX(Levels!$A$2:$A$30,MATCH(C2389,Levels!$B$2:$B$30,0)),""))</f>
        <v/>
      </c>
      <c r="E2389" s="10">
        <f>IF(B2389="","",IFERROR(INDEX(Roster!$A$2:$A$600,MATCH(B2389,Roster!$E$2:$E$600,0)),""))</f>
        <v/>
      </c>
      <c r="F2389" s="10">
        <f>IF(C2389="","",IFERROR(INDEX(Levels!$C$2:$C$30,MATCH(C2389,Levels!$B$2:$B$30,0)),""))</f>
        <v/>
      </c>
      <c r="G2389" s="6" t="n"/>
      <c r="H2389" s="10">
        <f>IF(AND(B2389="",C2389=""),"",IF(G2389&lt;&gt;"","Void",IF(OR(B2389="",E2389=""),"Needs child",IF(D2389="","Needs level","OK"))))</f>
        <v/>
      </c>
    </row>
    <row r="2390">
      <c r="A2390" s="6" t="n"/>
      <c r="B2390" s="6" t="n"/>
      <c r="C2390" s="6" t="n"/>
      <c r="D2390" s="11">
        <f>IF(C2390="","",IFERROR(INDEX(Levels!$A$2:$A$30,MATCH(C2390,Levels!$B$2:$B$30,0)),""))</f>
        <v/>
      </c>
      <c r="E2390" s="10">
        <f>IF(B2390="","",IFERROR(INDEX(Roster!$A$2:$A$600,MATCH(B2390,Roster!$E$2:$E$600,0)),""))</f>
        <v/>
      </c>
      <c r="F2390" s="10">
        <f>IF(C2390="","",IFERROR(INDEX(Levels!$C$2:$C$30,MATCH(C2390,Levels!$B$2:$B$30,0)),""))</f>
        <v/>
      </c>
      <c r="G2390" s="6" t="n"/>
      <c r="H2390" s="10">
        <f>IF(AND(B2390="",C2390=""),"",IF(G2390&lt;&gt;"","Void",IF(OR(B2390="",E2390=""),"Needs child",IF(D2390="","Needs level","OK"))))</f>
        <v/>
      </c>
    </row>
    <row r="2391">
      <c r="A2391" s="6" t="n"/>
      <c r="B2391" s="6" t="n"/>
      <c r="C2391" s="6" t="n"/>
      <c r="D2391" s="11">
        <f>IF(C2391="","",IFERROR(INDEX(Levels!$A$2:$A$30,MATCH(C2391,Levels!$B$2:$B$30,0)),""))</f>
        <v/>
      </c>
      <c r="E2391" s="10">
        <f>IF(B2391="","",IFERROR(INDEX(Roster!$A$2:$A$600,MATCH(B2391,Roster!$E$2:$E$600,0)),""))</f>
        <v/>
      </c>
      <c r="F2391" s="10">
        <f>IF(C2391="","",IFERROR(INDEX(Levels!$C$2:$C$30,MATCH(C2391,Levels!$B$2:$B$30,0)),""))</f>
        <v/>
      </c>
      <c r="G2391" s="6" t="n"/>
      <c r="H2391" s="10">
        <f>IF(AND(B2391="",C2391=""),"",IF(G2391&lt;&gt;"","Void",IF(OR(B2391="",E2391=""),"Needs child",IF(D2391="","Needs level","OK"))))</f>
        <v/>
      </c>
    </row>
    <row r="2392">
      <c r="A2392" s="6" t="n"/>
      <c r="B2392" s="6" t="n"/>
      <c r="C2392" s="6" t="n"/>
      <c r="D2392" s="11">
        <f>IF(C2392="","",IFERROR(INDEX(Levels!$A$2:$A$30,MATCH(C2392,Levels!$B$2:$B$30,0)),""))</f>
        <v/>
      </c>
      <c r="E2392" s="10">
        <f>IF(B2392="","",IFERROR(INDEX(Roster!$A$2:$A$600,MATCH(B2392,Roster!$E$2:$E$600,0)),""))</f>
        <v/>
      </c>
      <c r="F2392" s="10">
        <f>IF(C2392="","",IFERROR(INDEX(Levels!$C$2:$C$30,MATCH(C2392,Levels!$B$2:$B$30,0)),""))</f>
        <v/>
      </c>
      <c r="G2392" s="6" t="n"/>
      <c r="H2392" s="10">
        <f>IF(AND(B2392="",C2392=""),"",IF(G2392&lt;&gt;"","Void",IF(OR(B2392="",E2392=""),"Needs child",IF(D2392="","Needs level","OK"))))</f>
        <v/>
      </c>
    </row>
    <row r="2393">
      <c r="A2393" s="6" t="n"/>
      <c r="B2393" s="6" t="n"/>
      <c r="C2393" s="6" t="n"/>
      <c r="D2393" s="11">
        <f>IF(C2393="","",IFERROR(INDEX(Levels!$A$2:$A$30,MATCH(C2393,Levels!$B$2:$B$30,0)),""))</f>
        <v/>
      </c>
      <c r="E2393" s="10">
        <f>IF(B2393="","",IFERROR(INDEX(Roster!$A$2:$A$600,MATCH(B2393,Roster!$E$2:$E$600,0)),""))</f>
        <v/>
      </c>
      <c r="F2393" s="10">
        <f>IF(C2393="","",IFERROR(INDEX(Levels!$C$2:$C$30,MATCH(C2393,Levels!$B$2:$B$30,0)),""))</f>
        <v/>
      </c>
      <c r="G2393" s="6" t="n"/>
      <c r="H2393" s="10">
        <f>IF(AND(B2393="",C2393=""),"",IF(G2393&lt;&gt;"","Void",IF(OR(B2393="",E2393=""),"Needs child",IF(D2393="","Needs level","OK"))))</f>
        <v/>
      </c>
    </row>
    <row r="2394">
      <c r="A2394" s="6" t="n"/>
      <c r="B2394" s="6" t="n"/>
      <c r="C2394" s="6" t="n"/>
      <c r="D2394" s="11">
        <f>IF(C2394="","",IFERROR(INDEX(Levels!$A$2:$A$30,MATCH(C2394,Levels!$B$2:$B$30,0)),""))</f>
        <v/>
      </c>
      <c r="E2394" s="10">
        <f>IF(B2394="","",IFERROR(INDEX(Roster!$A$2:$A$600,MATCH(B2394,Roster!$E$2:$E$600,0)),""))</f>
        <v/>
      </c>
      <c r="F2394" s="10">
        <f>IF(C2394="","",IFERROR(INDEX(Levels!$C$2:$C$30,MATCH(C2394,Levels!$B$2:$B$30,0)),""))</f>
        <v/>
      </c>
      <c r="G2394" s="6" t="n"/>
      <c r="H2394" s="10">
        <f>IF(AND(B2394="",C2394=""),"",IF(G2394&lt;&gt;"","Void",IF(OR(B2394="",E2394=""),"Needs child",IF(D2394="","Needs level","OK"))))</f>
        <v/>
      </c>
    </row>
    <row r="2395">
      <c r="A2395" s="6" t="n"/>
      <c r="B2395" s="6" t="n"/>
      <c r="C2395" s="6" t="n"/>
      <c r="D2395" s="11">
        <f>IF(C2395="","",IFERROR(INDEX(Levels!$A$2:$A$30,MATCH(C2395,Levels!$B$2:$B$30,0)),""))</f>
        <v/>
      </c>
      <c r="E2395" s="10">
        <f>IF(B2395="","",IFERROR(INDEX(Roster!$A$2:$A$600,MATCH(B2395,Roster!$E$2:$E$600,0)),""))</f>
        <v/>
      </c>
      <c r="F2395" s="10">
        <f>IF(C2395="","",IFERROR(INDEX(Levels!$C$2:$C$30,MATCH(C2395,Levels!$B$2:$B$30,0)),""))</f>
        <v/>
      </c>
      <c r="G2395" s="6" t="n"/>
      <c r="H2395" s="10">
        <f>IF(AND(B2395="",C2395=""),"",IF(G2395&lt;&gt;"","Void",IF(OR(B2395="",E2395=""),"Needs child",IF(D2395="","Needs level","OK"))))</f>
        <v/>
      </c>
    </row>
    <row r="2396">
      <c r="A2396" s="6" t="n"/>
      <c r="B2396" s="6" t="n"/>
      <c r="C2396" s="6" t="n"/>
      <c r="D2396" s="11">
        <f>IF(C2396="","",IFERROR(INDEX(Levels!$A$2:$A$30,MATCH(C2396,Levels!$B$2:$B$30,0)),""))</f>
        <v/>
      </c>
      <c r="E2396" s="10">
        <f>IF(B2396="","",IFERROR(INDEX(Roster!$A$2:$A$600,MATCH(B2396,Roster!$E$2:$E$600,0)),""))</f>
        <v/>
      </c>
      <c r="F2396" s="10">
        <f>IF(C2396="","",IFERROR(INDEX(Levels!$C$2:$C$30,MATCH(C2396,Levels!$B$2:$B$30,0)),""))</f>
        <v/>
      </c>
      <c r="G2396" s="6" t="n"/>
      <c r="H2396" s="10">
        <f>IF(AND(B2396="",C2396=""),"",IF(G2396&lt;&gt;"","Void",IF(OR(B2396="",E2396=""),"Needs child",IF(D2396="","Needs level","OK"))))</f>
        <v/>
      </c>
    </row>
    <row r="2397">
      <c r="A2397" s="6" t="n"/>
      <c r="B2397" s="6" t="n"/>
      <c r="C2397" s="6" t="n"/>
      <c r="D2397" s="11">
        <f>IF(C2397="","",IFERROR(INDEX(Levels!$A$2:$A$30,MATCH(C2397,Levels!$B$2:$B$30,0)),""))</f>
        <v/>
      </c>
      <c r="E2397" s="10">
        <f>IF(B2397="","",IFERROR(INDEX(Roster!$A$2:$A$600,MATCH(B2397,Roster!$E$2:$E$600,0)),""))</f>
        <v/>
      </c>
      <c r="F2397" s="10">
        <f>IF(C2397="","",IFERROR(INDEX(Levels!$C$2:$C$30,MATCH(C2397,Levels!$B$2:$B$30,0)),""))</f>
        <v/>
      </c>
      <c r="G2397" s="6" t="n"/>
      <c r="H2397" s="10">
        <f>IF(AND(B2397="",C2397=""),"",IF(G2397&lt;&gt;"","Void",IF(OR(B2397="",E2397=""),"Needs child",IF(D2397="","Needs level","OK"))))</f>
        <v/>
      </c>
    </row>
    <row r="2398">
      <c r="A2398" s="6" t="n"/>
      <c r="B2398" s="6" t="n"/>
      <c r="C2398" s="6" t="n"/>
      <c r="D2398" s="11">
        <f>IF(C2398="","",IFERROR(INDEX(Levels!$A$2:$A$30,MATCH(C2398,Levels!$B$2:$B$30,0)),""))</f>
        <v/>
      </c>
      <c r="E2398" s="10">
        <f>IF(B2398="","",IFERROR(INDEX(Roster!$A$2:$A$600,MATCH(B2398,Roster!$E$2:$E$600,0)),""))</f>
        <v/>
      </c>
      <c r="F2398" s="10">
        <f>IF(C2398="","",IFERROR(INDEX(Levels!$C$2:$C$30,MATCH(C2398,Levels!$B$2:$B$30,0)),""))</f>
        <v/>
      </c>
      <c r="G2398" s="6" t="n"/>
      <c r="H2398" s="10">
        <f>IF(AND(B2398="",C2398=""),"",IF(G2398&lt;&gt;"","Void",IF(OR(B2398="",E2398=""),"Needs child",IF(D2398="","Needs level","OK"))))</f>
        <v/>
      </c>
    </row>
    <row r="2399">
      <c r="A2399" s="6" t="n"/>
      <c r="B2399" s="6" t="n"/>
      <c r="C2399" s="6" t="n"/>
      <c r="D2399" s="11">
        <f>IF(C2399="","",IFERROR(INDEX(Levels!$A$2:$A$30,MATCH(C2399,Levels!$B$2:$B$30,0)),""))</f>
        <v/>
      </c>
      <c r="E2399" s="10">
        <f>IF(B2399="","",IFERROR(INDEX(Roster!$A$2:$A$600,MATCH(B2399,Roster!$E$2:$E$600,0)),""))</f>
        <v/>
      </c>
      <c r="F2399" s="10">
        <f>IF(C2399="","",IFERROR(INDEX(Levels!$C$2:$C$30,MATCH(C2399,Levels!$B$2:$B$30,0)),""))</f>
        <v/>
      </c>
      <c r="G2399" s="6" t="n"/>
      <c r="H2399" s="10">
        <f>IF(AND(B2399="",C2399=""),"",IF(G2399&lt;&gt;"","Void",IF(OR(B2399="",E2399=""),"Needs child",IF(D2399="","Needs level","OK"))))</f>
        <v/>
      </c>
    </row>
    <row r="2400">
      <c r="A2400" s="6" t="n"/>
      <c r="B2400" s="6" t="n"/>
      <c r="C2400" s="6" t="n"/>
      <c r="D2400" s="11">
        <f>IF(C2400="","",IFERROR(INDEX(Levels!$A$2:$A$30,MATCH(C2400,Levels!$B$2:$B$30,0)),""))</f>
        <v/>
      </c>
      <c r="E2400" s="10">
        <f>IF(B2400="","",IFERROR(INDEX(Roster!$A$2:$A$600,MATCH(B2400,Roster!$E$2:$E$600,0)),""))</f>
        <v/>
      </c>
      <c r="F2400" s="10">
        <f>IF(C2400="","",IFERROR(INDEX(Levels!$C$2:$C$30,MATCH(C2400,Levels!$B$2:$B$30,0)),""))</f>
        <v/>
      </c>
      <c r="G2400" s="6" t="n"/>
      <c r="H2400" s="10">
        <f>IF(AND(B2400="",C2400=""),"",IF(G2400&lt;&gt;"","Void",IF(OR(B2400="",E2400=""),"Needs child",IF(D2400="","Needs level","OK"))))</f>
        <v/>
      </c>
    </row>
    <row r="2401">
      <c r="A2401" s="6" t="n"/>
      <c r="B2401" s="6" t="n"/>
      <c r="C2401" s="6" t="n"/>
      <c r="D2401" s="11">
        <f>IF(C2401="","",IFERROR(INDEX(Levels!$A$2:$A$30,MATCH(C2401,Levels!$B$2:$B$30,0)),""))</f>
        <v/>
      </c>
      <c r="E2401" s="10">
        <f>IF(B2401="","",IFERROR(INDEX(Roster!$A$2:$A$600,MATCH(B2401,Roster!$E$2:$E$600,0)),""))</f>
        <v/>
      </c>
      <c r="F2401" s="10">
        <f>IF(C2401="","",IFERROR(INDEX(Levels!$C$2:$C$30,MATCH(C2401,Levels!$B$2:$B$30,0)),""))</f>
        <v/>
      </c>
      <c r="G2401" s="6" t="n"/>
      <c r="H2401" s="10">
        <f>IF(AND(B2401="",C2401=""),"",IF(G2401&lt;&gt;"","Void",IF(OR(B2401="",E2401=""),"Needs child",IF(D2401="","Needs level","OK"))))</f>
        <v/>
      </c>
    </row>
    <row r="2402">
      <c r="A2402" s="6" t="n"/>
      <c r="B2402" s="6" t="n"/>
      <c r="C2402" s="6" t="n"/>
      <c r="D2402" s="11">
        <f>IF(C2402="","",IFERROR(INDEX(Levels!$A$2:$A$30,MATCH(C2402,Levels!$B$2:$B$30,0)),""))</f>
        <v/>
      </c>
      <c r="E2402" s="10">
        <f>IF(B2402="","",IFERROR(INDEX(Roster!$A$2:$A$600,MATCH(B2402,Roster!$E$2:$E$600,0)),""))</f>
        <v/>
      </c>
      <c r="F2402" s="10">
        <f>IF(C2402="","",IFERROR(INDEX(Levels!$C$2:$C$30,MATCH(C2402,Levels!$B$2:$B$30,0)),""))</f>
        <v/>
      </c>
      <c r="G2402" s="6" t="n"/>
      <c r="H2402" s="10">
        <f>IF(AND(B2402="",C2402=""),"",IF(G2402&lt;&gt;"","Void",IF(OR(B2402="",E2402=""),"Needs child",IF(D2402="","Needs level","OK"))))</f>
        <v/>
      </c>
    </row>
    <row r="2403">
      <c r="A2403" s="6" t="n"/>
      <c r="B2403" s="6" t="n"/>
      <c r="C2403" s="6" t="n"/>
      <c r="D2403" s="11">
        <f>IF(C2403="","",IFERROR(INDEX(Levels!$A$2:$A$30,MATCH(C2403,Levels!$B$2:$B$30,0)),""))</f>
        <v/>
      </c>
      <c r="E2403" s="10">
        <f>IF(B2403="","",IFERROR(INDEX(Roster!$A$2:$A$600,MATCH(B2403,Roster!$E$2:$E$600,0)),""))</f>
        <v/>
      </c>
      <c r="F2403" s="10">
        <f>IF(C2403="","",IFERROR(INDEX(Levels!$C$2:$C$30,MATCH(C2403,Levels!$B$2:$B$30,0)),""))</f>
        <v/>
      </c>
      <c r="G2403" s="6" t="n"/>
      <c r="H2403" s="10">
        <f>IF(AND(B2403="",C2403=""),"",IF(G2403&lt;&gt;"","Void",IF(OR(B2403="",E2403=""),"Needs child",IF(D2403="","Needs level","OK"))))</f>
        <v/>
      </c>
    </row>
    <row r="2404">
      <c r="A2404" s="6" t="n"/>
      <c r="B2404" s="6" t="n"/>
      <c r="C2404" s="6" t="n"/>
      <c r="D2404" s="11">
        <f>IF(C2404="","",IFERROR(INDEX(Levels!$A$2:$A$30,MATCH(C2404,Levels!$B$2:$B$30,0)),""))</f>
        <v/>
      </c>
      <c r="E2404" s="10">
        <f>IF(B2404="","",IFERROR(INDEX(Roster!$A$2:$A$600,MATCH(B2404,Roster!$E$2:$E$600,0)),""))</f>
        <v/>
      </c>
      <c r="F2404" s="10">
        <f>IF(C2404="","",IFERROR(INDEX(Levels!$C$2:$C$30,MATCH(C2404,Levels!$B$2:$B$30,0)),""))</f>
        <v/>
      </c>
      <c r="G2404" s="6" t="n"/>
      <c r="H2404" s="10">
        <f>IF(AND(B2404="",C2404=""),"",IF(G2404&lt;&gt;"","Void",IF(OR(B2404="",E2404=""),"Needs child",IF(D2404="","Needs level","OK"))))</f>
        <v/>
      </c>
    </row>
    <row r="2405">
      <c r="A2405" s="6" t="n"/>
      <c r="B2405" s="6" t="n"/>
      <c r="C2405" s="6" t="n"/>
      <c r="D2405" s="11">
        <f>IF(C2405="","",IFERROR(INDEX(Levels!$A$2:$A$30,MATCH(C2405,Levels!$B$2:$B$30,0)),""))</f>
        <v/>
      </c>
      <c r="E2405" s="10">
        <f>IF(B2405="","",IFERROR(INDEX(Roster!$A$2:$A$600,MATCH(B2405,Roster!$E$2:$E$600,0)),""))</f>
        <v/>
      </c>
      <c r="F2405" s="10">
        <f>IF(C2405="","",IFERROR(INDEX(Levels!$C$2:$C$30,MATCH(C2405,Levels!$B$2:$B$30,0)),""))</f>
        <v/>
      </c>
      <c r="G2405" s="6" t="n"/>
      <c r="H2405" s="10">
        <f>IF(AND(B2405="",C2405=""),"",IF(G2405&lt;&gt;"","Void",IF(OR(B2405="",E2405=""),"Needs child",IF(D2405="","Needs level","OK"))))</f>
        <v/>
      </c>
    </row>
    <row r="2406">
      <c r="A2406" s="6" t="n"/>
      <c r="B2406" s="6" t="n"/>
      <c r="C2406" s="6" t="n"/>
      <c r="D2406" s="11">
        <f>IF(C2406="","",IFERROR(INDEX(Levels!$A$2:$A$30,MATCH(C2406,Levels!$B$2:$B$30,0)),""))</f>
        <v/>
      </c>
      <c r="E2406" s="10">
        <f>IF(B2406="","",IFERROR(INDEX(Roster!$A$2:$A$600,MATCH(B2406,Roster!$E$2:$E$600,0)),""))</f>
        <v/>
      </c>
      <c r="F2406" s="10">
        <f>IF(C2406="","",IFERROR(INDEX(Levels!$C$2:$C$30,MATCH(C2406,Levels!$B$2:$B$30,0)),""))</f>
        <v/>
      </c>
      <c r="G2406" s="6" t="n"/>
      <c r="H2406" s="10">
        <f>IF(AND(B2406="",C2406=""),"",IF(G2406&lt;&gt;"","Void",IF(OR(B2406="",E2406=""),"Needs child",IF(D2406="","Needs level","OK"))))</f>
        <v/>
      </c>
    </row>
    <row r="2407">
      <c r="A2407" s="6" t="n"/>
      <c r="B2407" s="6" t="n"/>
      <c r="C2407" s="6" t="n"/>
      <c r="D2407" s="11">
        <f>IF(C2407="","",IFERROR(INDEX(Levels!$A$2:$A$30,MATCH(C2407,Levels!$B$2:$B$30,0)),""))</f>
        <v/>
      </c>
      <c r="E2407" s="10">
        <f>IF(B2407="","",IFERROR(INDEX(Roster!$A$2:$A$600,MATCH(B2407,Roster!$E$2:$E$600,0)),""))</f>
        <v/>
      </c>
      <c r="F2407" s="10">
        <f>IF(C2407="","",IFERROR(INDEX(Levels!$C$2:$C$30,MATCH(C2407,Levels!$B$2:$B$30,0)),""))</f>
        <v/>
      </c>
      <c r="G2407" s="6" t="n"/>
      <c r="H2407" s="10">
        <f>IF(AND(B2407="",C2407=""),"",IF(G2407&lt;&gt;"","Void",IF(OR(B2407="",E2407=""),"Needs child",IF(D2407="","Needs level","OK"))))</f>
        <v/>
      </c>
    </row>
    <row r="2408">
      <c r="A2408" s="6" t="n"/>
      <c r="B2408" s="6" t="n"/>
      <c r="C2408" s="6" t="n"/>
      <c r="D2408" s="11">
        <f>IF(C2408="","",IFERROR(INDEX(Levels!$A$2:$A$30,MATCH(C2408,Levels!$B$2:$B$30,0)),""))</f>
        <v/>
      </c>
      <c r="E2408" s="10">
        <f>IF(B2408="","",IFERROR(INDEX(Roster!$A$2:$A$600,MATCH(B2408,Roster!$E$2:$E$600,0)),""))</f>
        <v/>
      </c>
      <c r="F2408" s="10">
        <f>IF(C2408="","",IFERROR(INDEX(Levels!$C$2:$C$30,MATCH(C2408,Levels!$B$2:$B$30,0)),""))</f>
        <v/>
      </c>
      <c r="G2408" s="6" t="n"/>
      <c r="H2408" s="10">
        <f>IF(AND(B2408="",C2408=""),"",IF(G2408&lt;&gt;"","Void",IF(OR(B2408="",E2408=""),"Needs child",IF(D2408="","Needs level","OK"))))</f>
        <v/>
      </c>
    </row>
    <row r="2409">
      <c r="A2409" s="6" t="n"/>
      <c r="B2409" s="6" t="n"/>
      <c r="C2409" s="6" t="n"/>
      <c r="D2409" s="11">
        <f>IF(C2409="","",IFERROR(INDEX(Levels!$A$2:$A$30,MATCH(C2409,Levels!$B$2:$B$30,0)),""))</f>
        <v/>
      </c>
      <c r="E2409" s="10">
        <f>IF(B2409="","",IFERROR(INDEX(Roster!$A$2:$A$600,MATCH(B2409,Roster!$E$2:$E$600,0)),""))</f>
        <v/>
      </c>
      <c r="F2409" s="10">
        <f>IF(C2409="","",IFERROR(INDEX(Levels!$C$2:$C$30,MATCH(C2409,Levels!$B$2:$B$30,0)),""))</f>
        <v/>
      </c>
      <c r="G2409" s="6" t="n"/>
      <c r="H2409" s="10">
        <f>IF(AND(B2409="",C2409=""),"",IF(G2409&lt;&gt;"","Void",IF(OR(B2409="",E2409=""),"Needs child",IF(D2409="","Needs level","OK"))))</f>
        <v/>
      </c>
    </row>
    <row r="2410">
      <c r="A2410" s="6" t="n"/>
      <c r="B2410" s="6" t="n"/>
      <c r="C2410" s="6" t="n"/>
      <c r="D2410" s="11">
        <f>IF(C2410="","",IFERROR(INDEX(Levels!$A$2:$A$30,MATCH(C2410,Levels!$B$2:$B$30,0)),""))</f>
        <v/>
      </c>
      <c r="E2410" s="10">
        <f>IF(B2410="","",IFERROR(INDEX(Roster!$A$2:$A$600,MATCH(B2410,Roster!$E$2:$E$600,0)),""))</f>
        <v/>
      </c>
      <c r="F2410" s="10">
        <f>IF(C2410="","",IFERROR(INDEX(Levels!$C$2:$C$30,MATCH(C2410,Levels!$B$2:$B$30,0)),""))</f>
        <v/>
      </c>
      <c r="G2410" s="6" t="n"/>
      <c r="H2410" s="10">
        <f>IF(AND(B2410="",C2410=""),"",IF(G2410&lt;&gt;"","Void",IF(OR(B2410="",E2410=""),"Needs child",IF(D2410="","Needs level","OK"))))</f>
        <v/>
      </c>
    </row>
    <row r="2411">
      <c r="A2411" s="6" t="n"/>
      <c r="B2411" s="6" t="n"/>
      <c r="C2411" s="6" t="n"/>
      <c r="D2411" s="11">
        <f>IF(C2411="","",IFERROR(INDEX(Levels!$A$2:$A$30,MATCH(C2411,Levels!$B$2:$B$30,0)),""))</f>
        <v/>
      </c>
      <c r="E2411" s="10">
        <f>IF(B2411="","",IFERROR(INDEX(Roster!$A$2:$A$600,MATCH(B2411,Roster!$E$2:$E$600,0)),""))</f>
        <v/>
      </c>
      <c r="F2411" s="10">
        <f>IF(C2411="","",IFERROR(INDEX(Levels!$C$2:$C$30,MATCH(C2411,Levels!$B$2:$B$30,0)),""))</f>
        <v/>
      </c>
      <c r="G2411" s="6" t="n"/>
      <c r="H2411" s="10">
        <f>IF(AND(B2411="",C2411=""),"",IF(G2411&lt;&gt;"","Void",IF(OR(B2411="",E2411=""),"Needs child",IF(D2411="","Needs level","OK"))))</f>
        <v/>
      </c>
    </row>
    <row r="2412">
      <c r="A2412" s="6" t="n"/>
      <c r="B2412" s="6" t="n"/>
      <c r="C2412" s="6" t="n"/>
      <c r="D2412" s="11">
        <f>IF(C2412="","",IFERROR(INDEX(Levels!$A$2:$A$30,MATCH(C2412,Levels!$B$2:$B$30,0)),""))</f>
        <v/>
      </c>
      <c r="E2412" s="10">
        <f>IF(B2412="","",IFERROR(INDEX(Roster!$A$2:$A$600,MATCH(B2412,Roster!$E$2:$E$600,0)),""))</f>
        <v/>
      </c>
      <c r="F2412" s="10">
        <f>IF(C2412="","",IFERROR(INDEX(Levels!$C$2:$C$30,MATCH(C2412,Levels!$B$2:$B$30,0)),""))</f>
        <v/>
      </c>
      <c r="G2412" s="6" t="n"/>
      <c r="H2412" s="10">
        <f>IF(AND(B2412="",C2412=""),"",IF(G2412&lt;&gt;"","Void",IF(OR(B2412="",E2412=""),"Needs child",IF(D2412="","Needs level","OK"))))</f>
        <v/>
      </c>
    </row>
    <row r="2413">
      <c r="A2413" s="6" t="n"/>
      <c r="B2413" s="6" t="n"/>
      <c r="C2413" s="6" t="n"/>
      <c r="D2413" s="11">
        <f>IF(C2413="","",IFERROR(INDEX(Levels!$A$2:$A$30,MATCH(C2413,Levels!$B$2:$B$30,0)),""))</f>
        <v/>
      </c>
      <c r="E2413" s="10">
        <f>IF(B2413="","",IFERROR(INDEX(Roster!$A$2:$A$600,MATCH(B2413,Roster!$E$2:$E$600,0)),""))</f>
        <v/>
      </c>
      <c r="F2413" s="10">
        <f>IF(C2413="","",IFERROR(INDEX(Levels!$C$2:$C$30,MATCH(C2413,Levels!$B$2:$B$30,0)),""))</f>
        <v/>
      </c>
      <c r="G2413" s="6" t="n"/>
      <c r="H2413" s="10">
        <f>IF(AND(B2413="",C2413=""),"",IF(G2413&lt;&gt;"","Void",IF(OR(B2413="",E2413=""),"Needs child",IF(D2413="","Needs level","OK"))))</f>
        <v/>
      </c>
    </row>
    <row r="2414">
      <c r="A2414" s="6" t="n"/>
      <c r="B2414" s="6" t="n"/>
      <c r="C2414" s="6" t="n"/>
      <c r="D2414" s="11">
        <f>IF(C2414="","",IFERROR(INDEX(Levels!$A$2:$A$30,MATCH(C2414,Levels!$B$2:$B$30,0)),""))</f>
        <v/>
      </c>
      <c r="E2414" s="10">
        <f>IF(B2414="","",IFERROR(INDEX(Roster!$A$2:$A$600,MATCH(B2414,Roster!$E$2:$E$600,0)),""))</f>
        <v/>
      </c>
      <c r="F2414" s="10">
        <f>IF(C2414="","",IFERROR(INDEX(Levels!$C$2:$C$30,MATCH(C2414,Levels!$B$2:$B$30,0)),""))</f>
        <v/>
      </c>
      <c r="G2414" s="6" t="n"/>
      <c r="H2414" s="10">
        <f>IF(AND(B2414="",C2414=""),"",IF(G2414&lt;&gt;"","Void",IF(OR(B2414="",E2414=""),"Needs child",IF(D2414="","Needs level","OK"))))</f>
        <v/>
      </c>
    </row>
    <row r="2415">
      <c r="A2415" s="6" t="n"/>
      <c r="B2415" s="6" t="n"/>
      <c r="C2415" s="6" t="n"/>
      <c r="D2415" s="11">
        <f>IF(C2415="","",IFERROR(INDEX(Levels!$A$2:$A$30,MATCH(C2415,Levels!$B$2:$B$30,0)),""))</f>
        <v/>
      </c>
      <c r="E2415" s="10">
        <f>IF(B2415="","",IFERROR(INDEX(Roster!$A$2:$A$600,MATCH(B2415,Roster!$E$2:$E$600,0)),""))</f>
        <v/>
      </c>
      <c r="F2415" s="10">
        <f>IF(C2415="","",IFERROR(INDEX(Levels!$C$2:$C$30,MATCH(C2415,Levels!$B$2:$B$30,0)),""))</f>
        <v/>
      </c>
      <c r="G2415" s="6" t="n"/>
      <c r="H2415" s="10">
        <f>IF(AND(B2415="",C2415=""),"",IF(G2415&lt;&gt;"","Void",IF(OR(B2415="",E2415=""),"Needs child",IF(D2415="","Needs level","OK"))))</f>
        <v/>
      </c>
    </row>
    <row r="2416">
      <c r="A2416" s="6" t="n"/>
      <c r="B2416" s="6" t="n"/>
      <c r="C2416" s="6" t="n"/>
      <c r="D2416" s="11">
        <f>IF(C2416="","",IFERROR(INDEX(Levels!$A$2:$A$30,MATCH(C2416,Levels!$B$2:$B$30,0)),""))</f>
        <v/>
      </c>
      <c r="E2416" s="10">
        <f>IF(B2416="","",IFERROR(INDEX(Roster!$A$2:$A$600,MATCH(B2416,Roster!$E$2:$E$600,0)),""))</f>
        <v/>
      </c>
      <c r="F2416" s="10">
        <f>IF(C2416="","",IFERROR(INDEX(Levels!$C$2:$C$30,MATCH(C2416,Levels!$B$2:$B$30,0)),""))</f>
        <v/>
      </c>
      <c r="G2416" s="6" t="n"/>
      <c r="H2416" s="10">
        <f>IF(AND(B2416="",C2416=""),"",IF(G2416&lt;&gt;"","Void",IF(OR(B2416="",E2416=""),"Needs child",IF(D2416="","Needs level","OK"))))</f>
        <v/>
      </c>
    </row>
    <row r="2417">
      <c r="A2417" s="6" t="n"/>
      <c r="B2417" s="6" t="n"/>
      <c r="C2417" s="6" t="n"/>
      <c r="D2417" s="11">
        <f>IF(C2417="","",IFERROR(INDEX(Levels!$A$2:$A$30,MATCH(C2417,Levels!$B$2:$B$30,0)),""))</f>
        <v/>
      </c>
      <c r="E2417" s="10">
        <f>IF(B2417="","",IFERROR(INDEX(Roster!$A$2:$A$600,MATCH(B2417,Roster!$E$2:$E$600,0)),""))</f>
        <v/>
      </c>
      <c r="F2417" s="10">
        <f>IF(C2417="","",IFERROR(INDEX(Levels!$C$2:$C$30,MATCH(C2417,Levels!$B$2:$B$30,0)),""))</f>
        <v/>
      </c>
      <c r="G2417" s="6" t="n"/>
      <c r="H2417" s="10">
        <f>IF(AND(B2417="",C2417=""),"",IF(G2417&lt;&gt;"","Void",IF(OR(B2417="",E2417=""),"Needs child",IF(D2417="","Needs level","OK"))))</f>
        <v/>
      </c>
    </row>
    <row r="2418">
      <c r="A2418" s="6" t="n"/>
      <c r="B2418" s="6" t="n"/>
      <c r="C2418" s="6" t="n"/>
      <c r="D2418" s="11">
        <f>IF(C2418="","",IFERROR(INDEX(Levels!$A$2:$A$30,MATCH(C2418,Levels!$B$2:$B$30,0)),""))</f>
        <v/>
      </c>
      <c r="E2418" s="10">
        <f>IF(B2418="","",IFERROR(INDEX(Roster!$A$2:$A$600,MATCH(B2418,Roster!$E$2:$E$600,0)),""))</f>
        <v/>
      </c>
      <c r="F2418" s="10">
        <f>IF(C2418="","",IFERROR(INDEX(Levels!$C$2:$C$30,MATCH(C2418,Levels!$B$2:$B$30,0)),""))</f>
        <v/>
      </c>
      <c r="G2418" s="6" t="n"/>
      <c r="H2418" s="10">
        <f>IF(AND(B2418="",C2418=""),"",IF(G2418&lt;&gt;"","Void",IF(OR(B2418="",E2418=""),"Needs child",IF(D2418="","Needs level","OK"))))</f>
        <v/>
      </c>
    </row>
    <row r="2419">
      <c r="A2419" s="6" t="n"/>
      <c r="B2419" s="6" t="n"/>
      <c r="C2419" s="6" t="n"/>
      <c r="D2419" s="11">
        <f>IF(C2419="","",IFERROR(INDEX(Levels!$A$2:$A$30,MATCH(C2419,Levels!$B$2:$B$30,0)),""))</f>
        <v/>
      </c>
      <c r="E2419" s="10">
        <f>IF(B2419="","",IFERROR(INDEX(Roster!$A$2:$A$600,MATCH(B2419,Roster!$E$2:$E$600,0)),""))</f>
        <v/>
      </c>
      <c r="F2419" s="10">
        <f>IF(C2419="","",IFERROR(INDEX(Levels!$C$2:$C$30,MATCH(C2419,Levels!$B$2:$B$30,0)),""))</f>
        <v/>
      </c>
      <c r="G2419" s="6" t="n"/>
      <c r="H2419" s="10">
        <f>IF(AND(B2419="",C2419=""),"",IF(G2419&lt;&gt;"","Void",IF(OR(B2419="",E2419=""),"Needs child",IF(D2419="","Needs level","OK"))))</f>
        <v/>
      </c>
    </row>
    <row r="2420">
      <c r="A2420" s="6" t="n"/>
      <c r="B2420" s="6" t="n"/>
      <c r="C2420" s="6" t="n"/>
      <c r="D2420" s="11">
        <f>IF(C2420="","",IFERROR(INDEX(Levels!$A$2:$A$30,MATCH(C2420,Levels!$B$2:$B$30,0)),""))</f>
        <v/>
      </c>
      <c r="E2420" s="10">
        <f>IF(B2420="","",IFERROR(INDEX(Roster!$A$2:$A$600,MATCH(B2420,Roster!$E$2:$E$600,0)),""))</f>
        <v/>
      </c>
      <c r="F2420" s="10">
        <f>IF(C2420="","",IFERROR(INDEX(Levels!$C$2:$C$30,MATCH(C2420,Levels!$B$2:$B$30,0)),""))</f>
        <v/>
      </c>
      <c r="G2420" s="6" t="n"/>
      <c r="H2420" s="10">
        <f>IF(AND(B2420="",C2420=""),"",IF(G2420&lt;&gt;"","Void",IF(OR(B2420="",E2420=""),"Needs child",IF(D2420="","Needs level","OK"))))</f>
        <v/>
      </c>
    </row>
    <row r="2421">
      <c r="A2421" s="6" t="n"/>
      <c r="B2421" s="6" t="n"/>
      <c r="C2421" s="6" t="n"/>
      <c r="D2421" s="11">
        <f>IF(C2421="","",IFERROR(INDEX(Levels!$A$2:$A$30,MATCH(C2421,Levels!$B$2:$B$30,0)),""))</f>
        <v/>
      </c>
      <c r="E2421" s="10">
        <f>IF(B2421="","",IFERROR(INDEX(Roster!$A$2:$A$600,MATCH(B2421,Roster!$E$2:$E$600,0)),""))</f>
        <v/>
      </c>
      <c r="F2421" s="10">
        <f>IF(C2421="","",IFERROR(INDEX(Levels!$C$2:$C$30,MATCH(C2421,Levels!$B$2:$B$30,0)),""))</f>
        <v/>
      </c>
      <c r="G2421" s="6" t="n"/>
      <c r="H2421" s="10">
        <f>IF(AND(B2421="",C2421=""),"",IF(G2421&lt;&gt;"","Void",IF(OR(B2421="",E2421=""),"Needs child",IF(D2421="","Needs level","OK"))))</f>
        <v/>
      </c>
    </row>
    <row r="2422">
      <c r="A2422" s="6" t="n"/>
      <c r="B2422" s="6" t="n"/>
      <c r="C2422" s="6" t="n"/>
      <c r="D2422" s="11">
        <f>IF(C2422="","",IFERROR(INDEX(Levels!$A$2:$A$30,MATCH(C2422,Levels!$B$2:$B$30,0)),""))</f>
        <v/>
      </c>
      <c r="E2422" s="10">
        <f>IF(B2422="","",IFERROR(INDEX(Roster!$A$2:$A$600,MATCH(B2422,Roster!$E$2:$E$600,0)),""))</f>
        <v/>
      </c>
      <c r="F2422" s="10">
        <f>IF(C2422="","",IFERROR(INDEX(Levels!$C$2:$C$30,MATCH(C2422,Levels!$B$2:$B$30,0)),""))</f>
        <v/>
      </c>
      <c r="G2422" s="6" t="n"/>
      <c r="H2422" s="10">
        <f>IF(AND(B2422="",C2422=""),"",IF(G2422&lt;&gt;"","Void",IF(OR(B2422="",E2422=""),"Needs child",IF(D2422="","Needs level","OK"))))</f>
        <v/>
      </c>
    </row>
    <row r="2423">
      <c r="A2423" s="6" t="n"/>
      <c r="B2423" s="6" t="n"/>
      <c r="C2423" s="6" t="n"/>
      <c r="D2423" s="11">
        <f>IF(C2423="","",IFERROR(INDEX(Levels!$A$2:$A$30,MATCH(C2423,Levels!$B$2:$B$30,0)),""))</f>
        <v/>
      </c>
      <c r="E2423" s="10">
        <f>IF(B2423="","",IFERROR(INDEX(Roster!$A$2:$A$600,MATCH(B2423,Roster!$E$2:$E$600,0)),""))</f>
        <v/>
      </c>
      <c r="F2423" s="10">
        <f>IF(C2423="","",IFERROR(INDEX(Levels!$C$2:$C$30,MATCH(C2423,Levels!$B$2:$B$30,0)),""))</f>
        <v/>
      </c>
      <c r="G2423" s="6" t="n"/>
      <c r="H2423" s="10">
        <f>IF(AND(B2423="",C2423=""),"",IF(G2423&lt;&gt;"","Void",IF(OR(B2423="",E2423=""),"Needs child",IF(D2423="","Needs level","OK"))))</f>
        <v/>
      </c>
    </row>
    <row r="2424">
      <c r="A2424" s="6" t="n"/>
      <c r="B2424" s="6" t="n"/>
      <c r="C2424" s="6" t="n"/>
      <c r="D2424" s="11">
        <f>IF(C2424="","",IFERROR(INDEX(Levels!$A$2:$A$30,MATCH(C2424,Levels!$B$2:$B$30,0)),""))</f>
        <v/>
      </c>
      <c r="E2424" s="10">
        <f>IF(B2424="","",IFERROR(INDEX(Roster!$A$2:$A$600,MATCH(B2424,Roster!$E$2:$E$600,0)),""))</f>
        <v/>
      </c>
      <c r="F2424" s="10">
        <f>IF(C2424="","",IFERROR(INDEX(Levels!$C$2:$C$30,MATCH(C2424,Levels!$B$2:$B$30,0)),""))</f>
        <v/>
      </c>
      <c r="G2424" s="6" t="n"/>
      <c r="H2424" s="10">
        <f>IF(AND(B2424="",C2424=""),"",IF(G2424&lt;&gt;"","Void",IF(OR(B2424="",E2424=""),"Needs child",IF(D2424="","Needs level","OK"))))</f>
        <v/>
      </c>
    </row>
    <row r="2425">
      <c r="A2425" s="6" t="n"/>
      <c r="B2425" s="6" t="n"/>
      <c r="C2425" s="6" t="n"/>
      <c r="D2425" s="11">
        <f>IF(C2425="","",IFERROR(INDEX(Levels!$A$2:$A$30,MATCH(C2425,Levels!$B$2:$B$30,0)),""))</f>
        <v/>
      </c>
      <c r="E2425" s="10">
        <f>IF(B2425="","",IFERROR(INDEX(Roster!$A$2:$A$600,MATCH(B2425,Roster!$E$2:$E$600,0)),""))</f>
        <v/>
      </c>
      <c r="F2425" s="10">
        <f>IF(C2425="","",IFERROR(INDEX(Levels!$C$2:$C$30,MATCH(C2425,Levels!$B$2:$B$30,0)),""))</f>
        <v/>
      </c>
      <c r="G2425" s="6" t="n"/>
      <c r="H2425" s="10">
        <f>IF(AND(B2425="",C2425=""),"",IF(G2425&lt;&gt;"","Void",IF(OR(B2425="",E2425=""),"Needs child",IF(D2425="","Needs level","OK"))))</f>
        <v/>
      </c>
    </row>
    <row r="2426">
      <c r="A2426" s="6" t="n"/>
      <c r="B2426" s="6" t="n"/>
      <c r="C2426" s="6" t="n"/>
      <c r="D2426" s="11">
        <f>IF(C2426="","",IFERROR(INDEX(Levels!$A$2:$A$30,MATCH(C2426,Levels!$B$2:$B$30,0)),""))</f>
        <v/>
      </c>
      <c r="E2426" s="10">
        <f>IF(B2426="","",IFERROR(INDEX(Roster!$A$2:$A$600,MATCH(B2426,Roster!$E$2:$E$600,0)),""))</f>
        <v/>
      </c>
      <c r="F2426" s="10">
        <f>IF(C2426="","",IFERROR(INDEX(Levels!$C$2:$C$30,MATCH(C2426,Levels!$B$2:$B$30,0)),""))</f>
        <v/>
      </c>
      <c r="G2426" s="6" t="n"/>
      <c r="H2426" s="10">
        <f>IF(AND(B2426="",C2426=""),"",IF(G2426&lt;&gt;"","Void",IF(OR(B2426="",E2426=""),"Needs child",IF(D2426="","Needs level","OK"))))</f>
        <v/>
      </c>
    </row>
    <row r="2427">
      <c r="A2427" s="6" t="n"/>
      <c r="B2427" s="6" t="n"/>
      <c r="C2427" s="6" t="n"/>
      <c r="D2427" s="11">
        <f>IF(C2427="","",IFERROR(INDEX(Levels!$A$2:$A$30,MATCH(C2427,Levels!$B$2:$B$30,0)),""))</f>
        <v/>
      </c>
      <c r="E2427" s="10">
        <f>IF(B2427="","",IFERROR(INDEX(Roster!$A$2:$A$600,MATCH(B2427,Roster!$E$2:$E$600,0)),""))</f>
        <v/>
      </c>
      <c r="F2427" s="10">
        <f>IF(C2427="","",IFERROR(INDEX(Levels!$C$2:$C$30,MATCH(C2427,Levels!$B$2:$B$30,0)),""))</f>
        <v/>
      </c>
      <c r="G2427" s="6" t="n"/>
      <c r="H2427" s="10">
        <f>IF(AND(B2427="",C2427=""),"",IF(G2427&lt;&gt;"","Void",IF(OR(B2427="",E2427=""),"Needs child",IF(D2427="","Needs level","OK"))))</f>
        <v/>
      </c>
    </row>
    <row r="2428">
      <c r="A2428" s="6" t="n"/>
      <c r="B2428" s="6" t="n"/>
      <c r="C2428" s="6" t="n"/>
      <c r="D2428" s="11">
        <f>IF(C2428="","",IFERROR(INDEX(Levels!$A$2:$A$30,MATCH(C2428,Levels!$B$2:$B$30,0)),""))</f>
        <v/>
      </c>
      <c r="E2428" s="10">
        <f>IF(B2428="","",IFERROR(INDEX(Roster!$A$2:$A$600,MATCH(B2428,Roster!$E$2:$E$600,0)),""))</f>
        <v/>
      </c>
      <c r="F2428" s="10">
        <f>IF(C2428="","",IFERROR(INDEX(Levels!$C$2:$C$30,MATCH(C2428,Levels!$B$2:$B$30,0)),""))</f>
        <v/>
      </c>
      <c r="G2428" s="6" t="n"/>
      <c r="H2428" s="10">
        <f>IF(AND(B2428="",C2428=""),"",IF(G2428&lt;&gt;"","Void",IF(OR(B2428="",E2428=""),"Needs child",IF(D2428="","Needs level","OK"))))</f>
        <v/>
      </c>
    </row>
    <row r="2429">
      <c r="A2429" s="6" t="n"/>
      <c r="B2429" s="6" t="n"/>
      <c r="C2429" s="6" t="n"/>
      <c r="D2429" s="11">
        <f>IF(C2429="","",IFERROR(INDEX(Levels!$A$2:$A$30,MATCH(C2429,Levels!$B$2:$B$30,0)),""))</f>
        <v/>
      </c>
      <c r="E2429" s="10">
        <f>IF(B2429="","",IFERROR(INDEX(Roster!$A$2:$A$600,MATCH(B2429,Roster!$E$2:$E$600,0)),""))</f>
        <v/>
      </c>
      <c r="F2429" s="10">
        <f>IF(C2429="","",IFERROR(INDEX(Levels!$C$2:$C$30,MATCH(C2429,Levels!$B$2:$B$30,0)),""))</f>
        <v/>
      </c>
      <c r="G2429" s="6" t="n"/>
      <c r="H2429" s="10">
        <f>IF(AND(B2429="",C2429=""),"",IF(G2429&lt;&gt;"","Void",IF(OR(B2429="",E2429=""),"Needs child",IF(D2429="","Needs level","OK"))))</f>
        <v/>
      </c>
    </row>
    <row r="2430">
      <c r="A2430" s="6" t="n"/>
      <c r="B2430" s="6" t="n"/>
      <c r="C2430" s="6" t="n"/>
      <c r="D2430" s="11">
        <f>IF(C2430="","",IFERROR(INDEX(Levels!$A$2:$A$30,MATCH(C2430,Levels!$B$2:$B$30,0)),""))</f>
        <v/>
      </c>
      <c r="E2430" s="10">
        <f>IF(B2430="","",IFERROR(INDEX(Roster!$A$2:$A$600,MATCH(B2430,Roster!$E$2:$E$600,0)),""))</f>
        <v/>
      </c>
      <c r="F2430" s="10">
        <f>IF(C2430="","",IFERROR(INDEX(Levels!$C$2:$C$30,MATCH(C2430,Levels!$B$2:$B$30,0)),""))</f>
        <v/>
      </c>
      <c r="G2430" s="6" t="n"/>
      <c r="H2430" s="10">
        <f>IF(AND(B2430="",C2430=""),"",IF(G2430&lt;&gt;"","Void",IF(OR(B2430="",E2430=""),"Needs child",IF(D2430="","Needs level","OK"))))</f>
        <v/>
      </c>
    </row>
    <row r="2431">
      <c r="A2431" s="6" t="n"/>
      <c r="B2431" s="6" t="n"/>
      <c r="C2431" s="6" t="n"/>
      <c r="D2431" s="11">
        <f>IF(C2431="","",IFERROR(INDEX(Levels!$A$2:$A$30,MATCH(C2431,Levels!$B$2:$B$30,0)),""))</f>
        <v/>
      </c>
      <c r="E2431" s="10">
        <f>IF(B2431="","",IFERROR(INDEX(Roster!$A$2:$A$600,MATCH(B2431,Roster!$E$2:$E$600,0)),""))</f>
        <v/>
      </c>
      <c r="F2431" s="10">
        <f>IF(C2431="","",IFERROR(INDEX(Levels!$C$2:$C$30,MATCH(C2431,Levels!$B$2:$B$30,0)),""))</f>
        <v/>
      </c>
      <c r="G2431" s="6" t="n"/>
      <c r="H2431" s="10">
        <f>IF(AND(B2431="",C2431=""),"",IF(G2431&lt;&gt;"","Void",IF(OR(B2431="",E2431=""),"Needs child",IF(D2431="","Needs level","OK"))))</f>
        <v/>
      </c>
    </row>
    <row r="2432">
      <c r="A2432" s="6" t="n"/>
      <c r="B2432" s="6" t="n"/>
      <c r="C2432" s="6" t="n"/>
      <c r="D2432" s="11">
        <f>IF(C2432="","",IFERROR(INDEX(Levels!$A$2:$A$30,MATCH(C2432,Levels!$B$2:$B$30,0)),""))</f>
        <v/>
      </c>
      <c r="E2432" s="10">
        <f>IF(B2432="","",IFERROR(INDEX(Roster!$A$2:$A$600,MATCH(B2432,Roster!$E$2:$E$600,0)),""))</f>
        <v/>
      </c>
      <c r="F2432" s="10">
        <f>IF(C2432="","",IFERROR(INDEX(Levels!$C$2:$C$30,MATCH(C2432,Levels!$B$2:$B$30,0)),""))</f>
        <v/>
      </c>
      <c r="G2432" s="6" t="n"/>
      <c r="H2432" s="10">
        <f>IF(AND(B2432="",C2432=""),"",IF(G2432&lt;&gt;"","Void",IF(OR(B2432="",E2432=""),"Needs child",IF(D2432="","Needs level","OK"))))</f>
        <v/>
      </c>
    </row>
    <row r="2433">
      <c r="A2433" s="6" t="n"/>
      <c r="B2433" s="6" t="n"/>
      <c r="C2433" s="6" t="n"/>
      <c r="D2433" s="11">
        <f>IF(C2433="","",IFERROR(INDEX(Levels!$A$2:$A$30,MATCH(C2433,Levels!$B$2:$B$30,0)),""))</f>
        <v/>
      </c>
      <c r="E2433" s="10">
        <f>IF(B2433="","",IFERROR(INDEX(Roster!$A$2:$A$600,MATCH(B2433,Roster!$E$2:$E$600,0)),""))</f>
        <v/>
      </c>
      <c r="F2433" s="10">
        <f>IF(C2433="","",IFERROR(INDEX(Levels!$C$2:$C$30,MATCH(C2433,Levels!$B$2:$B$30,0)),""))</f>
        <v/>
      </c>
      <c r="G2433" s="6" t="n"/>
      <c r="H2433" s="10">
        <f>IF(AND(B2433="",C2433=""),"",IF(G2433&lt;&gt;"","Void",IF(OR(B2433="",E2433=""),"Needs child",IF(D2433="","Needs level","OK"))))</f>
        <v/>
      </c>
    </row>
    <row r="2434">
      <c r="A2434" s="6" t="n"/>
      <c r="B2434" s="6" t="n"/>
      <c r="C2434" s="6" t="n"/>
      <c r="D2434" s="11">
        <f>IF(C2434="","",IFERROR(INDEX(Levels!$A$2:$A$30,MATCH(C2434,Levels!$B$2:$B$30,0)),""))</f>
        <v/>
      </c>
      <c r="E2434" s="10">
        <f>IF(B2434="","",IFERROR(INDEX(Roster!$A$2:$A$600,MATCH(B2434,Roster!$E$2:$E$600,0)),""))</f>
        <v/>
      </c>
      <c r="F2434" s="10">
        <f>IF(C2434="","",IFERROR(INDEX(Levels!$C$2:$C$30,MATCH(C2434,Levels!$B$2:$B$30,0)),""))</f>
        <v/>
      </c>
      <c r="G2434" s="6" t="n"/>
      <c r="H2434" s="10">
        <f>IF(AND(B2434="",C2434=""),"",IF(G2434&lt;&gt;"","Void",IF(OR(B2434="",E2434=""),"Needs child",IF(D2434="","Needs level","OK"))))</f>
        <v/>
      </c>
    </row>
    <row r="2435">
      <c r="A2435" s="6" t="n"/>
      <c r="B2435" s="6" t="n"/>
      <c r="C2435" s="6" t="n"/>
      <c r="D2435" s="11">
        <f>IF(C2435="","",IFERROR(INDEX(Levels!$A$2:$A$30,MATCH(C2435,Levels!$B$2:$B$30,0)),""))</f>
        <v/>
      </c>
      <c r="E2435" s="10">
        <f>IF(B2435="","",IFERROR(INDEX(Roster!$A$2:$A$600,MATCH(B2435,Roster!$E$2:$E$600,0)),""))</f>
        <v/>
      </c>
      <c r="F2435" s="10">
        <f>IF(C2435="","",IFERROR(INDEX(Levels!$C$2:$C$30,MATCH(C2435,Levels!$B$2:$B$30,0)),""))</f>
        <v/>
      </c>
      <c r="G2435" s="6" t="n"/>
      <c r="H2435" s="10">
        <f>IF(AND(B2435="",C2435=""),"",IF(G2435&lt;&gt;"","Void",IF(OR(B2435="",E2435=""),"Needs child",IF(D2435="","Needs level","OK"))))</f>
        <v/>
      </c>
    </row>
    <row r="2436">
      <c r="A2436" s="6" t="n"/>
      <c r="B2436" s="6" t="n"/>
      <c r="C2436" s="6" t="n"/>
      <c r="D2436" s="11">
        <f>IF(C2436="","",IFERROR(INDEX(Levels!$A$2:$A$30,MATCH(C2436,Levels!$B$2:$B$30,0)),""))</f>
        <v/>
      </c>
      <c r="E2436" s="10">
        <f>IF(B2436="","",IFERROR(INDEX(Roster!$A$2:$A$600,MATCH(B2436,Roster!$E$2:$E$600,0)),""))</f>
        <v/>
      </c>
      <c r="F2436" s="10">
        <f>IF(C2436="","",IFERROR(INDEX(Levels!$C$2:$C$30,MATCH(C2436,Levels!$B$2:$B$30,0)),""))</f>
        <v/>
      </c>
      <c r="G2436" s="6" t="n"/>
      <c r="H2436" s="10">
        <f>IF(AND(B2436="",C2436=""),"",IF(G2436&lt;&gt;"","Void",IF(OR(B2436="",E2436=""),"Needs child",IF(D2436="","Needs level","OK"))))</f>
        <v/>
      </c>
    </row>
    <row r="2437">
      <c r="A2437" s="6" t="n"/>
      <c r="B2437" s="6" t="n"/>
      <c r="C2437" s="6" t="n"/>
      <c r="D2437" s="11">
        <f>IF(C2437="","",IFERROR(INDEX(Levels!$A$2:$A$30,MATCH(C2437,Levels!$B$2:$B$30,0)),""))</f>
        <v/>
      </c>
      <c r="E2437" s="10">
        <f>IF(B2437="","",IFERROR(INDEX(Roster!$A$2:$A$600,MATCH(B2437,Roster!$E$2:$E$600,0)),""))</f>
        <v/>
      </c>
      <c r="F2437" s="10">
        <f>IF(C2437="","",IFERROR(INDEX(Levels!$C$2:$C$30,MATCH(C2437,Levels!$B$2:$B$30,0)),""))</f>
        <v/>
      </c>
      <c r="G2437" s="6" t="n"/>
      <c r="H2437" s="10">
        <f>IF(AND(B2437="",C2437=""),"",IF(G2437&lt;&gt;"","Void",IF(OR(B2437="",E2437=""),"Needs child",IF(D2437="","Needs level","OK"))))</f>
        <v/>
      </c>
    </row>
    <row r="2438">
      <c r="A2438" s="6" t="n"/>
      <c r="B2438" s="6" t="n"/>
      <c r="C2438" s="6" t="n"/>
      <c r="D2438" s="11">
        <f>IF(C2438="","",IFERROR(INDEX(Levels!$A$2:$A$30,MATCH(C2438,Levels!$B$2:$B$30,0)),""))</f>
        <v/>
      </c>
      <c r="E2438" s="10">
        <f>IF(B2438="","",IFERROR(INDEX(Roster!$A$2:$A$600,MATCH(B2438,Roster!$E$2:$E$600,0)),""))</f>
        <v/>
      </c>
      <c r="F2438" s="10">
        <f>IF(C2438="","",IFERROR(INDEX(Levels!$C$2:$C$30,MATCH(C2438,Levels!$B$2:$B$30,0)),""))</f>
        <v/>
      </c>
      <c r="G2438" s="6" t="n"/>
      <c r="H2438" s="10">
        <f>IF(AND(B2438="",C2438=""),"",IF(G2438&lt;&gt;"","Void",IF(OR(B2438="",E2438=""),"Needs child",IF(D2438="","Needs level","OK"))))</f>
        <v/>
      </c>
    </row>
    <row r="2439">
      <c r="A2439" s="6" t="n"/>
      <c r="B2439" s="6" t="n"/>
      <c r="C2439" s="6" t="n"/>
      <c r="D2439" s="11">
        <f>IF(C2439="","",IFERROR(INDEX(Levels!$A$2:$A$30,MATCH(C2439,Levels!$B$2:$B$30,0)),""))</f>
        <v/>
      </c>
      <c r="E2439" s="10">
        <f>IF(B2439="","",IFERROR(INDEX(Roster!$A$2:$A$600,MATCH(B2439,Roster!$E$2:$E$600,0)),""))</f>
        <v/>
      </c>
      <c r="F2439" s="10">
        <f>IF(C2439="","",IFERROR(INDEX(Levels!$C$2:$C$30,MATCH(C2439,Levels!$B$2:$B$30,0)),""))</f>
        <v/>
      </c>
      <c r="G2439" s="6" t="n"/>
      <c r="H2439" s="10">
        <f>IF(AND(B2439="",C2439=""),"",IF(G2439&lt;&gt;"","Void",IF(OR(B2439="",E2439=""),"Needs child",IF(D2439="","Needs level","OK"))))</f>
        <v/>
      </c>
    </row>
    <row r="2440">
      <c r="A2440" s="6" t="n"/>
      <c r="B2440" s="6" t="n"/>
      <c r="C2440" s="6" t="n"/>
      <c r="D2440" s="11">
        <f>IF(C2440="","",IFERROR(INDEX(Levels!$A$2:$A$30,MATCH(C2440,Levels!$B$2:$B$30,0)),""))</f>
        <v/>
      </c>
      <c r="E2440" s="10">
        <f>IF(B2440="","",IFERROR(INDEX(Roster!$A$2:$A$600,MATCH(B2440,Roster!$E$2:$E$600,0)),""))</f>
        <v/>
      </c>
      <c r="F2440" s="10">
        <f>IF(C2440="","",IFERROR(INDEX(Levels!$C$2:$C$30,MATCH(C2440,Levels!$B$2:$B$30,0)),""))</f>
        <v/>
      </c>
      <c r="G2440" s="6" t="n"/>
      <c r="H2440" s="10">
        <f>IF(AND(B2440="",C2440=""),"",IF(G2440&lt;&gt;"","Void",IF(OR(B2440="",E2440=""),"Needs child",IF(D2440="","Needs level","OK"))))</f>
        <v/>
      </c>
    </row>
    <row r="2441">
      <c r="A2441" s="6" t="n"/>
      <c r="B2441" s="6" t="n"/>
      <c r="C2441" s="6" t="n"/>
      <c r="D2441" s="11">
        <f>IF(C2441="","",IFERROR(INDEX(Levels!$A$2:$A$30,MATCH(C2441,Levels!$B$2:$B$30,0)),""))</f>
        <v/>
      </c>
      <c r="E2441" s="10">
        <f>IF(B2441="","",IFERROR(INDEX(Roster!$A$2:$A$600,MATCH(B2441,Roster!$E$2:$E$600,0)),""))</f>
        <v/>
      </c>
      <c r="F2441" s="10">
        <f>IF(C2441="","",IFERROR(INDEX(Levels!$C$2:$C$30,MATCH(C2441,Levels!$B$2:$B$30,0)),""))</f>
        <v/>
      </c>
      <c r="G2441" s="6" t="n"/>
      <c r="H2441" s="10">
        <f>IF(AND(B2441="",C2441=""),"",IF(G2441&lt;&gt;"","Void",IF(OR(B2441="",E2441=""),"Needs child",IF(D2441="","Needs level","OK"))))</f>
        <v/>
      </c>
    </row>
    <row r="2442">
      <c r="A2442" s="6" t="n"/>
      <c r="B2442" s="6" t="n"/>
      <c r="C2442" s="6" t="n"/>
      <c r="D2442" s="11">
        <f>IF(C2442="","",IFERROR(INDEX(Levels!$A$2:$A$30,MATCH(C2442,Levels!$B$2:$B$30,0)),""))</f>
        <v/>
      </c>
      <c r="E2442" s="10">
        <f>IF(B2442="","",IFERROR(INDEX(Roster!$A$2:$A$600,MATCH(B2442,Roster!$E$2:$E$600,0)),""))</f>
        <v/>
      </c>
      <c r="F2442" s="10">
        <f>IF(C2442="","",IFERROR(INDEX(Levels!$C$2:$C$30,MATCH(C2442,Levels!$B$2:$B$30,0)),""))</f>
        <v/>
      </c>
      <c r="G2442" s="6" t="n"/>
      <c r="H2442" s="10">
        <f>IF(AND(B2442="",C2442=""),"",IF(G2442&lt;&gt;"","Void",IF(OR(B2442="",E2442=""),"Needs child",IF(D2442="","Needs level","OK"))))</f>
        <v/>
      </c>
    </row>
    <row r="2443">
      <c r="A2443" s="6" t="n"/>
      <c r="B2443" s="6" t="n"/>
      <c r="C2443" s="6" t="n"/>
      <c r="D2443" s="11">
        <f>IF(C2443="","",IFERROR(INDEX(Levels!$A$2:$A$30,MATCH(C2443,Levels!$B$2:$B$30,0)),""))</f>
        <v/>
      </c>
      <c r="E2443" s="10">
        <f>IF(B2443="","",IFERROR(INDEX(Roster!$A$2:$A$600,MATCH(B2443,Roster!$E$2:$E$600,0)),""))</f>
        <v/>
      </c>
      <c r="F2443" s="10">
        <f>IF(C2443="","",IFERROR(INDEX(Levels!$C$2:$C$30,MATCH(C2443,Levels!$B$2:$B$30,0)),""))</f>
        <v/>
      </c>
      <c r="G2443" s="6" t="n"/>
      <c r="H2443" s="10">
        <f>IF(AND(B2443="",C2443=""),"",IF(G2443&lt;&gt;"","Void",IF(OR(B2443="",E2443=""),"Needs child",IF(D2443="","Needs level","OK"))))</f>
        <v/>
      </c>
    </row>
    <row r="2444">
      <c r="A2444" s="6" t="n"/>
      <c r="B2444" s="6" t="n"/>
      <c r="C2444" s="6" t="n"/>
      <c r="D2444" s="11">
        <f>IF(C2444="","",IFERROR(INDEX(Levels!$A$2:$A$30,MATCH(C2444,Levels!$B$2:$B$30,0)),""))</f>
        <v/>
      </c>
      <c r="E2444" s="10">
        <f>IF(B2444="","",IFERROR(INDEX(Roster!$A$2:$A$600,MATCH(B2444,Roster!$E$2:$E$600,0)),""))</f>
        <v/>
      </c>
      <c r="F2444" s="10">
        <f>IF(C2444="","",IFERROR(INDEX(Levels!$C$2:$C$30,MATCH(C2444,Levels!$B$2:$B$30,0)),""))</f>
        <v/>
      </c>
      <c r="G2444" s="6" t="n"/>
      <c r="H2444" s="10">
        <f>IF(AND(B2444="",C2444=""),"",IF(G2444&lt;&gt;"","Void",IF(OR(B2444="",E2444=""),"Needs child",IF(D2444="","Needs level","OK"))))</f>
        <v/>
      </c>
    </row>
    <row r="2445">
      <c r="A2445" s="6" t="n"/>
      <c r="B2445" s="6" t="n"/>
      <c r="C2445" s="6" t="n"/>
      <c r="D2445" s="11">
        <f>IF(C2445="","",IFERROR(INDEX(Levels!$A$2:$A$30,MATCH(C2445,Levels!$B$2:$B$30,0)),""))</f>
        <v/>
      </c>
      <c r="E2445" s="10">
        <f>IF(B2445="","",IFERROR(INDEX(Roster!$A$2:$A$600,MATCH(B2445,Roster!$E$2:$E$600,0)),""))</f>
        <v/>
      </c>
      <c r="F2445" s="10">
        <f>IF(C2445="","",IFERROR(INDEX(Levels!$C$2:$C$30,MATCH(C2445,Levels!$B$2:$B$30,0)),""))</f>
        <v/>
      </c>
      <c r="G2445" s="6" t="n"/>
      <c r="H2445" s="10">
        <f>IF(AND(B2445="",C2445=""),"",IF(G2445&lt;&gt;"","Void",IF(OR(B2445="",E2445=""),"Needs child",IF(D2445="","Needs level","OK"))))</f>
        <v/>
      </c>
    </row>
    <row r="2446">
      <c r="A2446" s="6" t="n"/>
      <c r="B2446" s="6" t="n"/>
      <c r="C2446" s="6" t="n"/>
      <c r="D2446" s="11">
        <f>IF(C2446="","",IFERROR(INDEX(Levels!$A$2:$A$30,MATCH(C2446,Levels!$B$2:$B$30,0)),""))</f>
        <v/>
      </c>
      <c r="E2446" s="10">
        <f>IF(B2446="","",IFERROR(INDEX(Roster!$A$2:$A$600,MATCH(B2446,Roster!$E$2:$E$600,0)),""))</f>
        <v/>
      </c>
      <c r="F2446" s="10">
        <f>IF(C2446="","",IFERROR(INDEX(Levels!$C$2:$C$30,MATCH(C2446,Levels!$B$2:$B$30,0)),""))</f>
        <v/>
      </c>
      <c r="G2446" s="6" t="n"/>
      <c r="H2446" s="10">
        <f>IF(AND(B2446="",C2446=""),"",IF(G2446&lt;&gt;"","Void",IF(OR(B2446="",E2446=""),"Needs child",IF(D2446="","Needs level","OK"))))</f>
        <v/>
      </c>
    </row>
    <row r="2447">
      <c r="A2447" s="6" t="n"/>
      <c r="B2447" s="6" t="n"/>
      <c r="C2447" s="6" t="n"/>
      <c r="D2447" s="11">
        <f>IF(C2447="","",IFERROR(INDEX(Levels!$A$2:$A$30,MATCH(C2447,Levels!$B$2:$B$30,0)),""))</f>
        <v/>
      </c>
      <c r="E2447" s="10">
        <f>IF(B2447="","",IFERROR(INDEX(Roster!$A$2:$A$600,MATCH(B2447,Roster!$E$2:$E$600,0)),""))</f>
        <v/>
      </c>
      <c r="F2447" s="10">
        <f>IF(C2447="","",IFERROR(INDEX(Levels!$C$2:$C$30,MATCH(C2447,Levels!$B$2:$B$30,0)),""))</f>
        <v/>
      </c>
      <c r="G2447" s="6" t="n"/>
      <c r="H2447" s="10">
        <f>IF(AND(B2447="",C2447=""),"",IF(G2447&lt;&gt;"","Void",IF(OR(B2447="",E2447=""),"Needs child",IF(D2447="","Needs level","OK"))))</f>
        <v/>
      </c>
    </row>
    <row r="2448">
      <c r="A2448" s="6" t="n"/>
      <c r="B2448" s="6" t="n"/>
      <c r="C2448" s="6" t="n"/>
      <c r="D2448" s="11">
        <f>IF(C2448="","",IFERROR(INDEX(Levels!$A$2:$A$30,MATCH(C2448,Levels!$B$2:$B$30,0)),""))</f>
        <v/>
      </c>
      <c r="E2448" s="10">
        <f>IF(B2448="","",IFERROR(INDEX(Roster!$A$2:$A$600,MATCH(B2448,Roster!$E$2:$E$600,0)),""))</f>
        <v/>
      </c>
      <c r="F2448" s="10">
        <f>IF(C2448="","",IFERROR(INDEX(Levels!$C$2:$C$30,MATCH(C2448,Levels!$B$2:$B$30,0)),""))</f>
        <v/>
      </c>
      <c r="G2448" s="6" t="n"/>
      <c r="H2448" s="10">
        <f>IF(AND(B2448="",C2448=""),"",IF(G2448&lt;&gt;"","Void",IF(OR(B2448="",E2448=""),"Needs child",IF(D2448="","Needs level","OK"))))</f>
        <v/>
      </c>
    </row>
    <row r="2449">
      <c r="A2449" s="6" t="n"/>
      <c r="B2449" s="6" t="n"/>
      <c r="C2449" s="6" t="n"/>
      <c r="D2449" s="11">
        <f>IF(C2449="","",IFERROR(INDEX(Levels!$A$2:$A$30,MATCH(C2449,Levels!$B$2:$B$30,0)),""))</f>
        <v/>
      </c>
      <c r="E2449" s="10">
        <f>IF(B2449="","",IFERROR(INDEX(Roster!$A$2:$A$600,MATCH(B2449,Roster!$E$2:$E$600,0)),""))</f>
        <v/>
      </c>
      <c r="F2449" s="10">
        <f>IF(C2449="","",IFERROR(INDEX(Levels!$C$2:$C$30,MATCH(C2449,Levels!$B$2:$B$30,0)),""))</f>
        <v/>
      </c>
      <c r="G2449" s="6" t="n"/>
      <c r="H2449" s="10">
        <f>IF(AND(B2449="",C2449=""),"",IF(G2449&lt;&gt;"","Void",IF(OR(B2449="",E2449=""),"Needs child",IF(D2449="","Needs level","OK"))))</f>
        <v/>
      </c>
    </row>
    <row r="2450">
      <c r="A2450" s="6" t="n"/>
      <c r="B2450" s="6" t="n"/>
      <c r="C2450" s="6" t="n"/>
      <c r="D2450" s="11">
        <f>IF(C2450="","",IFERROR(INDEX(Levels!$A$2:$A$30,MATCH(C2450,Levels!$B$2:$B$30,0)),""))</f>
        <v/>
      </c>
      <c r="E2450" s="10">
        <f>IF(B2450="","",IFERROR(INDEX(Roster!$A$2:$A$600,MATCH(B2450,Roster!$E$2:$E$600,0)),""))</f>
        <v/>
      </c>
      <c r="F2450" s="10">
        <f>IF(C2450="","",IFERROR(INDEX(Levels!$C$2:$C$30,MATCH(C2450,Levels!$B$2:$B$30,0)),""))</f>
        <v/>
      </c>
      <c r="G2450" s="6" t="n"/>
      <c r="H2450" s="10">
        <f>IF(AND(B2450="",C2450=""),"",IF(G2450&lt;&gt;"","Void",IF(OR(B2450="",E2450=""),"Needs child",IF(D2450="","Needs level","OK"))))</f>
        <v/>
      </c>
    </row>
    <row r="2451">
      <c r="A2451" s="6" t="n"/>
      <c r="B2451" s="6" t="n"/>
      <c r="C2451" s="6" t="n"/>
      <c r="D2451" s="11">
        <f>IF(C2451="","",IFERROR(INDEX(Levels!$A$2:$A$30,MATCH(C2451,Levels!$B$2:$B$30,0)),""))</f>
        <v/>
      </c>
      <c r="E2451" s="10">
        <f>IF(B2451="","",IFERROR(INDEX(Roster!$A$2:$A$600,MATCH(B2451,Roster!$E$2:$E$600,0)),""))</f>
        <v/>
      </c>
      <c r="F2451" s="10">
        <f>IF(C2451="","",IFERROR(INDEX(Levels!$C$2:$C$30,MATCH(C2451,Levels!$B$2:$B$30,0)),""))</f>
        <v/>
      </c>
      <c r="G2451" s="6" t="n"/>
      <c r="H2451" s="10">
        <f>IF(AND(B2451="",C2451=""),"",IF(G2451&lt;&gt;"","Void",IF(OR(B2451="",E2451=""),"Needs child",IF(D2451="","Needs level","OK"))))</f>
        <v/>
      </c>
    </row>
    <row r="2452">
      <c r="A2452" s="6" t="n"/>
      <c r="B2452" s="6" t="n"/>
      <c r="C2452" s="6" t="n"/>
      <c r="D2452" s="11">
        <f>IF(C2452="","",IFERROR(INDEX(Levels!$A$2:$A$30,MATCH(C2452,Levels!$B$2:$B$30,0)),""))</f>
        <v/>
      </c>
      <c r="E2452" s="10">
        <f>IF(B2452="","",IFERROR(INDEX(Roster!$A$2:$A$600,MATCH(B2452,Roster!$E$2:$E$600,0)),""))</f>
        <v/>
      </c>
      <c r="F2452" s="10">
        <f>IF(C2452="","",IFERROR(INDEX(Levels!$C$2:$C$30,MATCH(C2452,Levels!$B$2:$B$30,0)),""))</f>
        <v/>
      </c>
      <c r="G2452" s="6" t="n"/>
      <c r="H2452" s="10">
        <f>IF(AND(B2452="",C2452=""),"",IF(G2452&lt;&gt;"","Void",IF(OR(B2452="",E2452=""),"Needs child",IF(D2452="","Needs level","OK"))))</f>
        <v/>
      </c>
    </row>
    <row r="2453">
      <c r="A2453" s="6" t="n"/>
      <c r="B2453" s="6" t="n"/>
      <c r="C2453" s="6" t="n"/>
      <c r="D2453" s="11">
        <f>IF(C2453="","",IFERROR(INDEX(Levels!$A$2:$A$30,MATCH(C2453,Levels!$B$2:$B$30,0)),""))</f>
        <v/>
      </c>
      <c r="E2453" s="10">
        <f>IF(B2453="","",IFERROR(INDEX(Roster!$A$2:$A$600,MATCH(B2453,Roster!$E$2:$E$600,0)),""))</f>
        <v/>
      </c>
      <c r="F2453" s="10">
        <f>IF(C2453="","",IFERROR(INDEX(Levels!$C$2:$C$30,MATCH(C2453,Levels!$B$2:$B$30,0)),""))</f>
        <v/>
      </c>
      <c r="G2453" s="6" t="n"/>
      <c r="H2453" s="10">
        <f>IF(AND(B2453="",C2453=""),"",IF(G2453&lt;&gt;"","Void",IF(OR(B2453="",E2453=""),"Needs child",IF(D2453="","Needs level","OK"))))</f>
        <v/>
      </c>
    </row>
    <row r="2454">
      <c r="A2454" s="6" t="n"/>
      <c r="B2454" s="6" t="n"/>
      <c r="C2454" s="6" t="n"/>
      <c r="D2454" s="11">
        <f>IF(C2454="","",IFERROR(INDEX(Levels!$A$2:$A$30,MATCH(C2454,Levels!$B$2:$B$30,0)),""))</f>
        <v/>
      </c>
      <c r="E2454" s="10">
        <f>IF(B2454="","",IFERROR(INDEX(Roster!$A$2:$A$600,MATCH(B2454,Roster!$E$2:$E$600,0)),""))</f>
        <v/>
      </c>
      <c r="F2454" s="10">
        <f>IF(C2454="","",IFERROR(INDEX(Levels!$C$2:$C$30,MATCH(C2454,Levels!$B$2:$B$30,0)),""))</f>
        <v/>
      </c>
      <c r="G2454" s="6" t="n"/>
      <c r="H2454" s="10">
        <f>IF(AND(B2454="",C2454=""),"",IF(G2454&lt;&gt;"","Void",IF(OR(B2454="",E2454=""),"Needs child",IF(D2454="","Needs level","OK"))))</f>
        <v/>
      </c>
    </row>
    <row r="2455">
      <c r="A2455" s="6" t="n"/>
      <c r="B2455" s="6" t="n"/>
      <c r="C2455" s="6" t="n"/>
      <c r="D2455" s="11">
        <f>IF(C2455="","",IFERROR(INDEX(Levels!$A$2:$A$30,MATCH(C2455,Levels!$B$2:$B$30,0)),""))</f>
        <v/>
      </c>
      <c r="E2455" s="10">
        <f>IF(B2455="","",IFERROR(INDEX(Roster!$A$2:$A$600,MATCH(B2455,Roster!$E$2:$E$600,0)),""))</f>
        <v/>
      </c>
      <c r="F2455" s="10">
        <f>IF(C2455="","",IFERROR(INDEX(Levels!$C$2:$C$30,MATCH(C2455,Levels!$B$2:$B$30,0)),""))</f>
        <v/>
      </c>
      <c r="G2455" s="6" t="n"/>
      <c r="H2455" s="10">
        <f>IF(AND(B2455="",C2455=""),"",IF(G2455&lt;&gt;"","Void",IF(OR(B2455="",E2455=""),"Needs child",IF(D2455="","Needs level","OK"))))</f>
        <v/>
      </c>
    </row>
    <row r="2456">
      <c r="A2456" s="6" t="n"/>
      <c r="B2456" s="6" t="n"/>
      <c r="C2456" s="6" t="n"/>
      <c r="D2456" s="11">
        <f>IF(C2456="","",IFERROR(INDEX(Levels!$A$2:$A$30,MATCH(C2456,Levels!$B$2:$B$30,0)),""))</f>
        <v/>
      </c>
      <c r="E2456" s="10">
        <f>IF(B2456="","",IFERROR(INDEX(Roster!$A$2:$A$600,MATCH(B2456,Roster!$E$2:$E$600,0)),""))</f>
        <v/>
      </c>
      <c r="F2456" s="10">
        <f>IF(C2456="","",IFERROR(INDEX(Levels!$C$2:$C$30,MATCH(C2456,Levels!$B$2:$B$30,0)),""))</f>
        <v/>
      </c>
      <c r="G2456" s="6" t="n"/>
      <c r="H2456" s="10">
        <f>IF(AND(B2456="",C2456=""),"",IF(G2456&lt;&gt;"","Void",IF(OR(B2456="",E2456=""),"Needs child",IF(D2456="","Needs level","OK"))))</f>
        <v/>
      </c>
    </row>
    <row r="2457">
      <c r="A2457" s="6" t="n"/>
      <c r="B2457" s="6" t="n"/>
      <c r="C2457" s="6" t="n"/>
      <c r="D2457" s="11">
        <f>IF(C2457="","",IFERROR(INDEX(Levels!$A$2:$A$30,MATCH(C2457,Levels!$B$2:$B$30,0)),""))</f>
        <v/>
      </c>
      <c r="E2457" s="10">
        <f>IF(B2457="","",IFERROR(INDEX(Roster!$A$2:$A$600,MATCH(B2457,Roster!$E$2:$E$600,0)),""))</f>
        <v/>
      </c>
      <c r="F2457" s="10">
        <f>IF(C2457="","",IFERROR(INDEX(Levels!$C$2:$C$30,MATCH(C2457,Levels!$B$2:$B$30,0)),""))</f>
        <v/>
      </c>
      <c r="G2457" s="6" t="n"/>
      <c r="H2457" s="10">
        <f>IF(AND(B2457="",C2457=""),"",IF(G2457&lt;&gt;"","Void",IF(OR(B2457="",E2457=""),"Needs child",IF(D2457="","Needs level","OK"))))</f>
        <v/>
      </c>
    </row>
    <row r="2458">
      <c r="A2458" s="6" t="n"/>
      <c r="B2458" s="6" t="n"/>
      <c r="C2458" s="6" t="n"/>
      <c r="D2458" s="11">
        <f>IF(C2458="","",IFERROR(INDEX(Levels!$A$2:$A$30,MATCH(C2458,Levels!$B$2:$B$30,0)),""))</f>
        <v/>
      </c>
      <c r="E2458" s="10">
        <f>IF(B2458="","",IFERROR(INDEX(Roster!$A$2:$A$600,MATCH(B2458,Roster!$E$2:$E$600,0)),""))</f>
        <v/>
      </c>
      <c r="F2458" s="10">
        <f>IF(C2458="","",IFERROR(INDEX(Levels!$C$2:$C$30,MATCH(C2458,Levels!$B$2:$B$30,0)),""))</f>
        <v/>
      </c>
      <c r="G2458" s="6" t="n"/>
      <c r="H2458" s="10">
        <f>IF(AND(B2458="",C2458=""),"",IF(G2458&lt;&gt;"","Void",IF(OR(B2458="",E2458=""),"Needs child",IF(D2458="","Needs level","OK"))))</f>
        <v/>
      </c>
    </row>
    <row r="2459">
      <c r="A2459" s="6" t="n"/>
      <c r="B2459" s="6" t="n"/>
      <c r="C2459" s="6" t="n"/>
      <c r="D2459" s="11">
        <f>IF(C2459="","",IFERROR(INDEX(Levels!$A$2:$A$30,MATCH(C2459,Levels!$B$2:$B$30,0)),""))</f>
        <v/>
      </c>
      <c r="E2459" s="10">
        <f>IF(B2459="","",IFERROR(INDEX(Roster!$A$2:$A$600,MATCH(B2459,Roster!$E$2:$E$600,0)),""))</f>
        <v/>
      </c>
      <c r="F2459" s="10">
        <f>IF(C2459="","",IFERROR(INDEX(Levels!$C$2:$C$30,MATCH(C2459,Levels!$B$2:$B$30,0)),""))</f>
        <v/>
      </c>
      <c r="G2459" s="6" t="n"/>
      <c r="H2459" s="10">
        <f>IF(AND(B2459="",C2459=""),"",IF(G2459&lt;&gt;"","Void",IF(OR(B2459="",E2459=""),"Needs child",IF(D2459="","Needs level","OK"))))</f>
        <v/>
      </c>
    </row>
    <row r="2460">
      <c r="A2460" s="6" t="n"/>
      <c r="B2460" s="6" t="n"/>
      <c r="C2460" s="6" t="n"/>
      <c r="D2460" s="11">
        <f>IF(C2460="","",IFERROR(INDEX(Levels!$A$2:$A$30,MATCH(C2460,Levels!$B$2:$B$30,0)),""))</f>
        <v/>
      </c>
      <c r="E2460" s="10">
        <f>IF(B2460="","",IFERROR(INDEX(Roster!$A$2:$A$600,MATCH(B2460,Roster!$E$2:$E$600,0)),""))</f>
        <v/>
      </c>
      <c r="F2460" s="10">
        <f>IF(C2460="","",IFERROR(INDEX(Levels!$C$2:$C$30,MATCH(C2460,Levels!$B$2:$B$30,0)),""))</f>
        <v/>
      </c>
      <c r="G2460" s="6" t="n"/>
      <c r="H2460" s="10">
        <f>IF(AND(B2460="",C2460=""),"",IF(G2460&lt;&gt;"","Void",IF(OR(B2460="",E2460=""),"Needs child",IF(D2460="","Needs level","OK"))))</f>
        <v/>
      </c>
    </row>
    <row r="2461">
      <c r="A2461" s="6" t="n"/>
      <c r="B2461" s="6" t="n"/>
      <c r="C2461" s="6" t="n"/>
      <c r="D2461" s="11">
        <f>IF(C2461="","",IFERROR(INDEX(Levels!$A$2:$A$30,MATCH(C2461,Levels!$B$2:$B$30,0)),""))</f>
        <v/>
      </c>
      <c r="E2461" s="10">
        <f>IF(B2461="","",IFERROR(INDEX(Roster!$A$2:$A$600,MATCH(B2461,Roster!$E$2:$E$600,0)),""))</f>
        <v/>
      </c>
      <c r="F2461" s="10">
        <f>IF(C2461="","",IFERROR(INDEX(Levels!$C$2:$C$30,MATCH(C2461,Levels!$B$2:$B$30,0)),""))</f>
        <v/>
      </c>
      <c r="G2461" s="6" t="n"/>
      <c r="H2461" s="10">
        <f>IF(AND(B2461="",C2461=""),"",IF(G2461&lt;&gt;"","Void",IF(OR(B2461="",E2461=""),"Needs child",IF(D2461="","Needs level","OK"))))</f>
        <v/>
      </c>
    </row>
    <row r="2462">
      <c r="A2462" s="6" t="n"/>
      <c r="B2462" s="6" t="n"/>
      <c r="C2462" s="6" t="n"/>
      <c r="D2462" s="11">
        <f>IF(C2462="","",IFERROR(INDEX(Levels!$A$2:$A$30,MATCH(C2462,Levels!$B$2:$B$30,0)),""))</f>
        <v/>
      </c>
      <c r="E2462" s="10">
        <f>IF(B2462="","",IFERROR(INDEX(Roster!$A$2:$A$600,MATCH(B2462,Roster!$E$2:$E$600,0)),""))</f>
        <v/>
      </c>
      <c r="F2462" s="10">
        <f>IF(C2462="","",IFERROR(INDEX(Levels!$C$2:$C$30,MATCH(C2462,Levels!$B$2:$B$30,0)),""))</f>
        <v/>
      </c>
      <c r="G2462" s="6" t="n"/>
      <c r="H2462" s="10">
        <f>IF(AND(B2462="",C2462=""),"",IF(G2462&lt;&gt;"","Void",IF(OR(B2462="",E2462=""),"Needs child",IF(D2462="","Needs level","OK"))))</f>
        <v/>
      </c>
    </row>
    <row r="2463">
      <c r="A2463" s="6" t="n"/>
      <c r="B2463" s="6" t="n"/>
      <c r="C2463" s="6" t="n"/>
      <c r="D2463" s="11">
        <f>IF(C2463="","",IFERROR(INDEX(Levels!$A$2:$A$30,MATCH(C2463,Levels!$B$2:$B$30,0)),""))</f>
        <v/>
      </c>
      <c r="E2463" s="10">
        <f>IF(B2463="","",IFERROR(INDEX(Roster!$A$2:$A$600,MATCH(B2463,Roster!$E$2:$E$600,0)),""))</f>
        <v/>
      </c>
      <c r="F2463" s="10">
        <f>IF(C2463="","",IFERROR(INDEX(Levels!$C$2:$C$30,MATCH(C2463,Levels!$B$2:$B$30,0)),""))</f>
        <v/>
      </c>
      <c r="G2463" s="6" t="n"/>
      <c r="H2463" s="10">
        <f>IF(AND(B2463="",C2463=""),"",IF(G2463&lt;&gt;"","Void",IF(OR(B2463="",E2463=""),"Needs child",IF(D2463="","Needs level","OK"))))</f>
        <v/>
      </c>
    </row>
    <row r="2464">
      <c r="A2464" s="6" t="n"/>
      <c r="B2464" s="6" t="n"/>
      <c r="C2464" s="6" t="n"/>
      <c r="D2464" s="11">
        <f>IF(C2464="","",IFERROR(INDEX(Levels!$A$2:$A$30,MATCH(C2464,Levels!$B$2:$B$30,0)),""))</f>
        <v/>
      </c>
      <c r="E2464" s="10">
        <f>IF(B2464="","",IFERROR(INDEX(Roster!$A$2:$A$600,MATCH(B2464,Roster!$E$2:$E$600,0)),""))</f>
        <v/>
      </c>
      <c r="F2464" s="10">
        <f>IF(C2464="","",IFERROR(INDEX(Levels!$C$2:$C$30,MATCH(C2464,Levels!$B$2:$B$30,0)),""))</f>
        <v/>
      </c>
      <c r="G2464" s="6" t="n"/>
      <c r="H2464" s="10">
        <f>IF(AND(B2464="",C2464=""),"",IF(G2464&lt;&gt;"","Void",IF(OR(B2464="",E2464=""),"Needs child",IF(D2464="","Needs level","OK"))))</f>
        <v/>
      </c>
    </row>
    <row r="2465">
      <c r="A2465" s="6" t="n"/>
      <c r="B2465" s="6" t="n"/>
      <c r="C2465" s="6" t="n"/>
      <c r="D2465" s="11">
        <f>IF(C2465="","",IFERROR(INDEX(Levels!$A$2:$A$30,MATCH(C2465,Levels!$B$2:$B$30,0)),""))</f>
        <v/>
      </c>
      <c r="E2465" s="10">
        <f>IF(B2465="","",IFERROR(INDEX(Roster!$A$2:$A$600,MATCH(B2465,Roster!$E$2:$E$600,0)),""))</f>
        <v/>
      </c>
      <c r="F2465" s="10">
        <f>IF(C2465="","",IFERROR(INDEX(Levels!$C$2:$C$30,MATCH(C2465,Levels!$B$2:$B$30,0)),""))</f>
        <v/>
      </c>
      <c r="G2465" s="6" t="n"/>
      <c r="H2465" s="10">
        <f>IF(AND(B2465="",C2465=""),"",IF(G2465&lt;&gt;"","Void",IF(OR(B2465="",E2465=""),"Needs child",IF(D2465="","Needs level","OK"))))</f>
        <v/>
      </c>
    </row>
    <row r="2466">
      <c r="A2466" s="6" t="n"/>
      <c r="B2466" s="6" t="n"/>
      <c r="C2466" s="6" t="n"/>
      <c r="D2466" s="11">
        <f>IF(C2466="","",IFERROR(INDEX(Levels!$A$2:$A$30,MATCH(C2466,Levels!$B$2:$B$30,0)),""))</f>
        <v/>
      </c>
      <c r="E2466" s="10">
        <f>IF(B2466="","",IFERROR(INDEX(Roster!$A$2:$A$600,MATCH(B2466,Roster!$E$2:$E$600,0)),""))</f>
        <v/>
      </c>
      <c r="F2466" s="10">
        <f>IF(C2466="","",IFERROR(INDEX(Levels!$C$2:$C$30,MATCH(C2466,Levels!$B$2:$B$30,0)),""))</f>
        <v/>
      </c>
      <c r="G2466" s="6" t="n"/>
      <c r="H2466" s="10">
        <f>IF(AND(B2466="",C2466=""),"",IF(G2466&lt;&gt;"","Void",IF(OR(B2466="",E2466=""),"Needs child",IF(D2466="","Needs level","OK"))))</f>
        <v/>
      </c>
    </row>
    <row r="2467">
      <c r="A2467" s="6" t="n"/>
      <c r="B2467" s="6" t="n"/>
      <c r="C2467" s="6" t="n"/>
      <c r="D2467" s="11">
        <f>IF(C2467="","",IFERROR(INDEX(Levels!$A$2:$A$30,MATCH(C2467,Levels!$B$2:$B$30,0)),""))</f>
        <v/>
      </c>
      <c r="E2467" s="10">
        <f>IF(B2467="","",IFERROR(INDEX(Roster!$A$2:$A$600,MATCH(B2467,Roster!$E$2:$E$600,0)),""))</f>
        <v/>
      </c>
      <c r="F2467" s="10">
        <f>IF(C2467="","",IFERROR(INDEX(Levels!$C$2:$C$30,MATCH(C2467,Levels!$B$2:$B$30,0)),""))</f>
        <v/>
      </c>
      <c r="G2467" s="6" t="n"/>
      <c r="H2467" s="10">
        <f>IF(AND(B2467="",C2467=""),"",IF(G2467&lt;&gt;"","Void",IF(OR(B2467="",E2467=""),"Needs child",IF(D2467="","Needs level","OK"))))</f>
        <v/>
      </c>
    </row>
    <row r="2468">
      <c r="A2468" s="6" t="n"/>
      <c r="B2468" s="6" t="n"/>
      <c r="C2468" s="6" t="n"/>
      <c r="D2468" s="11">
        <f>IF(C2468="","",IFERROR(INDEX(Levels!$A$2:$A$30,MATCH(C2468,Levels!$B$2:$B$30,0)),""))</f>
        <v/>
      </c>
      <c r="E2468" s="10">
        <f>IF(B2468="","",IFERROR(INDEX(Roster!$A$2:$A$600,MATCH(B2468,Roster!$E$2:$E$600,0)),""))</f>
        <v/>
      </c>
      <c r="F2468" s="10">
        <f>IF(C2468="","",IFERROR(INDEX(Levels!$C$2:$C$30,MATCH(C2468,Levels!$B$2:$B$30,0)),""))</f>
        <v/>
      </c>
      <c r="G2468" s="6" t="n"/>
      <c r="H2468" s="10">
        <f>IF(AND(B2468="",C2468=""),"",IF(G2468&lt;&gt;"","Void",IF(OR(B2468="",E2468=""),"Needs child",IF(D2468="","Needs level","OK"))))</f>
        <v/>
      </c>
    </row>
    <row r="2469">
      <c r="A2469" s="6" t="n"/>
      <c r="B2469" s="6" t="n"/>
      <c r="C2469" s="6" t="n"/>
      <c r="D2469" s="11">
        <f>IF(C2469="","",IFERROR(INDEX(Levels!$A$2:$A$30,MATCH(C2469,Levels!$B$2:$B$30,0)),""))</f>
        <v/>
      </c>
      <c r="E2469" s="10">
        <f>IF(B2469="","",IFERROR(INDEX(Roster!$A$2:$A$600,MATCH(B2469,Roster!$E$2:$E$600,0)),""))</f>
        <v/>
      </c>
      <c r="F2469" s="10">
        <f>IF(C2469="","",IFERROR(INDEX(Levels!$C$2:$C$30,MATCH(C2469,Levels!$B$2:$B$30,0)),""))</f>
        <v/>
      </c>
      <c r="G2469" s="6" t="n"/>
      <c r="H2469" s="10">
        <f>IF(AND(B2469="",C2469=""),"",IF(G2469&lt;&gt;"","Void",IF(OR(B2469="",E2469=""),"Needs child",IF(D2469="","Needs level","OK"))))</f>
        <v/>
      </c>
    </row>
    <row r="2470">
      <c r="A2470" s="6" t="n"/>
      <c r="B2470" s="6" t="n"/>
      <c r="C2470" s="6" t="n"/>
      <c r="D2470" s="11">
        <f>IF(C2470="","",IFERROR(INDEX(Levels!$A$2:$A$30,MATCH(C2470,Levels!$B$2:$B$30,0)),""))</f>
        <v/>
      </c>
      <c r="E2470" s="10">
        <f>IF(B2470="","",IFERROR(INDEX(Roster!$A$2:$A$600,MATCH(B2470,Roster!$E$2:$E$600,0)),""))</f>
        <v/>
      </c>
      <c r="F2470" s="10">
        <f>IF(C2470="","",IFERROR(INDEX(Levels!$C$2:$C$30,MATCH(C2470,Levels!$B$2:$B$30,0)),""))</f>
        <v/>
      </c>
      <c r="G2470" s="6" t="n"/>
      <c r="H2470" s="10">
        <f>IF(AND(B2470="",C2470=""),"",IF(G2470&lt;&gt;"","Void",IF(OR(B2470="",E2470=""),"Needs child",IF(D2470="","Needs level","OK"))))</f>
        <v/>
      </c>
    </row>
    <row r="2471">
      <c r="A2471" s="6" t="n"/>
      <c r="B2471" s="6" t="n"/>
      <c r="C2471" s="6" t="n"/>
      <c r="D2471" s="11">
        <f>IF(C2471="","",IFERROR(INDEX(Levels!$A$2:$A$30,MATCH(C2471,Levels!$B$2:$B$30,0)),""))</f>
        <v/>
      </c>
      <c r="E2471" s="10">
        <f>IF(B2471="","",IFERROR(INDEX(Roster!$A$2:$A$600,MATCH(B2471,Roster!$E$2:$E$600,0)),""))</f>
        <v/>
      </c>
      <c r="F2471" s="10">
        <f>IF(C2471="","",IFERROR(INDEX(Levels!$C$2:$C$30,MATCH(C2471,Levels!$B$2:$B$30,0)),""))</f>
        <v/>
      </c>
      <c r="G2471" s="6" t="n"/>
      <c r="H2471" s="10">
        <f>IF(AND(B2471="",C2471=""),"",IF(G2471&lt;&gt;"","Void",IF(OR(B2471="",E2471=""),"Needs child",IF(D2471="","Needs level","OK"))))</f>
        <v/>
      </c>
    </row>
    <row r="2472">
      <c r="A2472" s="6" t="n"/>
      <c r="B2472" s="6" t="n"/>
      <c r="C2472" s="6" t="n"/>
      <c r="D2472" s="11">
        <f>IF(C2472="","",IFERROR(INDEX(Levels!$A$2:$A$30,MATCH(C2472,Levels!$B$2:$B$30,0)),""))</f>
        <v/>
      </c>
      <c r="E2472" s="10">
        <f>IF(B2472="","",IFERROR(INDEX(Roster!$A$2:$A$600,MATCH(B2472,Roster!$E$2:$E$600,0)),""))</f>
        <v/>
      </c>
      <c r="F2472" s="10">
        <f>IF(C2472="","",IFERROR(INDEX(Levels!$C$2:$C$30,MATCH(C2472,Levels!$B$2:$B$30,0)),""))</f>
        <v/>
      </c>
      <c r="G2472" s="6" t="n"/>
      <c r="H2472" s="10">
        <f>IF(AND(B2472="",C2472=""),"",IF(G2472&lt;&gt;"","Void",IF(OR(B2472="",E2472=""),"Needs child",IF(D2472="","Needs level","OK"))))</f>
        <v/>
      </c>
    </row>
    <row r="2473">
      <c r="A2473" s="6" t="n"/>
      <c r="B2473" s="6" t="n"/>
      <c r="C2473" s="6" t="n"/>
      <c r="D2473" s="11">
        <f>IF(C2473="","",IFERROR(INDEX(Levels!$A$2:$A$30,MATCH(C2473,Levels!$B$2:$B$30,0)),""))</f>
        <v/>
      </c>
      <c r="E2473" s="10">
        <f>IF(B2473="","",IFERROR(INDEX(Roster!$A$2:$A$600,MATCH(B2473,Roster!$E$2:$E$600,0)),""))</f>
        <v/>
      </c>
      <c r="F2473" s="10">
        <f>IF(C2473="","",IFERROR(INDEX(Levels!$C$2:$C$30,MATCH(C2473,Levels!$B$2:$B$30,0)),""))</f>
        <v/>
      </c>
      <c r="G2473" s="6" t="n"/>
      <c r="H2473" s="10">
        <f>IF(AND(B2473="",C2473=""),"",IF(G2473&lt;&gt;"","Void",IF(OR(B2473="",E2473=""),"Needs child",IF(D2473="","Needs level","OK"))))</f>
        <v/>
      </c>
    </row>
    <row r="2474">
      <c r="A2474" s="6" t="n"/>
      <c r="B2474" s="6" t="n"/>
      <c r="C2474" s="6" t="n"/>
      <c r="D2474" s="11">
        <f>IF(C2474="","",IFERROR(INDEX(Levels!$A$2:$A$30,MATCH(C2474,Levels!$B$2:$B$30,0)),""))</f>
        <v/>
      </c>
      <c r="E2474" s="10">
        <f>IF(B2474="","",IFERROR(INDEX(Roster!$A$2:$A$600,MATCH(B2474,Roster!$E$2:$E$600,0)),""))</f>
        <v/>
      </c>
      <c r="F2474" s="10">
        <f>IF(C2474="","",IFERROR(INDEX(Levels!$C$2:$C$30,MATCH(C2474,Levels!$B$2:$B$30,0)),""))</f>
        <v/>
      </c>
      <c r="G2474" s="6" t="n"/>
      <c r="H2474" s="10">
        <f>IF(AND(B2474="",C2474=""),"",IF(G2474&lt;&gt;"","Void",IF(OR(B2474="",E2474=""),"Needs child",IF(D2474="","Needs level","OK"))))</f>
        <v/>
      </c>
    </row>
    <row r="2475">
      <c r="A2475" s="6" t="n"/>
      <c r="B2475" s="6" t="n"/>
      <c r="C2475" s="6" t="n"/>
      <c r="D2475" s="11">
        <f>IF(C2475="","",IFERROR(INDEX(Levels!$A$2:$A$30,MATCH(C2475,Levels!$B$2:$B$30,0)),""))</f>
        <v/>
      </c>
      <c r="E2475" s="10">
        <f>IF(B2475="","",IFERROR(INDEX(Roster!$A$2:$A$600,MATCH(B2475,Roster!$E$2:$E$600,0)),""))</f>
        <v/>
      </c>
      <c r="F2475" s="10">
        <f>IF(C2475="","",IFERROR(INDEX(Levels!$C$2:$C$30,MATCH(C2475,Levels!$B$2:$B$30,0)),""))</f>
        <v/>
      </c>
      <c r="G2475" s="6" t="n"/>
      <c r="H2475" s="10">
        <f>IF(AND(B2475="",C2475=""),"",IF(G2475&lt;&gt;"","Void",IF(OR(B2475="",E2475=""),"Needs child",IF(D2475="","Needs level","OK"))))</f>
        <v/>
      </c>
    </row>
    <row r="2476">
      <c r="A2476" s="6" t="n"/>
      <c r="B2476" s="6" t="n"/>
      <c r="C2476" s="6" t="n"/>
      <c r="D2476" s="11">
        <f>IF(C2476="","",IFERROR(INDEX(Levels!$A$2:$A$30,MATCH(C2476,Levels!$B$2:$B$30,0)),""))</f>
        <v/>
      </c>
      <c r="E2476" s="10">
        <f>IF(B2476="","",IFERROR(INDEX(Roster!$A$2:$A$600,MATCH(B2476,Roster!$E$2:$E$600,0)),""))</f>
        <v/>
      </c>
      <c r="F2476" s="10">
        <f>IF(C2476="","",IFERROR(INDEX(Levels!$C$2:$C$30,MATCH(C2476,Levels!$B$2:$B$30,0)),""))</f>
        <v/>
      </c>
      <c r="G2476" s="6" t="n"/>
      <c r="H2476" s="10">
        <f>IF(AND(B2476="",C2476=""),"",IF(G2476&lt;&gt;"","Void",IF(OR(B2476="",E2476=""),"Needs child",IF(D2476="","Needs level","OK"))))</f>
        <v/>
      </c>
    </row>
    <row r="2477">
      <c r="A2477" s="6" t="n"/>
      <c r="B2477" s="6" t="n"/>
      <c r="C2477" s="6" t="n"/>
      <c r="D2477" s="11">
        <f>IF(C2477="","",IFERROR(INDEX(Levels!$A$2:$A$30,MATCH(C2477,Levels!$B$2:$B$30,0)),""))</f>
        <v/>
      </c>
      <c r="E2477" s="10">
        <f>IF(B2477="","",IFERROR(INDEX(Roster!$A$2:$A$600,MATCH(B2477,Roster!$E$2:$E$600,0)),""))</f>
        <v/>
      </c>
      <c r="F2477" s="10">
        <f>IF(C2477="","",IFERROR(INDEX(Levels!$C$2:$C$30,MATCH(C2477,Levels!$B$2:$B$30,0)),""))</f>
        <v/>
      </c>
      <c r="G2477" s="6" t="n"/>
      <c r="H2477" s="10">
        <f>IF(AND(B2477="",C2477=""),"",IF(G2477&lt;&gt;"","Void",IF(OR(B2477="",E2477=""),"Needs child",IF(D2477="","Needs level","OK"))))</f>
        <v/>
      </c>
    </row>
    <row r="2478">
      <c r="A2478" s="6" t="n"/>
      <c r="B2478" s="6" t="n"/>
      <c r="C2478" s="6" t="n"/>
      <c r="D2478" s="11">
        <f>IF(C2478="","",IFERROR(INDEX(Levels!$A$2:$A$30,MATCH(C2478,Levels!$B$2:$B$30,0)),""))</f>
        <v/>
      </c>
      <c r="E2478" s="10">
        <f>IF(B2478="","",IFERROR(INDEX(Roster!$A$2:$A$600,MATCH(B2478,Roster!$E$2:$E$600,0)),""))</f>
        <v/>
      </c>
      <c r="F2478" s="10">
        <f>IF(C2478="","",IFERROR(INDEX(Levels!$C$2:$C$30,MATCH(C2478,Levels!$B$2:$B$30,0)),""))</f>
        <v/>
      </c>
      <c r="G2478" s="6" t="n"/>
      <c r="H2478" s="10">
        <f>IF(AND(B2478="",C2478=""),"",IF(G2478&lt;&gt;"","Void",IF(OR(B2478="",E2478=""),"Needs child",IF(D2478="","Needs level","OK"))))</f>
        <v/>
      </c>
    </row>
    <row r="2479">
      <c r="A2479" s="6" t="n"/>
      <c r="B2479" s="6" t="n"/>
      <c r="C2479" s="6" t="n"/>
      <c r="D2479" s="11">
        <f>IF(C2479="","",IFERROR(INDEX(Levels!$A$2:$A$30,MATCH(C2479,Levels!$B$2:$B$30,0)),""))</f>
        <v/>
      </c>
      <c r="E2479" s="10">
        <f>IF(B2479="","",IFERROR(INDEX(Roster!$A$2:$A$600,MATCH(B2479,Roster!$E$2:$E$600,0)),""))</f>
        <v/>
      </c>
      <c r="F2479" s="10">
        <f>IF(C2479="","",IFERROR(INDEX(Levels!$C$2:$C$30,MATCH(C2479,Levels!$B$2:$B$30,0)),""))</f>
        <v/>
      </c>
      <c r="G2479" s="6" t="n"/>
      <c r="H2479" s="10">
        <f>IF(AND(B2479="",C2479=""),"",IF(G2479&lt;&gt;"","Void",IF(OR(B2479="",E2479=""),"Needs child",IF(D2479="","Needs level","OK"))))</f>
        <v/>
      </c>
    </row>
    <row r="2480">
      <c r="A2480" s="6" t="n"/>
      <c r="B2480" s="6" t="n"/>
      <c r="C2480" s="6" t="n"/>
      <c r="D2480" s="11">
        <f>IF(C2480="","",IFERROR(INDEX(Levels!$A$2:$A$30,MATCH(C2480,Levels!$B$2:$B$30,0)),""))</f>
        <v/>
      </c>
      <c r="E2480" s="10">
        <f>IF(B2480="","",IFERROR(INDEX(Roster!$A$2:$A$600,MATCH(B2480,Roster!$E$2:$E$600,0)),""))</f>
        <v/>
      </c>
      <c r="F2480" s="10">
        <f>IF(C2480="","",IFERROR(INDEX(Levels!$C$2:$C$30,MATCH(C2480,Levels!$B$2:$B$30,0)),""))</f>
        <v/>
      </c>
      <c r="G2480" s="6" t="n"/>
      <c r="H2480" s="10">
        <f>IF(AND(B2480="",C2480=""),"",IF(G2480&lt;&gt;"","Void",IF(OR(B2480="",E2480=""),"Needs child",IF(D2480="","Needs level","OK"))))</f>
        <v/>
      </c>
    </row>
    <row r="2481">
      <c r="A2481" s="6" t="n"/>
      <c r="B2481" s="6" t="n"/>
      <c r="C2481" s="6" t="n"/>
      <c r="D2481" s="11">
        <f>IF(C2481="","",IFERROR(INDEX(Levels!$A$2:$A$30,MATCH(C2481,Levels!$B$2:$B$30,0)),""))</f>
        <v/>
      </c>
      <c r="E2481" s="10">
        <f>IF(B2481="","",IFERROR(INDEX(Roster!$A$2:$A$600,MATCH(B2481,Roster!$E$2:$E$600,0)),""))</f>
        <v/>
      </c>
      <c r="F2481" s="10">
        <f>IF(C2481="","",IFERROR(INDEX(Levels!$C$2:$C$30,MATCH(C2481,Levels!$B$2:$B$30,0)),""))</f>
        <v/>
      </c>
      <c r="G2481" s="6" t="n"/>
      <c r="H2481" s="10">
        <f>IF(AND(B2481="",C2481=""),"",IF(G2481&lt;&gt;"","Void",IF(OR(B2481="",E2481=""),"Needs child",IF(D2481="","Needs level","OK"))))</f>
        <v/>
      </c>
    </row>
    <row r="2482">
      <c r="A2482" s="6" t="n"/>
      <c r="B2482" s="6" t="n"/>
      <c r="C2482" s="6" t="n"/>
      <c r="D2482" s="11">
        <f>IF(C2482="","",IFERROR(INDEX(Levels!$A$2:$A$30,MATCH(C2482,Levels!$B$2:$B$30,0)),""))</f>
        <v/>
      </c>
      <c r="E2482" s="10">
        <f>IF(B2482="","",IFERROR(INDEX(Roster!$A$2:$A$600,MATCH(B2482,Roster!$E$2:$E$600,0)),""))</f>
        <v/>
      </c>
      <c r="F2482" s="10">
        <f>IF(C2482="","",IFERROR(INDEX(Levels!$C$2:$C$30,MATCH(C2482,Levels!$B$2:$B$30,0)),""))</f>
        <v/>
      </c>
      <c r="G2482" s="6" t="n"/>
      <c r="H2482" s="10">
        <f>IF(AND(B2482="",C2482=""),"",IF(G2482&lt;&gt;"","Void",IF(OR(B2482="",E2482=""),"Needs child",IF(D2482="","Needs level","OK"))))</f>
        <v/>
      </c>
    </row>
    <row r="2483">
      <c r="A2483" s="6" t="n"/>
      <c r="B2483" s="6" t="n"/>
      <c r="C2483" s="6" t="n"/>
      <c r="D2483" s="11">
        <f>IF(C2483="","",IFERROR(INDEX(Levels!$A$2:$A$30,MATCH(C2483,Levels!$B$2:$B$30,0)),""))</f>
        <v/>
      </c>
      <c r="E2483" s="10">
        <f>IF(B2483="","",IFERROR(INDEX(Roster!$A$2:$A$600,MATCH(B2483,Roster!$E$2:$E$600,0)),""))</f>
        <v/>
      </c>
      <c r="F2483" s="10">
        <f>IF(C2483="","",IFERROR(INDEX(Levels!$C$2:$C$30,MATCH(C2483,Levels!$B$2:$B$30,0)),""))</f>
        <v/>
      </c>
      <c r="G2483" s="6" t="n"/>
      <c r="H2483" s="10">
        <f>IF(AND(B2483="",C2483=""),"",IF(G2483&lt;&gt;"","Void",IF(OR(B2483="",E2483=""),"Needs child",IF(D2483="","Needs level","OK"))))</f>
        <v/>
      </c>
    </row>
    <row r="2484">
      <c r="A2484" s="6" t="n"/>
      <c r="B2484" s="6" t="n"/>
      <c r="C2484" s="6" t="n"/>
      <c r="D2484" s="11">
        <f>IF(C2484="","",IFERROR(INDEX(Levels!$A$2:$A$30,MATCH(C2484,Levels!$B$2:$B$30,0)),""))</f>
        <v/>
      </c>
      <c r="E2484" s="10">
        <f>IF(B2484="","",IFERROR(INDEX(Roster!$A$2:$A$600,MATCH(B2484,Roster!$E$2:$E$600,0)),""))</f>
        <v/>
      </c>
      <c r="F2484" s="10">
        <f>IF(C2484="","",IFERROR(INDEX(Levels!$C$2:$C$30,MATCH(C2484,Levels!$B$2:$B$30,0)),""))</f>
        <v/>
      </c>
      <c r="G2484" s="6" t="n"/>
      <c r="H2484" s="10">
        <f>IF(AND(B2484="",C2484=""),"",IF(G2484&lt;&gt;"","Void",IF(OR(B2484="",E2484=""),"Needs child",IF(D2484="","Needs level","OK"))))</f>
        <v/>
      </c>
    </row>
    <row r="2485">
      <c r="A2485" s="6" t="n"/>
      <c r="B2485" s="6" t="n"/>
      <c r="C2485" s="6" t="n"/>
      <c r="D2485" s="11">
        <f>IF(C2485="","",IFERROR(INDEX(Levels!$A$2:$A$30,MATCH(C2485,Levels!$B$2:$B$30,0)),""))</f>
        <v/>
      </c>
      <c r="E2485" s="10">
        <f>IF(B2485="","",IFERROR(INDEX(Roster!$A$2:$A$600,MATCH(B2485,Roster!$E$2:$E$600,0)),""))</f>
        <v/>
      </c>
      <c r="F2485" s="10">
        <f>IF(C2485="","",IFERROR(INDEX(Levels!$C$2:$C$30,MATCH(C2485,Levels!$B$2:$B$30,0)),""))</f>
        <v/>
      </c>
      <c r="G2485" s="6" t="n"/>
      <c r="H2485" s="10">
        <f>IF(AND(B2485="",C2485=""),"",IF(G2485&lt;&gt;"","Void",IF(OR(B2485="",E2485=""),"Needs child",IF(D2485="","Needs level","OK"))))</f>
        <v/>
      </c>
    </row>
    <row r="2486">
      <c r="A2486" s="6" t="n"/>
      <c r="B2486" s="6" t="n"/>
      <c r="C2486" s="6" t="n"/>
      <c r="D2486" s="11">
        <f>IF(C2486="","",IFERROR(INDEX(Levels!$A$2:$A$30,MATCH(C2486,Levels!$B$2:$B$30,0)),""))</f>
        <v/>
      </c>
      <c r="E2486" s="10">
        <f>IF(B2486="","",IFERROR(INDEX(Roster!$A$2:$A$600,MATCH(B2486,Roster!$E$2:$E$600,0)),""))</f>
        <v/>
      </c>
      <c r="F2486" s="10">
        <f>IF(C2486="","",IFERROR(INDEX(Levels!$C$2:$C$30,MATCH(C2486,Levels!$B$2:$B$30,0)),""))</f>
        <v/>
      </c>
      <c r="G2486" s="6" t="n"/>
      <c r="H2486" s="10">
        <f>IF(AND(B2486="",C2486=""),"",IF(G2486&lt;&gt;"","Void",IF(OR(B2486="",E2486=""),"Needs child",IF(D2486="","Needs level","OK"))))</f>
        <v/>
      </c>
    </row>
    <row r="2487">
      <c r="A2487" s="6" t="n"/>
      <c r="B2487" s="6" t="n"/>
      <c r="C2487" s="6" t="n"/>
      <c r="D2487" s="11">
        <f>IF(C2487="","",IFERROR(INDEX(Levels!$A$2:$A$30,MATCH(C2487,Levels!$B$2:$B$30,0)),""))</f>
        <v/>
      </c>
      <c r="E2487" s="10">
        <f>IF(B2487="","",IFERROR(INDEX(Roster!$A$2:$A$600,MATCH(B2487,Roster!$E$2:$E$600,0)),""))</f>
        <v/>
      </c>
      <c r="F2487" s="10">
        <f>IF(C2487="","",IFERROR(INDEX(Levels!$C$2:$C$30,MATCH(C2487,Levels!$B$2:$B$30,0)),""))</f>
        <v/>
      </c>
      <c r="G2487" s="6" t="n"/>
      <c r="H2487" s="10">
        <f>IF(AND(B2487="",C2487=""),"",IF(G2487&lt;&gt;"","Void",IF(OR(B2487="",E2487=""),"Needs child",IF(D2487="","Needs level","OK"))))</f>
        <v/>
      </c>
    </row>
    <row r="2488">
      <c r="A2488" s="6" t="n"/>
      <c r="B2488" s="6" t="n"/>
      <c r="C2488" s="6" t="n"/>
      <c r="D2488" s="11">
        <f>IF(C2488="","",IFERROR(INDEX(Levels!$A$2:$A$30,MATCH(C2488,Levels!$B$2:$B$30,0)),""))</f>
        <v/>
      </c>
      <c r="E2488" s="10">
        <f>IF(B2488="","",IFERROR(INDEX(Roster!$A$2:$A$600,MATCH(B2488,Roster!$E$2:$E$600,0)),""))</f>
        <v/>
      </c>
      <c r="F2488" s="10">
        <f>IF(C2488="","",IFERROR(INDEX(Levels!$C$2:$C$30,MATCH(C2488,Levels!$B$2:$B$30,0)),""))</f>
        <v/>
      </c>
      <c r="G2488" s="6" t="n"/>
      <c r="H2488" s="10">
        <f>IF(AND(B2488="",C2488=""),"",IF(G2488&lt;&gt;"","Void",IF(OR(B2488="",E2488=""),"Needs child",IF(D2488="","Needs level","OK"))))</f>
        <v/>
      </c>
    </row>
    <row r="2489">
      <c r="A2489" s="6" t="n"/>
      <c r="B2489" s="6" t="n"/>
      <c r="C2489" s="6" t="n"/>
      <c r="D2489" s="11">
        <f>IF(C2489="","",IFERROR(INDEX(Levels!$A$2:$A$30,MATCH(C2489,Levels!$B$2:$B$30,0)),""))</f>
        <v/>
      </c>
      <c r="E2489" s="10">
        <f>IF(B2489="","",IFERROR(INDEX(Roster!$A$2:$A$600,MATCH(B2489,Roster!$E$2:$E$600,0)),""))</f>
        <v/>
      </c>
      <c r="F2489" s="10">
        <f>IF(C2489="","",IFERROR(INDEX(Levels!$C$2:$C$30,MATCH(C2489,Levels!$B$2:$B$30,0)),""))</f>
        <v/>
      </c>
      <c r="G2489" s="6" t="n"/>
      <c r="H2489" s="10">
        <f>IF(AND(B2489="",C2489=""),"",IF(G2489&lt;&gt;"","Void",IF(OR(B2489="",E2489=""),"Needs child",IF(D2489="","Needs level","OK"))))</f>
        <v/>
      </c>
    </row>
    <row r="2490">
      <c r="A2490" s="6" t="n"/>
      <c r="B2490" s="6" t="n"/>
      <c r="C2490" s="6" t="n"/>
      <c r="D2490" s="11">
        <f>IF(C2490="","",IFERROR(INDEX(Levels!$A$2:$A$30,MATCH(C2490,Levels!$B$2:$B$30,0)),""))</f>
        <v/>
      </c>
      <c r="E2490" s="10">
        <f>IF(B2490="","",IFERROR(INDEX(Roster!$A$2:$A$600,MATCH(B2490,Roster!$E$2:$E$600,0)),""))</f>
        <v/>
      </c>
      <c r="F2490" s="10">
        <f>IF(C2490="","",IFERROR(INDEX(Levels!$C$2:$C$30,MATCH(C2490,Levels!$B$2:$B$30,0)),""))</f>
        <v/>
      </c>
      <c r="G2490" s="6" t="n"/>
      <c r="H2490" s="10">
        <f>IF(AND(B2490="",C2490=""),"",IF(G2490&lt;&gt;"","Void",IF(OR(B2490="",E2490=""),"Needs child",IF(D2490="","Needs level","OK"))))</f>
        <v/>
      </c>
    </row>
    <row r="2491">
      <c r="A2491" s="6" t="n"/>
      <c r="B2491" s="6" t="n"/>
      <c r="C2491" s="6" t="n"/>
      <c r="D2491" s="11">
        <f>IF(C2491="","",IFERROR(INDEX(Levels!$A$2:$A$30,MATCH(C2491,Levels!$B$2:$B$30,0)),""))</f>
        <v/>
      </c>
      <c r="E2491" s="10">
        <f>IF(B2491="","",IFERROR(INDEX(Roster!$A$2:$A$600,MATCH(B2491,Roster!$E$2:$E$600,0)),""))</f>
        <v/>
      </c>
      <c r="F2491" s="10">
        <f>IF(C2491="","",IFERROR(INDEX(Levels!$C$2:$C$30,MATCH(C2491,Levels!$B$2:$B$30,0)),""))</f>
        <v/>
      </c>
      <c r="G2491" s="6" t="n"/>
      <c r="H2491" s="10">
        <f>IF(AND(B2491="",C2491=""),"",IF(G2491&lt;&gt;"","Void",IF(OR(B2491="",E2491=""),"Needs child",IF(D2491="","Needs level","OK"))))</f>
        <v/>
      </c>
    </row>
    <row r="2492">
      <c r="A2492" s="6" t="n"/>
      <c r="B2492" s="6" t="n"/>
      <c r="C2492" s="6" t="n"/>
      <c r="D2492" s="11">
        <f>IF(C2492="","",IFERROR(INDEX(Levels!$A$2:$A$30,MATCH(C2492,Levels!$B$2:$B$30,0)),""))</f>
        <v/>
      </c>
      <c r="E2492" s="10">
        <f>IF(B2492="","",IFERROR(INDEX(Roster!$A$2:$A$600,MATCH(B2492,Roster!$E$2:$E$600,0)),""))</f>
        <v/>
      </c>
      <c r="F2492" s="10">
        <f>IF(C2492="","",IFERROR(INDEX(Levels!$C$2:$C$30,MATCH(C2492,Levels!$B$2:$B$30,0)),""))</f>
        <v/>
      </c>
      <c r="G2492" s="6" t="n"/>
      <c r="H2492" s="10">
        <f>IF(AND(B2492="",C2492=""),"",IF(G2492&lt;&gt;"","Void",IF(OR(B2492="",E2492=""),"Needs child",IF(D2492="","Needs level","OK"))))</f>
        <v/>
      </c>
    </row>
    <row r="2493">
      <c r="A2493" s="6" t="n"/>
      <c r="B2493" s="6" t="n"/>
      <c r="C2493" s="6" t="n"/>
      <c r="D2493" s="11">
        <f>IF(C2493="","",IFERROR(INDEX(Levels!$A$2:$A$30,MATCH(C2493,Levels!$B$2:$B$30,0)),""))</f>
        <v/>
      </c>
      <c r="E2493" s="10">
        <f>IF(B2493="","",IFERROR(INDEX(Roster!$A$2:$A$600,MATCH(B2493,Roster!$E$2:$E$600,0)),""))</f>
        <v/>
      </c>
      <c r="F2493" s="10">
        <f>IF(C2493="","",IFERROR(INDEX(Levels!$C$2:$C$30,MATCH(C2493,Levels!$B$2:$B$30,0)),""))</f>
        <v/>
      </c>
      <c r="G2493" s="6" t="n"/>
      <c r="H2493" s="10">
        <f>IF(AND(B2493="",C2493=""),"",IF(G2493&lt;&gt;"","Void",IF(OR(B2493="",E2493=""),"Needs child",IF(D2493="","Needs level","OK"))))</f>
        <v/>
      </c>
    </row>
    <row r="2494">
      <c r="A2494" s="6" t="n"/>
      <c r="B2494" s="6" t="n"/>
      <c r="C2494" s="6" t="n"/>
      <c r="D2494" s="11">
        <f>IF(C2494="","",IFERROR(INDEX(Levels!$A$2:$A$30,MATCH(C2494,Levels!$B$2:$B$30,0)),""))</f>
        <v/>
      </c>
      <c r="E2494" s="10">
        <f>IF(B2494="","",IFERROR(INDEX(Roster!$A$2:$A$600,MATCH(B2494,Roster!$E$2:$E$600,0)),""))</f>
        <v/>
      </c>
      <c r="F2494" s="10">
        <f>IF(C2494="","",IFERROR(INDEX(Levels!$C$2:$C$30,MATCH(C2494,Levels!$B$2:$B$30,0)),""))</f>
        <v/>
      </c>
      <c r="G2494" s="6" t="n"/>
      <c r="H2494" s="10">
        <f>IF(AND(B2494="",C2494=""),"",IF(G2494&lt;&gt;"","Void",IF(OR(B2494="",E2494=""),"Needs child",IF(D2494="","Needs level","OK"))))</f>
        <v/>
      </c>
    </row>
    <row r="2495">
      <c r="A2495" s="6" t="n"/>
      <c r="B2495" s="6" t="n"/>
      <c r="C2495" s="6" t="n"/>
      <c r="D2495" s="11">
        <f>IF(C2495="","",IFERROR(INDEX(Levels!$A$2:$A$30,MATCH(C2495,Levels!$B$2:$B$30,0)),""))</f>
        <v/>
      </c>
      <c r="E2495" s="10">
        <f>IF(B2495="","",IFERROR(INDEX(Roster!$A$2:$A$600,MATCH(B2495,Roster!$E$2:$E$600,0)),""))</f>
        <v/>
      </c>
      <c r="F2495" s="10">
        <f>IF(C2495="","",IFERROR(INDEX(Levels!$C$2:$C$30,MATCH(C2495,Levels!$B$2:$B$30,0)),""))</f>
        <v/>
      </c>
      <c r="G2495" s="6" t="n"/>
      <c r="H2495" s="10">
        <f>IF(AND(B2495="",C2495=""),"",IF(G2495&lt;&gt;"","Void",IF(OR(B2495="",E2495=""),"Needs child",IF(D2495="","Needs level","OK"))))</f>
        <v/>
      </c>
    </row>
    <row r="2496">
      <c r="A2496" s="6" t="n"/>
      <c r="B2496" s="6" t="n"/>
      <c r="C2496" s="6" t="n"/>
      <c r="D2496" s="11">
        <f>IF(C2496="","",IFERROR(INDEX(Levels!$A$2:$A$30,MATCH(C2496,Levels!$B$2:$B$30,0)),""))</f>
        <v/>
      </c>
      <c r="E2496" s="10">
        <f>IF(B2496="","",IFERROR(INDEX(Roster!$A$2:$A$600,MATCH(B2496,Roster!$E$2:$E$600,0)),""))</f>
        <v/>
      </c>
      <c r="F2496" s="10">
        <f>IF(C2496="","",IFERROR(INDEX(Levels!$C$2:$C$30,MATCH(C2496,Levels!$B$2:$B$30,0)),""))</f>
        <v/>
      </c>
      <c r="G2496" s="6" t="n"/>
      <c r="H2496" s="10">
        <f>IF(AND(B2496="",C2496=""),"",IF(G2496&lt;&gt;"","Void",IF(OR(B2496="",E2496=""),"Needs child",IF(D2496="","Needs level","OK"))))</f>
        <v/>
      </c>
    </row>
    <row r="2497">
      <c r="A2497" s="6" t="n"/>
      <c r="B2497" s="6" t="n"/>
      <c r="C2497" s="6" t="n"/>
      <c r="D2497" s="11">
        <f>IF(C2497="","",IFERROR(INDEX(Levels!$A$2:$A$30,MATCH(C2497,Levels!$B$2:$B$30,0)),""))</f>
        <v/>
      </c>
      <c r="E2497" s="10">
        <f>IF(B2497="","",IFERROR(INDEX(Roster!$A$2:$A$600,MATCH(B2497,Roster!$E$2:$E$600,0)),""))</f>
        <v/>
      </c>
      <c r="F2497" s="10">
        <f>IF(C2497="","",IFERROR(INDEX(Levels!$C$2:$C$30,MATCH(C2497,Levels!$B$2:$B$30,0)),""))</f>
        <v/>
      </c>
      <c r="G2497" s="6" t="n"/>
      <c r="H2497" s="10">
        <f>IF(AND(B2497="",C2497=""),"",IF(G2497&lt;&gt;"","Void",IF(OR(B2497="",E2497=""),"Needs child",IF(D2497="","Needs level","OK"))))</f>
        <v/>
      </c>
    </row>
    <row r="2498">
      <c r="A2498" s="6" t="n"/>
      <c r="B2498" s="6" t="n"/>
      <c r="C2498" s="6" t="n"/>
      <c r="D2498" s="11">
        <f>IF(C2498="","",IFERROR(INDEX(Levels!$A$2:$A$30,MATCH(C2498,Levels!$B$2:$B$30,0)),""))</f>
        <v/>
      </c>
      <c r="E2498" s="10">
        <f>IF(B2498="","",IFERROR(INDEX(Roster!$A$2:$A$600,MATCH(B2498,Roster!$E$2:$E$600,0)),""))</f>
        <v/>
      </c>
      <c r="F2498" s="10">
        <f>IF(C2498="","",IFERROR(INDEX(Levels!$C$2:$C$30,MATCH(C2498,Levels!$B$2:$B$30,0)),""))</f>
        <v/>
      </c>
      <c r="G2498" s="6" t="n"/>
      <c r="H2498" s="10">
        <f>IF(AND(B2498="",C2498=""),"",IF(G2498&lt;&gt;"","Void",IF(OR(B2498="",E2498=""),"Needs child",IF(D2498="","Needs level","OK"))))</f>
        <v/>
      </c>
    </row>
    <row r="2499">
      <c r="A2499" s="6" t="n"/>
      <c r="B2499" s="6" t="n"/>
      <c r="C2499" s="6" t="n"/>
      <c r="D2499" s="11">
        <f>IF(C2499="","",IFERROR(INDEX(Levels!$A$2:$A$30,MATCH(C2499,Levels!$B$2:$B$30,0)),""))</f>
        <v/>
      </c>
      <c r="E2499" s="10">
        <f>IF(B2499="","",IFERROR(INDEX(Roster!$A$2:$A$600,MATCH(B2499,Roster!$E$2:$E$600,0)),""))</f>
        <v/>
      </c>
      <c r="F2499" s="10">
        <f>IF(C2499="","",IFERROR(INDEX(Levels!$C$2:$C$30,MATCH(C2499,Levels!$B$2:$B$30,0)),""))</f>
        <v/>
      </c>
      <c r="G2499" s="6" t="n"/>
      <c r="H2499" s="10">
        <f>IF(AND(B2499="",C2499=""),"",IF(G2499&lt;&gt;"","Void",IF(OR(B2499="",E2499=""),"Needs child",IF(D2499="","Needs level","OK"))))</f>
        <v/>
      </c>
    </row>
    <row r="2500">
      <c r="A2500" s="6" t="n"/>
      <c r="B2500" s="6" t="n"/>
      <c r="C2500" s="6" t="n"/>
      <c r="D2500" s="11">
        <f>IF(C2500="","",IFERROR(INDEX(Levels!$A$2:$A$30,MATCH(C2500,Levels!$B$2:$B$30,0)),""))</f>
        <v/>
      </c>
      <c r="E2500" s="10">
        <f>IF(B2500="","",IFERROR(INDEX(Roster!$A$2:$A$600,MATCH(B2500,Roster!$E$2:$E$600,0)),""))</f>
        <v/>
      </c>
      <c r="F2500" s="10">
        <f>IF(C2500="","",IFERROR(INDEX(Levels!$C$2:$C$30,MATCH(C2500,Levels!$B$2:$B$30,0)),""))</f>
        <v/>
      </c>
      <c r="G2500" s="6" t="n"/>
      <c r="H2500" s="10">
        <f>IF(AND(B2500="",C2500=""),"",IF(G2500&lt;&gt;"","Void",IF(OR(B2500="",E2500=""),"Needs child",IF(D2500="","Needs level","OK"))))</f>
        <v/>
      </c>
    </row>
    <row r="2501">
      <c r="A2501" s="6" t="n"/>
      <c r="B2501" s="6" t="n"/>
      <c r="C2501" s="6" t="n"/>
      <c r="D2501" s="11">
        <f>IF(C2501="","",IFERROR(INDEX(Levels!$A$2:$A$30,MATCH(C2501,Levels!$B$2:$B$30,0)),""))</f>
        <v/>
      </c>
      <c r="E2501" s="10">
        <f>IF(B2501="","",IFERROR(INDEX(Roster!$A$2:$A$600,MATCH(B2501,Roster!$E$2:$E$600,0)),""))</f>
        <v/>
      </c>
      <c r="F2501" s="10">
        <f>IF(C2501="","",IFERROR(INDEX(Levels!$C$2:$C$30,MATCH(C2501,Levels!$B$2:$B$30,0)),""))</f>
        <v/>
      </c>
      <c r="G2501" s="6" t="n"/>
      <c r="H2501" s="10">
        <f>IF(AND(B2501="",C2501=""),"",IF(G2501&lt;&gt;"","Void",IF(OR(B2501="",E2501=""),"Needs child",IF(D2501="","Needs level","OK"))))</f>
        <v/>
      </c>
    </row>
    <row r="2502">
      <c r="A2502" s="6" t="n"/>
      <c r="B2502" s="6" t="n"/>
      <c r="C2502" s="6" t="n"/>
      <c r="D2502" s="11">
        <f>IF(C2502="","",IFERROR(INDEX(Levels!$A$2:$A$30,MATCH(C2502,Levels!$B$2:$B$30,0)),""))</f>
        <v/>
      </c>
      <c r="E2502" s="10">
        <f>IF(B2502="","",IFERROR(INDEX(Roster!$A$2:$A$600,MATCH(B2502,Roster!$E$2:$E$600,0)),""))</f>
        <v/>
      </c>
      <c r="F2502" s="10">
        <f>IF(C2502="","",IFERROR(INDEX(Levels!$C$2:$C$30,MATCH(C2502,Levels!$B$2:$B$30,0)),""))</f>
        <v/>
      </c>
      <c r="G2502" s="6" t="n"/>
      <c r="H2502" s="10">
        <f>IF(AND(B2502="",C2502=""),"",IF(G2502&lt;&gt;"","Void",IF(OR(B2502="",E2502=""),"Needs child",IF(D2502="","Needs level","OK"))))</f>
        <v/>
      </c>
    </row>
    <row r="2503">
      <c r="A2503" s="6" t="n"/>
      <c r="B2503" s="6" t="n"/>
      <c r="C2503" s="6" t="n"/>
      <c r="D2503" s="11">
        <f>IF(C2503="","",IFERROR(INDEX(Levels!$A$2:$A$30,MATCH(C2503,Levels!$B$2:$B$30,0)),""))</f>
        <v/>
      </c>
      <c r="E2503" s="10">
        <f>IF(B2503="","",IFERROR(INDEX(Roster!$A$2:$A$600,MATCH(B2503,Roster!$E$2:$E$600,0)),""))</f>
        <v/>
      </c>
      <c r="F2503" s="10">
        <f>IF(C2503="","",IFERROR(INDEX(Levels!$C$2:$C$30,MATCH(C2503,Levels!$B$2:$B$30,0)),""))</f>
        <v/>
      </c>
      <c r="G2503" s="6" t="n"/>
      <c r="H2503" s="10">
        <f>IF(AND(B2503="",C2503=""),"",IF(G2503&lt;&gt;"","Void",IF(OR(B2503="",E2503=""),"Needs child",IF(D2503="","Needs level","OK"))))</f>
        <v/>
      </c>
    </row>
    <row r="2504">
      <c r="A2504" s="6" t="n"/>
      <c r="B2504" s="6" t="n"/>
      <c r="C2504" s="6" t="n"/>
      <c r="D2504" s="11">
        <f>IF(C2504="","",IFERROR(INDEX(Levels!$A$2:$A$30,MATCH(C2504,Levels!$B$2:$B$30,0)),""))</f>
        <v/>
      </c>
      <c r="E2504" s="10">
        <f>IF(B2504="","",IFERROR(INDEX(Roster!$A$2:$A$600,MATCH(B2504,Roster!$E$2:$E$600,0)),""))</f>
        <v/>
      </c>
      <c r="F2504" s="10">
        <f>IF(C2504="","",IFERROR(INDEX(Levels!$C$2:$C$30,MATCH(C2504,Levels!$B$2:$B$30,0)),""))</f>
        <v/>
      </c>
      <c r="G2504" s="6" t="n"/>
      <c r="H2504" s="10">
        <f>IF(AND(B2504="",C2504=""),"",IF(G2504&lt;&gt;"","Void",IF(OR(B2504="",E2504=""),"Needs child",IF(D2504="","Needs level","OK"))))</f>
        <v/>
      </c>
    </row>
    <row r="2505">
      <c r="A2505" s="6" t="n"/>
      <c r="B2505" s="6" t="n"/>
      <c r="C2505" s="6" t="n"/>
      <c r="D2505" s="11">
        <f>IF(C2505="","",IFERROR(INDEX(Levels!$A$2:$A$30,MATCH(C2505,Levels!$B$2:$B$30,0)),""))</f>
        <v/>
      </c>
      <c r="E2505" s="10">
        <f>IF(B2505="","",IFERROR(INDEX(Roster!$A$2:$A$600,MATCH(B2505,Roster!$E$2:$E$600,0)),""))</f>
        <v/>
      </c>
      <c r="F2505" s="10">
        <f>IF(C2505="","",IFERROR(INDEX(Levels!$C$2:$C$30,MATCH(C2505,Levels!$B$2:$B$30,0)),""))</f>
        <v/>
      </c>
      <c r="G2505" s="6" t="n"/>
      <c r="H2505" s="10">
        <f>IF(AND(B2505="",C2505=""),"",IF(G2505&lt;&gt;"","Void",IF(OR(B2505="",E2505=""),"Needs child",IF(D2505="","Needs level","OK"))))</f>
        <v/>
      </c>
    </row>
    <row r="2506">
      <c r="A2506" s="6" t="n"/>
      <c r="B2506" s="6" t="n"/>
      <c r="C2506" s="6" t="n"/>
      <c r="D2506" s="11">
        <f>IF(C2506="","",IFERROR(INDEX(Levels!$A$2:$A$30,MATCH(C2506,Levels!$B$2:$B$30,0)),""))</f>
        <v/>
      </c>
      <c r="E2506" s="10">
        <f>IF(B2506="","",IFERROR(INDEX(Roster!$A$2:$A$600,MATCH(B2506,Roster!$E$2:$E$600,0)),""))</f>
        <v/>
      </c>
      <c r="F2506" s="10">
        <f>IF(C2506="","",IFERROR(INDEX(Levels!$C$2:$C$30,MATCH(C2506,Levels!$B$2:$B$30,0)),""))</f>
        <v/>
      </c>
      <c r="G2506" s="6" t="n"/>
      <c r="H2506" s="10">
        <f>IF(AND(B2506="",C2506=""),"",IF(G2506&lt;&gt;"","Void",IF(OR(B2506="",E2506=""),"Needs child",IF(D2506="","Needs level","OK"))))</f>
        <v/>
      </c>
    </row>
    <row r="2507">
      <c r="A2507" s="6" t="n"/>
      <c r="B2507" s="6" t="n"/>
      <c r="C2507" s="6" t="n"/>
      <c r="D2507" s="11">
        <f>IF(C2507="","",IFERROR(INDEX(Levels!$A$2:$A$30,MATCH(C2507,Levels!$B$2:$B$30,0)),""))</f>
        <v/>
      </c>
      <c r="E2507" s="10">
        <f>IF(B2507="","",IFERROR(INDEX(Roster!$A$2:$A$600,MATCH(B2507,Roster!$E$2:$E$600,0)),""))</f>
        <v/>
      </c>
      <c r="F2507" s="10">
        <f>IF(C2507="","",IFERROR(INDEX(Levels!$C$2:$C$30,MATCH(C2507,Levels!$B$2:$B$30,0)),""))</f>
        <v/>
      </c>
      <c r="G2507" s="6" t="n"/>
      <c r="H2507" s="10">
        <f>IF(AND(B2507="",C2507=""),"",IF(G2507&lt;&gt;"","Void",IF(OR(B2507="",E2507=""),"Needs child",IF(D2507="","Needs level","OK"))))</f>
        <v/>
      </c>
    </row>
    <row r="2508">
      <c r="A2508" s="6" t="n"/>
      <c r="B2508" s="6" t="n"/>
      <c r="C2508" s="6" t="n"/>
      <c r="D2508" s="11">
        <f>IF(C2508="","",IFERROR(INDEX(Levels!$A$2:$A$30,MATCH(C2508,Levels!$B$2:$B$30,0)),""))</f>
        <v/>
      </c>
      <c r="E2508" s="10">
        <f>IF(B2508="","",IFERROR(INDEX(Roster!$A$2:$A$600,MATCH(B2508,Roster!$E$2:$E$600,0)),""))</f>
        <v/>
      </c>
      <c r="F2508" s="10">
        <f>IF(C2508="","",IFERROR(INDEX(Levels!$C$2:$C$30,MATCH(C2508,Levels!$B$2:$B$30,0)),""))</f>
        <v/>
      </c>
      <c r="G2508" s="6" t="n"/>
      <c r="H2508" s="10">
        <f>IF(AND(B2508="",C2508=""),"",IF(G2508&lt;&gt;"","Void",IF(OR(B2508="",E2508=""),"Needs child",IF(D2508="","Needs level","OK"))))</f>
        <v/>
      </c>
    </row>
    <row r="2509">
      <c r="A2509" s="6" t="n"/>
      <c r="B2509" s="6" t="n"/>
      <c r="C2509" s="6" t="n"/>
      <c r="D2509" s="11">
        <f>IF(C2509="","",IFERROR(INDEX(Levels!$A$2:$A$30,MATCH(C2509,Levels!$B$2:$B$30,0)),""))</f>
        <v/>
      </c>
      <c r="E2509" s="10">
        <f>IF(B2509="","",IFERROR(INDEX(Roster!$A$2:$A$600,MATCH(B2509,Roster!$E$2:$E$600,0)),""))</f>
        <v/>
      </c>
      <c r="F2509" s="10">
        <f>IF(C2509="","",IFERROR(INDEX(Levels!$C$2:$C$30,MATCH(C2509,Levels!$B$2:$B$30,0)),""))</f>
        <v/>
      </c>
      <c r="G2509" s="6" t="n"/>
      <c r="H2509" s="10">
        <f>IF(AND(B2509="",C2509=""),"",IF(G2509&lt;&gt;"","Void",IF(OR(B2509="",E2509=""),"Needs child",IF(D2509="","Needs level","OK"))))</f>
        <v/>
      </c>
    </row>
    <row r="2510">
      <c r="A2510" s="6" t="n"/>
      <c r="B2510" s="6" t="n"/>
      <c r="C2510" s="6" t="n"/>
      <c r="D2510" s="11">
        <f>IF(C2510="","",IFERROR(INDEX(Levels!$A$2:$A$30,MATCH(C2510,Levels!$B$2:$B$30,0)),""))</f>
        <v/>
      </c>
      <c r="E2510" s="10">
        <f>IF(B2510="","",IFERROR(INDEX(Roster!$A$2:$A$600,MATCH(B2510,Roster!$E$2:$E$600,0)),""))</f>
        <v/>
      </c>
      <c r="F2510" s="10">
        <f>IF(C2510="","",IFERROR(INDEX(Levels!$C$2:$C$30,MATCH(C2510,Levels!$B$2:$B$30,0)),""))</f>
        <v/>
      </c>
      <c r="G2510" s="6" t="n"/>
      <c r="H2510" s="10">
        <f>IF(AND(B2510="",C2510=""),"",IF(G2510&lt;&gt;"","Void",IF(OR(B2510="",E2510=""),"Needs child",IF(D2510="","Needs level","OK"))))</f>
        <v/>
      </c>
    </row>
    <row r="2511">
      <c r="A2511" s="6" t="n"/>
      <c r="B2511" s="6" t="n"/>
      <c r="C2511" s="6" t="n"/>
      <c r="D2511" s="11">
        <f>IF(C2511="","",IFERROR(INDEX(Levels!$A$2:$A$30,MATCH(C2511,Levels!$B$2:$B$30,0)),""))</f>
        <v/>
      </c>
      <c r="E2511" s="10">
        <f>IF(B2511="","",IFERROR(INDEX(Roster!$A$2:$A$600,MATCH(B2511,Roster!$E$2:$E$600,0)),""))</f>
        <v/>
      </c>
      <c r="F2511" s="10">
        <f>IF(C2511="","",IFERROR(INDEX(Levels!$C$2:$C$30,MATCH(C2511,Levels!$B$2:$B$30,0)),""))</f>
        <v/>
      </c>
      <c r="G2511" s="6" t="n"/>
      <c r="H2511" s="10">
        <f>IF(AND(B2511="",C2511=""),"",IF(G2511&lt;&gt;"","Void",IF(OR(B2511="",E2511=""),"Needs child",IF(D2511="","Needs level","OK"))))</f>
        <v/>
      </c>
    </row>
    <row r="2512">
      <c r="A2512" s="6" t="n"/>
      <c r="B2512" s="6" t="n"/>
      <c r="C2512" s="6" t="n"/>
      <c r="D2512" s="11">
        <f>IF(C2512="","",IFERROR(INDEX(Levels!$A$2:$A$30,MATCH(C2512,Levels!$B$2:$B$30,0)),""))</f>
        <v/>
      </c>
      <c r="E2512" s="10">
        <f>IF(B2512="","",IFERROR(INDEX(Roster!$A$2:$A$600,MATCH(B2512,Roster!$E$2:$E$600,0)),""))</f>
        <v/>
      </c>
      <c r="F2512" s="10">
        <f>IF(C2512="","",IFERROR(INDEX(Levels!$C$2:$C$30,MATCH(C2512,Levels!$B$2:$B$30,0)),""))</f>
        <v/>
      </c>
      <c r="G2512" s="6" t="n"/>
      <c r="H2512" s="10">
        <f>IF(AND(B2512="",C2512=""),"",IF(G2512&lt;&gt;"","Void",IF(OR(B2512="",E2512=""),"Needs child",IF(D2512="","Needs level","OK"))))</f>
        <v/>
      </c>
    </row>
    <row r="2513">
      <c r="A2513" s="6" t="n"/>
      <c r="B2513" s="6" t="n"/>
      <c r="C2513" s="6" t="n"/>
      <c r="D2513" s="11">
        <f>IF(C2513="","",IFERROR(INDEX(Levels!$A$2:$A$30,MATCH(C2513,Levels!$B$2:$B$30,0)),""))</f>
        <v/>
      </c>
      <c r="E2513" s="10">
        <f>IF(B2513="","",IFERROR(INDEX(Roster!$A$2:$A$600,MATCH(B2513,Roster!$E$2:$E$600,0)),""))</f>
        <v/>
      </c>
      <c r="F2513" s="10">
        <f>IF(C2513="","",IFERROR(INDEX(Levels!$C$2:$C$30,MATCH(C2513,Levels!$B$2:$B$30,0)),""))</f>
        <v/>
      </c>
      <c r="G2513" s="6" t="n"/>
      <c r="H2513" s="10">
        <f>IF(AND(B2513="",C2513=""),"",IF(G2513&lt;&gt;"","Void",IF(OR(B2513="",E2513=""),"Needs child",IF(D2513="","Needs level","OK"))))</f>
        <v/>
      </c>
    </row>
    <row r="2514">
      <c r="A2514" s="6" t="n"/>
      <c r="B2514" s="6" t="n"/>
      <c r="C2514" s="6" t="n"/>
      <c r="D2514" s="11">
        <f>IF(C2514="","",IFERROR(INDEX(Levels!$A$2:$A$30,MATCH(C2514,Levels!$B$2:$B$30,0)),""))</f>
        <v/>
      </c>
      <c r="E2514" s="10">
        <f>IF(B2514="","",IFERROR(INDEX(Roster!$A$2:$A$600,MATCH(B2514,Roster!$E$2:$E$600,0)),""))</f>
        <v/>
      </c>
      <c r="F2514" s="10">
        <f>IF(C2514="","",IFERROR(INDEX(Levels!$C$2:$C$30,MATCH(C2514,Levels!$B$2:$B$30,0)),""))</f>
        <v/>
      </c>
      <c r="G2514" s="6" t="n"/>
      <c r="H2514" s="10">
        <f>IF(AND(B2514="",C2514=""),"",IF(G2514&lt;&gt;"","Void",IF(OR(B2514="",E2514=""),"Needs child",IF(D2514="","Needs level","OK"))))</f>
        <v/>
      </c>
    </row>
    <row r="2515">
      <c r="A2515" s="6" t="n"/>
      <c r="B2515" s="6" t="n"/>
      <c r="C2515" s="6" t="n"/>
      <c r="D2515" s="11">
        <f>IF(C2515="","",IFERROR(INDEX(Levels!$A$2:$A$30,MATCH(C2515,Levels!$B$2:$B$30,0)),""))</f>
        <v/>
      </c>
      <c r="E2515" s="10">
        <f>IF(B2515="","",IFERROR(INDEX(Roster!$A$2:$A$600,MATCH(B2515,Roster!$E$2:$E$600,0)),""))</f>
        <v/>
      </c>
      <c r="F2515" s="10">
        <f>IF(C2515="","",IFERROR(INDEX(Levels!$C$2:$C$30,MATCH(C2515,Levels!$B$2:$B$30,0)),""))</f>
        <v/>
      </c>
      <c r="G2515" s="6" t="n"/>
      <c r="H2515" s="10">
        <f>IF(AND(B2515="",C2515=""),"",IF(G2515&lt;&gt;"","Void",IF(OR(B2515="",E2515=""),"Needs child",IF(D2515="","Needs level","OK"))))</f>
        <v/>
      </c>
    </row>
    <row r="2516">
      <c r="A2516" s="6" t="n"/>
      <c r="B2516" s="6" t="n"/>
      <c r="C2516" s="6" t="n"/>
      <c r="D2516" s="11">
        <f>IF(C2516="","",IFERROR(INDEX(Levels!$A$2:$A$30,MATCH(C2516,Levels!$B$2:$B$30,0)),""))</f>
        <v/>
      </c>
      <c r="E2516" s="10">
        <f>IF(B2516="","",IFERROR(INDEX(Roster!$A$2:$A$600,MATCH(B2516,Roster!$E$2:$E$600,0)),""))</f>
        <v/>
      </c>
      <c r="F2516" s="10">
        <f>IF(C2516="","",IFERROR(INDEX(Levels!$C$2:$C$30,MATCH(C2516,Levels!$B$2:$B$30,0)),""))</f>
        <v/>
      </c>
      <c r="G2516" s="6" t="n"/>
      <c r="H2516" s="10">
        <f>IF(AND(B2516="",C2516=""),"",IF(G2516&lt;&gt;"","Void",IF(OR(B2516="",E2516=""),"Needs child",IF(D2516="","Needs level","OK"))))</f>
        <v/>
      </c>
    </row>
    <row r="2517">
      <c r="A2517" s="6" t="n"/>
      <c r="B2517" s="6" t="n"/>
      <c r="C2517" s="6" t="n"/>
      <c r="D2517" s="11">
        <f>IF(C2517="","",IFERROR(INDEX(Levels!$A$2:$A$30,MATCH(C2517,Levels!$B$2:$B$30,0)),""))</f>
        <v/>
      </c>
      <c r="E2517" s="10">
        <f>IF(B2517="","",IFERROR(INDEX(Roster!$A$2:$A$600,MATCH(B2517,Roster!$E$2:$E$600,0)),""))</f>
        <v/>
      </c>
      <c r="F2517" s="10">
        <f>IF(C2517="","",IFERROR(INDEX(Levels!$C$2:$C$30,MATCH(C2517,Levels!$B$2:$B$30,0)),""))</f>
        <v/>
      </c>
      <c r="G2517" s="6" t="n"/>
      <c r="H2517" s="10">
        <f>IF(AND(B2517="",C2517=""),"",IF(G2517&lt;&gt;"","Void",IF(OR(B2517="",E2517=""),"Needs child",IF(D2517="","Needs level","OK"))))</f>
        <v/>
      </c>
    </row>
    <row r="2518">
      <c r="A2518" s="6" t="n"/>
      <c r="B2518" s="6" t="n"/>
      <c r="C2518" s="6" t="n"/>
      <c r="D2518" s="11">
        <f>IF(C2518="","",IFERROR(INDEX(Levels!$A$2:$A$30,MATCH(C2518,Levels!$B$2:$B$30,0)),""))</f>
        <v/>
      </c>
      <c r="E2518" s="10">
        <f>IF(B2518="","",IFERROR(INDEX(Roster!$A$2:$A$600,MATCH(B2518,Roster!$E$2:$E$600,0)),""))</f>
        <v/>
      </c>
      <c r="F2518" s="10">
        <f>IF(C2518="","",IFERROR(INDEX(Levels!$C$2:$C$30,MATCH(C2518,Levels!$B$2:$B$30,0)),""))</f>
        <v/>
      </c>
      <c r="G2518" s="6" t="n"/>
      <c r="H2518" s="10">
        <f>IF(AND(B2518="",C2518=""),"",IF(G2518&lt;&gt;"","Void",IF(OR(B2518="",E2518=""),"Needs child",IF(D2518="","Needs level","OK"))))</f>
        <v/>
      </c>
    </row>
    <row r="2519">
      <c r="A2519" s="6" t="n"/>
      <c r="B2519" s="6" t="n"/>
      <c r="C2519" s="6" t="n"/>
      <c r="D2519" s="11">
        <f>IF(C2519="","",IFERROR(INDEX(Levels!$A$2:$A$30,MATCH(C2519,Levels!$B$2:$B$30,0)),""))</f>
        <v/>
      </c>
      <c r="E2519" s="10">
        <f>IF(B2519="","",IFERROR(INDEX(Roster!$A$2:$A$600,MATCH(B2519,Roster!$E$2:$E$600,0)),""))</f>
        <v/>
      </c>
      <c r="F2519" s="10">
        <f>IF(C2519="","",IFERROR(INDEX(Levels!$C$2:$C$30,MATCH(C2519,Levels!$B$2:$B$30,0)),""))</f>
        <v/>
      </c>
      <c r="G2519" s="6" t="n"/>
      <c r="H2519" s="10">
        <f>IF(AND(B2519="",C2519=""),"",IF(G2519&lt;&gt;"","Void",IF(OR(B2519="",E2519=""),"Needs child",IF(D2519="","Needs level","OK"))))</f>
        <v/>
      </c>
    </row>
    <row r="2520">
      <c r="A2520" s="6" t="n"/>
      <c r="B2520" s="6" t="n"/>
      <c r="C2520" s="6" t="n"/>
      <c r="D2520" s="11">
        <f>IF(C2520="","",IFERROR(INDEX(Levels!$A$2:$A$30,MATCH(C2520,Levels!$B$2:$B$30,0)),""))</f>
        <v/>
      </c>
      <c r="E2520" s="10">
        <f>IF(B2520="","",IFERROR(INDEX(Roster!$A$2:$A$600,MATCH(B2520,Roster!$E$2:$E$600,0)),""))</f>
        <v/>
      </c>
      <c r="F2520" s="10">
        <f>IF(C2520="","",IFERROR(INDEX(Levels!$C$2:$C$30,MATCH(C2520,Levels!$B$2:$B$30,0)),""))</f>
        <v/>
      </c>
      <c r="G2520" s="6" t="n"/>
      <c r="H2520" s="10">
        <f>IF(AND(B2520="",C2520=""),"",IF(G2520&lt;&gt;"","Void",IF(OR(B2520="",E2520=""),"Needs child",IF(D2520="","Needs level","OK"))))</f>
        <v/>
      </c>
    </row>
    <row r="2521">
      <c r="A2521" s="6" t="n"/>
      <c r="B2521" s="6" t="n"/>
      <c r="C2521" s="6" t="n"/>
      <c r="D2521" s="11">
        <f>IF(C2521="","",IFERROR(INDEX(Levels!$A$2:$A$30,MATCH(C2521,Levels!$B$2:$B$30,0)),""))</f>
        <v/>
      </c>
      <c r="E2521" s="10">
        <f>IF(B2521="","",IFERROR(INDEX(Roster!$A$2:$A$600,MATCH(B2521,Roster!$E$2:$E$600,0)),""))</f>
        <v/>
      </c>
      <c r="F2521" s="10">
        <f>IF(C2521="","",IFERROR(INDEX(Levels!$C$2:$C$30,MATCH(C2521,Levels!$B$2:$B$30,0)),""))</f>
        <v/>
      </c>
      <c r="G2521" s="6" t="n"/>
      <c r="H2521" s="10">
        <f>IF(AND(B2521="",C2521=""),"",IF(G2521&lt;&gt;"","Void",IF(OR(B2521="",E2521=""),"Needs child",IF(D2521="","Needs level","OK"))))</f>
        <v/>
      </c>
    </row>
    <row r="2522">
      <c r="A2522" s="6" t="n"/>
      <c r="B2522" s="6" t="n"/>
      <c r="C2522" s="6" t="n"/>
      <c r="D2522" s="11">
        <f>IF(C2522="","",IFERROR(INDEX(Levels!$A$2:$A$30,MATCH(C2522,Levels!$B$2:$B$30,0)),""))</f>
        <v/>
      </c>
      <c r="E2522" s="10">
        <f>IF(B2522="","",IFERROR(INDEX(Roster!$A$2:$A$600,MATCH(B2522,Roster!$E$2:$E$600,0)),""))</f>
        <v/>
      </c>
      <c r="F2522" s="10">
        <f>IF(C2522="","",IFERROR(INDEX(Levels!$C$2:$C$30,MATCH(C2522,Levels!$B$2:$B$30,0)),""))</f>
        <v/>
      </c>
      <c r="G2522" s="6" t="n"/>
      <c r="H2522" s="10">
        <f>IF(AND(B2522="",C2522=""),"",IF(G2522&lt;&gt;"","Void",IF(OR(B2522="",E2522=""),"Needs child",IF(D2522="","Needs level","OK"))))</f>
        <v/>
      </c>
    </row>
    <row r="2523">
      <c r="A2523" s="6" t="n"/>
      <c r="B2523" s="6" t="n"/>
      <c r="C2523" s="6" t="n"/>
      <c r="D2523" s="11">
        <f>IF(C2523="","",IFERROR(INDEX(Levels!$A$2:$A$30,MATCH(C2523,Levels!$B$2:$B$30,0)),""))</f>
        <v/>
      </c>
      <c r="E2523" s="10">
        <f>IF(B2523="","",IFERROR(INDEX(Roster!$A$2:$A$600,MATCH(B2523,Roster!$E$2:$E$600,0)),""))</f>
        <v/>
      </c>
      <c r="F2523" s="10">
        <f>IF(C2523="","",IFERROR(INDEX(Levels!$C$2:$C$30,MATCH(C2523,Levels!$B$2:$B$30,0)),""))</f>
        <v/>
      </c>
      <c r="G2523" s="6" t="n"/>
      <c r="H2523" s="10">
        <f>IF(AND(B2523="",C2523=""),"",IF(G2523&lt;&gt;"","Void",IF(OR(B2523="",E2523=""),"Needs child",IF(D2523="","Needs level","OK"))))</f>
        <v/>
      </c>
    </row>
    <row r="2524">
      <c r="A2524" s="6" t="n"/>
      <c r="B2524" s="6" t="n"/>
      <c r="C2524" s="6" t="n"/>
      <c r="D2524" s="11">
        <f>IF(C2524="","",IFERROR(INDEX(Levels!$A$2:$A$30,MATCH(C2524,Levels!$B$2:$B$30,0)),""))</f>
        <v/>
      </c>
      <c r="E2524" s="10">
        <f>IF(B2524="","",IFERROR(INDEX(Roster!$A$2:$A$600,MATCH(B2524,Roster!$E$2:$E$600,0)),""))</f>
        <v/>
      </c>
      <c r="F2524" s="10">
        <f>IF(C2524="","",IFERROR(INDEX(Levels!$C$2:$C$30,MATCH(C2524,Levels!$B$2:$B$30,0)),""))</f>
        <v/>
      </c>
      <c r="G2524" s="6" t="n"/>
      <c r="H2524" s="10">
        <f>IF(AND(B2524="",C2524=""),"",IF(G2524&lt;&gt;"","Void",IF(OR(B2524="",E2524=""),"Needs child",IF(D2524="","Needs level","OK"))))</f>
        <v/>
      </c>
    </row>
    <row r="2525">
      <c r="A2525" s="6" t="n"/>
      <c r="B2525" s="6" t="n"/>
      <c r="C2525" s="6" t="n"/>
      <c r="D2525" s="11">
        <f>IF(C2525="","",IFERROR(INDEX(Levels!$A$2:$A$30,MATCH(C2525,Levels!$B$2:$B$30,0)),""))</f>
        <v/>
      </c>
      <c r="E2525" s="10">
        <f>IF(B2525="","",IFERROR(INDEX(Roster!$A$2:$A$600,MATCH(B2525,Roster!$E$2:$E$600,0)),""))</f>
        <v/>
      </c>
      <c r="F2525" s="10">
        <f>IF(C2525="","",IFERROR(INDEX(Levels!$C$2:$C$30,MATCH(C2525,Levels!$B$2:$B$30,0)),""))</f>
        <v/>
      </c>
      <c r="G2525" s="6" t="n"/>
      <c r="H2525" s="10">
        <f>IF(AND(B2525="",C2525=""),"",IF(G2525&lt;&gt;"","Void",IF(OR(B2525="",E2525=""),"Needs child",IF(D2525="","Needs level","OK"))))</f>
        <v/>
      </c>
    </row>
    <row r="2526">
      <c r="A2526" s="6" t="n"/>
      <c r="B2526" s="6" t="n"/>
      <c r="C2526" s="6" t="n"/>
      <c r="D2526" s="11">
        <f>IF(C2526="","",IFERROR(INDEX(Levels!$A$2:$A$30,MATCH(C2526,Levels!$B$2:$B$30,0)),""))</f>
        <v/>
      </c>
      <c r="E2526" s="10">
        <f>IF(B2526="","",IFERROR(INDEX(Roster!$A$2:$A$600,MATCH(B2526,Roster!$E$2:$E$600,0)),""))</f>
        <v/>
      </c>
      <c r="F2526" s="10">
        <f>IF(C2526="","",IFERROR(INDEX(Levels!$C$2:$C$30,MATCH(C2526,Levels!$B$2:$B$30,0)),""))</f>
        <v/>
      </c>
      <c r="G2526" s="6" t="n"/>
      <c r="H2526" s="10">
        <f>IF(AND(B2526="",C2526=""),"",IF(G2526&lt;&gt;"","Void",IF(OR(B2526="",E2526=""),"Needs child",IF(D2526="","Needs level","OK"))))</f>
        <v/>
      </c>
    </row>
    <row r="2527">
      <c r="A2527" s="6" t="n"/>
      <c r="B2527" s="6" t="n"/>
      <c r="C2527" s="6" t="n"/>
      <c r="D2527" s="11">
        <f>IF(C2527="","",IFERROR(INDEX(Levels!$A$2:$A$30,MATCH(C2527,Levels!$B$2:$B$30,0)),""))</f>
        <v/>
      </c>
      <c r="E2527" s="10">
        <f>IF(B2527="","",IFERROR(INDEX(Roster!$A$2:$A$600,MATCH(B2527,Roster!$E$2:$E$600,0)),""))</f>
        <v/>
      </c>
      <c r="F2527" s="10">
        <f>IF(C2527="","",IFERROR(INDEX(Levels!$C$2:$C$30,MATCH(C2527,Levels!$B$2:$B$30,0)),""))</f>
        <v/>
      </c>
      <c r="G2527" s="6" t="n"/>
      <c r="H2527" s="10">
        <f>IF(AND(B2527="",C2527=""),"",IF(G2527&lt;&gt;"","Void",IF(OR(B2527="",E2527=""),"Needs child",IF(D2527="","Needs level","OK"))))</f>
        <v/>
      </c>
    </row>
    <row r="2528">
      <c r="A2528" s="6" t="n"/>
      <c r="B2528" s="6" t="n"/>
      <c r="C2528" s="6" t="n"/>
      <c r="D2528" s="11">
        <f>IF(C2528="","",IFERROR(INDEX(Levels!$A$2:$A$30,MATCH(C2528,Levels!$B$2:$B$30,0)),""))</f>
        <v/>
      </c>
      <c r="E2528" s="10">
        <f>IF(B2528="","",IFERROR(INDEX(Roster!$A$2:$A$600,MATCH(B2528,Roster!$E$2:$E$600,0)),""))</f>
        <v/>
      </c>
      <c r="F2528" s="10">
        <f>IF(C2528="","",IFERROR(INDEX(Levels!$C$2:$C$30,MATCH(C2528,Levels!$B$2:$B$30,0)),""))</f>
        <v/>
      </c>
      <c r="G2528" s="6" t="n"/>
      <c r="H2528" s="10">
        <f>IF(AND(B2528="",C2528=""),"",IF(G2528&lt;&gt;"","Void",IF(OR(B2528="",E2528=""),"Needs child",IF(D2528="","Needs level","OK"))))</f>
        <v/>
      </c>
    </row>
    <row r="2529">
      <c r="A2529" s="6" t="n"/>
      <c r="B2529" s="6" t="n"/>
      <c r="C2529" s="6" t="n"/>
      <c r="D2529" s="11">
        <f>IF(C2529="","",IFERROR(INDEX(Levels!$A$2:$A$30,MATCH(C2529,Levels!$B$2:$B$30,0)),""))</f>
        <v/>
      </c>
      <c r="E2529" s="10">
        <f>IF(B2529="","",IFERROR(INDEX(Roster!$A$2:$A$600,MATCH(B2529,Roster!$E$2:$E$600,0)),""))</f>
        <v/>
      </c>
      <c r="F2529" s="10">
        <f>IF(C2529="","",IFERROR(INDEX(Levels!$C$2:$C$30,MATCH(C2529,Levels!$B$2:$B$30,0)),""))</f>
        <v/>
      </c>
      <c r="G2529" s="6" t="n"/>
      <c r="H2529" s="10">
        <f>IF(AND(B2529="",C2529=""),"",IF(G2529&lt;&gt;"","Void",IF(OR(B2529="",E2529=""),"Needs child",IF(D2529="","Needs level","OK"))))</f>
        <v/>
      </c>
    </row>
    <row r="2530">
      <c r="A2530" s="6" t="n"/>
      <c r="B2530" s="6" t="n"/>
      <c r="C2530" s="6" t="n"/>
      <c r="D2530" s="11">
        <f>IF(C2530="","",IFERROR(INDEX(Levels!$A$2:$A$30,MATCH(C2530,Levels!$B$2:$B$30,0)),""))</f>
        <v/>
      </c>
      <c r="E2530" s="10">
        <f>IF(B2530="","",IFERROR(INDEX(Roster!$A$2:$A$600,MATCH(B2530,Roster!$E$2:$E$600,0)),""))</f>
        <v/>
      </c>
      <c r="F2530" s="10">
        <f>IF(C2530="","",IFERROR(INDEX(Levels!$C$2:$C$30,MATCH(C2530,Levels!$B$2:$B$30,0)),""))</f>
        <v/>
      </c>
      <c r="G2530" s="6" t="n"/>
      <c r="H2530" s="10">
        <f>IF(AND(B2530="",C2530=""),"",IF(G2530&lt;&gt;"","Void",IF(OR(B2530="",E2530=""),"Needs child",IF(D2530="","Needs level","OK"))))</f>
        <v/>
      </c>
    </row>
    <row r="2531">
      <c r="A2531" s="6" t="n"/>
      <c r="B2531" s="6" t="n"/>
      <c r="C2531" s="6" t="n"/>
      <c r="D2531" s="11">
        <f>IF(C2531="","",IFERROR(INDEX(Levels!$A$2:$A$30,MATCH(C2531,Levels!$B$2:$B$30,0)),""))</f>
        <v/>
      </c>
      <c r="E2531" s="10">
        <f>IF(B2531="","",IFERROR(INDEX(Roster!$A$2:$A$600,MATCH(B2531,Roster!$E$2:$E$600,0)),""))</f>
        <v/>
      </c>
      <c r="F2531" s="10">
        <f>IF(C2531="","",IFERROR(INDEX(Levels!$C$2:$C$30,MATCH(C2531,Levels!$B$2:$B$30,0)),""))</f>
        <v/>
      </c>
      <c r="G2531" s="6" t="n"/>
      <c r="H2531" s="10">
        <f>IF(AND(B2531="",C2531=""),"",IF(G2531&lt;&gt;"","Void",IF(OR(B2531="",E2531=""),"Needs child",IF(D2531="","Needs level","OK"))))</f>
        <v/>
      </c>
    </row>
    <row r="2532">
      <c r="A2532" s="6" t="n"/>
      <c r="B2532" s="6" t="n"/>
      <c r="C2532" s="6" t="n"/>
      <c r="D2532" s="11">
        <f>IF(C2532="","",IFERROR(INDEX(Levels!$A$2:$A$30,MATCH(C2532,Levels!$B$2:$B$30,0)),""))</f>
        <v/>
      </c>
      <c r="E2532" s="10">
        <f>IF(B2532="","",IFERROR(INDEX(Roster!$A$2:$A$600,MATCH(B2532,Roster!$E$2:$E$600,0)),""))</f>
        <v/>
      </c>
      <c r="F2532" s="10">
        <f>IF(C2532="","",IFERROR(INDEX(Levels!$C$2:$C$30,MATCH(C2532,Levels!$B$2:$B$30,0)),""))</f>
        <v/>
      </c>
      <c r="G2532" s="6" t="n"/>
      <c r="H2532" s="10">
        <f>IF(AND(B2532="",C2532=""),"",IF(G2532&lt;&gt;"","Void",IF(OR(B2532="",E2532=""),"Needs child",IF(D2532="","Needs level","OK"))))</f>
        <v/>
      </c>
    </row>
    <row r="2533">
      <c r="A2533" s="6" t="n"/>
      <c r="B2533" s="6" t="n"/>
      <c r="C2533" s="6" t="n"/>
      <c r="D2533" s="11">
        <f>IF(C2533="","",IFERROR(INDEX(Levels!$A$2:$A$30,MATCH(C2533,Levels!$B$2:$B$30,0)),""))</f>
        <v/>
      </c>
      <c r="E2533" s="10">
        <f>IF(B2533="","",IFERROR(INDEX(Roster!$A$2:$A$600,MATCH(B2533,Roster!$E$2:$E$600,0)),""))</f>
        <v/>
      </c>
      <c r="F2533" s="10">
        <f>IF(C2533="","",IFERROR(INDEX(Levels!$C$2:$C$30,MATCH(C2533,Levels!$B$2:$B$30,0)),""))</f>
        <v/>
      </c>
      <c r="G2533" s="6" t="n"/>
      <c r="H2533" s="10">
        <f>IF(AND(B2533="",C2533=""),"",IF(G2533&lt;&gt;"","Void",IF(OR(B2533="",E2533=""),"Needs child",IF(D2533="","Needs level","OK"))))</f>
        <v/>
      </c>
    </row>
    <row r="2534">
      <c r="A2534" s="6" t="n"/>
      <c r="B2534" s="6" t="n"/>
      <c r="C2534" s="6" t="n"/>
      <c r="D2534" s="11">
        <f>IF(C2534="","",IFERROR(INDEX(Levels!$A$2:$A$30,MATCH(C2534,Levels!$B$2:$B$30,0)),""))</f>
        <v/>
      </c>
      <c r="E2534" s="10">
        <f>IF(B2534="","",IFERROR(INDEX(Roster!$A$2:$A$600,MATCH(B2534,Roster!$E$2:$E$600,0)),""))</f>
        <v/>
      </c>
      <c r="F2534" s="10">
        <f>IF(C2534="","",IFERROR(INDEX(Levels!$C$2:$C$30,MATCH(C2534,Levels!$B$2:$B$30,0)),""))</f>
        <v/>
      </c>
      <c r="G2534" s="6" t="n"/>
      <c r="H2534" s="10">
        <f>IF(AND(B2534="",C2534=""),"",IF(G2534&lt;&gt;"","Void",IF(OR(B2534="",E2534=""),"Needs child",IF(D2534="","Needs level","OK"))))</f>
        <v/>
      </c>
    </row>
    <row r="2535">
      <c r="A2535" s="6" t="n"/>
      <c r="B2535" s="6" t="n"/>
      <c r="C2535" s="6" t="n"/>
      <c r="D2535" s="11">
        <f>IF(C2535="","",IFERROR(INDEX(Levels!$A$2:$A$30,MATCH(C2535,Levels!$B$2:$B$30,0)),""))</f>
        <v/>
      </c>
      <c r="E2535" s="10">
        <f>IF(B2535="","",IFERROR(INDEX(Roster!$A$2:$A$600,MATCH(B2535,Roster!$E$2:$E$600,0)),""))</f>
        <v/>
      </c>
      <c r="F2535" s="10">
        <f>IF(C2535="","",IFERROR(INDEX(Levels!$C$2:$C$30,MATCH(C2535,Levels!$B$2:$B$30,0)),""))</f>
        <v/>
      </c>
      <c r="G2535" s="6" t="n"/>
      <c r="H2535" s="10">
        <f>IF(AND(B2535="",C2535=""),"",IF(G2535&lt;&gt;"","Void",IF(OR(B2535="",E2535=""),"Needs child",IF(D2535="","Needs level","OK"))))</f>
        <v/>
      </c>
    </row>
    <row r="2536">
      <c r="A2536" s="6" t="n"/>
      <c r="B2536" s="6" t="n"/>
      <c r="C2536" s="6" t="n"/>
      <c r="D2536" s="11">
        <f>IF(C2536="","",IFERROR(INDEX(Levels!$A$2:$A$30,MATCH(C2536,Levels!$B$2:$B$30,0)),""))</f>
        <v/>
      </c>
      <c r="E2536" s="10">
        <f>IF(B2536="","",IFERROR(INDEX(Roster!$A$2:$A$600,MATCH(B2536,Roster!$E$2:$E$600,0)),""))</f>
        <v/>
      </c>
      <c r="F2536" s="10">
        <f>IF(C2536="","",IFERROR(INDEX(Levels!$C$2:$C$30,MATCH(C2536,Levels!$B$2:$B$30,0)),""))</f>
        <v/>
      </c>
      <c r="G2536" s="6" t="n"/>
      <c r="H2536" s="10">
        <f>IF(AND(B2536="",C2536=""),"",IF(G2536&lt;&gt;"","Void",IF(OR(B2536="",E2536=""),"Needs child",IF(D2536="","Needs level","OK"))))</f>
        <v/>
      </c>
    </row>
    <row r="2537">
      <c r="A2537" s="6" t="n"/>
      <c r="B2537" s="6" t="n"/>
      <c r="C2537" s="6" t="n"/>
      <c r="D2537" s="11">
        <f>IF(C2537="","",IFERROR(INDEX(Levels!$A$2:$A$30,MATCH(C2537,Levels!$B$2:$B$30,0)),""))</f>
        <v/>
      </c>
      <c r="E2537" s="10">
        <f>IF(B2537="","",IFERROR(INDEX(Roster!$A$2:$A$600,MATCH(B2537,Roster!$E$2:$E$600,0)),""))</f>
        <v/>
      </c>
      <c r="F2537" s="10">
        <f>IF(C2537="","",IFERROR(INDEX(Levels!$C$2:$C$30,MATCH(C2537,Levels!$B$2:$B$30,0)),""))</f>
        <v/>
      </c>
      <c r="G2537" s="6" t="n"/>
      <c r="H2537" s="10">
        <f>IF(AND(B2537="",C2537=""),"",IF(G2537&lt;&gt;"","Void",IF(OR(B2537="",E2537=""),"Needs child",IF(D2537="","Needs level","OK"))))</f>
        <v/>
      </c>
    </row>
    <row r="2538">
      <c r="A2538" s="6" t="n"/>
      <c r="B2538" s="6" t="n"/>
      <c r="C2538" s="6" t="n"/>
      <c r="D2538" s="11">
        <f>IF(C2538="","",IFERROR(INDEX(Levels!$A$2:$A$30,MATCH(C2538,Levels!$B$2:$B$30,0)),""))</f>
        <v/>
      </c>
      <c r="E2538" s="10">
        <f>IF(B2538="","",IFERROR(INDEX(Roster!$A$2:$A$600,MATCH(B2538,Roster!$E$2:$E$600,0)),""))</f>
        <v/>
      </c>
      <c r="F2538" s="10">
        <f>IF(C2538="","",IFERROR(INDEX(Levels!$C$2:$C$30,MATCH(C2538,Levels!$B$2:$B$30,0)),""))</f>
        <v/>
      </c>
      <c r="G2538" s="6" t="n"/>
      <c r="H2538" s="10">
        <f>IF(AND(B2538="",C2538=""),"",IF(G2538&lt;&gt;"","Void",IF(OR(B2538="",E2538=""),"Needs child",IF(D2538="","Needs level","OK"))))</f>
        <v/>
      </c>
    </row>
    <row r="2539">
      <c r="A2539" s="6" t="n"/>
      <c r="B2539" s="6" t="n"/>
      <c r="C2539" s="6" t="n"/>
      <c r="D2539" s="11">
        <f>IF(C2539="","",IFERROR(INDEX(Levels!$A$2:$A$30,MATCH(C2539,Levels!$B$2:$B$30,0)),""))</f>
        <v/>
      </c>
      <c r="E2539" s="10">
        <f>IF(B2539="","",IFERROR(INDEX(Roster!$A$2:$A$600,MATCH(B2539,Roster!$E$2:$E$600,0)),""))</f>
        <v/>
      </c>
      <c r="F2539" s="10">
        <f>IF(C2539="","",IFERROR(INDEX(Levels!$C$2:$C$30,MATCH(C2539,Levels!$B$2:$B$30,0)),""))</f>
        <v/>
      </c>
      <c r="G2539" s="6" t="n"/>
      <c r="H2539" s="10">
        <f>IF(AND(B2539="",C2539=""),"",IF(G2539&lt;&gt;"","Void",IF(OR(B2539="",E2539=""),"Needs child",IF(D2539="","Needs level","OK"))))</f>
        <v/>
      </c>
    </row>
    <row r="2540">
      <c r="A2540" s="6" t="n"/>
      <c r="B2540" s="6" t="n"/>
      <c r="C2540" s="6" t="n"/>
      <c r="D2540" s="11">
        <f>IF(C2540="","",IFERROR(INDEX(Levels!$A$2:$A$30,MATCH(C2540,Levels!$B$2:$B$30,0)),""))</f>
        <v/>
      </c>
      <c r="E2540" s="10">
        <f>IF(B2540="","",IFERROR(INDEX(Roster!$A$2:$A$600,MATCH(B2540,Roster!$E$2:$E$600,0)),""))</f>
        <v/>
      </c>
      <c r="F2540" s="10">
        <f>IF(C2540="","",IFERROR(INDEX(Levels!$C$2:$C$30,MATCH(C2540,Levels!$B$2:$B$30,0)),""))</f>
        <v/>
      </c>
      <c r="G2540" s="6" t="n"/>
      <c r="H2540" s="10">
        <f>IF(AND(B2540="",C2540=""),"",IF(G2540&lt;&gt;"","Void",IF(OR(B2540="",E2540=""),"Needs child",IF(D2540="","Needs level","OK"))))</f>
        <v/>
      </c>
    </row>
    <row r="2541">
      <c r="A2541" s="6" t="n"/>
      <c r="B2541" s="6" t="n"/>
      <c r="C2541" s="6" t="n"/>
      <c r="D2541" s="11">
        <f>IF(C2541="","",IFERROR(INDEX(Levels!$A$2:$A$30,MATCH(C2541,Levels!$B$2:$B$30,0)),""))</f>
        <v/>
      </c>
      <c r="E2541" s="10">
        <f>IF(B2541="","",IFERROR(INDEX(Roster!$A$2:$A$600,MATCH(B2541,Roster!$E$2:$E$600,0)),""))</f>
        <v/>
      </c>
      <c r="F2541" s="10">
        <f>IF(C2541="","",IFERROR(INDEX(Levels!$C$2:$C$30,MATCH(C2541,Levels!$B$2:$B$30,0)),""))</f>
        <v/>
      </c>
      <c r="G2541" s="6" t="n"/>
      <c r="H2541" s="10">
        <f>IF(AND(B2541="",C2541=""),"",IF(G2541&lt;&gt;"","Void",IF(OR(B2541="",E2541=""),"Needs child",IF(D2541="","Needs level","OK"))))</f>
        <v/>
      </c>
    </row>
    <row r="2542">
      <c r="A2542" s="6" t="n"/>
      <c r="B2542" s="6" t="n"/>
      <c r="C2542" s="6" t="n"/>
      <c r="D2542" s="11">
        <f>IF(C2542="","",IFERROR(INDEX(Levels!$A$2:$A$30,MATCH(C2542,Levels!$B$2:$B$30,0)),""))</f>
        <v/>
      </c>
      <c r="E2542" s="10">
        <f>IF(B2542="","",IFERROR(INDEX(Roster!$A$2:$A$600,MATCH(B2542,Roster!$E$2:$E$600,0)),""))</f>
        <v/>
      </c>
      <c r="F2542" s="10">
        <f>IF(C2542="","",IFERROR(INDEX(Levels!$C$2:$C$30,MATCH(C2542,Levels!$B$2:$B$30,0)),""))</f>
        <v/>
      </c>
      <c r="G2542" s="6" t="n"/>
      <c r="H2542" s="10">
        <f>IF(AND(B2542="",C2542=""),"",IF(G2542&lt;&gt;"","Void",IF(OR(B2542="",E2542=""),"Needs child",IF(D2542="","Needs level","OK"))))</f>
        <v/>
      </c>
    </row>
    <row r="2543">
      <c r="A2543" s="6" t="n"/>
      <c r="B2543" s="6" t="n"/>
      <c r="C2543" s="6" t="n"/>
      <c r="D2543" s="11">
        <f>IF(C2543="","",IFERROR(INDEX(Levels!$A$2:$A$30,MATCH(C2543,Levels!$B$2:$B$30,0)),""))</f>
        <v/>
      </c>
      <c r="E2543" s="10">
        <f>IF(B2543="","",IFERROR(INDEX(Roster!$A$2:$A$600,MATCH(B2543,Roster!$E$2:$E$600,0)),""))</f>
        <v/>
      </c>
      <c r="F2543" s="10">
        <f>IF(C2543="","",IFERROR(INDEX(Levels!$C$2:$C$30,MATCH(C2543,Levels!$B$2:$B$30,0)),""))</f>
        <v/>
      </c>
      <c r="G2543" s="6" t="n"/>
      <c r="H2543" s="10">
        <f>IF(AND(B2543="",C2543=""),"",IF(G2543&lt;&gt;"","Void",IF(OR(B2543="",E2543=""),"Needs child",IF(D2543="","Needs level","OK"))))</f>
        <v/>
      </c>
    </row>
    <row r="2544">
      <c r="A2544" s="6" t="n"/>
      <c r="B2544" s="6" t="n"/>
      <c r="C2544" s="6" t="n"/>
      <c r="D2544" s="11">
        <f>IF(C2544="","",IFERROR(INDEX(Levels!$A$2:$A$30,MATCH(C2544,Levels!$B$2:$B$30,0)),""))</f>
        <v/>
      </c>
      <c r="E2544" s="10">
        <f>IF(B2544="","",IFERROR(INDEX(Roster!$A$2:$A$600,MATCH(B2544,Roster!$E$2:$E$600,0)),""))</f>
        <v/>
      </c>
      <c r="F2544" s="10">
        <f>IF(C2544="","",IFERROR(INDEX(Levels!$C$2:$C$30,MATCH(C2544,Levels!$B$2:$B$30,0)),""))</f>
        <v/>
      </c>
      <c r="G2544" s="6" t="n"/>
      <c r="H2544" s="10">
        <f>IF(AND(B2544="",C2544=""),"",IF(G2544&lt;&gt;"","Void",IF(OR(B2544="",E2544=""),"Needs child",IF(D2544="","Needs level","OK"))))</f>
        <v/>
      </c>
    </row>
    <row r="2545">
      <c r="A2545" s="6" t="n"/>
      <c r="B2545" s="6" t="n"/>
      <c r="C2545" s="6" t="n"/>
      <c r="D2545" s="11">
        <f>IF(C2545="","",IFERROR(INDEX(Levels!$A$2:$A$30,MATCH(C2545,Levels!$B$2:$B$30,0)),""))</f>
        <v/>
      </c>
      <c r="E2545" s="10">
        <f>IF(B2545="","",IFERROR(INDEX(Roster!$A$2:$A$600,MATCH(B2545,Roster!$E$2:$E$600,0)),""))</f>
        <v/>
      </c>
      <c r="F2545" s="10">
        <f>IF(C2545="","",IFERROR(INDEX(Levels!$C$2:$C$30,MATCH(C2545,Levels!$B$2:$B$30,0)),""))</f>
        <v/>
      </c>
      <c r="G2545" s="6" t="n"/>
      <c r="H2545" s="10">
        <f>IF(AND(B2545="",C2545=""),"",IF(G2545&lt;&gt;"","Void",IF(OR(B2545="",E2545=""),"Needs child",IF(D2545="","Needs level","OK"))))</f>
        <v/>
      </c>
    </row>
    <row r="2546">
      <c r="A2546" s="6" t="n"/>
      <c r="B2546" s="6" t="n"/>
      <c r="C2546" s="6" t="n"/>
      <c r="D2546" s="11">
        <f>IF(C2546="","",IFERROR(INDEX(Levels!$A$2:$A$30,MATCH(C2546,Levels!$B$2:$B$30,0)),""))</f>
        <v/>
      </c>
      <c r="E2546" s="10">
        <f>IF(B2546="","",IFERROR(INDEX(Roster!$A$2:$A$600,MATCH(B2546,Roster!$E$2:$E$600,0)),""))</f>
        <v/>
      </c>
      <c r="F2546" s="10">
        <f>IF(C2546="","",IFERROR(INDEX(Levels!$C$2:$C$30,MATCH(C2546,Levels!$B$2:$B$30,0)),""))</f>
        <v/>
      </c>
      <c r="G2546" s="6" t="n"/>
      <c r="H2546" s="10">
        <f>IF(AND(B2546="",C2546=""),"",IF(G2546&lt;&gt;"","Void",IF(OR(B2546="",E2546=""),"Needs child",IF(D2546="","Needs level","OK"))))</f>
        <v/>
      </c>
    </row>
    <row r="2547">
      <c r="A2547" s="6" t="n"/>
      <c r="B2547" s="6" t="n"/>
      <c r="C2547" s="6" t="n"/>
      <c r="D2547" s="11">
        <f>IF(C2547="","",IFERROR(INDEX(Levels!$A$2:$A$30,MATCH(C2547,Levels!$B$2:$B$30,0)),""))</f>
        <v/>
      </c>
      <c r="E2547" s="10">
        <f>IF(B2547="","",IFERROR(INDEX(Roster!$A$2:$A$600,MATCH(B2547,Roster!$E$2:$E$600,0)),""))</f>
        <v/>
      </c>
      <c r="F2547" s="10">
        <f>IF(C2547="","",IFERROR(INDEX(Levels!$C$2:$C$30,MATCH(C2547,Levels!$B$2:$B$30,0)),""))</f>
        <v/>
      </c>
      <c r="G2547" s="6" t="n"/>
      <c r="H2547" s="10">
        <f>IF(AND(B2547="",C2547=""),"",IF(G2547&lt;&gt;"","Void",IF(OR(B2547="",E2547=""),"Needs child",IF(D2547="","Needs level","OK"))))</f>
        <v/>
      </c>
    </row>
    <row r="2548">
      <c r="A2548" s="6" t="n"/>
      <c r="B2548" s="6" t="n"/>
      <c r="C2548" s="6" t="n"/>
      <c r="D2548" s="11">
        <f>IF(C2548="","",IFERROR(INDEX(Levels!$A$2:$A$30,MATCH(C2548,Levels!$B$2:$B$30,0)),""))</f>
        <v/>
      </c>
      <c r="E2548" s="10">
        <f>IF(B2548="","",IFERROR(INDEX(Roster!$A$2:$A$600,MATCH(B2548,Roster!$E$2:$E$600,0)),""))</f>
        <v/>
      </c>
      <c r="F2548" s="10">
        <f>IF(C2548="","",IFERROR(INDEX(Levels!$C$2:$C$30,MATCH(C2548,Levels!$B$2:$B$30,0)),""))</f>
        <v/>
      </c>
      <c r="G2548" s="6" t="n"/>
      <c r="H2548" s="10">
        <f>IF(AND(B2548="",C2548=""),"",IF(G2548&lt;&gt;"","Void",IF(OR(B2548="",E2548=""),"Needs child",IF(D2548="","Needs level","OK"))))</f>
        <v/>
      </c>
    </row>
    <row r="2549">
      <c r="A2549" s="6" t="n"/>
      <c r="B2549" s="6" t="n"/>
      <c r="C2549" s="6" t="n"/>
      <c r="D2549" s="11">
        <f>IF(C2549="","",IFERROR(INDEX(Levels!$A$2:$A$30,MATCH(C2549,Levels!$B$2:$B$30,0)),""))</f>
        <v/>
      </c>
      <c r="E2549" s="10">
        <f>IF(B2549="","",IFERROR(INDEX(Roster!$A$2:$A$600,MATCH(B2549,Roster!$E$2:$E$600,0)),""))</f>
        <v/>
      </c>
      <c r="F2549" s="10">
        <f>IF(C2549="","",IFERROR(INDEX(Levels!$C$2:$C$30,MATCH(C2549,Levels!$B$2:$B$30,0)),""))</f>
        <v/>
      </c>
      <c r="G2549" s="6" t="n"/>
      <c r="H2549" s="10">
        <f>IF(AND(B2549="",C2549=""),"",IF(G2549&lt;&gt;"","Void",IF(OR(B2549="",E2549=""),"Needs child",IF(D2549="","Needs level","OK"))))</f>
        <v/>
      </c>
    </row>
    <row r="2550">
      <c r="A2550" s="6" t="n"/>
      <c r="B2550" s="6" t="n"/>
      <c r="C2550" s="6" t="n"/>
      <c r="D2550" s="11">
        <f>IF(C2550="","",IFERROR(INDEX(Levels!$A$2:$A$30,MATCH(C2550,Levels!$B$2:$B$30,0)),""))</f>
        <v/>
      </c>
      <c r="E2550" s="10">
        <f>IF(B2550="","",IFERROR(INDEX(Roster!$A$2:$A$600,MATCH(B2550,Roster!$E$2:$E$600,0)),""))</f>
        <v/>
      </c>
      <c r="F2550" s="10">
        <f>IF(C2550="","",IFERROR(INDEX(Levels!$C$2:$C$30,MATCH(C2550,Levels!$B$2:$B$30,0)),""))</f>
        <v/>
      </c>
      <c r="G2550" s="6" t="n"/>
      <c r="H2550" s="10">
        <f>IF(AND(B2550="",C2550=""),"",IF(G2550&lt;&gt;"","Void",IF(OR(B2550="",E2550=""),"Needs child",IF(D2550="","Needs level","OK"))))</f>
        <v/>
      </c>
    </row>
    <row r="2551">
      <c r="A2551" s="6" t="n"/>
      <c r="B2551" s="6" t="n"/>
      <c r="C2551" s="6" t="n"/>
      <c r="D2551" s="11">
        <f>IF(C2551="","",IFERROR(INDEX(Levels!$A$2:$A$30,MATCH(C2551,Levels!$B$2:$B$30,0)),""))</f>
        <v/>
      </c>
      <c r="E2551" s="10">
        <f>IF(B2551="","",IFERROR(INDEX(Roster!$A$2:$A$600,MATCH(B2551,Roster!$E$2:$E$600,0)),""))</f>
        <v/>
      </c>
      <c r="F2551" s="10">
        <f>IF(C2551="","",IFERROR(INDEX(Levels!$C$2:$C$30,MATCH(C2551,Levels!$B$2:$B$30,0)),""))</f>
        <v/>
      </c>
      <c r="G2551" s="6" t="n"/>
      <c r="H2551" s="10">
        <f>IF(AND(B2551="",C2551=""),"",IF(G2551&lt;&gt;"","Void",IF(OR(B2551="",E2551=""),"Needs child",IF(D2551="","Needs level","OK"))))</f>
        <v/>
      </c>
    </row>
    <row r="2552">
      <c r="A2552" s="6" t="n"/>
      <c r="B2552" s="6" t="n"/>
      <c r="C2552" s="6" t="n"/>
      <c r="D2552" s="11">
        <f>IF(C2552="","",IFERROR(INDEX(Levels!$A$2:$A$30,MATCH(C2552,Levels!$B$2:$B$30,0)),""))</f>
        <v/>
      </c>
      <c r="E2552" s="10">
        <f>IF(B2552="","",IFERROR(INDEX(Roster!$A$2:$A$600,MATCH(B2552,Roster!$E$2:$E$600,0)),""))</f>
        <v/>
      </c>
      <c r="F2552" s="10">
        <f>IF(C2552="","",IFERROR(INDEX(Levels!$C$2:$C$30,MATCH(C2552,Levels!$B$2:$B$30,0)),""))</f>
        <v/>
      </c>
      <c r="G2552" s="6" t="n"/>
      <c r="H2552" s="10">
        <f>IF(AND(B2552="",C2552=""),"",IF(G2552&lt;&gt;"","Void",IF(OR(B2552="",E2552=""),"Needs child",IF(D2552="","Needs level","OK"))))</f>
        <v/>
      </c>
    </row>
    <row r="2553">
      <c r="A2553" s="6" t="n"/>
      <c r="B2553" s="6" t="n"/>
      <c r="C2553" s="6" t="n"/>
      <c r="D2553" s="11">
        <f>IF(C2553="","",IFERROR(INDEX(Levels!$A$2:$A$30,MATCH(C2553,Levels!$B$2:$B$30,0)),""))</f>
        <v/>
      </c>
      <c r="E2553" s="10">
        <f>IF(B2553="","",IFERROR(INDEX(Roster!$A$2:$A$600,MATCH(B2553,Roster!$E$2:$E$600,0)),""))</f>
        <v/>
      </c>
      <c r="F2553" s="10">
        <f>IF(C2553="","",IFERROR(INDEX(Levels!$C$2:$C$30,MATCH(C2553,Levels!$B$2:$B$30,0)),""))</f>
        <v/>
      </c>
      <c r="G2553" s="6" t="n"/>
      <c r="H2553" s="10">
        <f>IF(AND(B2553="",C2553=""),"",IF(G2553&lt;&gt;"","Void",IF(OR(B2553="",E2553=""),"Needs child",IF(D2553="","Needs level","OK"))))</f>
        <v/>
      </c>
    </row>
    <row r="2554">
      <c r="A2554" s="6" t="n"/>
      <c r="B2554" s="6" t="n"/>
      <c r="C2554" s="6" t="n"/>
      <c r="D2554" s="11">
        <f>IF(C2554="","",IFERROR(INDEX(Levels!$A$2:$A$30,MATCH(C2554,Levels!$B$2:$B$30,0)),""))</f>
        <v/>
      </c>
      <c r="E2554" s="10">
        <f>IF(B2554="","",IFERROR(INDEX(Roster!$A$2:$A$600,MATCH(B2554,Roster!$E$2:$E$600,0)),""))</f>
        <v/>
      </c>
      <c r="F2554" s="10">
        <f>IF(C2554="","",IFERROR(INDEX(Levels!$C$2:$C$30,MATCH(C2554,Levels!$B$2:$B$30,0)),""))</f>
        <v/>
      </c>
      <c r="G2554" s="6" t="n"/>
      <c r="H2554" s="10">
        <f>IF(AND(B2554="",C2554=""),"",IF(G2554&lt;&gt;"","Void",IF(OR(B2554="",E2554=""),"Needs child",IF(D2554="","Needs level","OK"))))</f>
        <v/>
      </c>
    </row>
    <row r="2555">
      <c r="A2555" s="6" t="n"/>
      <c r="B2555" s="6" t="n"/>
      <c r="C2555" s="6" t="n"/>
      <c r="D2555" s="11">
        <f>IF(C2555="","",IFERROR(INDEX(Levels!$A$2:$A$30,MATCH(C2555,Levels!$B$2:$B$30,0)),""))</f>
        <v/>
      </c>
      <c r="E2555" s="10">
        <f>IF(B2555="","",IFERROR(INDEX(Roster!$A$2:$A$600,MATCH(B2555,Roster!$E$2:$E$600,0)),""))</f>
        <v/>
      </c>
      <c r="F2555" s="10">
        <f>IF(C2555="","",IFERROR(INDEX(Levels!$C$2:$C$30,MATCH(C2555,Levels!$B$2:$B$30,0)),""))</f>
        <v/>
      </c>
      <c r="G2555" s="6" t="n"/>
      <c r="H2555" s="10">
        <f>IF(AND(B2555="",C2555=""),"",IF(G2555&lt;&gt;"","Void",IF(OR(B2555="",E2555=""),"Needs child",IF(D2555="","Needs level","OK"))))</f>
        <v/>
      </c>
    </row>
    <row r="2556">
      <c r="A2556" s="6" t="n"/>
      <c r="B2556" s="6" t="n"/>
      <c r="C2556" s="6" t="n"/>
      <c r="D2556" s="11">
        <f>IF(C2556="","",IFERROR(INDEX(Levels!$A$2:$A$30,MATCH(C2556,Levels!$B$2:$B$30,0)),""))</f>
        <v/>
      </c>
      <c r="E2556" s="10">
        <f>IF(B2556="","",IFERROR(INDEX(Roster!$A$2:$A$600,MATCH(B2556,Roster!$E$2:$E$600,0)),""))</f>
        <v/>
      </c>
      <c r="F2556" s="10">
        <f>IF(C2556="","",IFERROR(INDEX(Levels!$C$2:$C$30,MATCH(C2556,Levels!$B$2:$B$30,0)),""))</f>
        <v/>
      </c>
      <c r="G2556" s="6" t="n"/>
      <c r="H2556" s="10">
        <f>IF(AND(B2556="",C2556=""),"",IF(G2556&lt;&gt;"","Void",IF(OR(B2556="",E2556=""),"Needs child",IF(D2556="","Needs level","OK"))))</f>
        <v/>
      </c>
    </row>
    <row r="2557">
      <c r="A2557" s="6" t="n"/>
      <c r="B2557" s="6" t="n"/>
      <c r="C2557" s="6" t="n"/>
      <c r="D2557" s="11">
        <f>IF(C2557="","",IFERROR(INDEX(Levels!$A$2:$A$30,MATCH(C2557,Levels!$B$2:$B$30,0)),""))</f>
        <v/>
      </c>
      <c r="E2557" s="10">
        <f>IF(B2557="","",IFERROR(INDEX(Roster!$A$2:$A$600,MATCH(B2557,Roster!$E$2:$E$600,0)),""))</f>
        <v/>
      </c>
      <c r="F2557" s="10">
        <f>IF(C2557="","",IFERROR(INDEX(Levels!$C$2:$C$30,MATCH(C2557,Levels!$B$2:$B$30,0)),""))</f>
        <v/>
      </c>
      <c r="G2557" s="6" t="n"/>
      <c r="H2557" s="10">
        <f>IF(AND(B2557="",C2557=""),"",IF(G2557&lt;&gt;"","Void",IF(OR(B2557="",E2557=""),"Needs child",IF(D2557="","Needs level","OK"))))</f>
        <v/>
      </c>
    </row>
    <row r="2558">
      <c r="A2558" s="6" t="n"/>
      <c r="B2558" s="6" t="n"/>
      <c r="C2558" s="6" t="n"/>
      <c r="D2558" s="11">
        <f>IF(C2558="","",IFERROR(INDEX(Levels!$A$2:$A$30,MATCH(C2558,Levels!$B$2:$B$30,0)),""))</f>
        <v/>
      </c>
      <c r="E2558" s="10">
        <f>IF(B2558="","",IFERROR(INDEX(Roster!$A$2:$A$600,MATCH(B2558,Roster!$E$2:$E$600,0)),""))</f>
        <v/>
      </c>
      <c r="F2558" s="10">
        <f>IF(C2558="","",IFERROR(INDEX(Levels!$C$2:$C$30,MATCH(C2558,Levels!$B$2:$B$30,0)),""))</f>
        <v/>
      </c>
      <c r="G2558" s="6" t="n"/>
      <c r="H2558" s="10">
        <f>IF(AND(B2558="",C2558=""),"",IF(G2558&lt;&gt;"","Void",IF(OR(B2558="",E2558=""),"Needs child",IF(D2558="","Needs level","OK"))))</f>
        <v/>
      </c>
    </row>
    <row r="2559">
      <c r="A2559" s="6" t="n"/>
      <c r="B2559" s="6" t="n"/>
      <c r="C2559" s="6" t="n"/>
      <c r="D2559" s="11">
        <f>IF(C2559="","",IFERROR(INDEX(Levels!$A$2:$A$30,MATCH(C2559,Levels!$B$2:$B$30,0)),""))</f>
        <v/>
      </c>
      <c r="E2559" s="10">
        <f>IF(B2559="","",IFERROR(INDEX(Roster!$A$2:$A$600,MATCH(B2559,Roster!$E$2:$E$600,0)),""))</f>
        <v/>
      </c>
      <c r="F2559" s="10">
        <f>IF(C2559="","",IFERROR(INDEX(Levels!$C$2:$C$30,MATCH(C2559,Levels!$B$2:$B$30,0)),""))</f>
        <v/>
      </c>
      <c r="G2559" s="6" t="n"/>
      <c r="H2559" s="10">
        <f>IF(AND(B2559="",C2559=""),"",IF(G2559&lt;&gt;"","Void",IF(OR(B2559="",E2559=""),"Needs child",IF(D2559="","Needs level","OK"))))</f>
        <v/>
      </c>
    </row>
    <row r="2560">
      <c r="A2560" s="6" t="n"/>
      <c r="B2560" s="6" t="n"/>
      <c r="C2560" s="6" t="n"/>
      <c r="D2560" s="11">
        <f>IF(C2560="","",IFERROR(INDEX(Levels!$A$2:$A$30,MATCH(C2560,Levels!$B$2:$B$30,0)),""))</f>
        <v/>
      </c>
      <c r="E2560" s="10">
        <f>IF(B2560="","",IFERROR(INDEX(Roster!$A$2:$A$600,MATCH(B2560,Roster!$E$2:$E$600,0)),""))</f>
        <v/>
      </c>
      <c r="F2560" s="10">
        <f>IF(C2560="","",IFERROR(INDEX(Levels!$C$2:$C$30,MATCH(C2560,Levels!$B$2:$B$30,0)),""))</f>
        <v/>
      </c>
      <c r="G2560" s="6" t="n"/>
      <c r="H2560" s="10">
        <f>IF(AND(B2560="",C2560=""),"",IF(G2560&lt;&gt;"","Void",IF(OR(B2560="",E2560=""),"Needs child",IF(D2560="","Needs level","OK"))))</f>
        <v/>
      </c>
    </row>
    <row r="2561">
      <c r="A2561" s="6" t="n"/>
      <c r="B2561" s="6" t="n"/>
      <c r="C2561" s="6" t="n"/>
      <c r="D2561" s="11">
        <f>IF(C2561="","",IFERROR(INDEX(Levels!$A$2:$A$30,MATCH(C2561,Levels!$B$2:$B$30,0)),""))</f>
        <v/>
      </c>
      <c r="E2561" s="10">
        <f>IF(B2561="","",IFERROR(INDEX(Roster!$A$2:$A$600,MATCH(B2561,Roster!$E$2:$E$600,0)),""))</f>
        <v/>
      </c>
      <c r="F2561" s="10">
        <f>IF(C2561="","",IFERROR(INDEX(Levels!$C$2:$C$30,MATCH(C2561,Levels!$B$2:$B$30,0)),""))</f>
        <v/>
      </c>
      <c r="G2561" s="6" t="n"/>
      <c r="H2561" s="10">
        <f>IF(AND(B2561="",C2561=""),"",IF(G2561&lt;&gt;"","Void",IF(OR(B2561="",E2561=""),"Needs child",IF(D2561="","Needs level","OK"))))</f>
        <v/>
      </c>
    </row>
    <row r="2562">
      <c r="A2562" s="6" t="n"/>
      <c r="B2562" s="6" t="n"/>
      <c r="C2562" s="6" t="n"/>
      <c r="D2562" s="11">
        <f>IF(C2562="","",IFERROR(INDEX(Levels!$A$2:$A$30,MATCH(C2562,Levels!$B$2:$B$30,0)),""))</f>
        <v/>
      </c>
      <c r="E2562" s="10">
        <f>IF(B2562="","",IFERROR(INDEX(Roster!$A$2:$A$600,MATCH(B2562,Roster!$E$2:$E$600,0)),""))</f>
        <v/>
      </c>
      <c r="F2562" s="10">
        <f>IF(C2562="","",IFERROR(INDEX(Levels!$C$2:$C$30,MATCH(C2562,Levels!$B$2:$B$30,0)),""))</f>
        <v/>
      </c>
      <c r="G2562" s="6" t="n"/>
      <c r="H2562" s="10">
        <f>IF(AND(B2562="",C2562=""),"",IF(G2562&lt;&gt;"","Void",IF(OR(B2562="",E2562=""),"Needs child",IF(D2562="","Needs level","OK"))))</f>
        <v/>
      </c>
    </row>
    <row r="2563">
      <c r="A2563" s="6" t="n"/>
      <c r="B2563" s="6" t="n"/>
      <c r="C2563" s="6" t="n"/>
      <c r="D2563" s="11">
        <f>IF(C2563="","",IFERROR(INDEX(Levels!$A$2:$A$30,MATCH(C2563,Levels!$B$2:$B$30,0)),""))</f>
        <v/>
      </c>
      <c r="E2563" s="10">
        <f>IF(B2563="","",IFERROR(INDEX(Roster!$A$2:$A$600,MATCH(B2563,Roster!$E$2:$E$600,0)),""))</f>
        <v/>
      </c>
      <c r="F2563" s="10">
        <f>IF(C2563="","",IFERROR(INDEX(Levels!$C$2:$C$30,MATCH(C2563,Levels!$B$2:$B$30,0)),""))</f>
        <v/>
      </c>
      <c r="G2563" s="6" t="n"/>
      <c r="H2563" s="10">
        <f>IF(AND(B2563="",C2563=""),"",IF(G2563&lt;&gt;"","Void",IF(OR(B2563="",E2563=""),"Needs child",IF(D2563="","Needs level","OK"))))</f>
        <v/>
      </c>
    </row>
    <row r="2564">
      <c r="A2564" s="6" t="n"/>
      <c r="B2564" s="6" t="n"/>
      <c r="C2564" s="6" t="n"/>
      <c r="D2564" s="11">
        <f>IF(C2564="","",IFERROR(INDEX(Levels!$A$2:$A$30,MATCH(C2564,Levels!$B$2:$B$30,0)),""))</f>
        <v/>
      </c>
      <c r="E2564" s="10">
        <f>IF(B2564="","",IFERROR(INDEX(Roster!$A$2:$A$600,MATCH(B2564,Roster!$E$2:$E$600,0)),""))</f>
        <v/>
      </c>
      <c r="F2564" s="10">
        <f>IF(C2564="","",IFERROR(INDEX(Levels!$C$2:$C$30,MATCH(C2564,Levels!$B$2:$B$30,0)),""))</f>
        <v/>
      </c>
      <c r="G2564" s="6" t="n"/>
      <c r="H2564" s="10">
        <f>IF(AND(B2564="",C2564=""),"",IF(G2564&lt;&gt;"","Void",IF(OR(B2564="",E2564=""),"Needs child",IF(D2564="","Needs level","OK"))))</f>
        <v/>
      </c>
    </row>
    <row r="2565">
      <c r="A2565" s="6" t="n"/>
      <c r="B2565" s="6" t="n"/>
      <c r="C2565" s="6" t="n"/>
      <c r="D2565" s="11">
        <f>IF(C2565="","",IFERROR(INDEX(Levels!$A$2:$A$30,MATCH(C2565,Levels!$B$2:$B$30,0)),""))</f>
        <v/>
      </c>
      <c r="E2565" s="10">
        <f>IF(B2565="","",IFERROR(INDEX(Roster!$A$2:$A$600,MATCH(B2565,Roster!$E$2:$E$600,0)),""))</f>
        <v/>
      </c>
      <c r="F2565" s="10">
        <f>IF(C2565="","",IFERROR(INDEX(Levels!$C$2:$C$30,MATCH(C2565,Levels!$B$2:$B$30,0)),""))</f>
        <v/>
      </c>
      <c r="G2565" s="6" t="n"/>
      <c r="H2565" s="10">
        <f>IF(AND(B2565="",C2565=""),"",IF(G2565&lt;&gt;"","Void",IF(OR(B2565="",E2565=""),"Needs child",IF(D2565="","Needs level","OK"))))</f>
        <v/>
      </c>
    </row>
    <row r="2566">
      <c r="A2566" s="6" t="n"/>
      <c r="B2566" s="6" t="n"/>
      <c r="C2566" s="6" t="n"/>
      <c r="D2566" s="11">
        <f>IF(C2566="","",IFERROR(INDEX(Levels!$A$2:$A$30,MATCH(C2566,Levels!$B$2:$B$30,0)),""))</f>
        <v/>
      </c>
      <c r="E2566" s="10">
        <f>IF(B2566="","",IFERROR(INDEX(Roster!$A$2:$A$600,MATCH(B2566,Roster!$E$2:$E$600,0)),""))</f>
        <v/>
      </c>
      <c r="F2566" s="10">
        <f>IF(C2566="","",IFERROR(INDEX(Levels!$C$2:$C$30,MATCH(C2566,Levels!$B$2:$B$30,0)),""))</f>
        <v/>
      </c>
      <c r="G2566" s="6" t="n"/>
      <c r="H2566" s="10">
        <f>IF(AND(B2566="",C2566=""),"",IF(G2566&lt;&gt;"","Void",IF(OR(B2566="",E2566=""),"Needs child",IF(D2566="","Needs level","OK"))))</f>
        <v/>
      </c>
    </row>
    <row r="2567">
      <c r="A2567" s="6" t="n"/>
      <c r="B2567" s="6" t="n"/>
      <c r="C2567" s="6" t="n"/>
      <c r="D2567" s="11">
        <f>IF(C2567="","",IFERROR(INDEX(Levels!$A$2:$A$30,MATCH(C2567,Levels!$B$2:$B$30,0)),""))</f>
        <v/>
      </c>
      <c r="E2567" s="10">
        <f>IF(B2567="","",IFERROR(INDEX(Roster!$A$2:$A$600,MATCH(B2567,Roster!$E$2:$E$600,0)),""))</f>
        <v/>
      </c>
      <c r="F2567" s="10">
        <f>IF(C2567="","",IFERROR(INDEX(Levels!$C$2:$C$30,MATCH(C2567,Levels!$B$2:$B$30,0)),""))</f>
        <v/>
      </c>
      <c r="G2567" s="6" t="n"/>
      <c r="H2567" s="10">
        <f>IF(AND(B2567="",C2567=""),"",IF(G2567&lt;&gt;"","Void",IF(OR(B2567="",E2567=""),"Needs child",IF(D2567="","Needs level","OK"))))</f>
        <v/>
      </c>
    </row>
    <row r="2568">
      <c r="A2568" s="6" t="n"/>
      <c r="B2568" s="6" t="n"/>
      <c r="C2568" s="6" t="n"/>
      <c r="D2568" s="11">
        <f>IF(C2568="","",IFERROR(INDEX(Levels!$A$2:$A$30,MATCH(C2568,Levels!$B$2:$B$30,0)),""))</f>
        <v/>
      </c>
      <c r="E2568" s="10">
        <f>IF(B2568="","",IFERROR(INDEX(Roster!$A$2:$A$600,MATCH(B2568,Roster!$E$2:$E$600,0)),""))</f>
        <v/>
      </c>
      <c r="F2568" s="10">
        <f>IF(C2568="","",IFERROR(INDEX(Levels!$C$2:$C$30,MATCH(C2568,Levels!$B$2:$B$30,0)),""))</f>
        <v/>
      </c>
      <c r="G2568" s="6" t="n"/>
      <c r="H2568" s="10">
        <f>IF(AND(B2568="",C2568=""),"",IF(G2568&lt;&gt;"","Void",IF(OR(B2568="",E2568=""),"Needs child",IF(D2568="","Needs level","OK"))))</f>
        <v/>
      </c>
    </row>
    <row r="2569">
      <c r="A2569" s="6" t="n"/>
      <c r="B2569" s="6" t="n"/>
      <c r="C2569" s="6" t="n"/>
      <c r="D2569" s="11">
        <f>IF(C2569="","",IFERROR(INDEX(Levels!$A$2:$A$30,MATCH(C2569,Levels!$B$2:$B$30,0)),""))</f>
        <v/>
      </c>
      <c r="E2569" s="10">
        <f>IF(B2569="","",IFERROR(INDEX(Roster!$A$2:$A$600,MATCH(B2569,Roster!$E$2:$E$600,0)),""))</f>
        <v/>
      </c>
      <c r="F2569" s="10">
        <f>IF(C2569="","",IFERROR(INDEX(Levels!$C$2:$C$30,MATCH(C2569,Levels!$B$2:$B$30,0)),""))</f>
        <v/>
      </c>
      <c r="G2569" s="6" t="n"/>
      <c r="H2569" s="10">
        <f>IF(AND(B2569="",C2569=""),"",IF(G2569&lt;&gt;"","Void",IF(OR(B2569="",E2569=""),"Needs child",IF(D2569="","Needs level","OK"))))</f>
        <v/>
      </c>
    </row>
    <row r="2570">
      <c r="A2570" s="6" t="n"/>
      <c r="B2570" s="6" t="n"/>
      <c r="C2570" s="6" t="n"/>
      <c r="D2570" s="11">
        <f>IF(C2570="","",IFERROR(INDEX(Levels!$A$2:$A$30,MATCH(C2570,Levels!$B$2:$B$30,0)),""))</f>
        <v/>
      </c>
      <c r="E2570" s="10">
        <f>IF(B2570="","",IFERROR(INDEX(Roster!$A$2:$A$600,MATCH(B2570,Roster!$E$2:$E$600,0)),""))</f>
        <v/>
      </c>
      <c r="F2570" s="10">
        <f>IF(C2570="","",IFERROR(INDEX(Levels!$C$2:$C$30,MATCH(C2570,Levels!$B$2:$B$30,0)),""))</f>
        <v/>
      </c>
      <c r="G2570" s="6" t="n"/>
      <c r="H2570" s="10">
        <f>IF(AND(B2570="",C2570=""),"",IF(G2570&lt;&gt;"","Void",IF(OR(B2570="",E2570=""),"Needs child",IF(D2570="","Needs level","OK"))))</f>
        <v/>
      </c>
    </row>
    <row r="2571">
      <c r="A2571" s="6" t="n"/>
      <c r="B2571" s="6" t="n"/>
      <c r="C2571" s="6" t="n"/>
      <c r="D2571" s="11">
        <f>IF(C2571="","",IFERROR(INDEX(Levels!$A$2:$A$30,MATCH(C2571,Levels!$B$2:$B$30,0)),""))</f>
        <v/>
      </c>
      <c r="E2571" s="10">
        <f>IF(B2571="","",IFERROR(INDEX(Roster!$A$2:$A$600,MATCH(B2571,Roster!$E$2:$E$600,0)),""))</f>
        <v/>
      </c>
      <c r="F2571" s="10">
        <f>IF(C2571="","",IFERROR(INDEX(Levels!$C$2:$C$30,MATCH(C2571,Levels!$B$2:$B$30,0)),""))</f>
        <v/>
      </c>
      <c r="G2571" s="6" t="n"/>
      <c r="H2571" s="10">
        <f>IF(AND(B2571="",C2571=""),"",IF(G2571&lt;&gt;"","Void",IF(OR(B2571="",E2571=""),"Needs child",IF(D2571="","Needs level","OK"))))</f>
        <v/>
      </c>
    </row>
    <row r="2572">
      <c r="A2572" s="6" t="n"/>
      <c r="B2572" s="6" t="n"/>
      <c r="C2572" s="6" t="n"/>
      <c r="D2572" s="11">
        <f>IF(C2572="","",IFERROR(INDEX(Levels!$A$2:$A$30,MATCH(C2572,Levels!$B$2:$B$30,0)),""))</f>
        <v/>
      </c>
      <c r="E2572" s="10">
        <f>IF(B2572="","",IFERROR(INDEX(Roster!$A$2:$A$600,MATCH(B2572,Roster!$E$2:$E$600,0)),""))</f>
        <v/>
      </c>
      <c r="F2572" s="10">
        <f>IF(C2572="","",IFERROR(INDEX(Levels!$C$2:$C$30,MATCH(C2572,Levels!$B$2:$B$30,0)),""))</f>
        <v/>
      </c>
      <c r="G2572" s="6" t="n"/>
      <c r="H2572" s="10">
        <f>IF(AND(B2572="",C2572=""),"",IF(G2572&lt;&gt;"","Void",IF(OR(B2572="",E2572=""),"Needs child",IF(D2572="","Needs level","OK"))))</f>
        <v/>
      </c>
    </row>
    <row r="2573">
      <c r="A2573" s="6" t="n"/>
      <c r="B2573" s="6" t="n"/>
      <c r="C2573" s="6" t="n"/>
      <c r="D2573" s="11">
        <f>IF(C2573="","",IFERROR(INDEX(Levels!$A$2:$A$30,MATCH(C2573,Levels!$B$2:$B$30,0)),""))</f>
        <v/>
      </c>
      <c r="E2573" s="10">
        <f>IF(B2573="","",IFERROR(INDEX(Roster!$A$2:$A$600,MATCH(B2573,Roster!$E$2:$E$600,0)),""))</f>
        <v/>
      </c>
      <c r="F2573" s="10">
        <f>IF(C2573="","",IFERROR(INDEX(Levels!$C$2:$C$30,MATCH(C2573,Levels!$B$2:$B$30,0)),""))</f>
        <v/>
      </c>
      <c r="G2573" s="6" t="n"/>
      <c r="H2573" s="10">
        <f>IF(AND(B2573="",C2573=""),"",IF(G2573&lt;&gt;"","Void",IF(OR(B2573="",E2573=""),"Needs child",IF(D2573="","Needs level","OK"))))</f>
        <v/>
      </c>
    </row>
    <row r="2574">
      <c r="A2574" s="6" t="n"/>
      <c r="B2574" s="6" t="n"/>
      <c r="C2574" s="6" t="n"/>
      <c r="D2574" s="11">
        <f>IF(C2574="","",IFERROR(INDEX(Levels!$A$2:$A$30,MATCH(C2574,Levels!$B$2:$B$30,0)),""))</f>
        <v/>
      </c>
      <c r="E2574" s="10">
        <f>IF(B2574="","",IFERROR(INDEX(Roster!$A$2:$A$600,MATCH(B2574,Roster!$E$2:$E$600,0)),""))</f>
        <v/>
      </c>
      <c r="F2574" s="10">
        <f>IF(C2574="","",IFERROR(INDEX(Levels!$C$2:$C$30,MATCH(C2574,Levels!$B$2:$B$30,0)),""))</f>
        <v/>
      </c>
      <c r="G2574" s="6" t="n"/>
      <c r="H2574" s="10">
        <f>IF(AND(B2574="",C2574=""),"",IF(G2574&lt;&gt;"","Void",IF(OR(B2574="",E2574=""),"Needs child",IF(D2574="","Needs level","OK"))))</f>
        <v/>
      </c>
    </row>
    <row r="2575">
      <c r="A2575" s="6" t="n"/>
      <c r="B2575" s="6" t="n"/>
      <c r="C2575" s="6" t="n"/>
      <c r="D2575" s="11">
        <f>IF(C2575="","",IFERROR(INDEX(Levels!$A$2:$A$30,MATCH(C2575,Levels!$B$2:$B$30,0)),""))</f>
        <v/>
      </c>
      <c r="E2575" s="10">
        <f>IF(B2575="","",IFERROR(INDEX(Roster!$A$2:$A$600,MATCH(B2575,Roster!$E$2:$E$600,0)),""))</f>
        <v/>
      </c>
      <c r="F2575" s="10">
        <f>IF(C2575="","",IFERROR(INDEX(Levels!$C$2:$C$30,MATCH(C2575,Levels!$B$2:$B$30,0)),""))</f>
        <v/>
      </c>
      <c r="G2575" s="6" t="n"/>
      <c r="H2575" s="10">
        <f>IF(AND(B2575="",C2575=""),"",IF(G2575&lt;&gt;"","Void",IF(OR(B2575="",E2575=""),"Needs child",IF(D2575="","Needs level","OK"))))</f>
        <v/>
      </c>
    </row>
    <row r="2576">
      <c r="A2576" s="6" t="n"/>
      <c r="B2576" s="6" t="n"/>
      <c r="C2576" s="6" t="n"/>
      <c r="D2576" s="11">
        <f>IF(C2576="","",IFERROR(INDEX(Levels!$A$2:$A$30,MATCH(C2576,Levels!$B$2:$B$30,0)),""))</f>
        <v/>
      </c>
      <c r="E2576" s="10">
        <f>IF(B2576="","",IFERROR(INDEX(Roster!$A$2:$A$600,MATCH(B2576,Roster!$E$2:$E$600,0)),""))</f>
        <v/>
      </c>
      <c r="F2576" s="10">
        <f>IF(C2576="","",IFERROR(INDEX(Levels!$C$2:$C$30,MATCH(C2576,Levels!$B$2:$B$30,0)),""))</f>
        <v/>
      </c>
      <c r="G2576" s="6" t="n"/>
      <c r="H2576" s="10">
        <f>IF(AND(B2576="",C2576=""),"",IF(G2576&lt;&gt;"","Void",IF(OR(B2576="",E2576=""),"Needs child",IF(D2576="","Needs level","OK"))))</f>
        <v/>
      </c>
    </row>
    <row r="2577">
      <c r="A2577" s="6" t="n"/>
      <c r="B2577" s="6" t="n"/>
      <c r="C2577" s="6" t="n"/>
      <c r="D2577" s="11">
        <f>IF(C2577="","",IFERROR(INDEX(Levels!$A$2:$A$30,MATCH(C2577,Levels!$B$2:$B$30,0)),""))</f>
        <v/>
      </c>
      <c r="E2577" s="10">
        <f>IF(B2577="","",IFERROR(INDEX(Roster!$A$2:$A$600,MATCH(B2577,Roster!$E$2:$E$600,0)),""))</f>
        <v/>
      </c>
      <c r="F2577" s="10">
        <f>IF(C2577="","",IFERROR(INDEX(Levels!$C$2:$C$30,MATCH(C2577,Levels!$B$2:$B$30,0)),""))</f>
        <v/>
      </c>
      <c r="G2577" s="6" t="n"/>
      <c r="H2577" s="10">
        <f>IF(AND(B2577="",C2577=""),"",IF(G2577&lt;&gt;"","Void",IF(OR(B2577="",E2577=""),"Needs child",IF(D2577="","Needs level","OK"))))</f>
        <v/>
      </c>
    </row>
    <row r="2578">
      <c r="A2578" s="6" t="n"/>
      <c r="B2578" s="6" t="n"/>
      <c r="C2578" s="6" t="n"/>
      <c r="D2578" s="11">
        <f>IF(C2578="","",IFERROR(INDEX(Levels!$A$2:$A$30,MATCH(C2578,Levels!$B$2:$B$30,0)),""))</f>
        <v/>
      </c>
      <c r="E2578" s="10">
        <f>IF(B2578="","",IFERROR(INDEX(Roster!$A$2:$A$600,MATCH(B2578,Roster!$E$2:$E$600,0)),""))</f>
        <v/>
      </c>
      <c r="F2578" s="10">
        <f>IF(C2578="","",IFERROR(INDEX(Levels!$C$2:$C$30,MATCH(C2578,Levels!$B$2:$B$30,0)),""))</f>
        <v/>
      </c>
      <c r="G2578" s="6" t="n"/>
      <c r="H2578" s="10">
        <f>IF(AND(B2578="",C2578=""),"",IF(G2578&lt;&gt;"","Void",IF(OR(B2578="",E2578=""),"Needs child",IF(D2578="","Needs level","OK"))))</f>
        <v/>
      </c>
    </row>
    <row r="2579">
      <c r="A2579" s="6" t="n"/>
      <c r="B2579" s="6" t="n"/>
      <c r="C2579" s="6" t="n"/>
      <c r="D2579" s="11">
        <f>IF(C2579="","",IFERROR(INDEX(Levels!$A$2:$A$30,MATCH(C2579,Levels!$B$2:$B$30,0)),""))</f>
        <v/>
      </c>
      <c r="E2579" s="10">
        <f>IF(B2579="","",IFERROR(INDEX(Roster!$A$2:$A$600,MATCH(B2579,Roster!$E$2:$E$600,0)),""))</f>
        <v/>
      </c>
      <c r="F2579" s="10">
        <f>IF(C2579="","",IFERROR(INDEX(Levels!$C$2:$C$30,MATCH(C2579,Levels!$B$2:$B$30,0)),""))</f>
        <v/>
      </c>
      <c r="G2579" s="6" t="n"/>
      <c r="H2579" s="10">
        <f>IF(AND(B2579="",C2579=""),"",IF(G2579&lt;&gt;"","Void",IF(OR(B2579="",E2579=""),"Needs child",IF(D2579="","Needs level","OK"))))</f>
        <v/>
      </c>
    </row>
    <row r="2580">
      <c r="A2580" s="6" t="n"/>
      <c r="B2580" s="6" t="n"/>
      <c r="C2580" s="6" t="n"/>
      <c r="D2580" s="11">
        <f>IF(C2580="","",IFERROR(INDEX(Levels!$A$2:$A$30,MATCH(C2580,Levels!$B$2:$B$30,0)),""))</f>
        <v/>
      </c>
      <c r="E2580" s="10">
        <f>IF(B2580="","",IFERROR(INDEX(Roster!$A$2:$A$600,MATCH(B2580,Roster!$E$2:$E$600,0)),""))</f>
        <v/>
      </c>
      <c r="F2580" s="10">
        <f>IF(C2580="","",IFERROR(INDEX(Levels!$C$2:$C$30,MATCH(C2580,Levels!$B$2:$B$30,0)),""))</f>
        <v/>
      </c>
      <c r="G2580" s="6" t="n"/>
      <c r="H2580" s="10">
        <f>IF(AND(B2580="",C2580=""),"",IF(G2580&lt;&gt;"","Void",IF(OR(B2580="",E2580=""),"Needs child",IF(D2580="","Needs level","OK"))))</f>
        <v/>
      </c>
    </row>
    <row r="2581">
      <c r="A2581" s="6" t="n"/>
      <c r="B2581" s="6" t="n"/>
      <c r="C2581" s="6" t="n"/>
      <c r="D2581" s="11">
        <f>IF(C2581="","",IFERROR(INDEX(Levels!$A$2:$A$30,MATCH(C2581,Levels!$B$2:$B$30,0)),""))</f>
        <v/>
      </c>
      <c r="E2581" s="10">
        <f>IF(B2581="","",IFERROR(INDEX(Roster!$A$2:$A$600,MATCH(B2581,Roster!$E$2:$E$600,0)),""))</f>
        <v/>
      </c>
      <c r="F2581" s="10">
        <f>IF(C2581="","",IFERROR(INDEX(Levels!$C$2:$C$30,MATCH(C2581,Levels!$B$2:$B$30,0)),""))</f>
        <v/>
      </c>
      <c r="G2581" s="6" t="n"/>
      <c r="H2581" s="10">
        <f>IF(AND(B2581="",C2581=""),"",IF(G2581&lt;&gt;"","Void",IF(OR(B2581="",E2581=""),"Needs child",IF(D2581="","Needs level","OK"))))</f>
        <v/>
      </c>
    </row>
    <row r="2582">
      <c r="A2582" s="6" t="n"/>
      <c r="B2582" s="6" t="n"/>
      <c r="C2582" s="6" t="n"/>
      <c r="D2582" s="11">
        <f>IF(C2582="","",IFERROR(INDEX(Levels!$A$2:$A$30,MATCH(C2582,Levels!$B$2:$B$30,0)),""))</f>
        <v/>
      </c>
      <c r="E2582" s="10">
        <f>IF(B2582="","",IFERROR(INDEX(Roster!$A$2:$A$600,MATCH(B2582,Roster!$E$2:$E$600,0)),""))</f>
        <v/>
      </c>
      <c r="F2582" s="10">
        <f>IF(C2582="","",IFERROR(INDEX(Levels!$C$2:$C$30,MATCH(C2582,Levels!$B$2:$B$30,0)),""))</f>
        <v/>
      </c>
      <c r="G2582" s="6" t="n"/>
      <c r="H2582" s="10">
        <f>IF(AND(B2582="",C2582=""),"",IF(G2582&lt;&gt;"","Void",IF(OR(B2582="",E2582=""),"Needs child",IF(D2582="","Needs level","OK"))))</f>
        <v/>
      </c>
    </row>
    <row r="2583">
      <c r="A2583" s="6" t="n"/>
      <c r="B2583" s="6" t="n"/>
      <c r="C2583" s="6" t="n"/>
      <c r="D2583" s="11">
        <f>IF(C2583="","",IFERROR(INDEX(Levels!$A$2:$A$30,MATCH(C2583,Levels!$B$2:$B$30,0)),""))</f>
        <v/>
      </c>
      <c r="E2583" s="10">
        <f>IF(B2583="","",IFERROR(INDEX(Roster!$A$2:$A$600,MATCH(B2583,Roster!$E$2:$E$600,0)),""))</f>
        <v/>
      </c>
      <c r="F2583" s="10">
        <f>IF(C2583="","",IFERROR(INDEX(Levels!$C$2:$C$30,MATCH(C2583,Levels!$B$2:$B$30,0)),""))</f>
        <v/>
      </c>
      <c r="G2583" s="6" t="n"/>
      <c r="H2583" s="10">
        <f>IF(AND(B2583="",C2583=""),"",IF(G2583&lt;&gt;"","Void",IF(OR(B2583="",E2583=""),"Needs child",IF(D2583="","Needs level","OK"))))</f>
        <v/>
      </c>
    </row>
    <row r="2584">
      <c r="A2584" s="6" t="n"/>
      <c r="B2584" s="6" t="n"/>
      <c r="C2584" s="6" t="n"/>
      <c r="D2584" s="11">
        <f>IF(C2584="","",IFERROR(INDEX(Levels!$A$2:$A$30,MATCH(C2584,Levels!$B$2:$B$30,0)),""))</f>
        <v/>
      </c>
      <c r="E2584" s="10">
        <f>IF(B2584="","",IFERROR(INDEX(Roster!$A$2:$A$600,MATCH(B2584,Roster!$E$2:$E$600,0)),""))</f>
        <v/>
      </c>
      <c r="F2584" s="10">
        <f>IF(C2584="","",IFERROR(INDEX(Levels!$C$2:$C$30,MATCH(C2584,Levels!$B$2:$B$30,0)),""))</f>
        <v/>
      </c>
      <c r="G2584" s="6" t="n"/>
      <c r="H2584" s="10">
        <f>IF(AND(B2584="",C2584=""),"",IF(G2584&lt;&gt;"","Void",IF(OR(B2584="",E2584=""),"Needs child",IF(D2584="","Needs level","OK"))))</f>
        <v/>
      </c>
    </row>
    <row r="2585">
      <c r="A2585" s="6" t="n"/>
      <c r="B2585" s="6" t="n"/>
      <c r="C2585" s="6" t="n"/>
      <c r="D2585" s="11">
        <f>IF(C2585="","",IFERROR(INDEX(Levels!$A$2:$A$30,MATCH(C2585,Levels!$B$2:$B$30,0)),""))</f>
        <v/>
      </c>
      <c r="E2585" s="10">
        <f>IF(B2585="","",IFERROR(INDEX(Roster!$A$2:$A$600,MATCH(B2585,Roster!$E$2:$E$600,0)),""))</f>
        <v/>
      </c>
      <c r="F2585" s="10">
        <f>IF(C2585="","",IFERROR(INDEX(Levels!$C$2:$C$30,MATCH(C2585,Levels!$B$2:$B$30,0)),""))</f>
        <v/>
      </c>
      <c r="G2585" s="6" t="n"/>
      <c r="H2585" s="10">
        <f>IF(AND(B2585="",C2585=""),"",IF(G2585&lt;&gt;"","Void",IF(OR(B2585="",E2585=""),"Needs child",IF(D2585="","Needs level","OK"))))</f>
        <v/>
      </c>
    </row>
    <row r="2586">
      <c r="A2586" s="6" t="n"/>
      <c r="B2586" s="6" t="n"/>
      <c r="C2586" s="6" t="n"/>
      <c r="D2586" s="11">
        <f>IF(C2586="","",IFERROR(INDEX(Levels!$A$2:$A$30,MATCH(C2586,Levels!$B$2:$B$30,0)),""))</f>
        <v/>
      </c>
      <c r="E2586" s="10">
        <f>IF(B2586="","",IFERROR(INDEX(Roster!$A$2:$A$600,MATCH(B2586,Roster!$E$2:$E$600,0)),""))</f>
        <v/>
      </c>
      <c r="F2586" s="10">
        <f>IF(C2586="","",IFERROR(INDEX(Levels!$C$2:$C$30,MATCH(C2586,Levels!$B$2:$B$30,0)),""))</f>
        <v/>
      </c>
      <c r="G2586" s="6" t="n"/>
      <c r="H2586" s="10">
        <f>IF(AND(B2586="",C2586=""),"",IF(G2586&lt;&gt;"","Void",IF(OR(B2586="",E2586=""),"Needs child",IF(D2586="","Needs level","OK"))))</f>
        <v/>
      </c>
    </row>
    <row r="2587">
      <c r="A2587" s="6" t="n"/>
      <c r="B2587" s="6" t="n"/>
      <c r="C2587" s="6" t="n"/>
      <c r="D2587" s="11">
        <f>IF(C2587="","",IFERROR(INDEX(Levels!$A$2:$A$30,MATCH(C2587,Levels!$B$2:$B$30,0)),""))</f>
        <v/>
      </c>
      <c r="E2587" s="10">
        <f>IF(B2587="","",IFERROR(INDEX(Roster!$A$2:$A$600,MATCH(B2587,Roster!$E$2:$E$600,0)),""))</f>
        <v/>
      </c>
      <c r="F2587" s="10">
        <f>IF(C2587="","",IFERROR(INDEX(Levels!$C$2:$C$30,MATCH(C2587,Levels!$B$2:$B$30,0)),""))</f>
        <v/>
      </c>
      <c r="G2587" s="6" t="n"/>
      <c r="H2587" s="10">
        <f>IF(AND(B2587="",C2587=""),"",IF(G2587&lt;&gt;"","Void",IF(OR(B2587="",E2587=""),"Needs child",IF(D2587="","Needs level","OK"))))</f>
        <v/>
      </c>
    </row>
    <row r="2588">
      <c r="A2588" s="6" t="n"/>
      <c r="B2588" s="6" t="n"/>
      <c r="C2588" s="6" t="n"/>
      <c r="D2588" s="11">
        <f>IF(C2588="","",IFERROR(INDEX(Levels!$A$2:$A$30,MATCH(C2588,Levels!$B$2:$B$30,0)),""))</f>
        <v/>
      </c>
      <c r="E2588" s="10">
        <f>IF(B2588="","",IFERROR(INDEX(Roster!$A$2:$A$600,MATCH(B2588,Roster!$E$2:$E$600,0)),""))</f>
        <v/>
      </c>
      <c r="F2588" s="10">
        <f>IF(C2588="","",IFERROR(INDEX(Levels!$C$2:$C$30,MATCH(C2588,Levels!$B$2:$B$30,0)),""))</f>
        <v/>
      </c>
      <c r="G2588" s="6" t="n"/>
      <c r="H2588" s="10">
        <f>IF(AND(B2588="",C2588=""),"",IF(G2588&lt;&gt;"","Void",IF(OR(B2588="",E2588=""),"Needs child",IF(D2588="","Needs level","OK"))))</f>
        <v/>
      </c>
    </row>
    <row r="2589">
      <c r="A2589" s="6" t="n"/>
      <c r="B2589" s="6" t="n"/>
      <c r="C2589" s="6" t="n"/>
      <c r="D2589" s="11">
        <f>IF(C2589="","",IFERROR(INDEX(Levels!$A$2:$A$30,MATCH(C2589,Levels!$B$2:$B$30,0)),""))</f>
        <v/>
      </c>
      <c r="E2589" s="10">
        <f>IF(B2589="","",IFERROR(INDEX(Roster!$A$2:$A$600,MATCH(B2589,Roster!$E$2:$E$600,0)),""))</f>
        <v/>
      </c>
      <c r="F2589" s="10">
        <f>IF(C2589="","",IFERROR(INDEX(Levels!$C$2:$C$30,MATCH(C2589,Levels!$B$2:$B$30,0)),""))</f>
        <v/>
      </c>
      <c r="G2589" s="6" t="n"/>
      <c r="H2589" s="10">
        <f>IF(AND(B2589="",C2589=""),"",IF(G2589&lt;&gt;"","Void",IF(OR(B2589="",E2589=""),"Needs child",IF(D2589="","Needs level","OK"))))</f>
        <v/>
      </c>
    </row>
    <row r="2590">
      <c r="A2590" s="6" t="n"/>
      <c r="B2590" s="6" t="n"/>
      <c r="C2590" s="6" t="n"/>
      <c r="D2590" s="11">
        <f>IF(C2590="","",IFERROR(INDEX(Levels!$A$2:$A$30,MATCH(C2590,Levels!$B$2:$B$30,0)),""))</f>
        <v/>
      </c>
      <c r="E2590" s="10">
        <f>IF(B2590="","",IFERROR(INDEX(Roster!$A$2:$A$600,MATCH(B2590,Roster!$E$2:$E$600,0)),""))</f>
        <v/>
      </c>
      <c r="F2590" s="10">
        <f>IF(C2590="","",IFERROR(INDEX(Levels!$C$2:$C$30,MATCH(C2590,Levels!$B$2:$B$30,0)),""))</f>
        <v/>
      </c>
      <c r="G2590" s="6" t="n"/>
      <c r="H2590" s="10">
        <f>IF(AND(B2590="",C2590=""),"",IF(G2590&lt;&gt;"","Void",IF(OR(B2590="",E2590=""),"Needs child",IF(D2590="","Needs level","OK"))))</f>
        <v/>
      </c>
    </row>
    <row r="2591">
      <c r="A2591" s="6" t="n"/>
      <c r="B2591" s="6" t="n"/>
      <c r="C2591" s="6" t="n"/>
      <c r="D2591" s="11">
        <f>IF(C2591="","",IFERROR(INDEX(Levels!$A$2:$A$30,MATCH(C2591,Levels!$B$2:$B$30,0)),""))</f>
        <v/>
      </c>
      <c r="E2591" s="10">
        <f>IF(B2591="","",IFERROR(INDEX(Roster!$A$2:$A$600,MATCH(B2591,Roster!$E$2:$E$600,0)),""))</f>
        <v/>
      </c>
      <c r="F2591" s="10">
        <f>IF(C2591="","",IFERROR(INDEX(Levels!$C$2:$C$30,MATCH(C2591,Levels!$B$2:$B$30,0)),""))</f>
        <v/>
      </c>
      <c r="G2591" s="6" t="n"/>
      <c r="H2591" s="10">
        <f>IF(AND(B2591="",C2591=""),"",IF(G2591&lt;&gt;"","Void",IF(OR(B2591="",E2591=""),"Needs child",IF(D2591="","Needs level","OK"))))</f>
        <v/>
      </c>
    </row>
    <row r="2592">
      <c r="A2592" s="6" t="n"/>
      <c r="B2592" s="6" t="n"/>
      <c r="C2592" s="6" t="n"/>
      <c r="D2592" s="11">
        <f>IF(C2592="","",IFERROR(INDEX(Levels!$A$2:$A$30,MATCH(C2592,Levels!$B$2:$B$30,0)),""))</f>
        <v/>
      </c>
      <c r="E2592" s="10">
        <f>IF(B2592="","",IFERROR(INDEX(Roster!$A$2:$A$600,MATCH(B2592,Roster!$E$2:$E$600,0)),""))</f>
        <v/>
      </c>
      <c r="F2592" s="10">
        <f>IF(C2592="","",IFERROR(INDEX(Levels!$C$2:$C$30,MATCH(C2592,Levels!$B$2:$B$30,0)),""))</f>
        <v/>
      </c>
      <c r="G2592" s="6" t="n"/>
      <c r="H2592" s="10">
        <f>IF(AND(B2592="",C2592=""),"",IF(G2592&lt;&gt;"","Void",IF(OR(B2592="",E2592=""),"Needs child",IF(D2592="","Needs level","OK"))))</f>
        <v/>
      </c>
    </row>
    <row r="2593">
      <c r="A2593" s="6" t="n"/>
      <c r="B2593" s="6" t="n"/>
      <c r="C2593" s="6" t="n"/>
      <c r="D2593" s="11">
        <f>IF(C2593="","",IFERROR(INDEX(Levels!$A$2:$A$30,MATCH(C2593,Levels!$B$2:$B$30,0)),""))</f>
        <v/>
      </c>
      <c r="E2593" s="10">
        <f>IF(B2593="","",IFERROR(INDEX(Roster!$A$2:$A$600,MATCH(B2593,Roster!$E$2:$E$600,0)),""))</f>
        <v/>
      </c>
      <c r="F2593" s="10">
        <f>IF(C2593="","",IFERROR(INDEX(Levels!$C$2:$C$30,MATCH(C2593,Levels!$B$2:$B$30,0)),""))</f>
        <v/>
      </c>
      <c r="G2593" s="6" t="n"/>
      <c r="H2593" s="10">
        <f>IF(AND(B2593="",C2593=""),"",IF(G2593&lt;&gt;"","Void",IF(OR(B2593="",E2593=""),"Needs child",IF(D2593="","Needs level","OK"))))</f>
        <v/>
      </c>
    </row>
    <row r="2594">
      <c r="A2594" s="6" t="n"/>
      <c r="B2594" s="6" t="n"/>
      <c r="C2594" s="6" t="n"/>
      <c r="D2594" s="11">
        <f>IF(C2594="","",IFERROR(INDEX(Levels!$A$2:$A$30,MATCH(C2594,Levels!$B$2:$B$30,0)),""))</f>
        <v/>
      </c>
      <c r="E2594" s="10">
        <f>IF(B2594="","",IFERROR(INDEX(Roster!$A$2:$A$600,MATCH(B2594,Roster!$E$2:$E$600,0)),""))</f>
        <v/>
      </c>
      <c r="F2594" s="10">
        <f>IF(C2594="","",IFERROR(INDEX(Levels!$C$2:$C$30,MATCH(C2594,Levels!$B$2:$B$30,0)),""))</f>
        <v/>
      </c>
      <c r="G2594" s="6" t="n"/>
      <c r="H2594" s="10">
        <f>IF(AND(B2594="",C2594=""),"",IF(G2594&lt;&gt;"","Void",IF(OR(B2594="",E2594=""),"Needs child",IF(D2594="","Needs level","OK"))))</f>
        <v/>
      </c>
    </row>
    <row r="2595">
      <c r="A2595" s="6" t="n"/>
      <c r="B2595" s="6" t="n"/>
      <c r="C2595" s="6" t="n"/>
      <c r="D2595" s="11">
        <f>IF(C2595="","",IFERROR(INDEX(Levels!$A$2:$A$30,MATCH(C2595,Levels!$B$2:$B$30,0)),""))</f>
        <v/>
      </c>
      <c r="E2595" s="10">
        <f>IF(B2595="","",IFERROR(INDEX(Roster!$A$2:$A$600,MATCH(B2595,Roster!$E$2:$E$600,0)),""))</f>
        <v/>
      </c>
      <c r="F2595" s="10">
        <f>IF(C2595="","",IFERROR(INDEX(Levels!$C$2:$C$30,MATCH(C2595,Levels!$B$2:$B$30,0)),""))</f>
        <v/>
      </c>
      <c r="G2595" s="6" t="n"/>
      <c r="H2595" s="10">
        <f>IF(AND(B2595="",C2595=""),"",IF(G2595&lt;&gt;"","Void",IF(OR(B2595="",E2595=""),"Needs child",IF(D2595="","Needs level","OK"))))</f>
        <v/>
      </c>
    </row>
    <row r="2596">
      <c r="A2596" s="6" t="n"/>
      <c r="B2596" s="6" t="n"/>
      <c r="C2596" s="6" t="n"/>
      <c r="D2596" s="11">
        <f>IF(C2596="","",IFERROR(INDEX(Levels!$A$2:$A$30,MATCH(C2596,Levels!$B$2:$B$30,0)),""))</f>
        <v/>
      </c>
      <c r="E2596" s="10">
        <f>IF(B2596="","",IFERROR(INDEX(Roster!$A$2:$A$600,MATCH(B2596,Roster!$E$2:$E$600,0)),""))</f>
        <v/>
      </c>
      <c r="F2596" s="10">
        <f>IF(C2596="","",IFERROR(INDEX(Levels!$C$2:$C$30,MATCH(C2596,Levels!$B$2:$B$30,0)),""))</f>
        <v/>
      </c>
      <c r="G2596" s="6" t="n"/>
      <c r="H2596" s="10">
        <f>IF(AND(B2596="",C2596=""),"",IF(G2596&lt;&gt;"","Void",IF(OR(B2596="",E2596=""),"Needs child",IF(D2596="","Needs level","OK"))))</f>
        <v/>
      </c>
    </row>
    <row r="2597">
      <c r="A2597" s="6" t="n"/>
      <c r="B2597" s="6" t="n"/>
      <c r="C2597" s="6" t="n"/>
      <c r="D2597" s="11">
        <f>IF(C2597="","",IFERROR(INDEX(Levels!$A$2:$A$30,MATCH(C2597,Levels!$B$2:$B$30,0)),""))</f>
        <v/>
      </c>
      <c r="E2597" s="10">
        <f>IF(B2597="","",IFERROR(INDEX(Roster!$A$2:$A$600,MATCH(B2597,Roster!$E$2:$E$600,0)),""))</f>
        <v/>
      </c>
      <c r="F2597" s="10">
        <f>IF(C2597="","",IFERROR(INDEX(Levels!$C$2:$C$30,MATCH(C2597,Levels!$B$2:$B$30,0)),""))</f>
        <v/>
      </c>
      <c r="G2597" s="6" t="n"/>
      <c r="H2597" s="10">
        <f>IF(AND(B2597="",C2597=""),"",IF(G2597&lt;&gt;"","Void",IF(OR(B2597="",E2597=""),"Needs child",IF(D2597="","Needs level","OK"))))</f>
        <v/>
      </c>
    </row>
    <row r="2598">
      <c r="A2598" s="6" t="n"/>
      <c r="B2598" s="6" t="n"/>
      <c r="C2598" s="6" t="n"/>
      <c r="D2598" s="11">
        <f>IF(C2598="","",IFERROR(INDEX(Levels!$A$2:$A$30,MATCH(C2598,Levels!$B$2:$B$30,0)),""))</f>
        <v/>
      </c>
      <c r="E2598" s="10">
        <f>IF(B2598="","",IFERROR(INDEX(Roster!$A$2:$A$600,MATCH(B2598,Roster!$E$2:$E$600,0)),""))</f>
        <v/>
      </c>
      <c r="F2598" s="10">
        <f>IF(C2598="","",IFERROR(INDEX(Levels!$C$2:$C$30,MATCH(C2598,Levels!$B$2:$B$30,0)),""))</f>
        <v/>
      </c>
      <c r="G2598" s="6" t="n"/>
      <c r="H2598" s="10">
        <f>IF(AND(B2598="",C2598=""),"",IF(G2598&lt;&gt;"","Void",IF(OR(B2598="",E2598=""),"Needs child",IF(D2598="","Needs level","OK"))))</f>
        <v/>
      </c>
    </row>
    <row r="2599">
      <c r="A2599" s="6" t="n"/>
      <c r="B2599" s="6" t="n"/>
      <c r="C2599" s="6" t="n"/>
      <c r="D2599" s="11">
        <f>IF(C2599="","",IFERROR(INDEX(Levels!$A$2:$A$30,MATCH(C2599,Levels!$B$2:$B$30,0)),""))</f>
        <v/>
      </c>
      <c r="E2599" s="10">
        <f>IF(B2599="","",IFERROR(INDEX(Roster!$A$2:$A$600,MATCH(B2599,Roster!$E$2:$E$600,0)),""))</f>
        <v/>
      </c>
      <c r="F2599" s="10">
        <f>IF(C2599="","",IFERROR(INDEX(Levels!$C$2:$C$30,MATCH(C2599,Levels!$B$2:$B$30,0)),""))</f>
        <v/>
      </c>
      <c r="G2599" s="6" t="n"/>
      <c r="H2599" s="10">
        <f>IF(AND(B2599="",C2599=""),"",IF(G2599&lt;&gt;"","Void",IF(OR(B2599="",E2599=""),"Needs child",IF(D2599="","Needs level","OK"))))</f>
        <v/>
      </c>
    </row>
    <row r="2600">
      <c r="A2600" s="6" t="n"/>
      <c r="B2600" s="6" t="n"/>
      <c r="C2600" s="6" t="n"/>
      <c r="D2600" s="11">
        <f>IF(C2600="","",IFERROR(INDEX(Levels!$A$2:$A$30,MATCH(C2600,Levels!$B$2:$B$30,0)),""))</f>
        <v/>
      </c>
      <c r="E2600" s="10">
        <f>IF(B2600="","",IFERROR(INDEX(Roster!$A$2:$A$600,MATCH(B2600,Roster!$E$2:$E$600,0)),""))</f>
        <v/>
      </c>
      <c r="F2600" s="10">
        <f>IF(C2600="","",IFERROR(INDEX(Levels!$C$2:$C$30,MATCH(C2600,Levels!$B$2:$B$30,0)),""))</f>
        <v/>
      </c>
      <c r="G2600" s="6" t="n"/>
      <c r="H2600" s="10">
        <f>IF(AND(B2600="",C2600=""),"",IF(G2600&lt;&gt;"","Void",IF(OR(B2600="",E2600=""),"Needs child",IF(D2600="","Needs level","OK"))))</f>
        <v/>
      </c>
    </row>
    <row r="2601">
      <c r="A2601" s="6" t="n"/>
      <c r="B2601" s="6" t="n"/>
      <c r="C2601" s="6" t="n"/>
      <c r="D2601" s="11">
        <f>IF(C2601="","",IFERROR(INDEX(Levels!$A$2:$A$30,MATCH(C2601,Levels!$B$2:$B$30,0)),""))</f>
        <v/>
      </c>
      <c r="E2601" s="10">
        <f>IF(B2601="","",IFERROR(INDEX(Roster!$A$2:$A$600,MATCH(B2601,Roster!$E$2:$E$600,0)),""))</f>
        <v/>
      </c>
      <c r="F2601" s="10">
        <f>IF(C2601="","",IFERROR(INDEX(Levels!$C$2:$C$30,MATCH(C2601,Levels!$B$2:$B$30,0)),""))</f>
        <v/>
      </c>
      <c r="G2601" s="6" t="n"/>
      <c r="H2601" s="10">
        <f>IF(AND(B2601="",C2601=""),"",IF(G2601&lt;&gt;"","Void",IF(OR(B2601="",E2601=""),"Needs child",IF(D2601="","Needs level","OK"))))</f>
        <v/>
      </c>
    </row>
    <row r="2602">
      <c r="A2602" s="6" t="n"/>
      <c r="B2602" s="6" t="n"/>
      <c r="C2602" s="6" t="n"/>
      <c r="D2602" s="11">
        <f>IF(C2602="","",IFERROR(INDEX(Levels!$A$2:$A$30,MATCH(C2602,Levels!$B$2:$B$30,0)),""))</f>
        <v/>
      </c>
      <c r="E2602" s="10">
        <f>IF(B2602="","",IFERROR(INDEX(Roster!$A$2:$A$600,MATCH(B2602,Roster!$E$2:$E$600,0)),""))</f>
        <v/>
      </c>
      <c r="F2602" s="10">
        <f>IF(C2602="","",IFERROR(INDEX(Levels!$C$2:$C$30,MATCH(C2602,Levels!$B$2:$B$30,0)),""))</f>
        <v/>
      </c>
      <c r="G2602" s="6" t="n"/>
      <c r="H2602" s="10">
        <f>IF(AND(B2602="",C2602=""),"",IF(G2602&lt;&gt;"","Void",IF(OR(B2602="",E2602=""),"Needs child",IF(D2602="","Needs level","OK"))))</f>
        <v/>
      </c>
    </row>
    <row r="2603">
      <c r="A2603" s="6" t="n"/>
      <c r="B2603" s="6" t="n"/>
      <c r="C2603" s="6" t="n"/>
      <c r="D2603" s="11">
        <f>IF(C2603="","",IFERROR(INDEX(Levels!$A$2:$A$30,MATCH(C2603,Levels!$B$2:$B$30,0)),""))</f>
        <v/>
      </c>
      <c r="E2603" s="10">
        <f>IF(B2603="","",IFERROR(INDEX(Roster!$A$2:$A$600,MATCH(B2603,Roster!$E$2:$E$600,0)),""))</f>
        <v/>
      </c>
      <c r="F2603" s="10">
        <f>IF(C2603="","",IFERROR(INDEX(Levels!$C$2:$C$30,MATCH(C2603,Levels!$B$2:$B$30,0)),""))</f>
        <v/>
      </c>
      <c r="G2603" s="6" t="n"/>
      <c r="H2603" s="10">
        <f>IF(AND(B2603="",C2603=""),"",IF(G2603&lt;&gt;"","Void",IF(OR(B2603="",E2603=""),"Needs child",IF(D2603="","Needs level","OK"))))</f>
        <v/>
      </c>
    </row>
    <row r="2604">
      <c r="A2604" s="6" t="n"/>
      <c r="B2604" s="6" t="n"/>
      <c r="C2604" s="6" t="n"/>
      <c r="D2604" s="11">
        <f>IF(C2604="","",IFERROR(INDEX(Levels!$A$2:$A$30,MATCH(C2604,Levels!$B$2:$B$30,0)),""))</f>
        <v/>
      </c>
      <c r="E2604" s="10">
        <f>IF(B2604="","",IFERROR(INDEX(Roster!$A$2:$A$600,MATCH(B2604,Roster!$E$2:$E$600,0)),""))</f>
        <v/>
      </c>
      <c r="F2604" s="10">
        <f>IF(C2604="","",IFERROR(INDEX(Levels!$C$2:$C$30,MATCH(C2604,Levels!$B$2:$B$30,0)),""))</f>
        <v/>
      </c>
      <c r="G2604" s="6" t="n"/>
      <c r="H2604" s="10">
        <f>IF(AND(B2604="",C2604=""),"",IF(G2604&lt;&gt;"","Void",IF(OR(B2604="",E2604=""),"Needs child",IF(D2604="","Needs level","OK"))))</f>
        <v/>
      </c>
    </row>
    <row r="2605">
      <c r="A2605" s="6" t="n"/>
      <c r="B2605" s="6" t="n"/>
      <c r="C2605" s="6" t="n"/>
      <c r="D2605" s="11">
        <f>IF(C2605="","",IFERROR(INDEX(Levels!$A$2:$A$30,MATCH(C2605,Levels!$B$2:$B$30,0)),""))</f>
        <v/>
      </c>
      <c r="E2605" s="10">
        <f>IF(B2605="","",IFERROR(INDEX(Roster!$A$2:$A$600,MATCH(B2605,Roster!$E$2:$E$600,0)),""))</f>
        <v/>
      </c>
      <c r="F2605" s="10">
        <f>IF(C2605="","",IFERROR(INDEX(Levels!$C$2:$C$30,MATCH(C2605,Levels!$B$2:$B$30,0)),""))</f>
        <v/>
      </c>
      <c r="G2605" s="6" t="n"/>
      <c r="H2605" s="10">
        <f>IF(AND(B2605="",C2605=""),"",IF(G2605&lt;&gt;"","Void",IF(OR(B2605="",E2605=""),"Needs child",IF(D2605="","Needs level","OK"))))</f>
        <v/>
      </c>
    </row>
    <row r="2606">
      <c r="A2606" s="6" t="n"/>
      <c r="B2606" s="6" t="n"/>
      <c r="C2606" s="6" t="n"/>
      <c r="D2606" s="11">
        <f>IF(C2606="","",IFERROR(INDEX(Levels!$A$2:$A$30,MATCH(C2606,Levels!$B$2:$B$30,0)),""))</f>
        <v/>
      </c>
      <c r="E2606" s="10">
        <f>IF(B2606="","",IFERROR(INDEX(Roster!$A$2:$A$600,MATCH(B2606,Roster!$E$2:$E$600,0)),""))</f>
        <v/>
      </c>
      <c r="F2606" s="10">
        <f>IF(C2606="","",IFERROR(INDEX(Levels!$C$2:$C$30,MATCH(C2606,Levels!$B$2:$B$30,0)),""))</f>
        <v/>
      </c>
      <c r="G2606" s="6" t="n"/>
      <c r="H2606" s="10">
        <f>IF(AND(B2606="",C2606=""),"",IF(G2606&lt;&gt;"","Void",IF(OR(B2606="",E2606=""),"Needs child",IF(D2606="","Needs level","OK"))))</f>
        <v/>
      </c>
    </row>
    <row r="2607">
      <c r="A2607" s="6" t="n"/>
      <c r="B2607" s="6" t="n"/>
      <c r="C2607" s="6" t="n"/>
      <c r="D2607" s="11">
        <f>IF(C2607="","",IFERROR(INDEX(Levels!$A$2:$A$30,MATCH(C2607,Levels!$B$2:$B$30,0)),""))</f>
        <v/>
      </c>
      <c r="E2607" s="10">
        <f>IF(B2607="","",IFERROR(INDEX(Roster!$A$2:$A$600,MATCH(B2607,Roster!$E$2:$E$600,0)),""))</f>
        <v/>
      </c>
      <c r="F2607" s="10">
        <f>IF(C2607="","",IFERROR(INDEX(Levels!$C$2:$C$30,MATCH(C2607,Levels!$B$2:$B$30,0)),""))</f>
        <v/>
      </c>
      <c r="G2607" s="6" t="n"/>
      <c r="H2607" s="10">
        <f>IF(AND(B2607="",C2607=""),"",IF(G2607&lt;&gt;"","Void",IF(OR(B2607="",E2607=""),"Needs child",IF(D2607="","Needs level","OK"))))</f>
        <v/>
      </c>
    </row>
    <row r="2608">
      <c r="A2608" s="6" t="n"/>
      <c r="B2608" s="6" t="n"/>
      <c r="C2608" s="6" t="n"/>
      <c r="D2608" s="11">
        <f>IF(C2608="","",IFERROR(INDEX(Levels!$A$2:$A$30,MATCH(C2608,Levels!$B$2:$B$30,0)),""))</f>
        <v/>
      </c>
      <c r="E2608" s="10">
        <f>IF(B2608="","",IFERROR(INDEX(Roster!$A$2:$A$600,MATCH(B2608,Roster!$E$2:$E$600,0)),""))</f>
        <v/>
      </c>
      <c r="F2608" s="10">
        <f>IF(C2608="","",IFERROR(INDEX(Levels!$C$2:$C$30,MATCH(C2608,Levels!$B$2:$B$30,0)),""))</f>
        <v/>
      </c>
      <c r="G2608" s="6" t="n"/>
      <c r="H2608" s="10">
        <f>IF(AND(B2608="",C2608=""),"",IF(G2608&lt;&gt;"","Void",IF(OR(B2608="",E2608=""),"Needs child",IF(D2608="","Needs level","OK"))))</f>
        <v/>
      </c>
    </row>
    <row r="2609">
      <c r="A2609" s="6" t="n"/>
      <c r="B2609" s="6" t="n"/>
      <c r="C2609" s="6" t="n"/>
      <c r="D2609" s="11">
        <f>IF(C2609="","",IFERROR(INDEX(Levels!$A$2:$A$30,MATCH(C2609,Levels!$B$2:$B$30,0)),""))</f>
        <v/>
      </c>
      <c r="E2609" s="10">
        <f>IF(B2609="","",IFERROR(INDEX(Roster!$A$2:$A$600,MATCH(B2609,Roster!$E$2:$E$600,0)),""))</f>
        <v/>
      </c>
      <c r="F2609" s="10">
        <f>IF(C2609="","",IFERROR(INDEX(Levels!$C$2:$C$30,MATCH(C2609,Levels!$B$2:$B$30,0)),""))</f>
        <v/>
      </c>
      <c r="G2609" s="6" t="n"/>
      <c r="H2609" s="10">
        <f>IF(AND(B2609="",C2609=""),"",IF(G2609&lt;&gt;"","Void",IF(OR(B2609="",E2609=""),"Needs child",IF(D2609="","Needs level","OK"))))</f>
        <v/>
      </c>
    </row>
    <row r="2610">
      <c r="A2610" s="6" t="n"/>
      <c r="B2610" s="6" t="n"/>
      <c r="C2610" s="6" t="n"/>
      <c r="D2610" s="11">
        <f>IF(C2610="","",IFERROR(INDEX(Levels!$A$2:$A$30,MATCH(C2610,Levels!$B$2:$B$30,0)),""))</f>
        <v/>
      </c>
      <c r="E2610" s="10">
        <f>IF(B2610="","",IFERROR(INDEX(Roster!$A$2:$A$600,MATCH(B2610,Roster!$E$2:$E$600,0)),""))</f>
        <v/>
      </c>
      <c r="F2610" s="10">
        <f>IF(C2610="","",IFERROR(INDEX(Levels!$C$2:$C$30,MATCH(C2610,Levels!$B$2:$B$30,0)),""))</f>
        <v/>
      </c>
      <c r="G2610" s="6" t="n"/>
      <c r="H2610" s="10">
        <f>IF(AND(B2610="",C2610=""),"",IF(G2610&lt;&gt;"","Void",IF(OR(B2610="",E2610=""),"Needs child",IF(D2610="","Needs level","OK"))))</f>
        <v/>
      </c>
    </row>
    <row r="2611">
      <c r="A2611" s="6" t="n"/>
      <c r="B2611" s="6" t="n"/>
      <c r="C2611" s="6" t="n"/>
      <c r="D2611" s="11">
        <f>IF(C2611="","",IFERROR(INDEX(Levels!$A$2:$A$30,MATCH(C2611,Levels!$B$2:$B$30,0)),""))</f>
        <v/>
      </c>
      <c r="E2611" s="10">
        <f>IF(B2611="","",IFERROR(INDEX(Roster!$A$2:$A$600,MATCH(B2611,Roster!$E$2:$E$600,0)),""))</f>
        <v/>
      </c>
      <c r="F2611" s="10">
        <f>IF(C2611="","",IFERROR(INDEX(Levels!$C$2:$C$30,MATCH(C2611,Levels!$B$2:$B$30,0)),""))</f>
        <v/>
      </c>
      <c r="G2611" s="6" t="n"/>
      <c r="H2611" s="10">
        <f>IF(AND(B2611="",C2611=""),"",IF(G2611&lt;&gt;"","Void",IF(OR(B2611="",E2611=""),"Needs child",IF(D2611="","Needs level","OK"))))</f>
        <v/>
      </c>
    </row>
    <row r="2612">
      <c r="A2612" s="6" t="n"/>
      <c r="B2612" s="6" t="n"/>
      <c r="C2612" s="6" t="n"/>
      <c r="D2612" s="11">
        <f>IF(C2612="","",IFERROR(INDEX(Levels!$A$2:$A$30,MATCH(C2612,Levels!$B$2:$B$30,0)),""))</f>
        <v/>
      </c>
      <c r="E2612" s="10">
        <f>IF(B2612="","",IFERROR(INDEX(Roster!$A$2:$A$600,MATCH(B2612,Roster!$E$2:$E$600,0)),""))</f>
        <v/>
      </c>
      <c r="F2612" s="10">
        <f>IF(C2612="","",IFERROR(INDEX(Levels!$C$2:$C$30,MATCH(C2612,Levels!$B$2:$B$30,0)),""))</f>
        <v/>
      </c>
      <c r="G2612" s="6" t="n"/>
      <c r="H2612" s="10">
        <f>IF(AND(B2612="",C2612=""),"",IF(G2612&lt;&gt;"","Void",IF(OR(B2612="",E2612=""),"Needs child",IF(D2612="","Needs level","OK"))))</f>
        <v/>
      </c>
    </row>
    <row r="2613">
      <c r="A2613" s="6" t="n"/>
      <c r="B2613" s="6" t="n"/>
      <c r="C2613" s="6" t="n"/>
      <c r="D2613" s="11">
        <f>IF(C2613="","",IFERROR(INDEX(Levels!$A$2:$A$30,MATCH(C2613,Levels!$B$2:$B$30,0)),""))</f>
        <v/>
      </c>
      <c r="E2613" s="10">
        <f>IF(B2613="","",IFERROR(INDEX(Roster!$A$2:$A$600,MATCH(B2613,Roster!$E$2:$E$600,0)),""))</f>
        <v/>
      </c>
      <c r="F2613" s="10">
        <f>IF(C2613="","",IFERROR(INDEX(Levels!$C$2:$C$30,MATCH(C2613,Levels!$B$2:$B$30,0)),""))</f>
        <v/>
      </c>
      <c r="G2613" s="6" t="n"/>
      <c r="H2613" s="10">
        <f>IF(AND(B2613="",C2613=""),"",IF(G2613&lt;&gt;"","Void",IF(OR(B2613="",E2613=""),"Needs child",IF(D2613="","Needs level","OK"))))</f>
        <v/>
      </c>
    </row>
    <row r="2614">
      <c r="A2614" s="6" t="n"/>
      <c r="B2614" s="6" t="n"/>
      <c r="C2614" s="6" t="n"/>
      <c r="D2614" s="11">
        <f>IF(C2614="","",IFERROR(INDEX(Levels!$A$2:$A$30,MATCH(C2614,Levels!$B$2:$B$30,0)),""))</f>
        <v/>
      </c>
      <c r="E2614" s="10">
        <f>IF(B2614="","",IFERROR(INDEX(Roster!$A$2:$A$600,MATCH(B2614,Roster!$E$2:$E$600,0)),""))</f>
        <v/>
      </c>
      <c r="F2614" s="10">
        <f>IF(C2614="","",IFERROR(INDEX(Levels!$C$2:$C$30,MATCH(C2614,Levels!$B$2:$B$30,0)),""))</f>
        <v/>
      </c>
      <c r="G2614" s="6" t="n"/>
      <c r="H2614" s="10">
        <f>IF(AND(B2614="",C2614=""),"",IF(G2614&lt;&gt;"","Void",IF(OR(B2614="",E2614=""),"Needs child",IF(D2614="","Needs level","OK"))))</f>
        <v/>
      </c>
    </row>
    <row r="2615">
      <c r="A2615" s="6" t="n"/>
      <c r="B2615" s="6" t="n"/>
      <c r="C2615" s="6" t="n"/>
      <c r="D2615" s="11">
        <f>IF(C2615="","",IFERROR(INDEX(Levels!$A$2:$A$30,MATCH(C2615,Levels!$B$2:$B$30,0)),""))</f>
        <v/>
      </c>
      <c r="E2615" s="10">
        <f>IF(B2615="","",IFERROR(INDEX(Roster!$A$2:$A$600,MATCH(B2615,Roster!$E$2:$E$600,0)),""))</f>
        <v/>
      </c>
      <c r="F2615" s="10">
        <f>IF(C2615="","",IFERROR(INDEX(Levels!$C$2:$C$30,MATCH(C2615,Levels!$B$2:$B$30,0)),""))</f>
        <v/>
      </c>
      <c r="G2615" s="6" t="n"/>
      <c r="H2615" s="10">
        <f>IF(AND(B2615="",C2615=""),"",IF(G2615&lt;&gt;"","Void",IF(OR(B2615="",E2615=""),"Needs child",IF(D2615="","Needs level","OK"))))</f>
        <v/>
      </c>
    </row>
    <row r="2616">
      <c r="A2616" s="6" t="n"/>
      <c r="B2616" s="6" t="n"/>
      <c r="C2616" s="6" t="n"/>
      <c r="D2616" s="11">
        <f>IF(C2616="","",IFERROR(INDEX(Levels!$A$2:$A$30,MATCH(C2616,Levels!$B$2:$B$30,0)),""))</f>
        <v/>
      </c>
      <c r="E2616" s="10">
        <f>IF(B2616="","",IFERROR(INDEX(Roster!$A$2:$A$600,MATCH(B2616,Roster!$E$2:$E$600,0)),""))</f>
        <v/>
      </c>
      <c r="F2616" s="10">
        <f>IF(C2616="","",IFERROR(INDEX(Levels!$C$2:$C$30,MATCH(C2616,Levels!$B$2:$B$30,0)),""))</f>
        <v/>
      </c>
      <c r="G2616" s="6" t="n"/>
      <c r="H2616" s="10">
        <f>IF(AND(B2616="",C2616=""),"",IF(G2616&lt;&gt;"","Void",IF(OR(B2616="",E2616=""),"Needs child",IF(D2616="","Needs level","OK"))))</f>
        <v/>
      </c>
    </row>
    <row r="2617">
      <c r="A2617" s="6" t="n"/>
      <c r="B2617" s="6" t="n"/>
      <c r="C2617" s="6" t="n"/>
      <c r="D2617" s="11">
        <f>IF(C2617="","",IFERROR(INDEX(Levels!$A$2:$A$30,MATCH(C2617,Levels!$B$2:$B$30,0)),""))</f>
        <v/>
      </c>
      <c r="E2617" s="10">
        <f>IF(B2617="","",IFERROR(INDEX(Roster!$A$2:$A$600,MATCH(B2617,Roster!$E$2:$E$600,0)),""))</f>
        <v/>
      </c>
      <c r="F2617" s="10">
        <f>IF(C2617="","",IFERROR(INDEX(Levels!$C$2:$C$30,MATCH(C2617,Levels!$B$2:$B$30,0)),""))</f>
        <v/>
      </c>
      <c r="G2617" s="6" t="n"/>
      <c r="H2617" s="10">
        <f>IF(AND(B2617="",C2617=""),"",IF(G2617&lt;&gt;"","Void",IF(OR(B2617="",E2617=""),"Needs child",IF(D2617="","Needs level","OK"))))</f>
        <v/>
      </c>
    </row>
    <row r="2618">
      <c r="A2618" s="6" t="n"/>
      <c r="B2618" s="6" t="n"/>
      <c r="C2618" s="6" t="n"/>
      <c r="D2618" s="11">
        <f>IF(C2618="","",IFERROR(INDEX(Levels!$A$2:$A$30,MATCH(C2618,Levels!$B$2:$B$30,0)),""))</f>
        <v/>
      </c>
      <c r="E2618" s="10">
        <f>IF(B2618="","",IFERROR(INDEX(Roster!$A$2:$A$600,MATCH(B2618,Roster!$E$2:$E$600,0)),""))</f>
        <v/>
      </c>
      <c r="F2618" s="10">
        <f>IF(C2618="","",IFERROR(INDEX(Levels!$C$2:$C$30,MATCH(C2618,Levels!$B$2:$B$30,0)),""))</f>
        <v/>
      </c>
      <c r="G2618" s="6" t="n"/>
      <c r="H2618" s="10">
        <f>IF(AND(B2618="",C2618=""),"",IF(G2618&lt;&gt;"","Void",IF(OR(B2618="",E2618=""),"Needs child",IF(D2618="","Needs level","OK"))))</f>
        <v/>
      </c>
    </row>
    <row r="2619">
      <c r="A2619" s="6" t="n"/>
      <c r="B2619" s="6" t="n"/>
      <c r="C2619" s="6" t="n"/>
      <c r="D2619" s="11">
        <f>IF(C2619="","",IFERROR(INDEX(Levels!$A$2:$A$30,MATCH(C2619,Levels!$B$2:$B$30,0)),""))</f>
        <v/>
      </c>
      <c r="E2619" s="10">
        <f>IF(B2619="","",IFERROR(INDEX(Roster!$A$2:$A$600,MATCH(B2619,Roster!$E$2:$E$600,0)),""))</f>
        <v/>
      </c>
      <c r="F2619" s="10">
        <f>IF(C2619="","",IFERROR(INDEX(Levels!$C$2:$C$30,MATCH(C2619,Levels!$B$2:$B$30,0)),""))</f>
        <v/>
      </c>
      <c r="G2619" s="6" t="n"/>
      <c r="H2619" s="10">
        <f>IF(AND(B2619="",C2619=""),"",IF(G2619&lt;&gt;"","Void",IF(OR(B2619="",E2619=""),"Needs child",IF(D2619="","Needs level","OK"))))</f>
        <v/>
      </c>
    </row>
    <row r="2620">
      <c r="A2620" s="6" t="n"/>
      <c r="B2620" s="6" t="n"/>
      <c r="C2620" s="6" t="n"/>
      <c r="D2620" s="11">
        <f>IF(C2620="","",IFERROR(INDEX(Levels!$A$2:$A$30,MATCH(C2620,Levels!$B$2:$B$30,0)),""))</f>
        <v/>
      </c>
      <c r="E2620" s="10">
        <f>IF(B2620="","",IFERROR(INDEX(Roster!$A$2:$A$600,MATCH(B2620,Roster!$E$2:$E$600,0)),""))</f>
        <v/>
      </c>
      <c r="F2620" s="10">
        <f>IF(C2620="","",IFERROR(INDEX(Levels!$C$2:$C$30,MATCH(C2620,Levels!$B$2:$B$30,0)),""))</f>
        <v/>
      </c>
      <c r="G2620" s="6" t="n"/>
      <c r="H2620" s="10">
        <f>IF(AND(B2620="",C2620=""),"",IF(G2620&lt;&gt;"","Void",IF(OR(B2620="",E2620=""),"Needs child",IF(D2620="","Needs level","OK"))))</f>
        <v/>
      </c>
    </row>
    <row r="2621">
      <c r="A2621" s="6" t="n"/>
      <c r="B2621" s="6" t="n"/>
      <c r="C2621" s="6" t="n"/>
      <c r="D2621" s="11">
        <f>IF(C2621="","",IFERROR(INDEX(Levels!$A$2:$A$30,MATCH(C2621,Levels!$B$2:$B$30,0)),""))</f>
        <v/>
      </c>
      <c r="E2621" s="10">
        <f>IF(B2621="","",IFERROR(INDEX(Roster!$A$2:$A$600,MATCH(B2621,Roster!$E$2:$E$600,0)),""))</f>
        <v/>
      </c>
      <c r="F2621" s="10">
        <f>IF(C2621="","",IFERROR(INDEX(Levels!$C$2:$C$30,MATCH(C2621,Levels!$B$2:$B$30,0)),""))</f>
        <v/>
      </c>
      <c r="G2621" s="6" t="n"/>
      <c r="H2621" s="10">
        <f>IF(AND(B2621="",C2621=""),"",IF(G2621&lt;&gt;"","Void",IF(OR(B2621="",E2621=""),"Needs child",IF(D2621="","Needs level","OK"))))</f>
        <v/>
      </c>
    </row>
    <row r="2622">
      <c r="A2622" s="6" t="n"/>
      <c r="B2622" s="6" t="n"/>
      <c r="C2622" s="6" t="n"/>
      <c r="D2622" s="11">
        <f>IF(C2622="","",IFERROR(INDEX(Levels!$A$2:$A$30,MATCH(C2622,Levels!$B$2:$B$30,0)),""))</f>
        <v/>
      </c>
      <c r="E2622" s="10">
        <f>IF(B2622="","",IFERROR(INDEX(Roster!$A$2:$A$600,MATCH(B2622,Roster!$E$2:$E$600,0)),""))</f>
        <v/>
      </c>
      <c r="F2622" s="10">
        <f>IF(C2622="","",IFERROR(INDEX(Levels!$C$2:$C$30,MATCH(C2622,Levels!$B$2:$B$30,0)),""))</f>
        <v/>
      </c>
      <c r="G2622" s="6" t="n"/>
      <c r="H2622" s="10">
        <f>IF(AND(B2622="",C2622=""),"",IF(G2622&lt;&gt;"","Void",IF(OR(B2622="",E2622=""),"Needs child",IF(D2622="","Needs level","OK"))))</f>
        <v/>
      </c>
    </row>
    <row r="2623">
      <c r="A2623" s="6" t="n"/>
      <c r="B2623" s="6" t="n"/>
      <c r="C2623" s="6" t="n"/>
      <c r="D2623" s="11">
        <f>IF(C2623="","",IFERROR(INDEX(Levels!$A$2:$A$30,MATCH(C2623,Levels!$B$2:$B$30,0)),""))</f>
        <v/>
      </c>
      <c r="E2623" s="10">
        <f>IF(B2623="","",IFERROR(INDEX(Roster!$A$2:$A$600,MATCH(B2623,Roster!$E$2:$E$600,0)),""))</f>
        <v/>
      </c>
      <c r="F2623" s="10">
        <f>IF(C2623="","",IFERROR(INDEX(Levels!$C$2:$C$30,MATCH(C2623,Levels!$B$2:$B$30,0)),""))</f>
        <v/>
      </c>
      <c r="G2623" s="6" t="n"/>
      <c r="H2623" s="10">
        <f>IF(AND(B2623="",C2623=""),"",IF(G2623&lt;&gt;"","Void",IF(OR(B2623="",E2623=""),"Needs child",IF(D2623="","Needs level","OK"))))</f>
        <v/>
      </c>
    </row>
    <row r="2624">
      <c r="A2624" s="6" t="n"/>
      <c r="B2624" s="6" t="n"/>
      <c r="C2624" s="6" t="n"/>
      <c r="D2624" s="11">
        <f>IF(C2624="","",IFERROR(INDEX(Levels!$A$2:$A$30,MATCH(C2624,Levels!$B$2:$B$30,0)),""))</f>
        <v/>
      </c>
      <c r="E2624" s="10">
        <f>IF(B2624="","",IFERROR(INDEX(Roster!$A$2:$A$600,MATCH(B2624,Roster!$E$2:$E$600,0)),""))</f>
        <v/>
      </c>
      <c r="F2624" s="10">
        <f>IF(C2624="","",IFERROR(INDEX(Levels!$C$2:$C$30,MATCH(C2624,Levels!$B$2:$B$30,0)),""))</f>
        <v/>
      </c>
      <c r="G2624" s="6" t="n"/>
      <c r="H2624" s="10">
        <f>IF(AND(B2624="",C2624=""),"",IF(G2624&lt;&gt;"","Void",IF(OR(B2624="",E2624=""),"Needs child",IF(D2624="","Needs level","OK"))))</f>
        <v/>
      </c>
    </row>
    <row r="2625">
      <c r="A2625" s="6" t="n"/>
      <c r="B2625" s="6" t="n"/>
      <c r="C2625" s="6" t="n"/>
      <c r="D2625" s="11">
        <f>IF(C2625="","",IFERROR(INDEX(Levels!$A$2:$A$30,MATCH(C2625,Levels!$B$2:$B$30,0)),""))</f>
        <v/>
      </c>
      <c r="E2625" s="10">
        <f>IF(B2625="","",IFERROR(INDEX(Roster!$A$2:$A$600,MATCH(B2625,Roster!$E$2:$E$600,0)),""))</f>
        <v/>
      </c>
      <c r="F2625" s="10">
        <f>IF(C2625="","",IFERROR(INDEX(Levels!$C$2:$C$30,MATCH(C2625,Levels!$B$2:$B$30,0)),""))</f>
        <v/>
      </c>
      <c r="G2625" s="6" t="n"/>
      <c r="H2625" s="10">
        <f>IF(AND(B2625="",C2625=""),"",IF(G2625&lt;&gt;"","Void",IF(OR(B2625="",E2625=""),"Needs child",IF(D2625="","Needs level","OK"))))</f>
        <v/>
      </c>
    </row>
    <row r="2626">
      <c r="A2626" s="6" t="n"/>
      <c r="B2626" s="6" t="n"/>
      <c r="C2626" s="6" t="n"/>
      <c r="D2626" s="11">
        <f>IF(C2626="","",IFERROR(INDEX(Levels!$A$2:$A$30,MATCH(C2626,Levels!$B$2:$B$30,0)),""))</f>
        <v/>
      </c>
      <c r="E2626" s="10">
        <f>IF(B2626="","",IFERROR(INDEX(Roster!$A$2:$A$600,MATCH(B2626,Roster!$E$2:$E$600,0)),""))</f>
        <v/>
      </c>
      <c r="F2626" s="10">
        <f>IF(C2626="","",IFERROR(INDEX(Levels!$C$2:$C$30,MATCH(C2626,Levels!$B$2:$B$30,0)),""))</f>
        <v/>
      </c>
      <c r="G2626" s="6" t="n"/>
      <c r="H2626" s="10">
        <f>IF(AND(B2626="",C2626=""),"",IF(G2626&lt;&gt;"","Void",IF(OR(B2626="",E2626=""),"Needs child",IF(D2626="","Needs level","OK"))))</f>
        <v/>
      </c>
    </row>
    <row r="2627">
      <c r="A2627" s="6" t="n"/>
      <c r="B2627" s="6" t="n"/>
      <c r="C2627" s="6" t="n"/>
      <c r="D2627" s="11">
        <f>IF(C2627="","",IFERROR(INDEX(Levels!$A$2:$A$30,MATCH(C2627,Levels!$B$2:$B$30,0)),""))</f>
        <v/>
      </c>
      <c r="E2627" s="10">
        <f>IF(B2627="","",IFERROR(INDEX(Roster!$A$2:$A$600,MATCH(B2627,Roster!$E$2:$E$600,0)),""))</f>
        <v/>
      </c>
      <c r="F2627" s="10">
        <f>IF(C2627="","",IFERROR(INDEX(Levels!$C$2:$C$30,MATCH(C2627,Levels!$B$2:$B$30,0)),""))</f>
        <v/>
      </c>
      <c r="G2627" s="6" t="n"/>
      <c r="H2627" s="10">
        <f>IF(AND(B2627="",C2627=""),"",IF(G2627&lt;&gt;"","Void",IF(OR(B2627="",E2627=""),"Needs child",IF(D2627="","Needs level","OK"))))</f>
        <v/>
      </c>
    </row>
    <row r="2628">
      <c r="A2628" s="6" t="n"/>
      <c r="B2628" s="6" t="n"/>
      <c r="C2628" s="6" t="n"/>
      <c r="D2628" s="11">
        <f>IF(C2628="","",IFERROR(INDEX(Levels!$A$2:$A$30,MATCH(C2628,Levels!$B$2:$B$30,0)),""))</f>
        <v/>
      </c>
      <c r="E2628" s="10">
        <f>IF(B2628="","",IFERROR(INDEX(Roster!$A$2:$A$600,MATCH(B2628,Roster!$E$2:$E$600,0)),""))</f>
        <v/>
      </c>
      <c r="F2628" s="10">
        <f>IF(C2628="","",IFERROR(INDEX(Levels!$C$2:$C$30,MATCH(C2628,Levels!$B$2:$B$30,0)),""))</f>
        <v/>
      </c>
      <c r="G2628" s="6" t="n"/>
      <c r="H2628" s="10">
        <f>IF(AND(B2628="",C2628=""),"",IF(G2628&lt;&gt;"","Void",IF(OR(B2628="",E2628=""),"Needs child",IF(D2628="","Needs level","OK"))))</f>
        <v/>
      </c>
    </row>
    <row r="2629">
      <c r="A2629" s="6" t="n"/>
      <c r="B2629" s="6" t="n"/>
      <c r="C2629" s="6" t="n"/>
      <c r="D2629" s="11">
        <f>IF(C2629="","",IFERROR(INDEX(Levels!$A$2:$A$30,MATCH(C2629,Levels!$B$2:$B$30,0)),""))</f>
        <v/>
      </c>
      <c r="E2629" s="10">
        <f>IF(B2629="","",IFERROR(INDEX(Roster!$A$2:$A$600,MATCH(B2629,Roster!$E$2:$E$600,0)),""))</f>
        <v/>
      </c>
      <c r="F2629" s="10">
        <f>IF(C2629="","",IFERROR(INDEX(Levels!$C$2:$C$30,MATCH(C2629,Levels!$B$2:$B$30,0)),""))</f>
        <v/>
      </c>
      <c r="G2629" s="6" t="n"/>
      <c r="H2629" s="10">
        <f>IF(AND(B2629="",C2629=""),"",IF(G2629&lt;&gt;"","Void",IF(OR(B2629="",E2629=""),"Needs child",IF(D2629="","Needs level","OK"))))</f>
        <v/>
      </c>
    </row>
    <row r="2630">
      <c r="A2630" s="6" t="n"/>
      <c r="B2630" s="6" t="n"/>
      <c r="C2630" s="6" t="n"/>
      <c r="D2630" s="11">
        <f>IF(C2630="","",IFERROR(INDEX(Levels!$A$2:$A$30,MATCH(C2630,Levels!$B$2:$B$30,0)),""))</f>
        <v/>
      </c>
      <c r="E2630" s="10">
        <f>IF(B2630="","",IFERROR(INDEX(Roster!$A$2:$A$600,MATCH(B2630,Roster!$E$2:$E$600,0)),""))</f>
        <v/>
      </c>
      <c r="F2630" s="10">
        <f>IF(C2630="","",IFERROR(INDEX(Levels!$C$2:$C$30,MATCH(C2630,Levels!$B$2:$B$30,0)),""))</f>
        <v/>
      </c>
      <c r="G2630" s="6" t="n"/>
      <c r="H2630" s="10">
        <f>IF(AND(B2630="",C2630=""),"",IF(G2630&lt;&gt;"","Void",IF(OR(B2630="",E2630=""),"Needs child",IF(D2630="","Needs level","OK"))))</f>
        <v/>
      </c>
    </row>
    <row r="2631">
      <c r="A2631" s="6" t="n"/>
      <c r="B2631" s="6" t="n"/>
      <c r="C2631" s="6" t="n"/>
      <c r="D2631" s="11">
        <f>IF(C2631="","",IFERROR(INDEX(Levels!$A$2:$A$30,MATCH(C2631,Levels!$B$2:$B$30,0)),""))</f>
        <v/>
      </c>
      <c r="E2631" s="10">
        <f>IF(B2631="","",IFERROR(INDEX(Roster!$A$2:$A$600,MATCH(B2631,Roster!$E$2:$E$600,0)),""))</f>
        <v/>
      </c>
      <c r="F2631" s="10">
        <f>IF(C2631="","",IFERROR(INDEX(Levels!$C$2:$C$30,MATCH(C2631,Levels!$B$2:$B$30,0)),""))</f>
        <v/>
      </c>
      <c r="G2631" s="6" t="n"/>
      <c r="H2631" s="10">
        <f>IF(AND(B2631="",C2631=""),"",IF(G2631&lt;&gt;"","Void",IF(OR(B2631="",E2631=""),"Needs child",IF(D2631="","Needs level","OK"))))</f>
        <v/>
      </c>
    </row>
    <row r="2632">
      <c r="A2632" s="6" t="n"/>
      <c r="B2632" s="6" t="n"/>
      <c r="C2632" s="6" t="n"/>
      <c r="D2632" s="11">
        <f>IF(C2632="","",IFERROR(INDEX(Levels!$A$2:$A$30,MATCH(C2632,Levels!$B$2:$B$30,0)),""))</f>
        <v/>
      </c>
      <c r="E2632" s="10">
        <f>IF(B2632="","",IFERROR(INDEX(Roster!$A$2:$A$600,MATCH(B2632,Roster!$E$2:$E$600,0)),""))</f>
        <v/>
      </c>
      <c r="F2632" s="10">
        <f>IF(C2632="","",IFERROR(INDEX(Levels!$C$2:$C$30,MATCH(C2632,Levels!$B$2:$B$30,0)),""))</f>
        <v/>
      </c>
      <c r="G2632" s="6" t="n"/>
      <c r="H2632" s="10">
        <f>IF(AND(B2632="",C2632=""),"",IF(G2632&lt;&gt;"","Void",IF(OR(B2632="",E2632=""),"Needs child",IF(D2632="","Needs level","OK"))))</f>
        <v/>
      </c>
    </row>
    <row r="2633">
      <c r="A2633" s="6" t="n"/>
      <c r="B2633" s="6" t="n"/>
      <c r="C2633" s="6" t="n"/>
      <c r="D2633" s="11">
        <f>IF(C2633="","",IFERROR(INDEX(Levels!$A$2:$A$30,MATCH(C2633,Levels!$B$2:$B$30,0)),""))</f>
        <v/>
      </c>
      <c r="E2633" s="10">
        <f>IF(B2633="","",IFERROR(INDEX(Roster!$A$2:$A$600,MATCH(B2633,Roster!$E$2:$E$600,0)),""))</f>
        <v/>
      </c>
      <c r="F2633" s="10">
        <f>IF(C2633="","",IFERROR(INDEX(Levels!$C$2:$C$30,MATCH(C2633,Levels!$B$2:$B$30,0)),""))</f>
        <v/>
      </c>
      <c r="G2633" s="6" t="n"/>
      <c r="H2633" s="10">
        <f>IF(AND(B2633="",C2633=""),"",IF(G2633&lt;&gt;"","Void",IF(OR(B2633="",E2633=""),"Needs child",IF(D2633="","Needs level","OK"))))</f>
        <v/>
      </c>
    </row>
    <row r="2634">
      <c r="A2634" s="6" t="n"/>
      <c r="B2634" s="6" t="n"/>
      <c r="C2634" s="6" t="n"/>
      <c r="D2634" s="11">
        <f>IF(C2634="","",IFERROR(INDEX(Levels!$A$2:$A$30,MATCH(C2634,Levels!$B$2:$B$30,0)),""))</f>
        <v/>
      </c>
      <c r="E2634" s="10">
        <f>IF(B2634="","",IFERROR(INDEX(Roster!$A$2:$A$600,MATCH(B2634,Roster!$E$2:$E$600,0)),""))</f>
        <v/>
      </c>
      <c r="F2634" s="10">
        <f>IF(C2634="","",IFERROR(INDEX(Levels!$C$2:$C$30,MATCH(C2634,Levels!$B$2:$B$30,0)),""))</f>
        <v/>
      </c>
      <c r="G2634" s="6" t="n"/>
      <c r="H2634" s="10">
        <f>IF(AND(B2634="",C2634=""),"",IF(G2634&lt;&gt;"","Void",IF(OR(B2634="",E2634=""),"Needs child",IF(D2634="","Needs level","OK"))))</f>
        <v/>
      </c>
    </row>
    <row r="2635">
      <c r="A2635" s="6" t="n"/>
      <c r="B2635" s="6" t="n"/>
      <c r="C2635" s="6" t="n"/>
      <c r="D2635" s="11">
        <f>IF(C2635="","",IFERROR(INDEX(Levels!$A$2:$A$30,MATCH(C2635,Levels!$B$2:$B$30,0)),""))</f>
        <v/>
      </c>
      <c r="E2635" s="10">
        <f>IF(B2635="","",IFERROR(INDEX(Roster!$A$2:$A$600,MATCH(B2635,Roster!$E$2:$E$600,0)),""))</f>
        <v/>
      </c>
      <c r="F2635" s="10">
        <f>IF(C2635="","",IFERROR(INDEX(Levels!$C$2:$C$30,MATCH(C2635,Levels!$B$2:$B$30,0)),""))</f>
        <v/>
      </c>
      <c r="G2635" s="6" t="n"/>
      <c r="H2635" s="10">
        <f>IF(AND(B2635="",C2635=""),"",IF(G2635&lt;&gt;"","Void",IF(OR(B2635="",E2635=""),"Needs child",IF(D2635="","Needs level","OK"))))</f>
        <v/>
      </c>
    </row>
    <row r="2636">
      <c r="A2636" s="6" t="n"/>
      <c r="B2636" s="6" t="n"/>
      <c r="C2636" s="6" t="n"/>
      <c r="D2636" s="11">
        <f>IF(C2636="","",IFERROR(INDEX(Levels!$A$2:$A$30,MATCH(C2636,Levels!$B$2:$B$30,0)),""))</f>
        <v/>
      </c>
      <c r="E2636" s="10">
        <f>IF(B2636="","",IFERROR(INDEX(Roster!$A$2:$A$600,MATCH(B2636,Roster!$E$2:$E$600,0)),""))</f>
        <v/>
      </c>
      <c r="F2636" s="10">
        <f>IF(C2636="","",IFERROR(INDEX(Levels!$C$2:$C$30,MATCH(C2636,Levels!$B$2:$B$30,0)),""))</f>
        <v/>
      </c>
      <c r="G2636" s="6" t="n"/>
      <c r="H2636" s="10">
        <f>IF(AND(B2636="",C2636=""),"",IF(G2636&lt;&gt;"","Void",IF(OR(B2636="",E2636=""),"Needs child",IF(D2636="","Needs level","OK"))))</f>
        <v/>
      </c>
    </row>
    <row r="2637">
      <c r="A2637" s="6" t="n"/>
      <c r="B2637" s="6" t="n"/>
      <c r="C2637" s="6" t="n"/>
      <c r="D2637" s="11">
        <f>IF(C2637="","",IFERROR(INDEX(Levels!$A$2:$A$30,MATCH(C2637,Levels!$B$2:$B$30,0)),""))</f>
        <v/>
      </c>
      <c r="E2637" s="10">
        <f>IF(B2637="","",IFERROR(INDEX(Roster!$A$2:$A$600,MATCH(B2637,Roster!$E$2:$E$600,0)),""))</f>
        <v/>
      </c>
      <c r="F2637" s="10">
        <f>IF(C2637="","",IFERROR(INDEX(Levels!$C$2:$C$30,MATCH(C2637,Levels!$B$2:$B$30,0)),""))</f>
        <v/>
      </c>
      <c r="G2637" s="6" t="n"/>
      <c r="H2637" s="10">
        <f>IF(AND(B2637="",C2637=""),"",IF(G2637&lt;&gt;"","Void",IF(OR(B2637="",E2637=""),"Needs child",IF(D2637="","Needs level","OK"))))</f>
        <v/>
      </c>
    </row>
    <row r="2638">
      <c r="A2638" s="6" t="n"/>
      <c r="B2638" s="6" t="n"/>
      <c r="C2638" s="6" t="n"/>
      <c r="D2638" s="11">
        <f>IF(C2638="","",IFERROR(INDEX(Levels!$A$2:$A$30,MATCH(C2638,Levels!$B$2:$B$30,0)),""))</f>
        <v/>
      </c>
      <c r="E2638" s="10">
        <f>IF(B2638="","",IFERROR(INDEX(Roster!$A$2:$A$600,MATCH(B2638,Roster!$E$2:$E$600,0)),""))</f>
        <v/>
      </c>
      <c r="F2638" s="10">
        <f>IF(C2638="","",IFERROR(INDEX(Levels!$C$2:$C$30,MATCH(C2638,Levels!$B$2:$B$30,0)),""))</f>
        <v/>
      </c>
      <c r="G2638" s="6" t="n"/>
      <c r="H2638" s="10">
        <f>IF(AND(B2638="",C2638=""),"",IF(G2638&lt;&gt;"","Void",IF(OR(B2638="",E2638=""),"Needs child",IF(D2638="","Needs level","OK"))))</f>
        <v/>
      </c>
    </row>
    <row r="2639">
      <c r="A2639" s="6" t="n"/>
      <c r="B2639" s="6" t="n"/>
      <c r="C2639" s="6" t="n"/>
      <c r="D2639" s="11">
        <f>IF(C2639="","",IFERROR(INDEX(Levels!$A$2:$A$30,MATCH(C2639,Levels!$B$2:$B$30,0)),""))</f>
        <v/>
      </c>
      <c r="E2639" s="10">
        <f>IF(B2639="","",IFERROR(INDEX(Roster!$A$2:$A$600,MATCH(B2639,Roster!$E$2:$E$600,0)),""))</f>
        <v/>
      </c>
      <c r="F2639" s="10">
        <f>IF(C2639="","",IFERROR(INDEX(Levels!$C$2:$C$30,MATCH(C2639,Levels!$B$2:$B$30,0)),""))</f>
        <v/>
      </c>
      <c r="G2639" s="6" t="n"/>
      <c r="H2639" s="10">
        <f>IF(AND(B2639="",C2639=""),"",IF(G2639&lt;&gt;"","Void",IF(OR(B2639="",E2639=""),"Needs child",IF(D2639="","Needs level","OK"))))</f>
        <v/>
      </c>
    </row>
    <row r="2640">
      <c r="A2640" s="6" t="n"/>
      <c r="B2640" s="6" t="n"/>
      <c r="C2640" s="6" t="n"/>
      <c r="D2640" s="11">
        <f>IF(C2640="","",IFERROR(INDEX(Levels!$A$2:$A$30,MATCH(C2640,Levels!$B$2:$B$30,0)),""))</f>
        <v/>
      </c>
      <c r="E2640" s="10">
        <f>IF(B2640="","",IFERROR(INDEX(Roster!$A$2:$A$600,MATCH(B2640,Roster!$E$2:$E$600,0)),""))</f>
        <v/>
      </c>
      <c r="F2640" s="10">
        <f>IF(C2640="","",IFERROR(INDEX(Levels!$C$2:$C$30,MATCH(C2640,Levels!$B$2:$B$30,0)),""))</f>
        <v/>
      </c>
      <c r="G2640" s="6" t="n"/>
      <c r="H2640" s="10">
        <f>IF(AND(B2640="",C2640=""),"",IF(G2640&lt;&gt;"","Void",IF(OR(B2640="",E2640=""),"Needs child",IF(D2640="","Needs level","OK"))))</f>
        <v/>
      </c>
    </row>
    <row r="2641">
      <c r="A2641" s="6" t="n"/>
      <c r="B2641" s="6" t="n"/>
      <c r="C2641" s="6" t="n"/>
      <c r="D2641" s="11">
        <f>IF(C2641="","",IFERROR(INDEX(Levels!$A$2:$A$30,MATCH(C2641,Levels!$B$2:$B$30,0)),""))</f>
        <v/>
      </c>
      <c r="E2641" s="10">
        <f>IF(B2641="","",IFERROR(INDEX(Roster!$A$2:$A$600,MATCH(B2641,Roster!$E$2:$E$600,0)),""))</f>
        <v/>
      </c>
      <c r="F2641" s="10">
        <f>IF(C2641="","",IFERROR(INDEX(Levels!$C$2:$C$30,MATCH(C2641,Levels!$B$2:$B$30,0)),""))</f>
        <v/>
      </c>
      <c r="G2641" s="6" t="n"/>
      <c r="H2641" s="10">
        <f>IF(AND(B2641="",C2641=""),"",IF(G2641&lt;&gt;"","Void",IF(OR(B2641="",E2641=""),"Needs child",IF(D2641="","Needs level","OK"))))</f>
        <v/>
      </c>
    </row>
    <row r="2642">
      <c r="A2642" s="6" t="n"/>
      <c r="B2642" s="6" t="n"/>
      <c r="C2642" s="6" t="n"/>
      <c r="D2642" s="11">
        <f>IF(C2642="","",IFERROR(INDEX(Levels!$A$2:$A$30,MATCH(C2642,Levels!$B$2:$B$30,0)),""))</f>
        <v/>
      </c>
      <c r="E2642" s="10">
        <f>IF(B2642="","",IFERROR(INDEX(Roster!$A$2:$A$600,MATCH(B2642,Roster!$E$2:$E$600,0)),""))</f>
        <v/>
      </c>
      <c r="F2642" s="10">
        <f>IF(C2642="","",IFERROR(INDEX(Levels!$C$2:$C$30,MATCH(C2642,Levels!$B$2:$B$30,0)),""))</f>
        <v/>
      </c>
      <c r="G2642" s="6" t="n"/>
      <c r="H2642" s="10">
        <f>IF(AND(B2642="",C2642=""),"",IF(G2642&lt;&gt;"","Void",IF(OR(B2642="",E2642=""),"Needs child",IF(D2642="","Needs level","OK"))))</f>
        <v/>
      </c>
    </row>
    <row r="2643">
      <c r="A2643" s="6" t="n"/>
      <c r="B2643" s="6" t="n"/>
      <c r="C2643" s="6" t="n"/>
      <c r="D2643" s="11">
        <f>IF(C2643="","",IFERROR(INDEX(Levels!$A$2:$A$30,MATCH(C2643,Levels!$B$2:$B$30,0)),""))</f>
        <v/>
      </c>
      <c r="E2643" s="10">
        <f>IF(B2643="","",IFERROR(INDEX(Roster!$A$2:$A$600,MATCH(B2643,Roster!$E$2:$E$600,0)),""))</f>
        <v/>
      </c>
      <c r="F2643" s="10">
        <f>IF(C2643="","",IFERROR(INDEX(Levels!$C$2:$C$30,MATCH(C2643,Levels!$B$2:$B$30,0)),""))</f>
        <v/>
      </c>
      <c r="G2643" s="6" t="n"/>
      <c r="H2643" s="10">
        <f>IF(AND(B2643="",C2643=""),"",IF(G2643&lt;&gt;"","Void",IF(OR(B2643="",E2643=""),"Needs child",IF(D2643="","Needs level","OK"))))</f>
        <v/>
      </c>
    </row>
    <row r="2644">
      <c r="A2644" s="6" t="n"/>
      <c r="B2644" s="6" t="n"/>
      <c r="C2644" s="6" t="n"/>
      <c r="D2644" s="11">
        <f>IF(C2644="","",IFERROR(INDEX(Levels!$A$2:$A$30,MATCH(C2644,Levels!$B$2:$B$30,0)),""))</f>
        <v/>
      </c>
      <c r="E2644" s="10">
        <f>IF(B2644="","",IFERROR(INDEX(Roster!$A$2:$A$600,MATCH(B2644,Roster!$E$2:$E$600,0)),""))</f>
        <v/>
      </c>
      <c r="F2644" s="10">
        <f>IF(C2644="","",IFERROR(INDEX(Levels!$C$2:$C$30,MATCH(C2644,Levels!$B$2:$B$30,0)),""))</f>
        <v/>
      </c>
      <c r="G2644" s="6" t="n"/>
      <c r="H2644" s="10">
        <f>IF(AND(B2644="",C2644=""),"",IF(G2644&lt;&gt;"","Void",IF(OR(B2644="",E2644=""),"Needs child",IF(D2644="","Needs level","OK"))))</f>
        <v/>
      </c>
    </row>
    <row r="2645">
      <c r="A2645" s="6" t="n"/>
      <c r="B2645" s="6" t="n"/>
      <c r="C2645" s="6" t="n"/>
      <c r="D2645" s="11">
        <f>IF(C2645="","",IFERROR(INDEX(Levels!$A$2:$A$30,MATCH(C2645,Levels!$B$2:$B$30,0)),""))</f>
        <v/>
      </c>
      <c r="E2645" s="10">
        <f>IF(B2645="","",IFERROR(INDEX(Roster!$A$2:$A$600,MATCH(B2645,Roster!$E$2:$E$600,0)),""))</f>
        <v/>
      </c>
      <c r="F2645" s="10">
        <f>IF(C2645="","",IFERROR(INDEX(Levels!$C$2:$C$30,MATCH(C2645,Levels!$B$2:$B$30,0)),""))</f>
        <v/>
      </c>
      <c r="G2645" s="6" t="n"/>
      <c r="H2645" s="10">
        <f>IF(AND(B2645="",C2645=""),"",IF(G2645&lt;&gt;"","Void",IF(OR(B2645="",E2645=""),"Needs child",IF(D2645="","Needs level","OK"))))</f>
        <v/>
      </c>
    </row>
    <row r="2646">
      <c r="A2646" s="6" t="n"/>
      <c r="B2646" s="6" t="n"/>
      <c r="C2646" s="6" t="n"/>
      <c r="D2646" s="11">
        <f>IF(C2646="","",IFERROR(INDEX(Levels!$A$2:$A$30,MATCH(C2646,Levels!$B$2:$B$30,0)),""))</f>
        <v/>
      </c>
      <c r="E2646" s="10">
        <f>IF(B2646="","",IFERROR(INDEX(Roster!$A$2:$A$600,MATCH(B2646,Roster!$E$2:$E$600,0)),""))</f>
        <v/>
      </c>
      <c r="F2646" s="10">
        <f>IF(C2646="","",IFERROR(INDEX(Levels!$C$2:$C$30,MATCH(C2646,Levels!$B$2:$B$30,0)),""))</f>
        <v/>
      </c>
      <c r="G2646" s="6" t="n"/>
      <c r="H2646" s="10">
        <f>IF(AND(B2646="",C2646=""),"",IF(G2646&lt;&gt;"","Void",IF(OR(B2646="",E2646=""),"Needs child",IF(D2646="","Needs level","OK"))))</f>
        <v/>
      </c>
    </row>
    <row r="2647">
      <c r="A2647" s="6" t="n"/>
      <c r="B2647" s="6" t="n"/>
      <c r="C2647" s="6" t="n"/>
      <c r="D2647" s="11">
        <f>IF(C2647="","",IFERROR(INDEX(Levels!$A$2:$A$30,MATCH(C2647,Levels!$B$2:$B$30,0)),""))</f>
        <v/>
      </c>
      <c r="E2647" s="10">
        <f>IF(B2647="","",IFERROR(INDEX(Roster!$A$2:$A$600,MATCH(B2647,Roster!$E$2:$E$600,0)),""))</f>
        <v/>
      </c>
      <c r="F2647" s="10">
        <f>IF(C2647="","",IFERROR(INDEX(Levels!$C$2:$C$30,MATCH(C2647,Levels!$B$2:$B$30,0)),""))</f>
        <v/>
      </c>
      <c r="G2647" s="6" t="n"/>
      <c r="H2647" s="10">
        <f>IF(AND(B2647="",C2647=""),"",IF(G2647&lt;&gt;"","Void",IF(OR(B2647="",E2647=""),"Needs child",IF(D2647="","Needs level","OK"))))</f>
        <v/>
      </c>
    </row>
    <row r="2648">
      <c r="A2648" s="6" t="n"/>
      <c r="B2648" s="6" t="n"/>
      <c r="C2648" s="6" t="n"/>
      <c r="D2648" s="11">
        <f>IF(C2648="","",IFERROR(INDEX(Levels!$A$2:$A$30,MATCH(C2648,Levels!$B$2:$B$30,0)),""))</f>
        <v/>
      </c>
      <c r="E2648" s="10">
        <f>IF(B2648="","",IFERROR(INDEX(Roster!$A$2:$A$600,MATCH(B2648,Roster!$E$2:$E$600,0)),""))</f>
        <v/>
      </c>
      <c r="F2648" s="10">
        <f>IF(C2648="","",IFERROR(INDEX(Levels!$C$2:$C$30,MATCH(C2648,Levels!$B$2:$B$30,0)),""))</f>
        <v/>
      </c>
      <c r="G2648" s="6" t="n"/>
      <c r="H2648" s="10">
        <f>IF(AND(B2648="",C2648=""),"",IF(G2648&lt;&gt;"","Void",IF(OR(B2648="",E2648=""),"Needs child",IF(D2648="","Needs level","OK"))))</f>
        <v/>
      </c>
    </row>
    <row r="2649">
      <c r="A2649" s="6" t="n"/>
      <c r="B2649" s="6" t="n"/>
      <c r="C2649" s="6" t="n"/>
      <c r="D2649" s="11">
        <f>IF(C2649="","",IFERROR(INDEX(Levels!$A$2:$A$30,MATCH(C2649,Levels!$B$2:$B$30,0)),""))</f>
        <v/>
      </c>
      <c r="E2649" s="10">
        <f>IF(B2649="","",IFERROR(INDEX(Roster!$A$2:$A$600,MATCH(B2649,Roster!$E$2:$E$600,0)),""))</f>
        <v/>
      </c>
      <c r="F2649" s="10">
        <f>IF(C2649="","",IFERROR(INDEX(Levels!$C$2:$C$30,MATCH(C2649,Levels!$B$2:$B$30,0)),""))</f>
        <v/>
      </c>
      <c r="G2649" s="6" t="n"/>
      <c r="H2649" s="10">
        <f>IF(AND(B2649="",C2649=""),"",IF(G2649&lt;&gt;"","Void",IF(OR(B2649="",E2649=""),"Needs child",IF(D2649="","Needs level","OK"))))</f>
        <v/>
      </c>
    </row>
    <row r="2650">
      <c r="A2650" s="6" t="n"/>
      <c r="B2650" s="6" t="n"/>
      <c r="C2650" s="6" t="n"/>
      <c r="D2650" s="11">
        <f>IF(C2650="","",IFERROR(INDEX(Levels!$A$2:$A$30,MATCH(C2650,Levels!$B$2:$B$30,0)),""))</f>
        <v/>
      </c>
      <c r="E2650" s="10">
        <f>IF(B2650="","",IFERROR(INDEX(Roster!$A$2:$A$600,MATCH(B2650,Roster!$E$2:$E$600,0)),""))</f>
        <v/>
      </c>
      <c r="F2650" s="10">
        <f>IF(C2650="","",IFERROR(INDEX(Levels!$C$2:$C$30,MATCH(C2650,Levels!$B$2:$B$30,0)),""))</f>
        <v/>
      </c>
      <c r="G2650" s="6" t="n"/>
      <c r="H2650" s="10">
        <f>IF(AND(B2650="",C2650=""),"",IF(G2650&lt;&gt;"","Void",IF(OR(B2650="",E2650=""),"Needs child",IF(D2650="","Needs level","OK"))))</f>
        <v/>
      </c>
    </row>
    <row r="2651">
      <c r="A2651" s="6" t="n"/>
      <c r="B2651" s="6" t="n"/>
      <c r="C2651" s="6" t="n"/>
      <c r="D2651" s="11">
        <f>IF(C2651="","",IFERROR(INDEX(Levels!$A$2:$A$30,MATCH(C2651,Levels!$B$2:$B$30,0)),""))</f>
        <v/>
      </c>
      <c r="E2651" s="10">
        <f>IF(B2651="","",IFERROR(INDEX(Roster!$A$2:$A$600,MATCH(B2651,Roster!$E$2:$E$600,0)),""))</f>
        <v/>
      </c>
      <c r="F2651" s="10">
        <f>IF(C2651="","",IFERROR(INDEX(Levels!$C$2:$C$30,MATCH(C2651,Levels!$B$2:$B$30,0)),""))</f>
        <v/>
      </c>
      <c r="G2651" s="6" t="n"/>
      <c r="H2651" s="10">
        <f>IF(AND(B2651="",C2651=""),"",IF(G2651&lt;&gt;"","Void",IF(OR(B2651="",E2651=""),"Needs child",IF(D2651="","Needs level","OK"))))</f>
        <v/>
      </c>
    </row>
    <row r="2652">
      <c r="A2652" s="6" t="n"/>
      <c r="B2652" s="6" t="n"/>
      <c r="C2652" s="6" t="n"/>
      <c r="D2652" s="11">
        <f>IF(C2652="","",IFERROR(INDEX(Levels!$A$2:$A$30,MATCH(C2652,Levels!$B$2:$B$30,0)),""))</f>
        <v/>
      </c>
      <c r="E2652" s="10">
        <f>IF(B2652="","",IFERROR(INDEX(Roster!$A$2:$A$600,MATCH(B2652,Roster!$E$2:$E$600,0)),""))</f>
        <v/>
      </c>
      <c r="F2652" s="10">
        <f>IF(C2652="","",IFERROR(INDEX(Levels!$C$2:$C$30,MATCH(C2652,Levels!$B$2:$B$30,0)),""))</f>
        <v/>
      </c>
      <c r="G2652" s="6" t="n"/>
      <c r="H2652" s="10">
        <f>IF(AND(B2652="",C2652=""),"",IF(G2652&lt;&gt;"","Void",IF(OR(B2652="",E2652=""),"Needs child",IF(D2652="","Needs level","OK"))))</f>
        <v/>
      </c>
    </row>
    <row r="2653">
      <c r="A2653" s="6" t="n"/>
      <c r="B2653" s="6" t="n"/>
      <c r="C2653" s="6" t="n"/>
      <c r="D2653" s="11">
        <f>IF(C2653="","",IFERROR(INDEX(Levels!$A$2:$A$30,MATCH(C2653,Levels!$B$2:$B$30,0)),""))</f>
        <v/>
      </c>
      <c r="E2653" s="10">
        <f>IF(B2653="","",IFERROR(INDEX(Roster!$A$2:$A$600,MATCH(B2653,Roster!$E$2:$E$600,0)),""))</f>
        <v/>
      </c>
      <c r="F2653" s="10">
        <f>IF(C2653="","",IFERROR(INDEX(Levels!$C$2:$C$30,MATCH(C2653,Levels!$B$2:$B$30,0)),""))</f>
        <v/>
      </c>
      <c r="G2653" s="6" t="n"/>
      <c r="H2653" s="10">
        <f>IF(AND(B2653="",C2653=""),"",IF(G2653&lt;&gt;"","Void",IF(OR(B2653="",E2653=""),"Needs child",IF(D2653="","Needs level","OK"))))</f>
        <v/>
      </c>
    </row>
    <row r="2654">
      <c r="A2654" s="6" t="n"/>
      <c r="B2654" s="6" t="n"/>
      <c r="C2654" s="6" t="n"/>
      <c r="D2654" s="11">
        <f>IF(C2654="","",IFERROR(INDEX(Levels!$A$2:$A$30,MATCH(C2654,Levels!$B$2:$B$30,0)),""))</f>
        <v/>
      </c>
      <c r="E2654" s="10">
        <f>IF(B2654="","",IFERROR(INDEX(Roster!$A$2:$A$600,MATCH(B2654,Roster!$E$2:$E$600,0)),""))</f>
        <v/>
      </c>
      <c r="F2654" s="10">
        <f>IF(C2654="","",IFERROR(INDEX(Levels!$C$2:$C$30,MATCH(C2654,Levels!$B$2:$B$30,0)),""))</f>
        <v/>
      </c>
      <c r="G2654" s="6" t="n"/>
      <c r="H2654" s="10">
        <f>IF(AND(B2654="",C2654=""),"",IF(G2654&lt;&gt;"","Void",IF(OR(B2654="",E2654=""),"Needs child",IF(D2654="","Needs level","OK"))))</f>
        <v/>
      </c>
    </row>
    <row r="2655">
      <c r="A2655" s="6" t="n"/>
      <c r="B2655" s="6" t="n"/>
      <c r="C2655" s="6" t="n"/>
      <c r="D2655" s="11">
        <f>IF(C2655="","",IFERROR(INDEX(Levels!$A$2:$A$30,MATCH(C2655,Levels!$B$2:$B$30,0)),""))</f>
        <v/>
      </c>
      <c r="E2655" s="10">
        <f>IF(B2655="","",IFERROR(INDEX(Roster!$A$2:$A$600,MATCH(B2655,Roster!$E$2:$E$600,0)),""))</f>
        <v/>
      </c>
      <c r="F2655" s="10">
        <f>IF(C2655="","",IFERROR(INDEX(Levels!$C$2:$C$30,MATCH(C2655,Levels!$B$2:$B$30,0)),""))</f>
        <v/>
      </c>
      <c r="G2655" s="6" t="n"/>
      <c r="H2655" s="10">
        <f>IF(AND(B2655="",C2655=""),"",IF(G2655&lt;&gt;"","Void",IF(OR(B2655="",E2655=""),"Needs child",IF(D2655="","Needs level","OK"))))</f>
        <v/>
      </c>
    </row>
    <row r="2656">
      <c r="A2656" s="6" t="n"/>
      <c r="B2656" s="6" t="n"/>
      <c r="C2656" s="6" t="n"/>
      <c r="D2656" s="11">
        <f>IF(C2656="","",IFERROR(INDEX(Levels!$A$2:$A$30,MATCH(C2656,Levels!$B$2:$B$30,0)),""))</f>
        <v/>
      </c>
      <c r="E2656" s="10">
        <f>IF(B2656="","",IFERROR(INDEX(Roster!$A$2:$A$600,MATCH(B2656,Roster!$E$2:$E$600,0)),""))</f>
        <v/>
      </c>
      <c r="F2656" s="10">
        <f>IF(C2656="","",IFERROR(INDEX(Levels!$C$2:$C$30,MATCH(C2656,Levels!$B$2:$B$30,0)),""))</f>
        <v/>
      </c>
      <c r="G2656" s="6" t="n"/>
      <c r="H2656" s="10">
        <f>IF(AND(B2656="",C2656=""),"",IF(G2656&lt;&gt;"","Void",IF(OR(B2656="",E2656=""),"Needs child",IF(D2656="","Needs level","OK"))))</f>
        <v/>
      </c>
    </row>
    <row r="2657">
      <c r="A2657" s="6" t="n"/>
      <c r="B2657" s="6" t="n"/>
      <c r="C2657" s="6" t="n"/>
      <c r="D2657" s="11">
        <f>IF(C2657="","",IFERROR(INDEX(Levels!$A$2:$A$30,MATCH(C2657,Levels!$B$2:$B$30,0)),""))</f>
        <v/>
      </c>
      <c r="E2657" s="10">
        <f>IF(B2657="","",IFERROR(INDEX(Roster!$A$2:$A$600,MATCH(B2657,Roster!$E$2:$E$600,0)),""))</f>
        <v/>
      </c>
      <c r="F2657" s="10">
        <f>IF(C2657="","",IFERROR(INDEX(Levels!$C$2:$C$30,MATCH(C2657,Levels!$B$2:$B$30,0)),""))</f>
        <v/>
      </c>
      <c r="G2657" s="6" t="n"/>
      <c r="H2657" s="10">
        <f>IF(AND(B2657="",C2657=""),"",IF(G2657&lt;&gt;"","Void",IF(OR(B2657="",E2657=""),"Needs child",IF(D2657="","Needs level","OK"))))</f>
        <v/>
      </c>
    </row>
    <row r="2658">
      <c r="A2658" s="6" t="n"/>
      <c r="B2658" s="6" t="n"/>
      <c r="C2658" s="6" t="n"/>
      <c r="D2658" s="11">
        <f>IF(C2658="","",IFERROR(INDEX(Levels!$A$2:$A$30,MATCH(C2658,Levels!$B$2:$B$30,0)),""))</f>
        <v/>
      </c>
      <c r="E2658" s="10">
        <f>IF(B2658="","",IFERROR(INDEX(Roster!$A$2:$A$600,MATCH(B2658,Roster!$E$2:$E$600,0)),""))</f>
        <v/>
      </c>
      <c r="F2658" s="10">
        <f>IF(C2658="","",IFERROR(INDEX(Levels!$C$2:$C$30,MATCH(C2658,Levels!$B$2:$B$30,0)),""))</f>
        <v/>
      </c>
      <c r="G2658" s="6" t="n"/>
      <c r="H2658" s="10">
        <f>IF(AND(B2658="",C2658=""),"",IF(G2658&lt;&gt;"","Void",IF(OR(B2658="",E2658=""),"Needs child",IF(D2658="","Needs level","OK"))))</f>
        <v/>
      </c>
    </row>
    <row r="2659">
      <c r="A2659" s="6" t="n"/>
      <c r="B2659" s="6" t="n"/>
      <c r="C2659" s="6" t="n"/>
      <c r="D2659" s="11">
        <f>IF(C2659="","",IFERROR(INDEX(Levels!$A$2:$A$30,MATCH(C2659,Levels!$B$2:$B$30,0)),""))</f>
        <v/>
      </c>
      <c r="E2659" s="10">
        <f>IF(B2659="","",IFERROR(INDEX(Roster!$A$2:$A$600,MATCH(B2659,Roster!$E$2:$E$600,0)),""))</f>
        <v/>
      </c>
      <c r="F2659" s="10">
        <f>IF(C2659="","",IFERROR(INDEX(Levels!$C$2:$C$30,MATCH(C2659,Levels!$B$2:$B$30,0)),""))</f>
        <v/>
      </c>
      <c r="G2659" s="6" t="n"/>
      <c r="H2659" s="10">
        <f>IF(AND(B2659="",C2659=""),"",IF(G2659&lt;&gt;"","Void",IF(OR(B2659="",E2659=""),"Needs child",IF(D2659="","Needs level","OK"))))</f>
        <v/>
      </c>
    </row>
    <row r="2660">
      <c r="A2660" s="6" t="n"/>
      <c r="B2660" s="6" t="n"/>
      <c r="C2660" s="6" t="n"/>
      <c r="D2660" s="11">
        <f>IF(C2660="","",IFERROR(INDEX(Levels!$A$2:$A$30,MATCH(C2660,Levels!$B$2:$B$30,0)),""))</f>
        <v/>
      </c>
      <c r="E2660" s="10">
        <f>IF(B2660="","",IFERROR(INDEX(Roster!$A$2:$A$600,MATCH(B2660,Roster!$E$2:$E$600,0)),""))</f>
        <v/>
      </c>
      <c r="F2660" s="10">
        <f>IF(C2660="","",IFERROR(INDEX(Levels!$C$2:$C$30,MATCH(C2660,Levels!$B$2:$B$30,0)),""))</f>
        <v/>
      </c>
      <c r="G2660" s="6" t="n"/>
      <c r="H2660" s="10">
        <f>IF(AND(B2660="",C2660=""),"",IF(G2660&lt;&gt;"","Void",IF(OR(B2660="",E2660=""),"Needs child",IF(D2660="","Needs level","OK"))))</f>
        <v/>
      </c>
    </row>
    <row r="2661">
      <c r="A2661" s="6" t="n"/>
      <c r="B2661" s="6" t="n"/>
      <c r="C2661" s="6" t="n"/>
      <c r="D2661" s="11">
        <f>IF(C2661="","",IFERROR(INDEX(Levels!$A$2:$A$30,MATCH(C2661,Levels!$B$2:$B$30,0)),""))</f>
        <v/>
      </c>
      <c r="E2661" s="10">
        <f>IF(B2661="","",IFERROR(INDEX(Roster!$A$2:$A$600,MATCH(B2661,Roster!$E$2:$E$600,0)),""))</f>
        <v/>
      </c>
      <c r="F2661" s="10">
        <f>IF(C2661="","",IFERROR(INDEX(Levels!$C$2:$C$30,MATCH(C2661,Levels!$B$2:$B$30,0)),""))</f>
        <v/>
      </c>
      <c r="G2661" s="6" t="n"/>
      <c r="H2661" s="10">
        <f>IF(AND(B2661="",C2661=""),"",IF(G2661&lt;&gt;"","Void",IF(OR(B2661="",E2661=""),"Needs child",IF(D2661="","Needs level","OK"))))</f>
        <v/>
      </c>
    </row>
    <row r="2662">
      <c r="A2662" s="6" t="n"/>
      <c r="B2662" s="6" t="n"/>
      <c r="C2662" s="6" t="n"/>
      <c r="D2662" s="11">
        <f>IF(C2662="","",IFERROR(INDEX(Levels!$A$2:$A$30,MATCH(C2662,Levels!$B$2:$B$30,0)),""))</f>
        <v/>
      </c>
      <c r="E2662" s="10">
        <f>IF(B2662="","",IFERROR(INDEX(Roster!$A$2:$A$600,MATCH(B2662,Roster!$E$2:$E$600,0)),""))</f>
        <v/>
      </c>
      <c r="F2662" s="10">
        <f>IF(C2662="","",IFERROR(INDEX(Levels!$C$2:$C$30,MATCH(C2662,Levels!$B$2:$B$30,0)),""))</f>
        <v/>
      </c>
      <c r="G2662" s="6" t="n"/>
      <c r="H2662" s="10">
        <f>IF(AND(B2662="",C2662=""),"",IF(G2662&lt;&gt;"","Void",IF(OR(B2662="",E2662=""),"Needs child",IF(D2662="","Needs level","OK"))))</f>
        <v/>
      </c>
    </row>
    <row r="2663">
      <c r="A2663" s="6" t="n"/>
      <c r="B2663" s="6" t="n"/>
      <c r="C2663" s="6" t="n"/>
      <c r="D2663" s="11">
        <f>IF(C2663="","",IFERROR(INDEX(Levels!$A$2:$A$30,MATCH(C2663,Levels!$B$2:$B$30,0)),""))</f>
        <v/>
      </c>
      <c r="E2663" s="10">
        <f>IF(B2663="","",IFERROR(INDEX(Roster!$A$2:$A$600,MATCH(B2663,Roster!$E$2:$E$600,0)),""))</f>
        <v/>
      </c>
      <c r="F2663" s="10">
        <f>IF(C2663="","",IFERROR(INDEX(Levels!$C$2:$C$30,MATCH(C2663,Levels!$B$2:$B$30,0)),""))</f>
        <v/>
      </c>
      <c r="G2663" s="6" t="n"/>
      <c r="H2663" s="10">
        <f>IF(AND(B2663="",C2663=""),"",IF(G2663&lt;&gt;"","Void",IF(OR(B2663="",E2663=""),"Needs child",IF(D2663="","Needs level","OK"))))</f>
        <v/>
      </c>
    </row>
    <row r="2664">
      <c r="A2664" s="6" t="n"/>
      <c r="B2664" s="6" t="n"/>
      <c r="C2664" s="6" t="n"/>
      <c r="D2664" s="11">
        <f>IF(C2664="","",IFERROR(INDEX(Levels!$A$2:$A$30,MATCH(C2664,Levels!$B$2:$B$30,0)),""))</f>
        <v/>
      </c>
      <c r="E2664" s="10">
        <f>IF(B2664="","",IFERROR(INDEX(Roster!$A$2:$A$600,MATCH(B2664,Roster!$E$2:$E$600,0)),""))</f>
        <v/>
      </c>
      <c r="F2664" s="10">
        <f>IF(C2664="","",IFERROR(INDEX(Levels!$C$2:$C$30,MATCH(C2664,Levels!$B$2:$B$30,0)),""))</f>
        <v/>
      </c>
      <c r="G2664" s="6" t="n"/>
      <c r="H2664" s="10">
        <f>IF(AND(B2664="",C2664=""),"",IF(G2664&lt;&gt;"","Void",IF(OR(B2664="",E2664=""),"Needs child",IF(D2664="","Needs level","OK"))))</f>
        <v/>
      </c>
    </row>
    <row r="2665">
      <c r="A2665" s="6" t="n"/>
      <c r="B2665" s="6" t="n"/>
      <c r="C2665" s="6" t="n"/>
      <c r="D2665" s="11">
        <f>IF(C2665="","",IFERROR(INDEX(Levels!$A$2:$A$30,MATCH(C2665,Levels!$B$2:$B$30,0)),""))</f>
        <v/>
      </c>
      <c r="E2665" s="10">
        <f>IF(B2665="","",IFERROR(INDEX(Roster!$A$2:$A$600,MATCH(B2665,Roster!$E$2:$E$600,0)),""))</f>
        <v/>
      </c>
      <c r="F2665" s="10">
        <f>IF(C2665="","",IFERROR(INDEX(Levels!$C$2:$C$30,MATCH(C2665,Levels!$B$2:$B$30,0)),""))</f>
        <v/>
      </c>
      <c r="G2665" s="6" t="n"/>
      <c r="H2665" s="10">
        <f>IF(AND(B2665="",C2665=""),"",IF(G2665&lt;&gt;"","Void",IF(OR(B2665="",E2665=""),"Needs child",IF(D2665="","Needs level","OK"))))</f>
        <v/>
      </c>
    </row>
    <row r="2666">
      <c r="A2666" s="6" t="n"/>
      <c r="B2666" s="6" t="n"/>
      <c r="C2666" s="6" t="n"/>
      <c r="D2666" s="11">
        <f>IF(C2666="","",IFERROR(INDEX(Levels!$A$2:$A$30,MATCH(C2666,Levels!$B$2:$B$30,0)),""))</f>
        <v/>
      </c>
      <c r="E2666" s="10">
        <f>IF(B2666="","",IFERROR(INDEX(Roster!$A$2:$A$600,MATCH(B2666,Roster!$E$2:$E$600,0)),""))</f>
        <v/>
      </c>
      <c r="F2666" s="10">
        <f>IF(C2666="","",IFERROR(INDEX(Levels!$C$2:$C$30,MATCH(C2666,Levels!$B$2:$B$30,0)),""))</f>
        <v/>
      </c>
      <c r="G2666" s="6" t="n"/>
      <c r="H2666" s="10">
        <f>IF(AND(B2666="",C2666=""),"",IF(G2666&lt;&gt;"","Void",IF(OR(B2666="",E2666=""),"Needs child",IF(D2666="","Needs level","OK"))))</f>
        <v/>
      </c>
    </row>
    <row r="2667">
      <c r="A2667" s="6" t="n"/>
      <c r="B2667" s="6" t="n"/>
      <c r="C2667" s="6" t="n"/>
      <c r="D2667" s="11">
        <f>IF(C2667="","",IFERROR(INDEX(Levels!$A$2:$A$30,MATCH(C2667,Levels!$B$2:$B$30,0)),""))</f>
        <v/>
      </c>
      <c r="E2667" s="10">
        <f>IF(B2667="","",IFERROR(INDEX(Roster!$A$2:$A$600,MATCH(B2667,Roster!$E$2:$E$600,0)),""))</f>
        <v/>
      </c>
      <c r="F2667" s="10">
        <f>IF(C2667="","",IFERROR(INDEX(Levels!$C$2:$C$30,MATCH(C2667,Levels!$B$2:$B$30,0)),""))</f>
        <v/>
      </c>
      <c r="G2667" s="6" t="n"/>
      <c r="H2667" s="10">
        <f>IF(AND(B2667="",C2667=""),"",IF(G2667&lt;&gt;"","Void",IF(OR(B2667="",E2667=""),"Needs child",IF(D2667="","Needs level","OK"))))</f>
        <v/>
      </c>
    </row>
    <row r="2668">
      <c r="A2668" s="6" t="n"/>
      <c r="B2668" s="6" t="n"/>
      <c r="C2668" s="6" t="n"/>
      <c r="D2668" s="11">
        <f>IF(C2668="","",IFERROR(INDEX(Levels!$A$2:$A$30,MATCH(C2668,Levels!$B$2:$B$30,0)),""))</f>
        <v/>
      </c>
      <c r="E2668" s="10">
        <f>IF(B2668="","",IFERROR(INDEX(Roster!$A$2:$A$600,MATCH(B2668,Roster!$E$2:$E$600,0)),""))</f>
        <v/>
      </c>
      <c r="F2668" s="10">
        <f>IF(C2668="","",IFERROR(INDEX(Levels!$C$2:$C$30,MATCH(C2668,Levels!$B$2:$B$30,0)),""))</f>
        <v/>
      </c>
      <c r="G2668" s="6" t="n"/>
      <c r="H2668" s="10">
        <f>IF(AND(B2668="",C2668=""),"",IF(G2668&lt;&gt;"","Void",IF(OR(B2668="",E2668=""),"Needs child",IF(D2668="","Needs level","OK"))))</f>
        <v/>
      </c>
    </row>
    <row r="2669">
      <c r="A2669" s="6" t="n"/>
      <c r="B2669" s="6" t="n"/>
      <c r="C2669" s="6" t="n"/>
      <c r="D2669" s="11">
        <f>IF(C2669="","",IFERROR(INDEX(Levels!$A$2:$A$30,MATCH(C2669,Levels!$B$2:$B$30,0)),""))</f>
        <v/>
      </c>
      <c r="E2669" s="10">
        <f>IF(B2669="","",IFERROR(INDEX(Roster!$A$2:$A$600,MATCH(B2669,Roster!$E$2:$E$600,0)),""))</f>
        <v/>
      </c>
      <c r="F2669" s="10">
        <f>IF(C2669="","",IFERROR(INDEX(Levels!$C$2:$C$30,MATCH(C2669,Levels!$B$2:$B$30,0)),""))</f>
        <v/>
      </c>
      <c r="G2669" s="6" t="n"/>
      <c r="H2669" s="10">
        <f>IF(AND(B2669="",C2669=""),"",IF(G2669&lt;&gt;"","Void",IF(OR(B2669="",E2669=""),"Needs child",IF(D2669="","Needs level","OK"))))</f>
        <v/>
      </c>
    </row>
    <row r="2670">
      <c r="A2670" s="6" t="n"/>
      <c r="B2670" s="6" t="n"/>
      <c r="C2670" s="6" t="n"/>
      <c r="D2670" s="11">
        <f>IF(C2670="","",IFERROR(INDEX(Levels!$A$2:$A$30,MATCH(C2670,Levels!$B$2:$B$30,0)),""))</f>
        <v/>
      </c>
      <c r="E2670" s="10">
        <f>IF(B2670="","",IFERROR(INDEX(Roster!$A$2:$A$600,MATCH(B2670,Roster!$E$2:$E$600,0)),""))</f>
        <v/>
      </c>
      <c r="F2670" s="10">
        <f>IF(C2670="","",IFERROR(INDEX(Levels!$C$2:$C$30,MATCH(C2670,Levels!$B$2:$B$30,0)),""))</f>
        <v/>
      </c>
      <c r="G2670" s="6" t="n"/>
      <c r="H2670" s="10">
        <f>IF(AND(B2670="",C2670=""),"",IF(G2670&lt;&gt;"","Void",IF(OR(B2670="",E2670=""),"Needs child",IF(D2670="","Needs level","OK"))))</f>
        <v/>
      </c>
    </row>
    <row r="2671">
      <c r="A2671" s="6" t="n"/>
      <c r="B2671" s="6" t="n"/>
      <c r="C2671" s="6" t="n"/>
      <c r="D2671" s="11">
        <f>IF(C2671="","",IFERROR(INDEX(Levels!$A$2:$A$30,MATCH(C2671,Levels!$B$2:$B$30,0)),""))</f>
        <v/>
      </c>
      <c r="E2671" s="10">
        <f>IF(B2671="","",IFERROR(INDEX(Roster!$A$2:$A$600,MATCH(B2671,Roster!$E$2:$E$600,0)),""))</f>
        <v/>
      </c>
      <c r="F2671" s="10">
        <f>IF(C2671="","",IFERROR(INDEX(Levels!$C$2:$C$30,MATCH(C2671,Levels!$B$2:$B$30,0)),""))</f>
        <v/>
      </c>
      <c r="G2671" s="6" t="n"/>
      <c r="H2671" s="10">
        <f>IF(AND(B2671="",C2671=""),"",IF(G2671&lt;&gt;"","Void",IF(OR(B2671="",E2671=""),"Needs child",IF(D2671="","Needs level","OK"))))</f>
        <v/>
      </c>
    </row>
    <row r="2672">
      <c r="A2672" s="6" t="n"/>
      <c r="B2672" s="6" t="n"/>
      <c r="C2672" s="6" t="n"/>
      <c r="D2672" s="11">
        <f>IF(C2672="","",IFERROR(INDEX(Levels!$A$2:$A$30,MATCH(C2672,Levels!$B$2:$B$30,0)),""))</f>
        <v/>
      </c>
      <c r="E2672" s="10">
        <f>IF(B2672="","",IFERROR(INDEX(Roster!$A$2:$A$600,MATCH(B2672,Roster!$E$2:$E$600,0)),""))</f>
        <v/>
      </c>
      <c r="F2672" s="10">
        <f>IF(C2672="","",IFERROR(INDEX(Levels!$C$2:$C$30,MATCH(C2672,Levels!$B$2:$B$30,0)),""))</f>
        <v/>
      </c>
      <c r="G2672" s="6" t="n"/>
      <c r="H2672" s="10">
        <f>IF(AND(B2672="",C2672=""),"",IF(G2672&lt;&gt;"","Void",IF(OR(B2672="",E2672=""),"Needs child",IF(D2672="","Needs level","OK"))))</f>
        <v/>
      </c>
    </row>
    <row r="2673">
      <c r="A2673" s="6" t="n"/>
      <c r="B2673" s="6" t="n"/>
      <c r="C2673" s="6" t="n"/>
      <c r="D2673" s="11">
        <f>IF(C2673="","",IFERROR(INDEX(Levels!$A$2:$A$30,MATCH(C2673,Levels!$B$2:$B$30,0)),""))</f>
        <v/>
      </c>
      <c r="E2673" s="10">
        <f>IF(B2673="","",IFERROR(INDEX(Roster!$A$2:$A$600,MATCH(B2673,Roster!$E$2:$E$600,0)),""))</f>
        <v/>
      </c>
      <c r="F2673" s="10">
        <f>IF(C2673="","",IFERROR(INDEX(Levels!$C$2:$C$30,MATCH(C2673,Levels!$B$2:$B$30,0)),""))</f>
        <v/>
      </c>
      <c r="G2673" s="6" t="n"/>
      <c r="H2673" s="10">
        <f>IF(AND(B2673="",C2673=""),"",IF(G2673&lt;&gt;"","Void",IF(OR(B2673="",E2673=""),"Needs child",IF(D2673="","Needs level","OK"))))</f>
        <v/>
      </c>
    </row>
    <row r="2674">
      <c r="A2674" s="6" t="n"/>
      <c r="B2674" s="6" t="n"/>
      <c r="C2674" s="6" t="n"/>
      <c r="D2674" s="11">
        <f>IF(C2674="","",IFERROR(INDEX(Levels!$A$2:$A$30,MATCH(C2674,Levels!$B$2:$B$30,0)),""))</f>
        <v/>
      </c>
      <c r="E2674" s="10">
        <f>IF(B2674="","",IFERROR(INDEX(Roster!$A$2:$A$600,MATCH(B2674,Roster!$E$2:$E$600,0)),""))</f>
        <v/>
      </c>
      <c r="F2674" s="10">
        <f>IF(C2674="","",IFERROR(INDEX(Levels!$C$2:$C$30,MATCH(C2674,Levels!$B$2:$B$30,0)),""))</f>
        <v/>
      </c>
      <c r="G2674" s="6" t="n"/>
      <c r="H2674" s="10">
        <f>IF(AND(B2674="",C2674=""),"",IF(G2674&lt;&gt;"","Void",IF(OR(B2674="",E2674=""),"Needs child",IF(D2674="","Needs level","OK"))))</f>
        <v/>
      </c>
    </row>
    <row r="2675">
      <c r="A2675" s="6" t="n"/>
      <c r="B2675" s="6" t="n"/>
      <c r="C2675" s="6" t="n"/>
      <c r="D2675" s="11">
        <f>IF(C2675="","",IFERROR(INDEX(Levels!$A$2:$A$30,MATCH(C2675,Levels!$B$2:$B$30,0)),""))</f>
        <v/>
      </c>
      <c r="E2675" s="10">
        <f>IF(B2675="","",IFERROR(INDEX(Roster!$A$2:$A$600,MATCH(B2675,Roster!$E$2:$E$600,0)),""))</f>
        <v/>
      </c>
      <c r="F2675" s="10">
        <f>IF(C2675="","",IFERROR(INDEX(Levels!$C$2:$C$30,MATCH(C2675,Levels!$B$2:$B$30,0)),""))</f>
        <v/>
      </c>
      <c r="G2675" s="6" t="n"/>
      <c r="H2675" s="10">
        <f>IF(AND(B2675="",C2675=""),"",IF(G2675&lt;&gt;"","Void",IF(OR(B2675="",E2675=""),"Needs child",IF(D2675="","Needs level","OK"))))</f>
        <v/>
      </c>
    </row>
    <row r="2676">
      <c r="A2676" s="6" t="n"/>
      <c r="B2676" s="6" t="n"/>
      <c r="C2676" s="6" t="n"/>
      <c r="D2676" s="11">
        <f>IF(C2676="","",IFERROR(INDEX(Levels!$A$2:$A$30,MATCH(C2676,Levels!$B$2:$B$30,0)),""))</f>
        <v/>
      </c>
      <c r="E2676" s="10">
        <f>IF(B2676="","",IFERROR(INDEX(Roster!$A$2:$A$600,MATCH(B2676,Roster!$E$2:$E$600,0)),""))</f>
        <v/>
      </c>
      <c r="F2676" s="10">
        <f>IF(C2676="","",IFERROR(INDEX(Levels!$C$2:$C$30,MATCH(C2676,Levels!$B$2:$B$30,0)),""))</f>
        <v/>
      </c>
      <c r="G2676" s="6" t="n"/>
      <c r="H2676" s="10">
        <f>IF(AND(B2676="",C2676=""),"",IF(G2676&lt;&gt;"","Void",IF(OR(B2676="",E2676=""),"Needs child",IF(D2676="","Needs level","OK"))))</f>
        <v/>
      </c>
    </row>
    <row r="2677">
      <c r="A2677" s="6" t="n"/>
      <c r="B2677" s="6" t="n"/>
      <c r="C2677" s="6" t="n"/>
      <c r="D2677" s="11">
        <f>IF(C2677="","",IFERROR(INDEX(Levels!$A$2:$A$30,MATCH(C2677,Levels!$B$2:$B$30,0)),""))</f>
        <v/>
      </c>
      <c r="E2677" s="10">
        <f>IF(B2677="","",IFERROR(INDEX(Roster!$A$2:$A$600,MATCH(B2677,Roster!$E$2:$E$600,0)),""))</f>
        <v/>
      </c>
      <c r="F2677" s="10">
        <f>IF(C2677="","",IFERROR(INDEX(Levels!$C$2:$C$30,MATCH(C2677,Levels!$B$2:$B$30,0)),""))</f>
        <v/>
      </c>
      <c r="G2677" s="6" t="n"/>
      <c r="H2677" s="10">
        <f>IF(AND(B2677="",C2677=""),"",IF(G2677&lt;&gt;"","Void",IF(OR(B2677="",E2677=""),"Needs child",IF(D2677="","Needs level","OK"))))</f>
        <v/>
      </c>
    </row>
    <row r="2678">
      <c r="A2678" s="6" t="n"/>
      <c r="B2678" s="6" t="n"/>
      <c r="C2678" s="6" t="n"/>
      <c r="D2678" s="11">
        <f>IF(C2678="","",IFERROR(INDEX(Levels!$A$2:$A$30,MATCH(C2678,Levels!$B$2:$B$30,0)),""))</f>
        <v/>
      </c>
      <c r="E2678" s="10">
        <f>IF(B2678="","",IFERROR(INDEX(Roster!$A$2:$A$600,MATCH(B2678,Roster!$E$2:$E$600,0)),""))</f>
        <v/>
      </c>
      <c r="F2678" s="10">
        <f>IF(C2678="","",IFERROR(INDEX(Levels!$C$2:$C$30,MATCH(C2678,Levels!$B$2:$B$30,0)),""))</f>
        <v/>
      </c>
      <c r="G2678" s="6" t="n"/>
      <c r="H2678" s="10">
        <f>IF(AND(B2678="",C2678=""),"",IF(G2678&lt;&gt;"","Void",IF(OR(B2678="",E2678=""),"Needs child",IF(D2678="","Needs level","OK"))))</f>
        <v/>
      </c>
    </row>
    <row r="2679">
      <c r="A2679" s="6" t="n"/>
      <c r="B2679" s="6" t="n"/>
      <c r="C2679" s="6" t="n"/>
      <c r="D2679" s="11">
        <f>IF(C2679="","",IFERROR(INDEX(Levels!$A$2:$A$30,MATCH(C2679,Levels!$B$2:$B$30,0)),""))</f>
        <v/>
      </c>
      <c r="E2679" s="10">
        <f>IF(B2679="","",IFERROR(INDEX(Roster!$A$2:$A$600,MATCH(B2679,Roster!$E$2:$E$600,0)),""))</f>
        <v/>
      </c>
      <c r="F2679" s="10">
        <f>IF(C2679="","",IFERROR(INDEX(Levels!$C$2:$C$30,MATCH(C2679,Levels!$B$2:$B$30,0)),""))</f>
        <v/>
      </c>
      <c r="G2679" s="6" t="n"/>
      <c r="H2679" s="10">
        <f>IF(AND(B2679="",C2679=""),"",IF(G2679&lt;&gt;"","Void",IF(OR(B2679="",E2679=""),"Needs child",IF(D2679="","Needs level","OK"))))</f>
        <v/>
      </c>
    </row>
    <row r="2680">
      <c r="A2680" s="6" t="n"/>
      <c r="B2680" s="6" t="n"/>
      <c r="C2680" s="6" t="n"/>
      <c r="D2680" s="11">
        <f>IF(C2680="","",IFERROR(INDEX(Levels!$A$2:$A$30,MATCH(C2680,Levels!$B$2:$B$30,0)),""))</f>
        <v/>
      </c>
      <c r="E2680" s="10">
        <f>IF(B2680="","",IFERROR(INDEX(Roster!$A$2:$A$600,MATCH(B2680,Roster!$E$2:$E$600,0)),""))</f>
        <v/>
      </c>
      <c r="F2680" s="10">
        <f>IF(C2680="","",IFERROR(INDEX(Levels!$C$2:$C$30,MATCH(C2680,Levels!$B$2:$B$30,0)),""))</f>
        <v/>
      </c>
      <c r="G2680" s="6" t="n"/>
      <c r="H2680" s="10">
        <f>IF(AND(B2680="",C2680=""),"",IF(G2680&lt;&gt;"","Void",IF(OR(B2680="",E2680=""),"Needs child",IF(D2680="","Needs level","OK"))))</f>
        <v/>
      </c>
    </row>
    <row r="2681">
      <c r="A2681" s="6" t="n"/>
      <c r="B2681" s="6" t="n"/>
      <c r="C2681" s="6" t="n"/>
      <c r="D2681" s="11">
        <f>IF(C2681="","",IFERROR(INDEX(Levels!$A$2:$A$30,MATCH(C2681,Levels!$B$2:$B$30,0)),""))</f>
        <v/>
      </c>
      <c r="E2681" s="10">
        <f>IF(B2681="","",IFERROR(INDEX(Roster!$A$2:$A$600,MATCH(B2681,Roster!$E$2:$E$600,0)),""))</f>
        <v/>
      </c>
      <c r="F2681" s="10">
        <f>IF(C2681="","",IFERROR(INDEX(Levels!$C$2:$C$30,MATCH(C2681,Levels!$B$2:$B$30,0)),""))</f>
        <v/>
      </c>
      <c r="G2681" s="6" t="n"/>
      <c r="H2681" s="10">
        <f>IF(AND(B2681="",C2681=""),"",IF(G2681&lt;&gt;"","Void",IF(OR(B2681="",E2681=""),"Needs child",IF(D2681="","Needs level","OK"))))</f>
        <v/>
      </c>
    </row>
    <row r="2682">
      <c r="A2682" s="6" t="n"/>
      <c r="B2682" s="6" t="n"/>
      <c r="C2682" s="6" t="n"/>
      <c r="D2682" s="11">
        <f>IF(C2682="","",IFERROR(INDEX(Levels!$A$2:$A$30,MATCH(C2682,Levels!$B$2:$B$30,0)),""))</f>
        <v/>
      </c>
      <c r="E2682" s="10">
        <f>IF(B2682="","",IFERROR(INDEX(Roster!$A$2:$A$600,MATCH(B2682,Roster!$E$2:$E$600,0)),""))</f>
        <v/>
      </c>
      <c r="F2682" s="10">
        <f>IF(C2682="","",IFERROR(INDEX(Levels!$C$2:$C$30,MATCH(C2682,Levels!$B$2:$B$30,0)),""))</f>
        <v/>
      </c>
      <c r="G2682" s="6" t="n"/>
      <c r="H2682" s="10">
        <f>IF(AND(B2682="",C2682=""),"",IF(G2682&lt;&gt;"","Void",IF(OR(B2682="",E2682=""),"Needs child",IF(D2682="","Needs level","OK"))))</f>
        <v/>
      </c>
    </row>
    <row r="2683">
      <c r="A2683" s="6" t="n"/>
      <c r="B2683" s="6" t="n"/>
      <c r="C2683" s="6" t="n"/>
      <c r="D2683" s="11">
        <f>IF(C2683="","",IFERROR(INDEX(Levels!$A$2:$A$30,MATCH(C2683,Levels!$B$2:$B$30,0)),""))</f>
        <v/>
      </c>
      <c r="E2683" s="10">
        <f>IF(B2683="","",IFERROR(INDEX(Roster!$A$2:$A$600,MATCH(B2683,Roster!$E$2:$E$600,0)),""))</f>
        <v/>
      </c>
      <c r="F2683" s="10">
        <f>IF(C2683="","",IFERROR(INDEX(Levels!$C$2:$C$30,MATCH(C2683,Levels!$B$2:$B$30,0)),""))</f>
        <v/>
      </c>
      <c r="G2683" s="6" t="n"/>
      <c r="H2683" s="10">
        <f>IF(AND(B2683="",C2683=""),"",IF(G2683&lt;&gt;"","Void",IF(OR(B2683="",E2683=""),"Needs child",IF(D2683="","Needs level","OK"))))</f>
        <v/>
      </c>
    </row>
    <row r="2684">
      <c r="A2684" s="6" t="n"/>
      <c r="B2684" s="6" t="n"/>
      <c r="C2684" s="6" t="n"/>
      <c r="D2684" s="11">
        <f>IF(C2684="","",IFERROR(INDEX(Levels!$A$2:$A$30,MATCH(C2684,Levels!$B$2:$B$30,0)),""))</f>
        <v/>
      </c>
      <c r="E2684" s="10">
        <f>IF(B2684="","",IFERROR(INDEX(Roster!$A$2:$A$600,MATCH(B2684,Roster!$E$2:$E$600,0)),""))</f>
        <v/>
      </c>
      <c r="F2684" s="10">
        <f>IF(C2684="","",IFERROR(INDEX(Levels!$C$2:$C$30,MATCH(C2684,Levels!$B$2:$B$30,0)),""))</f>
        <v/>
      </c>
      <c r="G2684" s="6" t="n"/>
      <c r="H2684" s="10">
        <f>IF(AND(B2684="",C2684=""),"",IF(G2684&lt;&gt;"","Void",IF(OR(B2684="",E2684=""),"Needs child",IF(D2684="","Needs level","OK"))))</f>
        <v/>
      </c>
    </row>
    <row r="2685">
      <c r="A2685" s="6" t="n"/>
      <c r="B2685" s="6" t="n"/>
      <c r="C2685" s="6" t="n"/>
      <c r="D2685" s="11">
        <f>IF(C2685="","",IFERROR(INDEX(Levels!$A$2:$A$30,MATCH(C2685,Levels!$B$2:$B$30,0)),""))</f>
        <v/>
      </c>
      <c r="E2685" s="10">
        <f>IF(B2685="","",IFERROR(INDEX(Roster!$A$2:$A$600,MATCH(B2685,Roster!$E$2:$E$600,0)),""))</f>
        <v/>
      </c>
      <c r="F2685" s="10">
        <f>IF(C2685="","",IFERROR(INDEX(Levels!$C$2:$C$30,MATCH(C2685,Levels!$B$2:$B$30,0)),""))</f>
        <v/>
      </c>
      <c r="G2685" s="6" t="n"/>
      <c r="H2685" s="10">
        <f>IF(AND(B2685="",C2685=""),"",IF(G2685&lt;&gt;"","Void",IF(OR(B2685="",E2685=""),"Needs child",IF(D2685="","Needs level","OK"))))</f>
        <v/>
      </c>
    </row>
    <row r="2686">
      <c r="A2686" s="6" t="n"/>
      <c r="B2686" s="6" t="n"/>
      <c r="C2686" s="6" t="n"/>
      <c r="D2686" s="11">
        <f>IF(C2686="","",IFERROR(INDEX(Levels!$A$2:$A$30,MATCH(C2686,Levels!$B$2:$B$30,0)),""))</f>
        <v/>
      </c>
      <c r="E2686" s="10">
        <f>IF(B2686="","",IFERROR(INDEX(Roster!$A$2:$A$600,MATCH(B2686,Roster!$E$2:$E$600,0)),""))</f>
        <v/>
      </c>
      <c r="F2686" s="10">
        <f>IF(C2686="","",IFERROR(INDEX(Levels!$C$2:$C$30,MATCH(C2686,Levels!$B$2:$B$30,0)),""))</f>
        <v/>
      </c>
      <c r="G2686" s="6" t="n"/>
      <c r="H2686" s="10">
        <f>IF(AND(B2686="",C2686=""),"",IF(G2686&lt;&gt;"","Void",IF(OR(B2686="",E2686=""),"Needs child",IF(D2686="","Needs level","OK"))))</f>
        <v/>
      </c>
    </row>
    <row r="2687">
      <c r="A2687" s="6" t="n"/>
      <c r="B2687" s="6" t="n"/>
      <c r="C2687" s="6" t="n"/>
      <c r="D2687" s="11">
        <f>IF(C2687="","",IFERROR(INDEX(Levels!$A$2:$A$30,MATCH(C2687,Levels!$B$2:$B$30,0)),""))</f>
        <v/>
      </c>
      <c r="E2687" s="10">
        <f>IF(B2687="","",IFERROR(INDEX(Roster!$A$2:$A$600,MATCH(B2687,Roster!$E$2:$E$600,0)),""))</f>
        <v/>
      </c>
      <c r="F2687" s="10">
        <f>IF(C2687="","",IFERROR(INDEX(Levels!$C$2:$C$30,MATCH(C2687,Levels!$B$2:$B$30,0)),""))</f>
        <v/>
      </c>
      <c r="G2687" s="6" t="n"/>
      <c r="H2687" s="10">
        <f>IF(AND(B2687="",C2687=""),"",IF(G2687&lt;&gt;"","Void",IF(OR(B2687="",E2687=""),"Needs child",IF(D2687="","Needs level","OK"))))</f>
        <v/>
      </c>
    </row>
    <row r="2688">
      <c r="A2688" s="6" t="n"/>
      <c r="B2688" s="6" t="n"/>
      <c r="C2688" s="6" t="n"/>
      <c r="D2688" s="11">
        <f>IF(C2688="","",IFERROR(INDEX(Levels!$A$2:$A$30,MATCH(C2688,Levels!$B$2:$B$30,0)),""))</f>
        <v/>
      </c>
      <c r="E2688" s="10">
        <f>IF(B2688="","",IFERROR(INDEX(Roster!$A$2:$A$600,MATCH(B2688,Roster!$E$2:$E$600,0)),""))</f>
        <v/>
      </c>
      <c r="F2688" s="10">
        <f>IF(C2688="","",IFERROR(INDEX(Levels!$C$2:$C$30,MATCH(C2688,Levels!$B$2:$B$30,0)),""))</f>
        <v/>
      </c>
      <c r="G2688" s="6" t="n"/>
      <c r="H2688" s="10">
        <f>IF(AND(B2688="",C2688=""),"",IF(G2688&lt;&gt;"","Void",IF(OR(B2688="",E2688=""),"Needs child",IF(D2688="","Needs level","OK"))))</f>
        <v/>
      </c>
    </row>
    <row r="2689">
      <c r="A2689" s="6" t="n"/>
      <c r="B2689" s="6" t="n"/>
      <c r="C2689" s="6" t="n"/>
      <c r="D2689" s="11">
        <f>IF(C2689="","",IFERROR(INDEX(Levels!$A$2:$A$30,MATCH(C2689,Levels!$B$2:$B$30,0)),""))</f>
        <v/>
      </c>
      <c r="E2689" s="10">
        <f>IF(B2689="","",IFERROR(INDEX(Roster!$A$2:$A$600,MATCH(B2689,Roster!$E$2:$E$600,0)),""))</f>
        <v/>
      </c>
      <c r="F2689" s="10">
        <f>IF(C2689="","",IFERROR(INDEX(Levels!$C$2:$C$30,MATCH(C2689,Levels!$B$2:$B$30,0)),""))</f>
        <v/>
      </c>
      <c r="G2689" s="6" t="n"/>
      <c r="H2689" s="10">
        <f>IF(AND(B2689="",C2689=""),"",IF(G2689&lt;&gt;"","Void",IF(OR(B2689="",E2689=""),"Needs child",IF(D2689="","Needs level","OK"))))</f>
        <v/>
      </c>
    </row>
    <row r="2690">
      <c r="A2690" s="6" t="n"/>
      <c r="B2690" s="6" t="n"/>
      <c r="C2690" s="6" t="n"/>
      <c r="D2690" s="11">
        <f>IF(C2690="","",IFERROR(INDEX(Levels!$A$2:$A$30,MATCH(C2690,Levels!$B$2:$B$30,0)),""))</f>
        <v/>
      </c>
      <c r="E2690" s="10">
        <f>IF(B2690="","",IFERROR(INDEX(Roster!$A$2:$A$600,MATCH(B2690,Roster!$E$2:$E$600,0)),""))</f>
        <v/>
      </c>
      <c r="F2690" s="10">
        <f>IF(C2690="","",IFERROR(INDEX(Levels!$C$2:$C$30,MATCH(C2690,Levels!$B$2:$B$30,0)),""))</f>
        <v/>
      </c>
      <c r="G2690" s="6" t="n"/>
      <c r="H2690" s="10">
        <f>IF(AND(B2690="",C2690=""),"",IF(G2690&lt;&gt;"","Void",IF(OR(B2690="",E2690=""),"Needs child",IF(D2690="","Needs level","OK"))))</f>
        <v/>
      </c>
    </row>
    <row r="2691">
      <c r="A2691" s="6" t="n"/>
      <c r="B2691" s="6" t="n"/>
      <c r="C2691" s="6" t="n"/>
      <c r="D2691" s="11">
        <f>IF(C2691="","",IFERROR(INDEX(Levels!$A$2:$A$30,MATCH(C2691,Levels!$B$2:$B$30,0)),""))</f>
        <v/>
      </c>
      <c r="E2691" s="10">
        <f>IF(B2691="","",IFERROR(INDEX(Roster!$A$2:$A$600,MATCH(B2691,Roster!$E$2:$E$600,0)),""))</f>
        <v/>
      </c>
      <c r="F2691" s="10">
        <f>IF(C2691="","",IFERROR(INDEX(Levels!$C$2:$C$30,MATCH(C2691,Levels!$B$2:$B$30,0)),""))</f>
        <v/>
      </c>
      <c r="G2691" s="6" t="n"/>
      <c r="H2691" s="10">
        <f>IF(AND(B2691="",C2691=""),"",IF(G2691&lt;&gt;"","Void",IF(OR(B2691="",E2691=""),"Needs child",IF(D2691="","Needs level","OK"))))</f>
        <v/>
      </c>
    </row>
    <row r="2692">
      <c r="A2692" s="6" t="n"/>
      <c r="B2692" s="6" t="n"/>
      <c r="C2692" s="6" t="n"/>
      <c r="D2692" s="11">
        <f>IF(C2692="","",IFERROR(INDEX(Levels!$A$2:$A$30,MATCH(C2692,Levels!$B$2:$B$30,0)),""))</f>
        <v/>
      </c>
      <c r="E2692" s="10">
        <f>IF(B2692="","",IFERROR(INDEX(Roster!$A$2:$A$600,MATCH(B2692,Roster!$E$2:$E$600,0)),""))</f>
        <v/>
      </c>
      <c r="F2692" s="10">
        <f>IF(C2692="","",IFERROR(INDEX(Levels!$C$2:$C$30,MATCH(C2692,Levels!$B$2:$B$30,0)),""))</f>
        <v/>
      </c>
      <c r="G2692" s="6" t="n"/>
      <c r="H2692" s="10">
        <f>IF(AND(B2692="",C2692=""),"",IF(G2692&lt;&gt;"","Void",IF(OR(B2692="",E2692=""),"Needs child",IF(D2692="","Needs level","OK"))))</f>
        <v/>
      </c>
    </row>
    <row r="2693">
      <c r="A2693" s="6" t="n"/>
      <c r="B2693" s="6" t="n"/>
      <c r="C2693" s="6" t="n"/>
      <c r="D2693" s="11">
        <f>IF(C2693="","",IFERROR(INDEX(Levels!$A$2:$A$30,MATCH(C2693,Levels!$B$2:$B$30,0)),""))</f>
        <v/>
      </c>
      <c r="E2693" s="10">
        <f>IF(B2693="","",IFERROR(INDEX(Roster!$A$2:$A$600,MATCH(B2693,Roster!$E$2:$E$600,0)),""))</f>
        <v/>
      </c>
      <c r="F2693" s="10">
        <f>IF(C2693="","",IFERROR(INDEX(Levels!$C$2:$C$30,MATCH(C2693,Levels!$B$2:$B$30,0)),""))</f>
        <v/>
      </c>
      <c r="G2693" s="6" t="n"/>
      <c r="H2693" s="10">
        <f>IF(AND(B2693="",C2693=""),"",IF(G2693&lt;&gt;"","Void",IF(OR(B2693="",E2693=""),"Needs child",IF(D2693="","Needs level","OK"))))</f>
        <v/>
      </c>
    </row>
    <row r="2694">
      <c r="A2694" s="6" t="n"/>
      <c r="B2694" s="6" t="n"/>
      <c r="C2694" s="6" t="n"/>
      <c r="D2694" s="11">
        <f>IF(C2694="","",IFERROR(INDEX(Levels!$A$2:$A$30,MATCH(C2694,Levels!$B$2:$B$30,0)),""))</f>
        <v/>
      </c>
      <c r="E2694" s="10">
        <f>IF(B2694="","",IFERROR(INDEX(Roster!$A$2:$A$600,MATCH(B2694,Roster!$E$2:$E$600,0)),""))</f>
        <v/>
      </c>
      <c r="F2694" s="10">
        <f>IF(C2694="","",IFERROR(INDEX(Levels!$C$2:$C$30,MATCH(C2694,Levels!$B$2:$B$30,0)),""))</f>
        <v/>
      </c>
      <c r="G2694" s="6" t="n"/>
      <c r="H2694" s="10">
        <f>IF(AND(B2694="",C2694=""),"",IF(G2694&lt;&gt;"","Void",IF(OR(B2694="",E2694=""),"Needs child",IF(D2694="","Needs level","OK"))))</f>
        <v/>
      </c>
    </row>
    <row r="2695">
      <c r="A2695" s="6" t="n"/>
      <c r="B2695" s="6" t="n"/>
      <c r="C2695" s="6" t="n"/>
      <c r="D2695" s="11">
        <f>IF(C2695="","",IFERROR(INDEX(Levels!$A$2:$A$30,MATCH(C2695,Levels!$B$2:$B$30,0)),""))</f>
        <v/>
      </c>
      <c r="E2695" s="10">
        <f>IF(B2695="","",IFERROR(INDEX(Roster!$A$2:$A$600,MATCH(B2695,Roster!$E$2:$E$600,0)),""))</f>
        <v/>
      </c>
      <c r="F2695" s="10">
        <f>IF(C2695="","",IFERROR(INDEX(Levels!$C$2:$C$30,MATCH(C2695,Levels!$B$2:$B$30,0)),""))</f>
        <v/>
      </c>
      <c r="G2695" s="6" t="n"/>
      <c r="H2695" s="10">
        <f>IF(AND(B2695="",C2695=""),"",IF(G2695&lt;&gt;"","Void",IF(OR(B2695="",E2695=""),"Needs child",IF(D2695="","Needs level","OK"))))</f>
        <v/>
      </c>
    </row>
    <row r="2696">
      <c r="A2696" s="6" t="n"/>
      <c r="B2696" s="6" t="n"/>
      <c r="C2696" s="6" t="n"/>
      <c r="D2696" s="11">
        <f>IF(C2696="","",IFERROR(INDEX(Levels!$A$2:$A$30,MATCH(C2696,Levels!$B$2:$B$30,0)),""))</f>
        <v/>
      </c>
      <c r="E2696" s="10">
        <f>IF(B2696="","",IFERROR(INDEX(Roster!$A$2:$A$600,MATCH(B2696,Roster!$E$2:$E$600,0)),""))</f>
        <v/>
      </c>
      <c r="F2696" s="10">
        <f>IF(C2696="","",IFERROR(INDEX(Levels!$C$2:$C$30,MATCH(C2696,Levels!$B$2:$B$30,0)),""))</f>
        <v/>
      </c>
      <c r="G2696" s="6" t="n"/>
      <c r="H2696" s="10">
        <f>IF(AND(B2696="",C2696=""),"",IF(G2696&lt;&gt;"","Void",IF(OR(B2696="",E2696=""),"Needs child",IF(D2696="","Needs level","OK"))))</f>
        <v/>
      </c>
    </row>
    <row r="2697">
      <c r="A2697" s="6" t="n"/>
      <c r="B2697" s="6" t="n"/>
      <c r="C2697" s="6" t="n"/>
      <c r="D2697" s="11">
        <f>IF(C2697="","",IFERROR(INDEX(Levels!$A$2:$A$30,MATCH(C2697,Levels!$B$2:$B$30,0)),""))</f>
        <v/>
      </c>
      <c r="E2697" s="10">
        <f>IF(B2697="","",IFERROR(INDEX(Roster!$A$2:$A$600,MATCH(B2697,Roster!$E$2:$E$600,0)),""))</f>
        <v/>
      </c>
      <c r="F2697" s="10">
        <f>IF(C2697="","",IFERROR(INDEX(Levels!$C$2:$C$30,MATCH(C2697,Levels!$B$2:$B$30,0)),""))</f>
        <v/>
      </c>
      <c r="G2697" s="6" t="n"/>
      <c r="H2697" s="10">
        <f>IF(AND(B2697="",C2697=""),"",IF(G2697&lt;&gt;"","Void",IF(OR(B2697="",E2697=""),"Needs child",IF(D2697="","Needs level","OK"))))</f>
        <v/>
      </c>
    </row>
    <row r="2698">
      <c r="A2698" s="6" t="n"/>
      <c r="B2698" s="6" t="n"/>
      <c r="C2698" s="6" t="n"/>
      <c r="D2698" s="11">
        <f>IF(C2698="","",IFERROR(INDEX(Levels!$A$2:$A$30,MATCH(C2698,Levels!$B$2:$B$30,0)),""))</f>
        <v/>
      </c>
      <c r="E2698" s="10">
        <f>IF(B2698="","",IFERROR(INDEX(Roster!$A$2:$A$600,MATCH(B2698,Roster!$E$2:$E$600,0)),""))</f>
        <v/>
      </c>
      <c r="F2698" s="10">
        <f>IF(C2698="","",IFERROR(INDEX(Levels!$C$2:$C$30,MATCH(C2698,Levels!$B$2:$B$30,0)),""))</f>
        <v/>
      </c>
      <c r="G2698" s="6" t="n"/>
      <c r="H2698" s="10">
        <f>IF(AND(B2698="",C2698=""),"",IF(G2698&lt;&gt;"","Void",IF(OR(B2698="",E2698=""),"Needs child",IF(D2698="","Needs level","OK"))))</f>
        <v/>
      </c>
    </row>
    <row r="2699">
      <c r="A2699" s="6" t="n"/>
      <c r="B2699" s="6" t="n"/>
      <c r="C2699" s="6" t="n"/>
      <c r="D2699" s="11">
        <f>IF(C2699="","",IFERROR(INDEX(Levels!$A$2:$A$30,MATCH(C2699,Levels!$B$2:$B$30,0)),""))</f>
        <v/>
      </c>
      <c r="E2699" s="10">
        <f>IF(B2699="","",IFERROR(INDEX(Roster!$A$2:$A$600,MATCH(B2699,Roster!$E$2:$E$600,0)),""))</f>
        <v/>
      </c>
      <c r="F2699" s="10">
        <f>IF(C2699="","",IFERROR(INDEX(Levels!$C$2:$C$30,MATCH(C2699,Levels!$B$2:$B$30,0)),""))</f>
        <v/>
      </c>
      <c r="G2699" s="6" t="n"/>
      <c r="H2699" s="10">
        <f>IF(AND(B2699="",C2699=""),"",IF(G2699&lt;&gt;"","Void",IF(OR(B2699="",E2699=""),"Needs child",IF(D2699="","Needs level","OK"))))</f>
        <v/>
      </c>
    </row>
    <row r="2700">
      <c r="A2700" s="6" t="n"/>
      <c r="B2700" s="6" t="n"/>
      <c r="C2700" s="6" t="n"/>
      <c r="D2700" s="11">
        <f>IF(C2700="","",IFERROR(INDEX(Levels!$A$2:$A$30,MATCH(C2700,Levels!$B$2:$B$30,0)),""))</f>
        <v/>
      </c>
      <c r="E2700" s="10">
        <f>IF(B2700="","",IFERROR(INDEX(Roster!$A$2:$A$600,MATCH(B2700,Roster!$E$2:$E$600,0)),""))</f>
        <v/>
      </c>
      <c r="F2700" s="10">
        <f>IF(C2700="","",IFERROR(INDEX(Levels!$C$2:$C$30,MATCH(C2700,Levels!$B$2:$B$30,0)),""))</f>
        <v/>
      </c>
      <c r="G2700" s="6" t="n"/>
      <c r="H2700" s="10">
        <f>IF(AND(B2700="",C2700=""),"",IF(G2700&lt;&gt;"","Void",IF(OR(B2700="",E2700=""),"Needs child",IF(D2700="","Needs level","OK"))))</f>
        <v/>
      </c>
    </row>
    <row r="2701">
      <c r="A2701" s="6" t="n"/>
      <c r="B2701" s="6" t="n"/>
      <c r="C2701" s="6" t="n"/>
      <c r="D2701" s="11">
        <f>IF(C2701="","",IFERROR(INDEX(Levels!$A$2:$A$30,MATCH(C2701,Levels!$B$2:$B$30,0)),""))</f>
        <v/>
      </c>
      <c r="E2701" s="10">
        <f>IF(B2701="","",IFERROR(INDEX(Roster!$A$2:$A$600,MATCH(B2701,Roster!$E$2:$E$600,0)),""))</f>
        <v/>
      </c>
      <c r="F2701" s="10">
        <f>IF(C2701="","",IFERROR(INDEX(Levels!$C$2:$C$30,MATCH(C2701,Levels!$B$2:$B$30,0)),""))</f>
        <v/>
      </c>
      <c r="G2701" s="6" t="n"/>
      <c r="H2701" s="10">
        <f>IF(AND(B2701="",C2701=""),"",IF(G2701&lt;&gt;"","Void",IF(OR(B2701="",E2701=""),"Needs child",IF(D2701="","Needs level","OK"))))</f>
        <v/>
      </c>
    </row>
    <row r="2702">
      <c r="A2702" s="6" t="n"/>
      <c r="B2702" s="6" t="n"/>
      <c r="C2702" s="6" t="n"/>
      <c r="D2702" s="11">
        <f>IF(C2702="","",IFERROR(INDEX(Levels!$A$2:$A$30,MATCH(C2702,Levels!$B$2:$B$30,0)),""))</f>
        <v/>
      </c>
      <c r="E2702" s="10">
        <f>IF(B2702="","",IFERROR(INDEX(Roster!$A$2:$A$600,MATCH(B2702,Roster!$E$2:$E$600,0)),""))</f>
        <v/>
      </c>
      <c r="F2702" s="10">
        <f>IF(C2702="","",IFERROR(INDEX(Levels!$C$2:$C$30,MATCH(C2702,Levels!$B$2:$B$30,0)),""))</f>
        <v/>
      </c>
      <c r="G2702" s="6" t="n"/>
      <c r="H2702" s="10">
        <f>IF(AND(B2702="",C2702=""),"",IF(G2702&lt;&gt;"","Void",IF(OR(B2702="",E2702=""),"Needs child",IF(D2702="","Needs level","OK"))))</f>
        <v/>
      </c>
    </row>
    <row r="2703">
      <c r="A2703" s="6" t="n"/>
      <c r="B2703" s="6" t="n"/>
      <c r="C2703" s="6" t="n"/>
      <c r="D2703" s="11">
        <f>IF(C2703="","",IFERROR(INDEX(Levels!$A$2:$A$30,MATCH(C2703,Levels!$B$2:$B$30,0)),""))</f>
        <v/>
      </c>
      <c r="E2703" s="10">
        <f>IF(B2703="","",IFERROR(INDEX(Roster!$A$2:$A$600,MATCH(B2703,Roster!$E$2:$E$600,0)),""))</f>
        <v/>
      </c>
      <c r="F2703" s="10">
        <f>IF(C2703="","",IFERROR(INDEX(Levels!$C$2:$C$30,MATCH(C2703,Levels!$B$2:$B$30,0)),""))</f>
        <v/>
      </c>
      <c r="G2703" s="6" t="n"/>
      <c r="H2703" s="10">
        <f>IF(AND(B2703="",C2703=""),"",IF(G2703&lt;&gt;"","Void",IF(OR(B2703="",E2703=""),"Needs child",IF(D2703="","Needs level","OK"))))</f>
        <v/>
      </c>
    </row>
    <row r="2704">
      <c r="A2704" s="6" t="n"/>
      <c r="B2704" s="6" t="n"/>
      <c r="C2704" s="6" t="n"/>
      <c r="D2704" s="11">
        <f>IF(C2704="","",IFERROR(INDEX(Levels!$A$2:$A$30,MATCH(C2704,Levels!$B$2:$B$30,0)),""))</f>
        <v/>
      </c>
      <c r="E2704" s="10">
        <f>IF(B2704="","",IFERROR(INDEX(Roster!$A$2:$A$600,MATCH(B2704,Roster!$E$2:$E$600,0)),""))</f>
        <v/>
      </c>
      <c r="F2704" s="10">
        <f>IF(C2704="","",IFERROR(INDEX(Levels!$C$2:$C$30,MATCH(C2704,Levels!$B$2:$B$30,0)),""))</f>
        <v/>
      </c>
      <c r="G2704" s="6" t="n"/>
      <c r="H2704" s="10">
        <f>IF(AND(B2704="",C2704=""),"",IF(G2704&lt;&gt;"","Void",IF(OR(B2704="",E2704=""),"Needs child",IF(D2704="","Needs level","OK"))))</f>
        <v/>
      </c>
    </row>
    <row r="2705">
      <c r="A2705" s="6" t="n"/>
      <c r="B2705" s="6" t="n"/>
      <c r="C2705" s="6" t="n"/>
      <c r="D2705" s="11">
        <f>IF(C2705="","",IFERROR(INDEX(Levels!$A$2:$A$30,MATCH(C2705,Levels!$B$2:$B$30,0)),""))</f>
        <v/>
      </c>
      <c r="E2705" s="10">
        <f>IF(B2705="","",IFERROR(INDEX(Roster!$A$2:$A$600,MATCH(B2705,Roster!$E$2:$E$600,0)),""))</f>
        <v/>
      </c>
      <c r="F2705" s="10">
        <f>IF(C2705="","",IFERROR(INDEX(Levels!$C$2:$C$30,MATCH(C2705,Levels!$B$2:$B$30,0)),""))</f>
        <v/>
      </c>
      <c r="G2705" s="6" t="n"/>
      <c r="H2705" s="10">
        <f>IF(AND(B2705="",C2705=""),"",IF(G2705&lt;&gt;"","Void",IF(OR(B2705="",E2705=""),"Needs child",IF(D2705="","Needs level","OK"))))</f>
        <v/>
      </c>
    </row>
    <row r="2706">
      <c r="A2706" s="6" t="n"/>
      <c r="B2706" s="6" t="n"/>
      <c r="C2706" s="6" t="n"/>
      <c r="D2706" s="11">
        <f>IF(C2706="","",IFERROR(INDEX(Levels!$A$2:$A$30,MATCH(C2706,Levels!$B$2:$B$30,0)),""))</f>
        <v/>
      </c>
      <c r="E2706" s="10">
        <f>IF(B2706="","",IFERROR(INDEX(Roster!$A$2:$A$600,MATCH(B2706,Roster!$E$2:$E$600,0)),""))</f>
        <v/>
      </c>
      <c r="F2706" s="10">
        <f>IF(C2706="","",IFERROR(INDEX(Levels!$C$2:$C$30,MATCH(C2706,Levels!$B$2:$B$30,0)),""))</f>
        <v/>
      </c>
      <c r="G2706" s="6" t="n"/>
      <c r="H2706" s="10">
        <f>IF(AND(B2706="",C2706=""),"",IF(G2706&lt;&gt;"","Void",IF(OR(B2706="",E2706=""),"Needs child",IF(D2706="","Needs level","OK"))))</f>
        <v/>
      </c>
    </row>
    <row r="2707">
      <c r="A2707" s="6" t="n"/>
      <c r="B2707" s="6" t="n"/>
      <c r="C2707" s="6" t="n"/>
      <c r="D2707" s="11">
        <f>IF(C2707="","",IFERROR(INDEX(Levels!$A$2:$A$30,MATCH(C2707,Levels!$B$2:$B$30,0)),""))</f>
        <v/>
      </c>
      <c r="E2707" s="10">
        <f>IF(B2707="","",IFERROR(INDEX(Roster!$A$2:$A$600,MATCH(B2707,Roster!$E$2:$E$600,0)),""))</f>
        <v/>
      </c>
      <c r="F2707" s="10">
        <f>IF(C2707="","",IFERROR(INDEX(Levels!$C$2:$C$30,MATCH(C2707,Levels!$B$2:$B$30,0)),""))</f>
        <v/>
      </c>
      <c r="G2707" s="6" t="n"/>
      <c r="H2707" s="10">
        <f>IF(AND(B2707="",C2707=""),"",IF(G2707&lt;&gt;"","Void",IF(OR(B2707="",E2707=""),"Needs child",IF(D2707="","Needs level","OK"))))</f>
        <v/>
      </c>
    </row>
    <row r="2708">
      <c r="A2708" s="6" t="n"/>
      <c r="B2708" s="6" t="n"/>
      <c r="C2708" s="6" t="n"/>
      <c r="D2708" s="11">
        <f>IF(C2708="","",IFERROR(INDEX(Levels!$A$2:$A$30,MATCH(C2708,Levels!$B$2:$B$30,0)),""))</f>
        <v/>
      </c>
      <c r="E2708" s="10">
        <f>IF(B2708="","",IFERROR(INDEX(Roster!$A$2:$A$600,MATCH(B2708,Roster!$E$2:$E$600,0)),""))</f>
        <v/>
      </c>
      <c r="F2708" s="10">
        <f>IF(C2708="","",IFERROR(INDEX(Levels!$C$2:$C$30,MATCH(C2708,Levels!$B$2:$B$30,0)),""))</f>
        <v/>
      </c>
      <c r="G2708" s="6" t="n"/>
      <c r="H2708" s="10">
        <f>IF(AND(B2708="",C2708=""),"",IF(G2708&lt;&gt;"","Void",IF(OR(B2708="",E2708=""),"Needs child",IF(D2708="","Needs level","OK"))))</f>
        <v/>
      </c>
    </row>
    <row r="2709">
      <c r="A2709" s="6" t="n"/>
      <c r="B2709" s="6" t="n"/>
      <c r="C2709" s="6" t="n"/>
      <c r="D2709" s="11">
        <f>IF(C2709="","",IFERROR(INDEX(Levels!$A$2:$A$30,MATCH(C2709,Levels!$B$2:$B$30,0)),""))</f>
        <v/>
      </c>
      <c r="E2709" s="10">
        <f>IF(B2709="","",IFERROR(INDEX(Roster!$A$2:$A$600,MATCH(B2709,Roster!$E$2:$E$600,0)),""))</f>
        <v/>
      </c>
      <c r="F2709" s="10">
        <f>IF(C2709="","",IFERROR(INDEX(Levels!$C$2:$C$30,MATCH(C2709,Levels!$B$2:$B$30,0)),""))</f>
        <v/>
      </c>
      <c r="G2709" s="6" t="n"/>
      <c r="H2709" s="10">
        <f>IF(AND(B2709="",C2709=""),"",IF(G2709&lt;&gt;"","Void",IF(OR(B2709="",E2709=""),"Needs child",IF(D2709="","Needs level","OK"))))</f>
        <v/>
      </c>
    </row>
    <row r="2710">
      <c r="A2710" s="6" t="n"/>
      <c r="B2710" s="6" t="n"/>
      <c r="C2710" s="6" t="n"/>
      <c r="D2710" s="11">
        <f>IF(C2710="","",IFERROR(INDEX(Levels!$A$2:$A$30,MATCH(C2710,Levels!$B$2:$B$30,0)),""))</f>
        <v/>
      </c>
      <c r="E2710" s="10">
        <f>IF(B2710="","",IFERROR(INDEX(Roster!$A$2:$A$600,MATCH(B2710,Roster!$E$2:$E$600,0)),""))</f>
        <v/>
      </c>
      <c r="F2710" s="10">
        <f>IF(C2710="","",IFERROR(INDEX(Levels!$C$2:$C$30,MATCH(C2710,Levels!$B$2:$B$30,0)),""))</f>
        <v/>
      </c>
      <c r="G2710" s="6" t="n"/>
      <c r="H2710" s="10">
        <f>IF(AND(B2710="",C2710=""),"",IF(G2710&lt;&gt;"","Void",IF(OR(B2710="",E2710=""),"Needs child",IF(D2710="","Needs level","OK"))))</f>
        <v/>
      </c>
    </row>
    <row r="2711">
      <c r="A2711" s="6" t="n"/>
      <c r="B2711" s="6" t="n"/>
      <c r="C2711" s="6" t="n"/>
      <c r="D2711" s="11">
        <f>IF(C2711="","",IFERROR(INDEX(Levels!$A$2:$A$30,MATCH(C2711,Levels!$B$2:$B$30,0)),""))</f>
        <v/>
      </c>
      <c r="E2711" s="10">
        <f>IF(B2711="","",IFERROR(INDEX(Roster!$A$2:$A$600,MATCH(B2711,Roster!$E$2:$E$600,0)),""))</f>
        <v/>
      </c>
      <c r="F2711" s="10">
        <f>IF(C2711="","",IFERROR(INDEX(Levels!$C$2:$C$30,MATCH(C2711,Levels!$B$2:$B$30,0)),""))</f>
        <v/>
      </c>
      <c r="G2711" s="6" t="n"/>
      <c r="H2711" s="10">
        <f>IF(AND(B2711="",C2711=""),"",IF(G2711&lt;&gt;"","Void",IF(OR(B2711="",E2711=""),"Needs child",IF(D2711="","Needs level","OK"))))</f>
        <v/>
      </c>
    </row>
    <row r="2712">
      <c r="A2712" s="6" t="n"/>
      <c r="B2712" s="6" t="n"/>
      <c r="C2712" s="6" t="n"/>
      <c r="D2712" s="11">
        <f>IF(C2712="","",IFERROR(INDEX(Levels!$A$2:$A$30,MATCH(C2712,Levels!$B$2:$B$30,0)),""))</f>
        <v/>
      </c>
      <c r="E2712" s="10">
        <f>IF(B2712="","",IFERROR(INDEX(Roster!$A$2:$A$600,MATCH(B2712,Roster!$E$2:$E$600,0)),""))</f>
        <v/>
      </c>
      <c r="F2712" s="10">
        <f>IF(C2712="","",IFERROR(INDEX(Levels!$C$2:$C$30,MATCH(C2712,Levels!$B$2:$B$30,0)),""))</f>
        <v/>
      </c>
      <c r="G2712" s="6" t="n"/>
      <c r="H2712" s="10">
        <f>IF(AND(B2712="",C2712=""),"",IF(G2712&lt;&gt;"","Void",IF(OR(B2712="",E2712=""),"Needs child",IF(D2712="","Needs level","OK"))))</f>
        <v/>
      </c>
    </row>
    <row r="2713">
      <c r="A2713" s="6" t="n"/>
      <c r="B2713" s="6" t="n"/>
      <c r="C2713" s="6" t="n"/>
      <c r="D2713" s="11">
        <f>IF(C2713="","",IFERROR(INDEX(Levels!$A$2:$A$30,MATCH(C2713,Levels!$B$2:$B$30,0)),""))</f>
        <v/>
      </c>
      <c r="E2713" s="10">
        <f>IF(B2713="","",IFERROR(INDEX(Roster!$A$2:$A$600,MATCH(B2713,Roster!$E$2:$E$600,0)),""))</f>
        <v/>
      </c>
      <c r="F2713" s="10">
        <f>IF(C2713="","",IFERROR(INDEX(Levels!$C$2:$C$30,MATCH(C2713,Levels!$B$2:$B$30,0)),""))</f>
        <v/>
      </c>
      <c r="G2713" s="6" t="n"/>
      <c r="H2713" s="10">
        <f>IF(AND(B2713="",C2713=""),"",IF(G2713&lt;&gt;"","Void",IF(OR(B2713="",E2713=""),"Needs child",IF(D2713="","Needs level","OK"))))</f>
        <v/>
      </c>
    </row>
    <row r="2714">
      <c r="A2714" s="6" t="n"/>
      <c r="B2714" s="6" t="n"/>
      <c r="C2714" s="6" t="n"/>
      <c r="D2714" s="11">
        <f>IF(C2714="","",IFERROR(INDEX(Levels!$A$2:$A$30,MATCH(C2714,Levels!$B$2:$B$30,0)),""))</f>
        <v/>
      </c>
      <c r="E2714" s="10">
        <f>IF(B2714="","",IFERROR(INDEX(Roster!$A$2:$A$600,MATCH(B2714,Roster!$E$2:$E$600,0)),""))</f>
        <v/>
      </c>
      <c r="F2714" s="10">
        <f>IF(C2714="","",IFERROR(INDEX(Levels!$C$2:$C$30,MATCH(C2714,Levels!$B$2:$B$30,0)),""))</f>
        <v/>
      </c>
      <c r="G2714" s="6" t="n"/>
      <c r="H2714" s="10">
        <f>IF(AND(B2714="",C2714=""),"",IF(G2714&lt;&gt;"","Void",IF(OR(B2714="",E2714=""),"Needs child",IF(D2714="","Needs level","OK"))))</f>
        <v/>
      </c>
    </row>
    <row r="2715">
      <c r="A2715" s="6" t="n"/>
      <c r="B2715" s="6" t="n"/>
      <c r="C2715" s="6" t="n"/>
      <c r="D2715" s="11">
        <f>IF(C2715="","",IFERROR(INDEX(Levels!$A$2:$A$30,MATCH(C2715,Levels!$B$2:$B$30,0)),""))</f>
        <v/>
      </c>
      <c r="E2715" s="10">
        <f>IF(B2715="","",IFERROR(INDEX(Roster!$A$2:$A$600,MATCH(B2715,Roster!$E$2:$E$600,0)),""))</f>
        <v/>
      </c>
      <c r="F2715" s="10">
        <f>IF(C2715="","",IFERROR(INDEX(Levels!$C$2:$C$30,MATCH(C2715,Levels!$B$2:$B$30,0)),""))</f>
        <v/>
      </c>
      <c r="G2715" s="6" t="n"/>
      <c r="H2715" s="10">
        <f>IF(AND(B2715="",C2715=""),"",IF(G2715&lt;&gt;"","Void",IF(OR(B2715="",E2715=""),"Needs child",IF(D2715="","Needs level","OK"))))</f>
        <v/>
      </c>
    </row>
    <row r="2716">
      <c r="A2716" s="6" t="n"/>
      <c r="B2716" s="6" t="n"/>
      <c r="C2716" s="6" t="n"/>
      <c r="D2716" s="11">
        <f>IF(C2716="","",IFERROR(INDEX(Levels!$A$2:$A$30,MATCH(C2716,Levels!$B$2:$B$30,0)),""))</f>
        <v/>
      </c>
      <c r="E2716" s="10">
        <f>IF(B2716="","",IFERROR(INDEX(Roster!$A$2:$A$600,MATCH(B2716,Roster!$E$2:$E$600,0)),""))</f>
        <v/>
      </c>
      <c r="F2716" s="10">
        <f>IF(C2716="","",IFERROR(INDEX(Levels!$C$2:$C$30,MATCH(C2716,Levels!$B$2:$B$30,0)),""))</f>
        <v/>
      </c>
      <c r="G2716" s="6" t="n"/>
      <c r="H2716" s="10">
        <f>IF(AND(B2716="",C2716=""),"",IF(G2716&lt;&gt;"","Void",IF(OR(B2716="",E2716=""),"Needs child",IF(D2716="","Needs level","OK"))))</f>
        <v/>
      </c>
    </row>
    <row r="2717">
      <c r="A2717" s="6" t="n"/>
      <c r="B2717" s="6" t="n"/>
      <c r="C2717" s="6" t="n"/>
      <c r="D2717" s="11">
        <f>IF(C2717="","",IFERROR(INDEX(Levels!$A$2:$A$30,MATCH(C2717,Levels!$B$2:$B$30,0)),""))</f>
        <v/>
      </c>
      <c r="E2717" s="10">
        <f>IF(B2717="","",IFERROR(INDEX(Roster!$A$2:$A$600,MATCH(B2717,Roster!$E$2:$E$600,0)),""))</f>
        <v/>
      </c>
      <c r="F2717" s="10">
        <f>IF(C2717="","",IFERROR(INDEX(Levels!$C$2:$C$30,MATCH(C2717,Levels!$B$2:$B$30,0)),""))</f>
        <v/>
      </c>
      <c r="G2717" s="6" t="n"/>
      <c r="H2717" s="10">
        <f>IF(AND(B2717="",C2717=""),"",IF(G2717&lt;&gt;"","Void",IF(OR(B2717="",E2717=""),"Needs child",IF(D2717="","Needs level","OK"))))</f>
        <v/>
      </c>
    </row>
    <row r="2718">
      <c r="A2718" s="6" t="n"/>
      <c r="B2718" s="6" t="n"/>
      <c r="C2718" s="6" t="n"/>
      <c r="D2718" s="11">
        <f>IF(C2718="","",IFERROR(INDEX(Levels!$A$2:$A$30,MATCH(C2718,Levels!$B$2:$B$30,0)),""))</f>
        <v/>
      </c>
      <c r="E2718" s="10">
        <f>IF(B2718="","",IFERROR(INDEX(Roster!$A$2:$A$600,MATCH(B2718,Roster!$E$2:$E$600,0)),""))</f>
        <v/>
      </c>
      <c r="F2718" s="10">
        <f>IF(C2718="","",IFERROR(INDEX(Levels!$C$2:$C$30,MATCH(C2718,Levels!$B$2:$B$30,0)),""))</f>
        <v/>
      </c>
      <c r="G2718" s="6" t="n"/>
      <c r="H2718" s="10">
        <f>IF(AND(B2718="",C2718=""),"",IF(G2718&lt;&gt;"","Void",IF(OR(B2718="",E2718=""),"Needs child",IF(D2718="","Needs level","OK"))))</f>
        <v/>
      </c>
    </row>
    <row r="2719">
      <c r="A2719" s="6" t="n"/>
      <c r="B2719" s="6" t="n"/>
      <c r="C2719" s="6" t="n"/>
      <c r="D2719" s="11">
        <f>IF(C2719="","",IFERROR(INDEX(Levels!$A$2:$A$30,MATCH(C2719,Levels!$B$2:$B$30,0)),""))</f>
        <v/>
      </c>
      <c r="E2719" s="10">
        <f>IF(B2719="","",IFERROR(INDEX(Roster!$A$2:$A$600,MATCH(B2719,Roster!$E$2:$E$600,0)),""))</f>
        <v/>
      </c>
      <c r="F2719" s="10">
        <f>IF(C2719="","",IFERROR(INDEX(Levels!$C$2:$C$30,MATCH(C2719,Levels!$B$2:$B$30,0)),""))</f>
        <v/>
      </c>
      <c r="G2719" s="6" t="n"/>
      <c r="H2719" s="10">
        <f>IF(AND(B2719="",C2719=""),"",IF(G2719&lt;&gt;"","Void",IF(OR(B2719="",E2719=""),"Needs child",IF(D2719="","Needs level","OK"))))</f>
        <v/>
      </c>
    </row>
    <row r="2720">
      <c r="A2720" s="6" t="n"/>
      <c r="B2720" s="6" t="n"/>
      <c r="C2720" s="6" t="n"/>
      <c r="D2720" s="11">
        <f>IF(C2720="","",IFERROR(INDEX(Levels!$A$2:$A$30,MATCH(C2720,Levels!$B$2:$B$30,0)),""))</f>
        <v/>
      </c>
      <c r="E2720" s="10">
        <f>IF(B2720="","",IFERROR(INDEX(Roster!$A$2:$A$600,MATCH(B2720,Roster!$E$2:$E$600,0)),""))</f>
        <v/>
      </c>
      <c r="F2720" s="10">
        <f>IF(C2720="","",IFERROR(INDEX(Levels!$C$2:$C$30,MATCH(C2720,Levels!$B$2:$B$30,0)),""))</f>
        <v/>
      </c>
      <c r="G2720" s="6" t="n"/>
      <c r="H2720" s="10">
        <f>IF(AND(B2720="",C2720=""),"",IF(G2720&lt;&gt;"","Void",IF(OR(B2720="",E2720=""),"Needs child",IF(D2720="","Needs level","OK"))))</f>
        <v/>
      </c>
    </row>
    <row r="2721">
      <c r="A2721" s="6" t="n"/>
      <c r="B2721" s="6" t="n"/>
      <c r="C2721" s="6" t="n"/>
      <c r="D2721" s="11">
        <f>IF(C2721="","",IFERROR(INDEX(Levels!$A$2:$A$30,MATCH(C2721,Levels!$B$2:$B$30,0)),""))</f>
        <v/>
      </c>
      <c r="E2721" s="10">
        <f>IF(B2721="","",IFERROR(INDEX(Roster!$A$2:$A$600,MATCH(B2721,Roster!$E$2:$E$600,0)),""))</f>
        <v/>
      </c>
      <c r="F2721" s="10">
        <f>IF(C2721="","",IFERROR(INDEX(Levels!$C$2:$C$30,MATCH(C2721,Levels!$B$2:$B$30,0)),""))</f>
        <v/>
      </c>
      <c r="G2721" s="6" t="n"/>
      <c r="H2721" s="10">
        <f>IF(AND(B2721="",C2721=""),"",IF(G2721&lt;&gt;"","Void",IF(OR(B2721="",E2721=""),"Needs child",IF(D2721="","Needs level","OK"))))</f>
        <v/>
      </c>
    </row>
    <row r="2722">
      <c r="A2722" s="6" t="n"/>
      <c r="B2722" s="6" t="n"/>
      <c r="C2722" s="6" t="n"/>
      <c r="D2722" s="11">
        <f>IF(C2722="","",IFERROR(INDEX(Levels!$A$2:$A$30,MATCH(C2722,Levels!$B$2:$B$30,0)),""))</f>
        <v/>
      </c>
      <c r="E2722" s="10">
        <f>IF(B2722="","",IFERROR(INDEX(Roster!$A$2:$A$600,MATCH(B2722,Roster!$E$2:$E$600,0)),""))</f>
        <v/>
      </c>
      <c r="F2722" s="10">
        <f>IF(C2722="","",IFERROR(INDEX(Levels!$C$2:$C$30,MATCH(C2722,Levels!$B$2:$B$30,0)),""))</f>
        <v/>
      </c>
      <c r="G2722" s="6" t="n"/>
      <c r="H2722" s="10">
        <f>IF(AND(B2722="",C2722=""),"",IF(G2722&lt;&gt;"","Void",IF(OR(B2722="",E2722=""),"Needs child",IF(D2722="","Needs level","OK"))))</f>
        <v/>
      </c>
    </row>
    <row r="2723">
      <c r="A2723" s="6" t="n"/>
      <c r="B2723" s="6" t="n"/>
      <c r="C2723" s="6" t="n"/>
      <c r="D2723" s="11">
        <f>IF(C2723="","",IFERROR(INDEX(Levels!$A$2:$A$30,MATCH(C2723,Levels!$B$2:$B$30,0)),""))</f>
        <v/>
      </c>
      <c r="E2723" s="10">
        <f>IF(B2723="","",IFERROR(INDEX(Roster!$A$2:$A$600,MATCH(B2723,Roster!$E$2:$E$600,0)),""))</f>
        <v/>
      </c>
      <c r="F2723" s="10">
        <f>IF(C2723="","",IFERROR(INDEX(Levels!$C$2:$C$30,MATCH(C2723,Levels!$B$2:$B$30,0)),""))</f>
        <v/>
      </c>
      <c r="G2723" s="6" t="n"/>
      <c r="H2723" s="10">
        <f>IF(AND(B2723="",C2723=""),"",IF(G2723&lt;&gt;"","Void",IF(OR(B2723="",E2723=""),"Needs child",IF(D2723="","Needs level","OK"))))</f>
        <v/>
      </c>
    </row>
    <row r="2724">
      <c r="A2724" s="6" t="n"/>
      <c r="B2724" s="6" t="n"/>
      <c r="C2724" s="6" t="n"/>
      <c r="D2724" s="11">
        <f>IF(C2724="","",IFERROR(INDEX(Levels!$A$2:$A$30,MATCH(C2724,Levels!$B$2:$B$30,0)),""))</f>
        <v/>
      </c>
      <c r="E2724" s="10">
        <f>IF(B2724="","",IFERROR(INDEX(Roster!$A$2:$A$600,MATCH(B2724,Roster!$E$2:$E$600,0)),""))</f>
        <v/>
      </c>
      <c r="F2724" s="10">
        <f>IF(C2724="","",IFERROR(INDEX(Levels!$C$2:$C$30,MATCH(C2724,Levels!$B$2:$B$30,0)),""))</f>
        <v/>
      </c>
      <c r="G2724" s="6" t="n"/>
      <c r="H2724" s="10">
        <f>IF(AND(B2724="",C2724=""),"",IF(G2724&lt;&gt;"","Void",IF(OR(B2724="",E2724=""),"Needs child",IF(D2724="","Needs level","OK"))))</f>
        <v/>
      </c>
    </row>
    <row r="2725">
      <c r="A2725" s="6" t="n"/>
      <c r="B2725" s="6" t="n"/>
      <c r="C2725" s="6" t="n"/>
      <c r="D2725" s="11">
        <f>IF(C2725="","",IFERROR(INDEX(Levels!$A$2:$A$30,MATCH(C2725,Levels!$B$2:$B$30,0)),""))</f>
        <v/>
      </c>
      <c r="E2725" s="10">
        <f>IF(B2725="","",IFERROR(INDEX(Roster!$A$2:$A$600,MATCH(B2725,Roster!$E$2:$E$600,0)),""))</f>
        <v/>
      </c>
      <c r="F2725" s="10">
        <f>IF(C2725="","",IFERROR(INDEX(Levels!$C$2:$C$30,MATCH(C2725,Levels!$B$2:$B$30,0)),""))</f>
        <v/>
      </c>
      <c r="G2725" s="6" t="n"/>
      <c r="H2725" s="10">
        <f>IF(AND(B2725="",C2725=""),"",IF(G2725&lt;&gt;"","Void",IF(OR(B2725="",E2725=""),"Needs child",IF(D2725="","Needs level","OK"))))</f>
        <v/>
      </c>
    </row>
    <row r="2726">
      <c r="A2726" s="6" t="n"/>
      <c r="B2726" s="6" t="n"/>
      <c r="C2726" s="6" t="n"/>
      <c r="D2726" s="11">
        <f>IF(C2726="","",IFERROR(INDEX(Levels!$A$2:$A$30,MATCH(C2726,Levels!$B$2:$B$30,0)),""))</f>
        <v/>
      </c>
      <c r="E2726" s="10">
        <f>IF(B2726="","",IFERROR(INDEX(Roster!$A$2:$A$600,MATCH(B2726,Roster!$E$2:$E$600,0)),""))</f>
        <v/>
      </c>
      <c r="F2726" s="10">
        <f>IF(C2726="","",IFERROR(INDEX(Levels!$C$2:$C$30,MATCH(C2726,Levels!$B$2:$B$30,0)),""))</f>
        <v/>
      </c>
      <c r="G2726" s="6" t="n"/>
      <c r="H2726" s="10">
        <f>IF(AND(B2726="",C2726=""),"",IF(G2726&lt;&gt;"","Void",IF(OR(B2726="",E2726=""),"Needs child",IF(D2726="","Needs level","OK"))))</f>
        <v/>
      </c>
    </row>
    <row r="2727">
      <c r="A2727" s="6" t="n"/>
      <c r="B2727" s="6" t="n"/>
      <c r="C2727" s="6" t="n"/>
      <c r="D2727" s="11">
        <f>IF(C2727="","",IFERROR(INDEX(Levels!$A$2:$A$30,MATCH(C2727,Levels!$B$2:$B$30,0)),""))</f>
        <v/>
      </c>
      <c r="E2727" s="10">
        <f>IF(B2727="","",IFERROR(INDEX(Roster!$A$2:$A$600,MATCH(B2727,Roster!$E$2:$E$600,0)),""))</f>
        <v/>
      </c>
      <c r="F2727" s="10">
        <f>IF(C2727="","",IFERROR(INDEX(Levels!$C$2:$C$30,MATCH(C2727,Levels!$B$2:$B$30,0)),""))</f>
        <v/>
      </c>
      <c r="G2727" s="6" t="n"/>
      <c r="H2727" s="10">
        <f>IF(AND(B2727="",C2727=""),"",IF(G2727&lt;&gt;"","Void",IF(OR(B2727="",E2727=""),"Needs child",IF(D2727="","Needs level","OK"))))</f>
        <v/>
      </c>
    </row>
    <row r="2728">
      <c r="A2728" s="6" t="n"/>
      <c r="B2728" s="6" t="n"/>
      <c r="C2728" s="6" t="n"/>
      <c r="D2728" s="11">
        <f>IF(C2728="","",IFERROR(INDEX(Levels!$A$2:$A$30,MATCH(C2728,Levels!$B$2:$B$30,0)),""))</f>
        <v/>
      </c>
      <c r="E2728" s="10">
        <f>IF(B2728="","",IFERROR(INDEX(Roster!$A$2:$A$600,MATCH(B2728,Roster!$E$2:$E$600,0)),""))</f>
        <v/>
      </c>
      <c r="F2728" s="10">
        <f>IF(C2728="","",IFERROR(INDEX(Levels!$C$2:$C$30,MATCH(C2728,Levels!$B$2:$B$30,0)),""))</f>
        <v/>
      </c>
      <c r="G2728" s="6" t="n"/>
      <c r="H2728" s="10">
        <f>IF(AND(B2728="",C2728=""),"",IF(G2728&lt;&gt;"","Void",IF(OR(B2728="",E2728=""),"Needs child",IF(D2728="","Needs level","OK"))))</f>
        <v/>
      </c>
    </row>
    <row r="2729">
      <c r="A2729" s="6" t="n"/>
      <c r="B2729" s="6" t="n"/>
      <c r="C2729" s="6" t="n"/>
      <c r="D2729" s="11">
        <f>IF(C2729="","",IFERROR(INDEX(Levels!$A$2:$A$30,MATCH(C2729,Levels!$B$2:$B$30,0)),""))</f>
        <v/>
      </c>
      <c r="E2729" s="10">
        <f>IF(B2729="","",IFERROR(INDEX(Roster!$A$2:$A$600,MATCH(B2729,Roster!$E$2:$E$600,0)),""))</f>
        <v/>
      </c>
      <c r="F2729" s="10">
        <f>IF(C2729="","",IFERROR(INDEX(Levels!$C$2:$C$30,MATCH(C2729,Levels!$B$2:$B$30,0)),""))</f>
        <v/>
      </c>
      <c r="G2729" s="6" t="n"/>
      <c r="H2729" s="10">
        <f>IF(AND(B2729="",C2729=""),"",IF(G2729&lt;&gt;"","Void",IF(OR(B2729="",E2729=""),"Needs child",IF(D2729="","Needs level","OK"))))</f>
        <v/>
      </c>
    </row>
    <row r="2730">
      <c r="A2730" s="6" t="n"/>
      <c r="B2730" s="6" t="n"/>
      <c r="C2730" s="6" t="n"/>
      <c r="D2730" s="11">
        <f>IF(C2730="","",IFERROR(INDEX(Levels!$A$2:$A$30,MATCH(C2730,Levels!$B$2:$B$30,0)),""))</f>
        <v/>
      </c>
      <c r="E2730" s="10">
        <f>IF(B2730="","",IFERROR(INDEX(Roster!$A$2:$A$600,MATCH(B2730,Roster!$E$2:$E$600,0)),""))</f>
        <v/>
      </c>
      <c r="F2730" s="10">
        <f>IF(C2730="","",IFERROR(INDEX(Levels!$C$2:$C$30,MATCH(C2730,Levels!$B$2:$B$30,0)),""))</f>
        <v/>
      </c>
      <c r="G2730" s="6" t="n"/>
      <c r="H2730" s="10">
        <f>IF(AND(B2730="",C2730=""),"",IF(G2730&lt;&gt;"","Void",IF(OR(B2730="",E2730=""),"Needs child",IF(D2730="","Needs level","OK"))))</f>
        <v/>
      </c>
    </row>
    <row r="2731">
      <c r="A2731" s="6" t="n"/>
      <c r="B2731" s="6" t="n"/>
      <c r="C2731" s="6" t="n"/>
      <c r="D2731" s="11">
        <f>IF(C2731="","",IFERROR(INDEX(Levels!$A$2:$A$30,MATCH(C2731,Levels!$B$2:$B$30,0)),""))</f>
        <v/>
      </c>
      <c r="E2731" s="10">
        <f>IF(B2731="","",IFERROR(INDEX(Roster!$A$2:$A$600,MATCH(B2731,Roster!$E$2:$E$600,0)),""))</f>
        <v/>
      </c>
      <c r="F2731" s="10">
        <f>IF(C2731="","",IFERROR(INDEX(Levels!$C$2:$C$30,MATCH(C2731,Levels!$B$2:$B$30,0)),""))</f>
        <v/>
      </c>
      <c r="G2731" s="6" t="n"/>
      <c r="H2731" s="10">
        <f>IF(AND(B2731="",C2731=""),"",IF(G2731&lt;&gt;"","Void",IF(OR(B2731="",E2731=""),"Needs child",IF(D2731="","Needs level","OK"))))</f>
        <v/>
      </c>
    </row>
    <row r="2732">
      <c r="A2732" s="6" t="n"/>
      <c r="B2732" s="6" t="n"/>
      <c r="C2732" s="6" t="n"/>
      <c r="D2732" s="11">
        <f>IF(C2732="","",IFERROR(INDEX(Levels!$A$2:$A$30,MATCH(C2732,Levels!$B$2:$B$30,0)),""))</f>
        <v/>
      </c>
      <c r="E2732" s="10">
        <f>IF(B2732="","",IFERROR(INDEX(Roster!$A$2:$A$600,MATCH(B2732,Roster!$E$2:$E$600,0)),""))</f>
        <v/>
      </c>
      <c r="F2732" s="10">
        <f>IF(C2732="","",IFERROR(INDEX(Levels!$C$2:$C$30,MATCH(C2732,Levels!$B$2:$B$30,0)),""))</f>
        <v/>
      </c>
      <c r="G2732" s="6" t="n"/>
      <c r="H2732" s="10">
        <f>IF(AND(B2732="",C2732=""),"",IF(G2732&lt;&gt;"","Void",IF(OR(B2732="",E2732=""),"Needs child",IF(D2732="","Needs level","OK"))))</f>
        <v/>
      </c>
    </row>
    <row r="2733">
      <c r="A2733" s="6" t="n"/>
      <c r="B2733" s="6" t="n"/>
      <c r="C2733" s="6" t="n"/>
      <c r="D2733" s="11">
        <f>IF(C2733="","",IFERROR(INDEX(Levels!$A$2:$A$30,MATCH(C2733,Levels!$B$2:$B$30,0)),""))</f>
        <v/>
      </c>
      <c r="E2733" s="10">
        <f>IF(B2733="","",IFERROR(INDEX(Roster!$A$2:$A$600,MATCH(B2733,Roster!$E$2:$E$600,0)),""))</f>
        <v/>
      </c>
      <c r="F2733" s="10">
        <f>IF(C2733="","",IFERROR(INDEX(Levels!$C$2:$C$30,MATCH(C2733,Levels!$B$2:$B$30,0)),""))</f>
        <v/>
      </c>
      <c r="G2733" s="6" t="n"/>
      <c r="H2733" s="10">
        <f>IF(AND(B2733="",C2733=""),"",IF(G2733&lt;&gt;"","Void",IF(OR(B2733="",E2733=""),"Needs child",IF(D2733="","Needs level","OK"))))</f>
        <v/>
      </c>
    </row>
    <row r="2734">
      <c r="A2734" s="6" t="n"/>
      <c r="B2734" s="6" t="n"/>
      <c r="C2734" s="6" t="n"/>
      <c r="D2734" s="11">
        <f>IF(C2734="","",IFERROR(INDEX(Levels!$A$2:$A$30,MATCH(C2734,Levels!$B$2:$B$30,0)),""))</f>
        <v/>
      </c>
      <c r="E2734" s="10">
        <f>IF(B2734="","",IFERROR(INDEX(Roster!$A$2:$A$600,MATCH(B2734,Roster!$E$2:$E$600,0)),""))</f>
        <v/>
      </c>
      <c r="F2734" s="10">
        <f>IF(C2734="","",IFERROR(INDEX(Levels!$C$2:$C$30,MATCH(C2734,Levels!$B$2:$B$30,0)),""))</f>
        <v/>
      </c>
      <c r="G2734" s="6" t="n"/>
      <c r="H2734" s="10">
        <f>IF(AND(B2734="",C2734=""),"",IF(G2734&lt;&gt;"","Void",IF(OR(B2734="",E2734=""),"Needs child",IF(D2734="","Needs level","OK"))))</f>
        <v/>
      </c>
    </row>
    <row r="2735">
      <c r="A2735" s="6" t="n"/>
      <c r="B2735" s="6" t="n"/>
      <c r="C2735" s="6" t="n"/>
      <c r="D2735" s="11">
        <f>IF(C2735="","",IFERROR(INDEX(Levels!$A$2:$A$30,MATCH(C2735,Levels!$B$2:$B$30,0)),""))</f>
        <v/>
      </c>
      <c r="E2735" s="10">
        <f>IF(B2735="","",IFERROR(INDEX(Roster!$A$2:$A$600,MATCH(B2735,Roster!$E$2:$E$600,0)),""))</f>
        <v/>
      </c>
      <c r="F2735" s="10">
        <f>IF(C2735="","",IFERROR(INDEX(Levels!$C$2:$C$30,MATCH(C2735,Levels!$B$2:$B$30,0)),""))</f>
        <v/>
      </c>
      <c r="G2735" s="6" t="n"/>
      <c r="H2735" s="10">
        <f>IF(AND(B2735="",C2735=""),"",IF(G2735&lt;&gt;"","Void",IF(OR(B2735="",E2735=""),"Needs child",IF(D2735="","Needs level","OK"))))</f>
        <v/>
      </c>
    </row>
    <row r="2736">
      <c r="A2736" s="6" t="n"/>
      <c r="B2736" s="6" t="n"/>
      <c r="C2736" s="6" t="n"/>
      <c r="D2736" s="11">
        <f>IF(C2736="","",IFERROR(INDEX(Levels!$A$2:$A$30,MATCH(C2736,Levels!$B$2:$B$30,0)),""))</f>
        <v/>
      </c>
      <c r="E2736" s="10">
        <f>IF(B2736="","",IFERROR(INDEX(Roster!$A$2:$A$600,MATCH(B2736,Roster!$E$2:$E$600,0)),""))</f>
        <v/>
      </c>
      <c r="F2736" s="10">
        <f>IF(C2736="","",IFERROR(INDEX(Levels!$C$2:$C$30,MATCH(C2736,Levels!$B$2:$B$30,0)),""))</f>
        <v/>
      </c>
      <c r="G2736" s="6" t="n"/>
      <c r="H2736" s="10">
        <f>IF(AND(B2736="",C2736=""),"",IF(G2736&lt;&gt;"","Void",IF(OR(B2736="",E2736=""),"Needs child",IF(D2736="","Needs level","OK"))))</f>
        <v/>
      </c>
    </row>
    <row r="2737">
      <c r="A2737" s="6" t="n"/>
      <c r="B2737" s="6" t="n"/>
      <c r="C2737" s="6" t="n"/>
      <c r="D2737" s="11">
        <f>IF(C2737="","",IFERROR(INDEX(Levels!$A$2:$A$30,MATCH(C2737,Levels!$B$2:$B$30,0)),""))</f>
        <v/>
      </c>
      <c r="E2737" s="10">
        <f>IF(B2737="","",IFERROR(INDEX(Roster!$A$2:$A$600,MATCH(B2737,Roster!$E$2:$E$600,0)),""))</f>
        <v/>
      </c>
      <c r="F2737" s="10">
        <f>IF(C2737="","",IFERROR(INDEX(Levels!$C$2:$C$30,MATCH(C2737,Levels!$B$2:$B$30,0)),""))</f>
        <v/>
      </c>
      <c r="G2737" s="6" t="n"/>
      <c r="H2737" s="10">
        <f>IF(AND(B2737="",C2737=""),"",IF(G2737&lt;&gt;"","Void",IF(OR(B2737="",E2737=""),"Needs child",IF(D2737="","Needs level","OK"))))</f>
        <v/>
      </c>
    </row>
    <row r="2738">
      <c r="A2738" s="6" t="n"/>
      <c r="B2738" s="6" t="n"/>
      <c r="C2738" s="6" t="n"/>
      <c r="D2738" s="11">
        <f>IF(C2738="","",IFERROR(INDEX(Levels!$A$2:$A$30,MATCH(C2738,Levels!$B$2:$B$30,0)),""))</f>
        <v/>
      </c>
      <c r="E2738" s="10">
        <f>IF(B2738="","",IFERROR(INDEX(Roster!$A$2:$A$600,MATCH(B2738,Roster!$E$2:$E$600,0)),""))</f>
        <v/>
      </c>
      <c r="F2738" s="10">
        <f>IF(C2738="","",IFERROR(INDEX(Levels!$C$2:$C$30,MATCH(C2738,Levels!$B$2:$B$30,0)),""))</f>
        <v/>
      </c>
      <c r="G2738" s="6" t="n"/>
      <c r="H2738" s="10">
        <f>IF(AND(B2738="",C2738=""),"",IF(G2738&lt;&gt;"","Void",IF(OR(B2738="",E2738=""),"Needs child",IF(D2738="","Needs level","OK"))))</f>
        <v/>
      </c>
    </row>
    <row r="2739">
      <c r="A2739" s="6" t="n"/>
      <c r="B2739" s="6" t="n"/>
      <c r="C2739" s="6" t="n"/>
      <c r="D2739" s="11">
        <f>IF(C2739="","",IFERROR(INDEX(Levels!$A$2:$A$30,MATCH(C2739,Levels!$B$2:$B$30,0)),""))</f>
        <v/>
      </c>
      <c r="E2739" s="10">
        <f>IF(B2739="","",IFERROR(INDEX(Roster!$A$2:$A$600,MATCH(B2739,Roster!$E$2:$E$600,0)),""))</f>
        <v/>
      </c>
      <c r="F2739" s="10">
        <f>IF(C2739="","",IFERROR(INDEX(Levels!$C$2:$C$30,MATCH(C2739,Levels!$B$2:$B$30,0)),""))</f>
        <v/>
      </c>
      <c r="G2739" s="6" t="n"/>
      <c r="H2739" s="10">
        <f>IF(AND(B2739="",C2739=""),"",IF(G2739&lt;&gt;"","Void",IF(OR(B2739="",E2739=""),"Needs child",IF(D2739="","Needs level","OK"))))</f>
        <v/>
      </c>
    </row>
    <row r="2740">
      <c r="A2740" s="6" t="n"/>
      <c r="B2740" s="6" t="n"/>
      <c r="C2740" s="6" t="n"/>
      <c r="D2740" s="11">
        <f>IF(C2740="","",IFERROR(INDEX(Levels!$A$2:$A$30,MATCH(C2740,Levels!$B$2:$B$30,0)),""))</f>
        <v/>
      </c>
      <c r="E2740" s="10">
        <f>IF(B2740="","",IFERROR(INDEX(Roster!$A$2:$A$600,MATCH(B2740,Roster!$E$2:$E$600,0)),""))</f>
        <v/>
      </c>
      <c r="F2740" s="10">
        <f>IF(C2740="","",IFERROR(INDEX(Levels!$C$2:$C$30,MATCH(C2740,Levels!$B$2:$B$30,0)),""))</f>
        <v/>
      </c>
      <c r="G2740" s="6" t="n"/>
      <c r="H2740" s="10">
        <f>IF(AND(B2740="",C2740=""),"",IF(G2740&lt;&gt;"","Void",IF(OR(B2740="",E2740=""),"Needs child",IF(D2740="","Needs level","OK"))))</f>
        <v/>
      </c>
    </row>
    <row r="2741">
      <c r="A2741" s="6" t="n"/>
      <c r="B2741" s="6" t="n"/>
      <c r="C2741" s="6" t="n"/>
      <c r="D2741" s="11">
        <f>IF(C2741="","",IFERROR(INDEX(Levels!$A$2:$A$30,MATCH(C2741,Levels!$B$2:$B$30,0)),""))</f>
        <v/>
      </c>
      <c r="E2741" s="10">
        <f>IF(B2741="","",IFERROR(INDEX(Roster!$A$2:$A$600,MATCH(B2741,Roster!$E$2:$E$600,0)),""))</f>
        <v/>
      </c>
      <c r="F2741" s="10">
        <f>IF(C2741="","",IFERROR(INDEX(Levels!$C$2:$C$30,MATCH(C2741,Levels!$B$2:$B$30,0)),""))</f>
        <v/>
      </c>
      <c r="G2741" s="6" t="n"/>
      <c r="H2741" s="10">
        <f>IF(AND(B2741="",C2741=""),"",IF(G2741&lt;&gt;"","Void",IF(OR(B2741="",E2741=""),"Needs child",IF(D2741="","Needs level","OK"))))</f>
        <v/>
      </c>
    </row>
    <row r="2742">
      <c r="A2742" s="6" t="n"/>
      <c r="B2742" s="6" t="n"/>
      <c r="C2742" s="6" t="n"/>
      <c r="D2742" s="11">
        <f>IF(C2742="","",IFERROR(INDEX(Levels!$A$2:$A$30,MATCH(C2742,Levels!$B$2:$B$30,0)),""))</f>
        <v/>
      </c>
      <c r="E2742" s="10">
        <f>IF(B2742="","",IFERROR(INDEX(Roster!$A$2:$A$600,MATCH(B2742,Roster!$E$2:$E$600,0)),""))</f>
        <v/>
      </c>
      <c r="F2742" s="10">
        <f>IF(C2742="","",IFERROR(INDEX(Levels!$C$2:$C$30,MATCH(C2742,Levels!$B$2:$B$30,0)),""))</f>
        <v/>
      </c>
      <c r="G2742" s="6" t="n"/>
      <c r="H2742" s="10">
        <f>IF(AND(B2742="",C2742=""),"",IF(G2742&lt;&gt;"","Void",IF(OR(B2742="",E2742=""),"Needs child",IF(D2742="","Needs level","OK"))))</f>
        <v/>
      </c>
    </row>
    <row r="2743">
      <c r="A2743" s="6" t="n"/>
      <c r="B2743" s="6" t="n"/>
      <c r="C2743" s="6" t="n"/>
      <c r="D2743" s="11">
        <f>IF(C2743="","",IFERROR(INDEX(Levels!$A$2:$A$30,MATCH(C2743,Levels!$B$2:$B$30,0)),""))</f>
        <v/>
      </c>
      <c r="E2743" s="10">
        <f>IF(B2743="","",IFERROR(INDEX(Roster!$A$2:$A$600,MATCH(B2743,Roster!$E$2:$E$600,0)),""))</f>
        <v/>
      </c>
      <c r="F2743" s="10">
        <f>IF(C2743="","",IFERROR(INDEX(Levels!$C$2:$C$30,MATCH(C2743,Levels!$B$2:$B$30,0)),""))</f>
        <v/>
      </c>
      <c r="G2743" s="6" t="n"/>
      <c r="H2743" s="10">
        <f>IF(AND(B2743="",C2743=""),"",IF(G2743&lt;&gt;"","Void",IF(OR(B2743="",E2743=""),"Needs child",IF(D2743="","Needs level","OK"))))</f>
        <v/>
      </c>
    </row>
    <row r="2744">
      <c r="A2744" s="6" t="n"/>
      <c r="B2744" s="6" t="n"/>
      <c r="C2744" s="6" t="n"/>
      <c r="D2744" s="11">
        <f>IF(C2744="","",IFERROR(INDEX(Levels!$A$2:$A$30,MATCH(C2744,Levels!$B$2:$B$30,0)),""))</f>
        <v/>
      </c>
      <c r="E2744" s="10">
        <f>IF(B2744="","",IFERROR(INDEX(Roster!$A$2:$A$600,MATCH(B2744,Roster!$E$2:$E$600,0)),""))</f>
        <v/>
      </c>
      <c r="F2744" s="10">
        <f>IF(C2744="","",IFERROR(INDEX(Levels!$C$2:$C$30,MATCH(C2744,Levels!$B$2:$B$30,0)),""))</f>
        <v/>
      </c>
      <c r="G2744" s="6" t="n"/>
      <c r="H2744" s="10">
        <f>IF(AND(B2744="",C2744=""),"",IF(G2744&lt;&gt;"","Void",IF(OR(B2744="",E2744=""),"Needs child",IF(D2744="","Needs level","OK"))))</f>
        <v/>
      </c>
    </row>
    <row r="2745">
      <c r="A2745" s="6" t="n"/>
      <c r="B2745" s="6" t="n"/>
      <c r="C2745" s="6" t="n"/>
      <c r="D2745" s="11">
        <f>IF(C2745="","",IFERROR(INDEX(Levels!$A$2:$A$30,MATCH(C2745,Levels!$B$2:$B$30,0)),""))</f>
        <v/>
      </c>
      <c r="E2745" s="10">
        <f>IF(B2745="","",IFERROR(INDEX(Roster!$A$2:$A$600,MATCH(B2745,Roster!$E$2:$E$600,0)),""))</f>
        <v/>
      </c>
      <c r="F2745" s="10">
        <f>IF(C2745="","",IFERROR(INDEX(Levels!$C$2:$C$30,MATCH(C2745,Levels!$B$2:$B$30,0)),""))</f>
        <v/>
      </c>
      <c r="G2745" s="6" t="n"/>
      <c r="H2745" s="10">
        <f>IF(AND(B2745="",C2745=""),"",IF(G2745&lt;&gt;"","Void",IF(OR(B2745="",E2745=""),"Needs child",IF(D2745="","Needs level","OK"))))</f>
        <v/>
      </c>
    </row>
    <row r="2746">
      <c r="A2746" s="6" t="n"/>
      <c r="B2746" s="6" t="n"/>
      <c r="C2746" s="6" t="n"/>
      <c r="D2746" s="11">
        <f>IF(C2746="","",IFERROR(INDEX(Levels!$A$2:$A$30,MATCH(C2746,Levels!$B$2:$B$30,0)),""))</f>
        <v/>
      </c>
      <c r="E2746" s="10">
        <f>IF(B2746="","",IFERROR(INDEX(Roster!$A$2:$A$600,MATCH(B2746,Roster!$E$2:$E$600,0)),""))</f>
        <v/>
      </c>
      <c r="F2746" s="10">
        <f>IF(C2746="","",IFERROR(INDEX(Levels!$C$2:$C$30,MATCH(C2746,Levels!$B$2:$B$30,0)),""))</f>
        <v/>
      </c>
      <c r="G2746" s="6" t="n"/>
      <c r="H2746" s="10">
        <f>IF(AND(B2746="",C2746=""),"",IF(G2746&lt;&gt;"","Void",IF(OR(B2746="",E2746=""),"Needs child",IF(D2746="","Needs level","OK"))))</f>
        <v/>
      </c>
    </row>
    <row r="2747">
      <c r="A2747" s="6" t="n"/>
      <c r="B2747" s="6" t="n"/>
      <c r="C2747" s="6" t="n"/>
      <c r="D2747" s="11">
        <f>IF(C2747="","",IFERROR(INDEX(Levels!$A$2:$A$30,MATCH(C2747,Levels!$B$2:$B$30,0)),""))</f>
        <v/>
      </c>
      <c r="E2747" s="10">
        <f>IF(B2747="","",IFERROR(INDEX(Roster!$A$2:$A$600,MATCH(B2747,Roster!$E$2:$E$600,0)),""))</f>
        <v/>
      </c>
      <c r="F2747" s="10">
        <f>IF(C2747="","",IFERROR(INDEX(Levels!$C$2:$C$30,MATCH(C2747,Levels!$B$2:$B$30,0)),""))</f>
        <v/>
      </c>
      <c r="G2747" s="6" t="n"/>
      <c r="H2747" s="10">
        <f>IF(AND(B2747="",C2747=""),"",IF(G2747&lt;&gt;"","Void",IF(OR(B2747="",E2747=""),"Needs child",IF(D2747="","Needs level","OK"))))</f>
        <v/>
      </c>
    </row>
    <row r="2748">
      <c r="A2748" s="6" t="n"/>
      <c r="B2748" s="6" t="n"/>
      <c r="C2748" s="6" t="n"/>
      <c r="D2748" s="11">
        <f>IF(C2748="","",IFERROR(INDEX(Levels!$A$2:$A$30,MATCH(C2748,Levels!$B$2:$B$30,0)),""))</f>
        <v/>
      </c>
      <c r="E2748" s="10">
        <f>IF(B2748="","",IFERROR(INDEX(Roster!$A$2:$A$600,MATCH(B2748,Roster!$E$2:$E$600,0)),""))</f>
        <v/>
      </c>
      <c r="F2748" s="10">
        <f>IF(C2748="","",IFERROR(INDEX(Levels!$C$2:$C$30,MATCH(C2748,Levels!$B$2:$B$30,0)),""))</f>
        <v/>
      </c>
      <c r="G2748" s="6" t="n"/>
      <c r="H2748" s="10">
        <f>IF(AND(B2748="",C2748=""),"",IF(G2748&lt;&gt;"","Void",IF(OR(B2748="",E2748=""),"Needs child",IF(D2748="","Needs level","OK"))))</f>
        <v/>
      </c>
    </row>
    <row r="2749">
      <c r="A2749" s="6" t="n"/>
      <c r="B2749" s="6" t="n"/>
      <c r="C2749" s="6" t="n"/>
      <c r="D2749" s="11">
        <f>IF(C2749="","",IFERROR(INDEX(Levels!$A$2:$A$30,MATCH(C2749,Levels!$B$2:$B$30,0)),""))</f>
        <v/>
      </c>
      <c r="E2749" s="10">
        <f>IF(B2749="","",IFERROR(INDEX(Roster!$A$2:$A$600,MATCH(B2749,Roster!$E$2:$E$600,0)),""))</f>
        <v/>
      </c>
      <c r="F2749" s="10">
        <f>IF(C2749="","",IFERROR(INDEX(Levels!$C$2:$C$30,MATCH(C2749,Levels!$B$2:$B$30,0)),""))</f>
        <v/>
      </c>
      <c r="G2749" s="6" t="n"/>
      <c r="H2749" s="10">
        <f>IF(AND(B2749="",C2749=""),"",IF(G2749&lt;&gt;"","Void",IF(OR(B2749="",E2749=""),"Needs child",IF(D2749="","Needs level","OK"))))</f>
        <v/>
      </c>
    </row>
    <row r="2750">
      <c r="A2750" s="6" t="n"/>
      <c r="B2750" s="6" t="n"/>
      <c r="C2750" s="6" t="n"/>
      <c r="D2750" s="11">
        <f>IF(C2750="","",IFERROR(INDEX(Levels!$A$2:$A$30,MATCH(C2750,Levels!$B$2:$B$30,0)),""))</f>
        <v/>
      </c>
      <c r="E2750" s="10">
        <f>IF(B2750="","",IFERROR(INDEX(Roster!$A$2:$A$600,MATCH(B2750,Roster!$E$2:$E$600,0)),""))</f>
        <v/>
      </c>
      <c r="F2750" s="10">
        <f>IF(C2750="","",IFERROR(INDEX(Levels!$C$2:$C$30,MATCH(C2750,Levels!$B$2:$B$30,0)),""))</f>
        <v/>
      </c>
      <c r="G2750" s="6" t="n"/>
      <c r="H2750" s="10">
        <f>IF(AND(B2750="",C2750=""),"",IF(G2750&lt;&gt;"","Void",IF(OR(B2750="",E2750=""),"Needs child",IF(D2750="","Needs level","OK"))))</f>
        <v/>
      </c>
    </row>
    <row r="2751">
      <c r="A2751" s="6" t="n"/>
      <c r="B2751" s="6" t="n"/>
      <c r="C2751" s="6" t="n"/>
      <c r="D2751" s="11">
        <f>IF(C2751="","",IFERROR(INDEX(Levels!$A$2:$A$30,MATCH(C2751,Levels!$B$2:$B$30,0)),""))</f>
        <v/>
      </c>
      <c r="E2751" s="10">
        <f>IF(B2751="","",IFERROR(INDEX(Roster!$A$2:$A$600,MATCH(B2751,Roster!$E$2:$E$600,0)),""))</f>
        <v/>
      </c>
      <c r="F2751" s="10">
        <f>IF(C2751="","",IFERROR(INDEX(Levels!$C$2:$C$30,MATCH(C2751,Levels!$B$2:$B$30,0)),""))</f>
        <v/>
      </c>
      <c r="G2751" s="6" t="n"/>
      <c r="H2751" s="10">
        <f>IF(AND(B2751="",C2751=""),"",IF(G2751&lt;&gt;"","Void",IF(OR(B2751="",E2751=""),"Needs child",IF(D2751="","Needs level","OK"))))</f>
        <v/>
      </c>
    </row>
    <row r="2752">
      <c r="A2752" s="6" t="n"/>
      <c r="B2752" s="6" t="n"/>
      <c r="C2752" s="6" t="n"/>
      <c r="D2752" s="11">
        <f>IF(C2752="","",IFERROR(INDEX(Levels!$A$2:$A$30,MATCH(C2752,Levels!$B$2:$B$30,0)),""))</f>
        <v/>
      </c>
      <c r="E2752" s="10">
        <f>IF(B2752="","",IFERROR(INDEX(Roster!$A$2:$A$600,MATCH(B2752,Roster!$E$2:$E$600,0)),""))</f>
        <v/>
      </c>
      <c r="F2752" s="10">
        <f>IF(C2752="","",IFERROR(INDEX(Levels!$C$2:$C$30,MATCH(C2752,Levels!$B$2:$B$30,0)),""))</f>
        <v/>
      </c>
      <c r="G2752" s="6" t="n"/>
      <c r="H2752" s="10">
        <f>IF(AND(B2752="",C2752=""),"",IF(G2752&lt;&gt;"","Void",IF(OR(B2752="",E2752=""),"Needs child",IF(D2752="","Needs level","OK"))))</f>
        <v/>
      </c>
    </row>
    <row r="2753">
      <c r="A2753" s="6" t="n"/>
      <c r="B2753" s="6" t="n"/>
      <c r="C2753" s="6" t="n"/>
      <c r="D2753" s="11">
        <f>IF(C2753="","",IFERROR(INDEX(Levels!$A$2:$A$30,MATCH(C2753,Levels!$B$2:$B$30,0)),""))</f>
        <v/>
      </c>
      <c r="E2753" s="10">
        <f>IF(B2753="","",IFERROR(INDEX(Roster!$A$2:$A$600,MATCH(B2753,Roster!$E$2:$E$600,0)),""))</f>
        <v/>
      </c>
      <c r="F2753" s="10">
        <f>IF(C2753="","",IFERROR(INDEX(Levels!$C$2:$C$30,MATCH(C2753,Levels!$B$2:$B$30,0)),""))</f>
        <v/>
      </c>
      <c r="G2753" s="6" t="n"/>
      <c r="H2753" s="10">
        <f>IF(AND(B2753="",C2753=""),"",IF(G2753&lt;&gt;"","Void",IF(OR(B2753="",E2753=""),"Needs child",IF(D2753="","Needs level","OK"))))</f>
        <v/>
      </c>
    </row>
    <row r="2754">
      <c r="A2754" s="6" t="n"/>
      <c r="B2754" s="6" t="n"/>
      <c r="C2754" s="6" t="n"/>
      <c r="D2754" s="11">
        <f>IF(C2754="","",IFERROR(INDEX(Levels!$A$2:$A$30,MATCH(C2754,Levels!$B$2:$B$30,0)),""))</f>
        <v/>
      </c>
      <c r="E2754" s="10">
        <f>IF(B2754="","",IFERROR(INDEX(Roster!$A$2:$A$600,MATCH(B2754,Roster!$E$2:$E$600,0)),""))</f>
        <v/>
      </c>
      <c r="F2754" s="10">
        <f>IF(C2754="","",IFERROR(INDEX(Levels!$C$2:$C$30,MATCH(C2754,Levels!$B$2:$B$30,0)),""))</f>
        <v/>
      </c>
      <c r="G2754" s="6" t="n"/>
      <c r="H2754" s="10">
        <f>IF(AND(B2754="",C2754=""),"",IF(G2754&lt;&gt;"","Void",IF(OR(B2754="",E2754=""),"Needs child",IF(D2754="","Needs level","OK"))))</f>
        <v/>
      </c>
    </row>
    <row r="2755">
      <c r="A2755" s="6" t="n"/>
      <c r="B2755" s="6" t="n"/>
      <c r="C2755" s="6" t="n"/>
      <c r="D2755" s="11">
        <f>IF(C2755="","",IFERROR(INDEX(Levels!$A$2:$A$30,MATCH(C2755,Levels!$B$2:$B$30,0)),""))</f>
        <v/>
      </c>
      <c r="E2755" s="10">
        <f>IF(B2755="","",IFERROR(INDEX(Roster!$A$2:$A$600,MATCH(B2755,Roster!$E$2:$E$600,0)),""))</f>
        <v/>
      </c>
      <c r="F2755" s="10">
        <f>IF(C2755="","",IFERROR(INDEX(Levels!$C$2:$C$30,MATCH(C2755,Levels!$B$2:$B$30,0)),""))</f>
        <v/>
      </c>
      <c r="G2755" s="6" t="n"/>
      <c r="H2755" s="10">
        <f>IF(AND(B2755="",C2755=""),"",IF(G2755&lt;&gt;"","Void",IF(OR(B2755="",E2755=""),"Needs child",IF(D2755="","Needs level","OK"))))</f>
        <v/>
      </c>
    </row>
    <row r="2756">
      <c r="A2756" s="6" t="n"/>
      <c r="B2756" s="6" t="n"/>
      <c r="C2756" s="6" t="n"/>
      <c r="D2756" s="11">
        <f>IF(C2756="","",IFERROR(INDEX(Levels!$A$2:$A$30,MATCH(C2756,Levels!$B$2:$B$30,0)),""))</f>
        <v/>
      </c>
      <c r="E2756" s="10">
        <f>IF(B2756="","",IFERROR(INDEX(Roster!$A$2:$A$600,MATCH(B2756,Roster!$E$2:$E$600,0)),""))</f>
        <v/>
      </c>
      <c r="F2756" s="10">
        <f>IF(C2756="","",IFERROR(INDEX(Levels!$C$2:$C$30,MATCH(C2756,Levels!$B$2:$B$30,0)),""))</f>
        <v/>
      </c>
      <c r="G2756" s="6" t="n"/>
      <c r="H2756" s="10">
        <f>IF(AND(B2756="",C2756=""),"",IF(G2756&lt;&gt;"","Void",IF(OR(B2756="",E2756=""),"Needs child",IF(D2756="","Needs level","OK"))))</f>
        <v/>
      </c>
    </row>
    <row r="2757">
      <c r="A2757" s="6" t="n"/>
      <c r="B2757" s="6" t="n"/>
      <c r="C2757" s="6" t="n"/>
      <c r="D2757" s="11">
        <f>IF(C2757="","",IFERROR(INDEX(Levels!$A$2:$A$30,MATCH(C2757,Levels!$B$2:$B$30,0)),""))</f>
        <v/>
      </c>
      <c r="E2757" s="10">
        <f>IF(B2757="","",IFERROR(INDEX(Roster!$A$2:$A$600,MATCH(B2757,Roster!$E$2:$E$600,0)),""))</f>
        <v/>
      </c>
      <c r="F2757" s="10">
        <f>IF(C2757="","",IFERROR(INDEX(Levels!$C$2:$C$30,MATCH(C2757,Levels!$B$2:$B$30,0)),""))</f>
        <v/>
      </c>
      <c r="G2757" s="6" t="n"/>
      <c r="H2757" s="10">
        <f>IF(AND(B2757="",C2757=""),"",IF(G2757&lt;&gt;"","Void",IF(OR(B2757="",E2757=""),"Needs child",IF(D2757="","Needs level","OK"))))</f>
        <v/>
      </c>
    </row>
    <row r="2758">
      <c r="A2758" s="6" t="n"/>
      <c r="B2758" s="6" t="n"/>
      <c r="C2758" s="6" t="n"/>
      <c r="D2758" s="11">
        <f>IF(C2758="","",IFERROR(INDEX(Levels!$A$2:$A$30,MATCH(C2758,Levels!$B$2:$B$30,0)),""))</f>
        <v/>
      </c>
      <c r="E2758" s="10">
        <f>IF(B2758="","",IFERROR(INDEX(Roster!$A$2:$A$600,MATCH(B2758,Roster!$E$2:$E$600,0)),""))</f>
        <v/>
      </c>
      <c r="F2758" s="10">
        <f>IF(C2758="","",IFERROR(INDEX(Levels!$C$2:$C$30,MATCH(C2758,Levels!$B$2:$B$30,0)),""))</f>
        <v/>
      </c>
      <c r="G2758" s="6" t="n"/>
      <c r="H2758" s="10">
        <f>IF(AND(B2758="",C2758=""),"",IF(G2758&lt;&gt;"","Void",IF(OR(B2758="",E2758=""),"Needs child",IF(D2758="","Needs level","OK"))))</f>
        <v/>
      </c>
    </row>
    <row r="2759">
      <c r="A2759" s="6" t="n"/>
      <c r="B2759" s="6" t="n"/>
      <c r="C2759" s="6" t="n"/>
      <c r="D2759" s="11">
        <f>IF(C2759="","",IFERROR(INDEX(Levels!$A$2:$A$30,MATCH(C2759,Levels!$B$2:$B$30,0)),""))</f>
        <v/>
      </c>
      <c r="E2759" s="10">
        <f>IF(B2759="","",IFERROR(INDEX(Roster!$A$2:$A$600,MATCH(B2759,Roster!$E$2:$E$600,0)),""))</f>
        <v/>
      </c>
      <c r="F2759" s="10">
        <f>IF(C2759="","",IFERROR(INDEX(Levels!$C$2:$C$30,MATCH(C2759,Levels!$B$2:$B$30,0)),""))</f>
        <v/>
      </c>
      <c r="G2759" s="6" t="n"/>
      <c r="H2759" s="10">
        <f>IF(AND(B2759="",C2759=""),"",IF(G2759&lt;&gt;"","Void",IF(OR(B2759="",E2759=""),"Needs child",IF(D2759="","Needs level","OK"))))</f>
        <v/>
      </c>
    </row>
    <row r="2760">
      <c r="A2760" s="6" t="n"/>
      <c r="B2760" s="6" t="n"/>
      <c r="C2760" s="6" t="n"/>
      <c r="D2760" s="11">
        <f>IF(C2760="","",IFERROR(INDEX(Levels!$A$2:$A$30,MATCH(C2760,Levels!$B$2:$B$30,0)),""))</f>
        <v/>
      </c>
      <c r="E2760" s="10">
        <f>IF(B2760="","",IFERROR(INDEX(Roster!$A$2:$A$600,MATCH(B2760,Roster!$E$2:$E$600,0)),""))</f>
        <v/>
      </c>
      <c r="F2760" s="10">
        <f>IF(C2760="","",IFERROR(INDEX(Levels!$C$2:$C$30,MATCH(C2760,Levels!$B$2:$B$30,0)),""))</f>
        <v/>
      </c>
      <c r="G2760" s="6" t="n"/>
      <c r="H2760" s="10">
        <f>IF(AND(B2760="",C2760=""),"",IF(G2760&lt;&gt;"","Void",IF(OR(B2760="",E2760=""),"Needs child",IF(D2760="","Needs level","OK"))))</f>
        <v/>
      </c>
    </row>
    <row r="2761">
      <c r="A2761" s="6" t="n"/>
      <c r="B2761" s="6" t="n"/>
      <c r="C2761" s="6" t="n"/>
      <c r="D2761" s="11">
        <f>IF(C2761="","",IFERROR(INDEX(Levels!$A$2:$A$30,MATCH(C2761,Levels!$B$2:$B$30,0)),""))</f>
        <v/>
      </c>
      <c r="E2761" s="10">
        <f>IF(B2761="","",IFERROR(INDEX(Roster!$A$2:$A$600,MATCH(B2761,Roster!$E$2:$E$600,0)),""))</f>
        <v/>
      </c>
      <c r="F2761" s="10">
        <f>IF(C2761="","",IFERROR(INDEX(Levels!$C$2:$C$30,MATCH(C2761,Levels!$B$2:$B$30,0)),""))</f>
        <v/>
      </c>
      <c r="G2761" s="6" t="n"/>
      <c r="H2761" s="10">
        <f>IF(AND(B2761="",C2761=""),"",IF(G2761&lt;&gt;"","Void",IF(OR(B2761="",E2761=""),"Needs child",IF(D2761="","Needs level","OK"))))</f>
        <v/>
      </c>
    </row>
    <row r="2762">
      <c r="A2762" s="6" t="n"/>
      <c r="B2762" s="6" t="n"/>
      <c r="C2762" s="6" t="n"/>
      <c r="D2762" s="11">
        <f>IF(C2762="","",IFERROR(INDEX(Levels!$A$2:$A$30,MATCH(C2762,Levels!$B$2:$B$30,0)),""))</f>
        <v/>
      </c>
      <c r="E2762" s="10">
        <f>IF(B2762="","",IFERROR(INDEX(Roster!$A$2:$A$600,MATCH(B2762,Roster!$E$2:$E$600,0)),""))</f>
        <v/>
      </c>
      <c r="F2762" s="10">
        <f>IF(C2762="","",IFERROR(INDEX(Levels!$C$2:$C$30,MATCH(C2762,Levels!$B$2:$B$30,0)),""))</f>
        <v/>
      </c>
      <c r="G2762" s="6" t="n"/>
      <c r="H2762" s="10">
        <f>IF(AND(B2762="",C2762=""),"",IF(G2762&lt;&gt;"","Void",IF(OR(B2762="",E2762=""),"Needs child",IF(D2762="","Needs level","OK"))))</f>
        <v/>
      </c>
    </row>
    <row r="2763">
      <c r="A2763" s="6" t="n"/>
      <c r="B2763" s="6" t="n"/>
      <c r="C2763" s="6" t="n"/>
      <c r="D2763" s="11">
        <f>IF(C2763="","",IFERROR(INDEX(Levels!$A$2:$A$30,MATCH(C2763,Levels!$B$2:$B$30,0)),""))</f>
        <v/>
      </c>
      <c r="E2763" s="10">
        <f>IF(B2763="","",IFERROR(INDEX(Roster!$A$2:$A$600,MATCH(B2763,Roster!$E$2:$E$600,0)),""))</f>
        <v/>
      </c>
      <c r="F2763" s="10">
        <f>IF(C2763="","",IFERROR(INDEX(Levels!$C$2:$C$30,MATCH(C2763,Levels!$B$2:$B$30,0)),""))</f>
        <v/>
      </c>
      <c r="G2763" s="6" t="n"/>
      <c r="H2763" s="10">
        <f>IF(AND(B2763="",C2763=""),"",IF(G2763&lt;&gt;"","Void",IF(OR(B2763="",E2763=""),"Needs child",IF(D2763="","Needs level","OK"))))</f>
        <v/>
      </c>
    </row>
    <row r="2764">
      <c r="A2764" s="6" t="n"/>
      <c r="B2764" s="6" t="n"/>
      <c r="C2764" s="6" t="n"/>
      <c r="D2764" s="11">
        <f>IF(C2764="","",IFERROR(INDEX(Levels!$A$2:$A$30,MATCH(C2764,Levels!$B$2:$B$30,0)),""))</f>
        <v/>
      </c>
      <c r="E2764" s="10">
        <f>IF(B2764="","",IFERROR(INDEX(Roster!$A$2:$A$600,MATCH(B2764,Roster!$E$2:$E$600,0)),""))</f>
        <v/>
      </c>
      <c r="F2764" s="10">
        <f>IF(C2764="","",IFERROR(INDEX(Levels!$C$2:$C$30,MATCH(C2764,Levels!$B$2:$B$30,0)),""))</f>
        <v/>
      </c>
      <c r="G2764" s="6" t="n"/>
      <c r="H2764" s="10">
        <f>IF(AND(B2764="",C2764=""),"",IF(G2764&lt;&gt;"","Void",IF(OR(B2764="",E2764=""),"Needs child",IF(D2764="","Needs level","OK"))))</f>
        <v/>
      </c>
    </row>
    <row r="2765">
      <c r="A2765" s="6" t="n"/>
      <c r="B2765" s="6" t="n"/>
      <c r="C2765" s="6" t="n"/>
      <c r="D2765" s="11">
        <f>IF(C2765="","",IFERROR(INDEX(Levels!$A$2:$A$30,MATCH(C2765,Levels!$B$2:$B$30,0)),""))</f>
        <v/>
      </c>
      <c r="E2765" s="10">
        <f>IF(B2765="","",IFERROR(INDEX(Roster!$A$2:$A$600,MATCH(B2765,Roster!$E$2:$E$600,0)),""))</f>
        <v/>
      </c>
      <c r="F2765" s="10">
        <f>IF(C2765="","",IFERROR(INDEX(Levels!$C$2:$C$30,MATCH(C2765,Levels!$B$2:$B$30,0)),""))</f>
        <v/>
      </c>
      <c r="G2765" s="6" t="n"/>
      <c r="H2765" s="10">
        <f>IF(AND(B2765="",C2765=""),"",IF(G2765&lt;&gt;"","Void",IF(OR(B2765="",E2765=""),"Needs child",IF(D2765="","Needs level","OK"))))</f>
        <v/>
      </c>
    </row>
    <row r="2766">
      <c r="A2766" s="6" t="n"/>
      <c r="B2766" s="6" t="n"/>
      <c r="C2766" s="6" t="n"/>
      <c r="D2766" s="11">
        <f>IF(C2766="","",IFERROR(INDEX(Levels!$A$2:$A$30,MATCH(C2766,Levels!$B$2:$B$30,0)),""))</f>
        <v/>
      </c>
      <c r="E2766" s="10">
        <f>IF(B2766="","",IFERROR(INDEX(Roster!$A$2:$A$600,MATCH(B2766,Roster!$E$2:$E$600,0)),""))</f>
        <v/>
      </c>
      <c r="F2766" s="10">
        <f>IF(C2766="","",IFERROR(INDEX(Levels!$C$2:$C$30,MATCH(C2766,Levels!$B$2:$B$30,0)),""))</f>
        <v/>
      </c>
      <c r="G2766" s="6" t="n"/>
      <c r="H2766" s="10">
        <f>IF(AND(B2766="",C2766=""),"",IF(G2766&lt;&gt;"","Void",IF(OR(B2766="",E2766=""),"Needs child",IF(D2766="","Needs level","OK"))))</f>
        <v/>
      </c>
    </row>
    <row r="2767">
      <c r="A2767" s="6" t="n"/>
      <c r="B2767" s="6" t="n"/>
      <c r="C2767" s="6" t="n"/>
      <c r="D2767" s="11">
        <f>IF(C2767="","",IFERROR(INDEX(Levels!$A$2:$A$30,MATCH(C2767,Levels!$B$2:$B$30,0)),""))</f>
        <v/>
      </c>
      <c r="E2767" s="10">
        <f>IF(B2767="","",IFERROR(INDEX(Roster!$A$2:$A$600,MATCH(B2767,Roster!$E$2:$E$600,0)),""))</f>
        <v/>
      </c>
      <c r="F2767" s="10">
        <f>IF(C2767="","",IFERROR(INDEX(Levels!$C$2:$C$30,MATCH(C2767,Levels!$B$2:$B$30,0)),""))</f>
        <v/>
      </c>
      <c r="G2767" s="6" t="n"/>
      <c r="H2767" s="10">
        <f>IF(AND(B2767="",C2767=""),"",IF(G2767&lt;&gt;"","Void",IF(OR(B2767="",E2767=""),"Needs child",IF(D2767="","Needs level","OK"))))</f>
        <v/>
      </c>
    </row>
    <row r="2768">
      <c r="A2768" s="6" t="n"/>
      <c r="B2768" s="6" t="n"/>
      <c r="C2768" s="6" t="n"/>
      <c r="D2768" s="11">
        <f>IF(C2768="","",IFERROR(INDEX(Levels!$A$2:$A$30,MATCH(C2768,Levels!$B$2:$B$30,0)),""))</f>
        <v/>
      </c>
      <c r="E2768" s="10">
        <f>IF(B2768="","",IFERROR(INDEX(Roster!$A$2:$A$600,MATCH(B2768,Roster!$E$2:$E$600,0)),""))</f>
        <v/>
      </c>
      <c r="F2768" s="10">
        <f>IF(C2768="","",IFERROR(INDEX(Levels!$C$2:$C$30,MATCH(C2768,Levels!$B$2:$B$30,0)),""))</f>
        <v/>
      </c>
      <c r="G2768" s="6" t="n"/>
      <c r="H2768" s="10">
        <f>IF(AND(B2768="",C2768=""),"",IF(G2768&lt;&gt;"","Void",IF(OR(B2768="",E2768=""),"Needs child",IF(D2768="","Needs level","OK"))))</f>
        <v/>
      </c>
    </row>
    <row r="2769">
      <c r="A2769" s="6" t="n"/>
      <c r="B2769" s="6" t="n"/>
      <c r="C2769" s="6" t="n"/>
      <c r="D2769" s="11">
        <f>IF(C2769="","",IFERROR(INDEX(Levels!$A$2:$A$30,MATCH(C2769,Levels!$B$2:$B$30,0)),""))</f>
        <v/>
      </c>
      <c r="E2769" s="10">
        <f>IF(B2769="","",IFERROR(INDEX(Roster!$A$2:$A$600,MATCH(B2769,Roster!$E$2:$E$600,0)),""))</f>
        <v/>
      </c>
      <c r="F2769" s="10">
        <f>IF(C2769="","",IFERROR(INDEX(Levels!$C$2:$C$30,MATCH(C2769,Levels!$B$2:$B$30,0)),""))</f>
        <v/>
      </c>
      <c r="G2769" s="6" t="n"/>
      <c r="H2769" s="10">
        <f>IF(AND(B2769="",C2769=""),"",IF(G2769&lt;&gt;"","Void",IF(OR(B2769="",E2769=""),"Needs child",IF(D2769="","Needs level","OK"))))</f>
        <v/>
      </c>
    </row>
    <row r="2770">
      <c r="A2770" s="6" t="n"/>
      <c r="B2770" s="6" t="n"/>
      <c r="C2770" s="6" t="n"/>
      <c r="D2770" s="11">
        <f>IF(C2770="","",IFERROR(INDEX(Levels!$A$2:$A$30,MATCH(C2770,Levels!$B$2:$B$30,0)),""))</f>
        <v/>
      </c>
      <c r="E2770" s="10">
        <f>IF(B2770="","",IFERROR(INDEX(Roster!$A$2:$A$600,MATCH(B2770,Roster!$E$2:$E$600,0)),""))</f>
        <v/>
      </c>
      <c r="F2770" s="10">
        <f>IF(C2770="","",IFERROR(INDEX(Levels!$C$2:$C$30,MATCH(C2770,Levels!$B$2:$B$30,0)),""))</f>
        <v/>
      </c>
      <c r="G2770" s="6" t="n"/>
      <c r="H2770" s="10">
        <f>IF(AND(B2770="",C2770=""),"",IF(G2770&lt;&gt;"","Void",IF(OR(B2770="",E2770=""),"Needs child",IF(D2770="","Needs level","OK"))))</f>
        <v/>
      </c>
    </row>
    <row r="2771">
      <c r="A2771" s="6" t="n"/>
      <c r="B2771" s="6" t="n"/>
      <c r="C2771" s="6" t="n"/>
      <c r="D2771" s="11">
        <f>IF(C2771="","",IFERROR(INDEX(Levels!$A$2:$A$30,MATCH(C2771,Levels!$B$2:$B$30,0)),""))</f>
        <v/>
      </c>
      <c r="E2771" s="10">
        <f>IF(B2771="","",IFERROR(INDEX(Roster!$A$2:$A$600,MATCH(B2771,Roster!$E$2:$E$600,0)),""))</f>
        <v/>
      </c>
      <c r="F2771" s="10">
        <f>IF(C2771="","",IFERROR(INDEX(Levels!$C$2:$C$30,MATCH(C2771,Levels!$B$2:$B$30,0)),""))</f>
        <v/>
      </c>
      <c r="G2771" s="6" t="n"/>
      <c r="H2771" s="10">
        <f>IF(AND(B2771="",C2771=""),"",IF(G2771&lt;&gt;"","Void",IF(OR(B2771="",E2771=""),"Needs child",IF(D2771="","Needs level","OK"))))</f>
        <v/>
      </c>
    </row>
    <row r="2772">
      <c r="A2772" s="6" t="n"/>
      <c r="B2772" s="6" t="n"/>
      <c r="C2772" s="6" t="n"/>
      <c r="D2772" s="11">
        <f>IF(C2772="","",IFERROR(INDEX(Levels!$A$2:$A$30,MATCH(C2772,Levels!$B$2:$B$30,0)),""))</f>
        <v/>
      </c>
      <c r="E2772" s="10">
        <f>IF(B2772="","",IFERROR(INDEX(Roster!$A$2:$A$600,MATCH(B2772,Roster!$E$2:$E$600,0)),""))</f>
        <v/>
      </c>
      <c r="F2772" s="10">
        <f>IF(C2772="","",IFERROR(INDEX(Levels!$C$2:$C$30,MATCH(C2772,Levels!$B$2:$B$30,0)),""))</f>
        <v/>
      </c>
      <c r="G2772" s="6" t="n"/>
      <c r="H2772" s="10">
        <f>IF(AND(B2772="",C2772=""),"",IF(G2772&lt;&gt;"","Void",IF(OR(B2772="",E2772=""),"Needs child",IF(D2772="","Needs level","OK"))))</f>
        <v/>
      </c>
    </row>
    <row r="2773">
      <c r="A2773" s="6" t="n"/>
      <c r="B2773" s="6" t="n"/>
      <c r="C2773" s="6" t="n"/>
      <c r="D2773" s="11">
        <f>IF(C2773="","",IFERROR(INDEX(Levels!$A$2:$A$30,MATCH(C2773,Levels!$B$2:$B$30,0)),""))</f>
        <v/>
      </c>
      <c r="E2773" s="10">
        <f>IF(B2773="","",IFERROR(INDEX(Roster!$A$2:$A$600,MATCH(B2773,Roster!$E$2:$E$600,0)),""))</f>
        <v/>
      </c>
      <c r="F2773" s="10">
        <f>IF(C2773="","",IFERROR(INDEX(Levels!$C$2:$C$30,MATCH(C2773,Levels!$B$2:$B$30,0)),""))</f>
        <v/>
      </c>
      <c r="G2773" s="6" t="n"/>
      <c r="H2773" s="10">
        <f>IF(AND(B2773="",C2773=""),"",IF(G2773&lt;&gt;"","Void",IF(OR(B2773="",E2773=""),"Needs child",IF(D2773="","Needs level","OK"))))</f>
        <v/>
      </c>
    </row>
    <row r="2774">
      <c r="A2774" s="6" t="n"/>
      <c r="B2774" s="6" t="n"/>
      <c r="C2774" s="6" t="n"/>
      <c r="D2774" s="11">
        <f>IF(C2774="","",IFERROR(INDEX(Levels!$A$2:$A$30,MATCH(C2774,Levels!$B$2:$B$30,0)),""))</f>
        <v/>
      </c>
      <c r="E2774" s="10">
        <f>IF(B2774="","",IFERROR(INDEX(Roster!$A$2:$A$600,MATCH(B2774,Roster!$E$2:$E$600,0)),""))</f>
        <v/>
      </c>
      <c r="F2774" s="10">
        <f>IF(C2774="","",IFERROR(INDEX(Levels!$C$2:$C$30,MATCH(C2774,Levels!$B$2:$B$30,0)),""))</f>
        <v/>
      </c>
      <c r="G2774" s="6" t="n"/>
      <c r="H2774" s="10">
        <f>IF(AND(B2774="",C2774=""),"",IF(G2774&lt;&gt;"","Void",IF(OR(B2774="",E2774=""),"Needs child",IF(D2774="","Needs level","OK"))))</f>
        <v/>
      </c>
    </row>
    <row r="2775">
      <c r="A2775" s="6" t="n"/>
      <c r="B2775" s="6" t="n"/>
      <c r="C2775" s="6" t="n"/>
      <c r="D2775" s="11">
        <f>IF(C2775="","",IFERROR(INDEX(Levels!$A$2:$A$30,MATCH(C2775,Levels!$B$2:$B$30,0)),""))</f>
        <v/>
      </c>
      <c r="E2775" s="10">
        <f>IF(B2775="","",IFERROR(INDEX(Roster!$A$2:$A$600,MATCH(B2775,Roster!$E$2:$E$600,0)),""))</f>
        <v/>
      </c>
      <c r="F2775" s="10">
        <f>IF(C2775="","",IFERROR(INDEX(Levels!$C$2:$C$30,MATCH(C2775,Levels!$B$2:$B$30,0)),""))</f>
        <v/>
      </c>
      <c r="G2775" s="6" t="n"/>
      <c r="H2775" s="10">
        <f>IF(AND(B2775="",C2775=""),"",IF(G2775&lt;&gt;"","Void",IF(OR(B2775="",E2775=""),"Needs child",IF(D2775="","Needs level","OK"))))</f>
        <v/>
      </c>
    </row>
    <row r="2776">
      <c r="A2776" s="6" t="n"/>
      <c r="B2776" s="6" t="n"/>
      <c r="C2776" s="6" t="n"/>
      <c r="D2776" s="11">
        <f>IF(C2776="","",IFERROR(INDEX(Levels!$A$2:$A$30,MATCH(C2776,Levels!$B$2:$B$30,0)),""))</f>
        <v/>
      </c>
      <c r="E2776" s="10">
        <f>IF(B2776="","",IFERROR(INDEX(Roster!$A$2:$A$600,MATCH(B2776,Roster!$E$2:$E$600,0)),""))</f>
        <v/>
      </c>
      <c r="F2776" s="10">
        <f>IF(C2776="","",IFERROR(INDEX(Levels!$C$2:$C$30,MATCH(C2776,Levels!$B$2:$B$30,0)),""))</f>
        <v/>
      </c>
      <c r="G2776" s="6" t="n"/>
      <c r="H2776" s="10">
        <f>IF(AND(B2776="",C2776=""),"",IF(G2776&lt;&gt;"","Void",IF(OR(B2776="",E2776=""),"Needs child",IF(D2776="","Needs level","OK"))))</f>
        <v/>
      </c>
    </row>
    <row r="2777">
      <c r="A2777" s="6" t="n"/>
      <c r="B2777" s="6" t="n"/>
      <c r="C2777" s="6" t="n"/>
      <c r="D2777" s="11">
        <f>IF(C2777="","",IFERROR(INDEX(Levels!$A$2:$A$30,MATCH(C2777,Levels!$B$2:$B$30,0)),""))</f>
        <v/>
      </c>
      <c r="E2777" s="10">
        <f>IF(B2777="","",IFERROR(INDEX(Roster!$A$2:$A$600,MATCH(B2777,Roster!$E$2:$E$600,0)),""))</f>
        <v/>
      </c>
      <c r="F2777" s="10">
        <f>IF(C2777="","",IFERROR(INDEX(Levels!$C$2:$C$30,MATCH(C2777,Levels!$B$2:$B$30,0)),""))</f>
        <v/>
      </c>
      <c r="G2777" s="6" t="n"/>
      <c r="H2777" s="10">
        <f>IF(AND(B2777="",C2777=""),"",IF(G2777&lt;&gt;"","Void",IF(OR(B2777="",E2777=""),"Needs child",IF(D2777="","Needs level","OK"))))</f>
        <v/>
      </c>
    </row>
    <row r="2778">
      <c r="A2778" s="6" t="n"/>
      <c r="B2778" s="6" t="n"/>
      <c r="C2778" s="6" t="n"/>
      <c r="D2778" s="11">
        <f>IF(C2778="","",IFERROR(INDEX(Levels!$A$2:$A$30,MATCH(C2778,Levels!$B$2:$B$30,0)),""))</f>
        <v/>
      </c>
      <c r="E2778" s="10">
        <f>IF(B2778="","",IFERROR(INDEX(Roster!$A$2:$A$600,MATCH(B2778,Roster!$E$2:$E$600,0)),""))</f>
        <v/>
      </c>
      <c r="F2778" s="10">
        <f>IF(C2778="","",IFERROR(INDEX(Levels!$C$2:$C$30,MATCH(C2778,Levels!$B$2:$B$30,0)),""))</f>
        <v/>
      </c>
      <c r="G2778" s="6" t="n"/>
      <c r="H2778" s="10">
        <f>IF(AND(B2778="",C2778=""),"",IF(G2778&lt;&gt;"","Void",IF(OR(B2778="",E2778=""),"Needs child",IF(D2778="","Needs level","OK"))))</f>
        <v/>
      </c>
    </row>
    <row r="2779">
      <c r="A2779" s="6" t="n"/>
      <c r="B2779" s="6" t="n"/>
      <c r="C2779" s="6" t="n"/>
      <c r="D2779" s="11">
        <f>IF(C2779="","",IFERROR(INDEX(Levels!$A$2:$A$30,MATCH(C2779,Levels!$B$2:$B$30,0)),""))</f>
        <v/>
      </c>
      <c r="E2779" s="10">
        <f>IF(B2779="","",IFERROR(INDEX(Roster!$A$2:$A$600,MATCH(B2779,Roster!$E$2:$E$600,0)),""))</f>
        <v/>
      </c>
      <c r="F2779" s="10">
        <f>IF(C2779="","",IFERROR(INDEX(Levels!$C$2:$C$30,MATCH(C2779,Levels!$B$2:$B$30,0)),""))</f>
        <v/>
      </c>
      <c r="G2779" s="6" t="n"/>
      <c r="H2779" s="10">
        <f>IF(AND(B2779="",C2779=""),"",IF(G2779&lt;&gt;"","Void",IF(OR(B2779="",E2779=""),"Needs child",IF(D2779="","Needs level","OK"))))</f>
        <v/>
      </c>
    </row>
    <row r="2780">
      <c r="A2780" s="6" t="n"/>
      <c r="B2780" s="6" t="n"/>
      <c r="C2780" s="6" t="n"/>
      <c r="D2780" s="11">
        <f>IF(C2780="","",IFERROR(INDEX(Levels!$A$2:$A$30,MATCH(C2780,Levels!$B$2:$B$30,0)),""))</f>
        <v/>
      </c>
      <c r="E2780" s="10">
        <f>IF(B2780="","",IFERROR(INDEX(Roster!$A$2:$A$600,MATCH(B2780,Roster!$E$2:$E$600,0)),""))</f>
        <v/>
      </c>
      <c r="F2780" s="10">
        <f>IF(C2780="","",IFERROR(INDEX(Levels!$C$2:$C$30,MATCH(C2780,Levels!$B$2:$B$30,0)),""))</f>
        <v/>
      </c>
      <c r="G2780" s="6" t="n"/>
      <c r="H2780" s="10">
        <f>IF(AND(B2780="",C2780=""),"",IF(G2780&lt;&gt;"","Void",IF(OR(B2780="",E2780=""),"Needs child",IF(D2780="","Needs level","OK"))))</f>
        <v/>
      </c>
    </row>
    <row r="2781">
      <c r="A2781" s="6" t="n"/>
      <c r="B2781" s="6" t="n"/>
      <c r="C2781" s="6" t="n"/>
      <c r="D2781" s="11">
        <f>IF(C2781="","",IFERROR(INDEX(Levels!$A$2:$A$30,MATCH(C2781,Levels!$B$2:$B$30,0)),""))</f>
        <v/>
      </c>
      <c r="E2781" s="10">
        <f>IF(B2781="","",IFERROR(INDEX(Roster!$A$2:$A$600,MATCH(B2781,Roster!$E$2:$E$600,0)),""))</f>
        <v/>
      </c>
      <c r="F2781" s="10">
        <f>IF(C2781="","",IFERROR(INDEX(Levels!$C$2:$C$30,MATCH(C2781,Levels!$B$2:$B$30,0)),""))</f>
        <v/>
      </c>
      <c r="G2781" s="6" t="n"/>
      <c r="H2781" s="10">
        <f>IF(AND(B2781="",C2781=""),"",IF(G2781&lt;&gt;"","Void",IF(OR(B2781="",E2781=""),"Needs child",IF(D2781="","Needs level","OK"))))</f>
        <v/>
      </c>
    </row>
    <row r="2782">
      <c r="A2782" s="6" t="n"/>
      <c r="B2782" s="6" t="n"/>
      <c r="C2782" s="6" t="n"/>
      <c r="D2782" s="11">
        <f>IF(C2782="","",IFERROR(INDEX(Levels!$A$2:$A$30,MATCH(C2782,Levels!$B$2:$B$30,0)),""))</f>
        <v/>
      </c>
      <c r="E2782" s="10">
        <f>IF(B2782="","",IFERROR(INDEX(Roster!$A$2:$A$600,MATCH(B2782,Roster!$E$2:$E$600,0)),""))</f>
        <v/>
      </c>
      <c r="F2782" s="10">
        <f>IF(C2782="","",IFERROR(INDEX(Levels!$C$2:$C$30,MATCH(C2782,Levels!$B$2:$B$30,0)),""))</f>
        <v/>
      </c>
      <c r="G2782" s="6" t="n"/>
      <c r="H2782" s="10">
        <f>IF(AND(B2782="",C2782=""),"",IF(G2782&lt;&gt;"","Void",IF(OR(B2782="",E2782=""),"Needs child",IF(D2782="","Needs level","OK"))))</f>
        <v/>
      </c>
    </row>
    <row r="2783">
      <c r="A2783" s="6" t="n"/>
      <c r="B2783" s="6" t="n"/>
      <c r="C2783" s="6" t="n"/>
      <c r="D2783" s="11">
        <f>IF(C2783="","",IFERROR(INDEX(Levels!$A$2:$A$30,MATCH(C2783,Levels!$B$2:$B$30,0)),""))</f>
        <v/>
      </c>
      <c r="E2783" s="10">
        <f>IF(B2783="","",IFERROR(INDEX(Roster!$A$2:$A$600,MATCH(B2783,Roster!$E$2:$E$600,0)),""))</f>
        <v/>
      </c>
      <c r="F2783" s="10">
        <f>IF(C2783="","",IFERROR(INDEX(Levels!$C$2:$C$30,MATCH(C2783,Levels!$B$2:$B$30,0)),""))</f>
        <v/>
      </c>
      <c r="G2783" s="6" t="n"/>
      <c r="H2783" s="10">
        <f>IF(AND(B2783="",C2783=""),"",IF(G2783&lt;&gt;"","Void",IF(OR(B2783="",E2783=""),"Needs child",IF(D2783="","Needs level","OK"))))</f>
        <v/>
      </c>
    </row>
    <row r="2784">
      <c r="A2784" s="6" t="n"/>
      <c r="B2784" s="6" t="n"/>
      <c r="C2784" s="6" t="n"/>
      <c r="D2784" s="11">
        <f>IF(C2784="","",IFERROR(INDEX(Levels!$A$2:$A$30,MATCH(C2784,Levels!$B$2:$B$30,0)),""))</f>
        <v/>
      </c>
      <c r="E2784" s="10">
        <f>IF(B2784="","",IFERROR(INDEX(Roster!$A$2:$A$600,MATCH(B2784,Roster!$E$2:$E$600,0)),""))</f>
        <v/>
      </c>
      <c r="F2784" s="10">
        <f>IF(C2784="","",IFERROR(INDEX(Levels!$C$2:$C$30,MATCH(C2784,Levels!$B$2:$B$30,0)),""))</f>
        <v/>
      </c>
      <c r="G2784" s="6" t="n"/>
      <c r="H2784" s="10">
        <f>IF(AND(B2784="",C2784=""),"",IF(G2784&lt;&gt;"","Void",IF(OR(B2784="",E2784=""),"Needs child",IF(D2784="","Needs level","OK"))))</f>
        <v/>
      </c>
    </row>
    <row r="2785">
      <c r="A2785" s="6" t="n"/>
      <c r="B2785" s="6" t="n"/>
      <c r="C2785" s="6" t="n"/>
      <c r="D2785" s="11">
        <f>IF(C2785="","",IFERROR(INDEX(Levels!$A$2:$A$30,MATCH(C2785,Levels!$B$2:$B$30,0)),""))</f>
        <v/>
      </c>
      <c r="E2785" s="10">
        <f>IF(B2785="","",IFERROR(INDEX(Roster!$A$2:$A$600,MATCH(B2785,Roster!$E$2:$E$600,0)),""))</f>
        <v/>
      </c>
      <c r="F2785" s="10">
        <f>IF(C2785="","",IFERROR(INDEX(Levels!$C$2:$C$30,MATCH(C2785,Levels!$B$2:$B$30,0)),""))</f>
        <v/>
      </c>
      <c r="G2785" s="6" t="n"/>
      <c r="H2785" s="10">
        <f>IF(AND(B2785="",C2785=""),"",IF(G2785&lt;&gt;"","Void",IF(OR(B2785="",E2785=""),"Needs child",IF(D2785="","Needs level","OK"))))</f>
        <v/>
      </c>
    </row>
    <row r="2786">
      <c r="A2786" s="6" t="n"/>
      <c r="B2786" s="6" t="n"/>
      <c r="C2786" s="6" t="n"/>
      <c r="D2786" s="11">
        <f>IF(C2786="","",IFERROR(INDEX(Levels!$A$2:$A$30,MATCH(C2786,Levels!$B$2:$B$30,0)),""))</f>
        <v/>
      </c>
      <c r="E2786" s="10">
        <f>IF(B2786="","",IFERROR(INDEX(Roster!$A$2:$A$600,MATCH(B2786,Roster!$E$2:$E$600,0)),""))</f>
        <v/>
      </c>
      <c r="F2786" s="10">
        <f>IF(C2786="","",IFERROR(INDEX(Levels!$C$2:$C$30,MATCH(C2786,Levels!$B$2:$B$30,0)),""))</f>
        <v/>
      </c>
      <c r="G2786" s="6" t="n"/>
      <c r="H2786" s="10">
        <f>IF(AND(B2786="",C2786=""),"",IF(G2786&lt;&gt;"","Void",IF(OR(B2786="",E2786=""),"Needs child",IF(D2786="","Needs level","OK"))))</f>
        <v/>
      </c>
    </row>
    <row r="2787">
      <c r="A2787" s="6" t="n"/>
      <c r="B2787" s="6" t="n"/>
      <c r="C2787" s="6" t="n"/>
      <c r="D2787" s="11">
        <f>IF(C2787="","",IFERROR(INDEX(Levels!$A$2:$A$30,MATCH(C2787,Levels!$B$2:$B$30,0)),""))</f>
        <v/>
      </c>
      <c r="E2787" s="10">
        <f>IF(B2787="","",IFERROR(INDEX(Roster!$A$2:$A$600,MATCH(B2787,Roster!$E$2:$E$600,0)),""))</f>
        <v/>
      </c>
      <c r="F2787" s="10">
        <f>IF(C2787="","",IFERROR(INDEX(Levels!$C$2:$C$30,MATCH(C2787,Levels!$B$2:$B$30,0)),""))</f>
        <v/>
      </c>
      <c r="G2787" s="6" t="n"/>
      <c r="H2787" s="10">
        <f>IF(AND(B2787="",C2787=""),"",IF(G2787&lt;&gt;"","Void",IF(OR(B2787="",E2787=""),"Needs child",IF(D2787="","Needs level","OK"))))</f>
        <v/>
      </c>
    </row>
    <row r="2788">
      <c r="A2788" s="6" t="n"/>
      <c r="B2788" s="6" t="n"/>
      <c r="C2788" s="6" t="n"/>
      <c r="D2788" s="11">
        <f>IF(C2788="","",IFERROR(INDEX(Levels!$A$2:$A$30,MATCH(C2788,Levels!$B$2:$B$30,0)),""))</f>
        <v/>
      </c>
      <c r="E2788" s="10">
        <f>IF(B2788="","",IFERROR(INDEX(Roster!$A$2:$A$600,MATCH(B2788,Roster!$E$2:$E$600,0)),""))</f>
        <v/>
      </c>
      <c r="F2788" s="10">
        <f>IF(C2788="","",IFERROR(INDEX(Levels!$C$2:$C$30,MATCH(C2788,Levels!$B$2:$B$30,0)),""))</f>
        <v/>
      </c>
      <c r="G2788" s="6" t="n"/>
      <c r="H2788" s="10">
        <f>IF(AND(B2788="",C2788=""),"",IF(G2788&lt;&gt;"","Void",IF(OR(B2788="",E2788=""),"Needs child",IF(D2788="","Needs level","OK"))))</f>
        <v/>
      </c>
    </row>
    <row r="2789">
      <c r="A2789" s="6" t="n"/>
      <c r="B2789" s="6" t="n"/>
      <c r="C2789" s="6" t="n"/>
      <c r="D2789" s="11">
        <f>IF(C2789="","",IFERROR(INDEX(Levels!$A$2:$A$30,MATCH(C2789,Levels!$B$2:$B$30,0)),""))</f>
        <v/>
      </c>
      <c r="E2789" s="10">
        <f>IF(B2789="","",IFERROR(INDEX(Roster!$A$2:$A$600,MATCH(B2789,Roster!$E$2:$E$600,0)),""))</f>
        <v/>
      </c>
      <c r="F2789" s="10">
        <f>IF(C2789="","",IFERROR(INDEX(Levels!$C$2:$C$30,MATCH(C2789,Levels!$B$2:$B$30,0)),""))</f>
        <v/>
      </c>
      <c r="G2789" s="6" t="n"/>
      <c r="H2789" s="10">
        <f>IF(AND(B2789="",C2789=""),"",IF(G2789&lt;&gt;"","Void",IF(OR(B2789="",E2789=""),"Needs child",IF(D2789="","Needs level","OK"))))</f>
        <v/>
      </c>
    </row>
    <row r="2790">
      <c r="A2790" s="6" t="n"/>
      <c r="B2790" s="6" t="n"/>
      <c r="C2790" s="6" t="n"/>
      <c r="D2790" s="11">
        <f>IF(C2790="","",IFERROR(INDEX(Levels!$A$2:$A$30,MATCH(C2790,Levels!$B$2:$B$30,0)),""))</f>
        <v/>
      </c>
      <c r="E2790" s="10">
        <f>IF(B2790="","",IFERROR(INDEX(Roster!$A$2:$A$600,MATCH(B2790,Roster!$E$2:$E$600,0)),""))</f>
        <v/>
      </c>
      <c r="F2790" s="10">
        <f>IF(C2790="","",IFERROR(INDEX(Levels!$C$2:$C$30,MATCH(C2790,Levels!$B$2:$B$30,0)),""))</f>
        <v/>
      </c>
      <c r="G2790" s="6" t="n"/>
      <c r="H2790" s="10">
        <f>IF(AND(B2790="",C2790=""),"",IF(G2790&lt;&gt;"","Void",IF(OR(B2790="",E2790=""),"Needs child",IF(D2790="","Needs level","OK"))))</f>
        <v/>
      </c>
    </row>
    <row r="2791">
      <c r="A2791" s="6" t="n"/>
      <c r="B2791" s="6" t="n"/>
      <c r="C2791" s="6" t="n"/>
      <c r="D2791" s="11">
        <f>IF(C2791="","",IFERROR(INDEX(Levels!$A$2:$A$30,MATCH(C2791,Levels!$B$2:$B$30,0)),""))</f>
        <v/>
      </c>
      <c r="E2791" s="10">
        <f>IF(B2791="","",IFERROR(INDEX(Roster!$A$2:$A$600,MATCH(B2791,Roster!$E$2:$E$600,0)),""))</f>
        <v/>
      </c>
      <c r="F2791" s="10">
        <f>IF(C2791="","",IFERROR(INDEX(Levels!$C$2:$C$30,MATCH(C2791,Levels!$B$2:$B$30,0)),""))</f>
        <v/>
      </c>
      <c r="G2791" s="6" t="n"/>
      <c r="H2791" s="10">
        <f>IF(AND(B2791="",C2791=""),"",IF(G2791&lt;&gt;"","Void",IF(OR(B2791="",E2791=""),"Needs child",IF(D2791="","Needs level","OK"))))</f>
        <v/>
      </c>
    </row>
    <row r="2792">
      <c r="A2792" s="6" t="n"/>
      <c r="B2792" s="6" t="n"/>
      <c r="C2792" s="6" t="n"/>
      <c r="D2792" s="11">
        <f>IF(C2792="","",IFERROR(INDEX(Levels!$A$2:$A$30,MATCH(C2792,Levels!$B$2:$B$30,0)),""))</f>
        <v/>
      </c>
      <c r="E2792" s="10">
        <f>IF(B2792="","",IFERROR(INDEX(Roster!$A$2:$A$600,MATCH(B2792,Roster!$E$2:$E$600,0)),""))</f>
        <v/>
      </c>
      <c r="F2792" s="10">
        <f>IF(C2792="","",IFERROR(INDEX(Levels!$C$2:$C$30,MATCH(C2792,Levels!$B$2:$B$30,0)),""))</f>
        <v/>
      </c>
      <c r="G2792" s="6" t="n"/>
      <c r="H2792" s="10">
        <f>IF(AND(B2792="",C2792=""),"",IF(G2792&lt;&gt;"","Void",IF(OR(B2792="",E2792=""),"Needs child",IF(D2792="","Needs level","OK"))))</f>
        <v/>
      </c>
    </row>
    <row r="2793">
      <c r="A2793" s="6" t="n"/>
      <c r="B2793" s="6" t="n"/>
      <c r="C2793" s="6" t="n"/>
      <c r="D2793" s="11">
        <f>IF(C2793="","",IFERROR(INDEX(Levels!$A$2:$A$30,MATCH(C2793,Levels!$B$2:$B$30,0)),""))</f>
        <v/>
      </c>
      <c r="E2793" s="10">
        <f>IF(B2793="","",IFERROR(INDEX(Roster!$A$2:$A$600,MATCH(B2793,Roster!$E$2:$E$600,0)),""))</f>
        <v/>
      </c>
      <c r="F2793" s="10">
        <f>IF(C2793="","",IFERROR(INDEX(Levels!$C$2:$C$30,MATCH(C2793,Levels!$B$2:$B$30,0)),""))</f>
        <v/>
      </c>
      <c r="G2793" s="6" t="n"/>
      <c r="H2793" s="10">
        <f>IF(AND(B2793="",C2793=""),"",IF(G2793&lt;&gt;"","Void",IF(OR(B2793="",E2793=""),"Needs child",IF(D2793="","Needs level","OK"))))</f>
        <v/>
      </c>
    </row>
    <row r="2794">
      <c r="A2794" s="6" t="n"/>
      <c r="B2794" s="6" t="n"/>
      <c r="C2794" s="6" t="n"/>
      <c r="D2794" s="11">
        <f>IF(C2794="","",IFERROR(INDEX(Levels!$A$2:$A$30,MATCH(C2794,Levels!$B$2:$B$30,0)),""))</f>
        <v/>
      </c>
      <c r="E2794" s="10">
        <f>IF(B2794="","",IFERROR(INDEX(Roster!$A$2:$A$600,MATCH(B2794,Roster!$E$2:$E$600,0)),""))</f>
        <v/>
      </c>
      <c r="F2794" s="10">
        <f>IF(C2794="","",IFERROR(INDEX(Levels!$C$2:$C$30,MATCH(C2794,Levels!$B$2:$B$30,0)),""))</f>
        <v/>
      </c>
      <c r="G2794" s="6" t="n"/>
      <c r="H2794" s="10">
        <f>IF(AND(B2794="",C2794=""),"",IF(G2794&lt;&gt;"","Void",IF(OR(B2794="",E2794=""),"Needs child",IF(D2794="","Needs level","OK"))))</f>
        <v/>
      </c>
    </row>
    <row r="2795">
      <c r="A2795" s="6" t="n"/>
      <c r="B2795" s="6" t="n"/>
      <c r="C2795" s="6" t="n"/>
      <c r="D2795" s="11">
        <f>IF(C2795="","",IFERROR(INDEX(Levels!$A$2:$A$30,MATCH(C2795,Levels!$B$2:$B$30,0)),""))</f>
        <v/>
      </c>
      <c r="E2795" s="10">
        <f>IF(B2795="","",IFERROR(INDEX(Roster!$A$2:$A$600,MATCH(B2795,Roster!$E$2:$E$600,0)),""))</f>
        <v/>
      </c>
      <c r="F2795" s="10">
        <f>IF(C2795="","",IFERROR(INDEX(Levels!$C$2:$C$30,MATCH(C2795,Levels!$B$2:$B$30,0)),""))</f>
        <v/>
      </c>
      <c r="G2795" s="6" t="n"/>
      <c r="H2795" s="10">
        <f>IF(AND(B2795="",C2795=""),"",IF(G2795&lt;&gt;"","Void",IF(OR(B2795="",E2795=""),"Needs child",IF(D2795="","Needs level","OK"))))</f>
        <v/>
      </c>
    </row>
    <row r="2796">
      <c r="A2796" s="6" t="n"/>
      <c r="B2796" s="6" t="n"/>
      <c r="C2796" s="6" t="n"/>
      <c r="D2796" s="11">
        <f>IF(C2796="","",IFERROR(INDEX(Levels!$A$2:$A$30,MATCH(C2796,Levels!$B$2:$B$30,0)),""))</f>
        <v/>
      </c>
      <c r="E2796" s="10">
        <f>IF(B2796="","",IFERROR(INDEX(Roster!$A$2:$A$600,MATCH(B2796,Roster!$E$2:$E$600,0)),""))</f>
        <v/>
      </c>
      <c r="F2796" s="10">
        <f>IF(C2796="","",IFERROR(INDEX(Levels!$C$2:$C$30,MATCH(C2796,Levels!$B$2:$B$30,0)),""))</f>
        <v/>
      </c>
      <c r="G2796" s="6" t="n"/>
      <c r="H2796" s="10">
        <f>IF(AND(B2796="",C2796=""),"",IF(G2796&lt;&gt;"","Void",IF(OR(B2796="",E2796=""),"Needs child",IF(D2796="","Needs level","OK"))))</f>
        <v/>
      </c>
    </row>
    <row r="2797">
      <c r="A2797" s="6" t="n"/>
      <c r="B2797" s="6" t="n"/>
      <c r="C2797" s="6" t="n"/>
      <c r="D2797" s="11">
        <f>IF(C2797="","",IFERROR(INDEX(Levels!$A$2:$A$30,MATCH(C2797,Levels!$B$2:$B$30,0)),""))</f>
        <v/>
      </c>
      <c r="E2797" s="10">
        <f>IF(B2797="","",IFERROR(INDEX(Roster!$A$2:$A$600,MATCH(B2797,Roster!$E$2:$E$600,0)),""))</f>
        <v/>
      </c>
      <c r="F2797" s="10">
        <f>IF(C2797="","",IFERROR(INDEX(Levels!$C$2:$C$30,MATCH(C2797,Levels!$B$2:$B$30,0)),""))</f>
        <v/>
      </c>
      <c r="G2797" s="6" t="n"/>
      <c r="H2797" s="10">
        <f>IF(AND(B2797="",C2797=""),"",IF(G2797&lt;&gt;"","Void",IF(OR(B2797="",E2797=""),"Needs child",IF(D2797="","Needs level","OK"))))</f>
        <v/>
      </c>
    </row>
    <row r="2798">
      <c r="A2798" s="6" t="n"/>
      <c r="B2798" s="6" t="n"/>
      <c r="C2798" s="6" t="n"/>
      <c r="D2798" s="11">
        <f>IF(C2798="","",IFERROR(INDEX(Levels!$A$2:$A$30,MATCH(C2798,Levels!$B$2:$B$30,0)),""))</f>
        <v/>
      </c>
      <c r="E2798" s="10">
        <f>IF(B2798="","",IFERROR(INDEX(Roster!$A$2:$A$600,MATCH(B2798,Roster!$E$2:$E$600,0)),""))</f>
        <v/>
      </c>
      <c r="F2798" s="10">
        <f>IF(C2798="","",IFERROR(INDEX(Levels!$C$2:$C$30,MATCH(C2798,Levels!$B$2:$B$30,0)),""))</f>
        <v/>
      </c>
      <c r="G2798" s="6" t="n"/>
      <c r="H2798" s="10">
        <f>IF(AND(B2798="",C2798=""),"",IF(G2798&lt;&gt;"","Void",IF(OR(B2798="",E2798=""),"Needs child",IF(D2798="","Needs level","OK"))))</f>
        <v/>
      </c>
    </row>
    <row r="2799">
      <c r="A2799" s="6" t="n"/>
      <c r="B2799" s="6" t="n"/>
      <c r="C2799" s="6" t="n"/>
      <c r="D2799" s="11">
        <f>IF(C2799="","",IFERROR(INDEX(Levels!$A$2:$A$30,MATCH(C2799,Levels!$B$2:$B$30,0)),""))</f>
        <v/>
      </c>
      <c r="E2799" s="10">
        <f>IF(B2799="","",IFERROR(INDEX(Roster!$A$2:$A$600,MATCH(B2799,Roster!$E$2:$E$600,0)),""))</f>
        <v/>
      </c>
      <c r="F2799" s="10">
        <f>IF(C2799="","",IFERROR(INDEX(Levels!$C$2:$C$30,MATCH(C2799,Levels!$B$2:$B$30,0)),""))</f>
        <v/>
      </c>
      <c r="G2799" s="6" t="n"/>
      <c r="H2799" s="10">
        <f>IF(AND(B2799="",C2799=""),"",IF(G2799&lt;&gt;"","Void",IF(OR(B2799="",E2799=""),"Needs child",IF(D2799="","Needs level","OK"))))</f>
        <v/>
      </c>
    </row>
    <row r="2800">
      <c r="A2800" s="6" t="n"/>
      <c r="B2800" s="6" t="n"/>
      <c r="C2800" s="6" t="n"/>
      <c r="D2800" s="11">
        <f>IF(C2800="","",IFERROR(INDEX(Levels!$A$2:$A$30,MATCH(C2800,Levels!$B$2:$B$30,0)),""))</f>
        <v/>
      </c>
      <c r="E2800" s="10">
        <f>IF(B2800="","",IFERROR(INDEX(Roster!$A$2:$A$600,MATCH(B2800,Roster!$E$2:$E$600,0)),""))</f>
        <v/>
      </c>
      <c r="F2800" s="10">
        <f>IF(C2800="","",IFERROR(INDEX(Levels!$C$2:$C$30,MATCH(C2800,Levels!$B$2:$B$30,0)),""))</f>
        <v/>
      </c>
      <c r="G2800" s="6" t="n"/>
      <c r="H2800" s="10">
        <f>IF(AND(B2800="",C2800=""),"",IF(G2800&lt;&gt;"","Void",IF(OR(B2800="",E2800=""),"Needs child",IF(D2800="","Needs level","OK"))))</f>
        <v/>
      </c>
    </row>
    <row r="2801">
      <c r="A2801" s="6" t="n"/>
      <c r="B2801" s="6" t="n"/>
      <c r="C2801" s="6" t="n"/>
      <c r="D2801" s="11">
        <f>IF(C2801="","",IFERROR(INDEX(Levels!$A$2:$A$30,MATCH(C2801,Levels!$B$2:$B$30,0)),""))</f>
        <v/>
      </c>
      <c r="E2801" s="10">
        <f>IF(B2801="","",IFERROR(INDEX(Roster!$A$2:$A$600,MATCH(B2801,Roster!$E$2:$E$600,0)),""))</f>
        <v/>
      </c>
      <c r="F2801" s="10">
        <f>IF(C2801="","",IFERROR(INDEX(Levels!$C$2:$C$30,MATCH(C2801,Levels!$B$2:$B$30,0)),""))</f>
        <v/>
      </c>
      <c r="G2801" s="6" t="n"/>
      <c r="H2801" s="10">
        <f>IF(AND(B2801="",C2801=""),"",IF(G2801&lt;&gt;"","Void",IF(OR(B2801="",E2801=""),"Needs child",IF(D2801="","Needs level","OK"))))</f>
        <v/>
      </c>
    </row>
    <row r="2802">
      <c r="A2802" s="6" t="n"/>
      <c r="B2802" s="6" t="n"/>
      <c r="C2802" s="6" t="n"/>
      <c r="D2802" s="11">
        <f>IF(C2802="","",IFERROR(INDEX(Levels!$A$2:$A$30,MATCH(C2802,Levels!$B$2:$B$30,0)),""))</f>
        <v/>
      </c>
      <c r="E2802" s="10">
        <f>IF(B2802="","",IFERROR(INDEX(Roster!$A$2:$A$600,MATCH(B2802,Roster!$E$2:$E$600,0)),""))</f>
        <v/>
      </c>
      <c r="F2802" s="10">
        <f>IF(C2802="","",IFERROR(INDEX(Levels!$C$2:$C$30,MATCH(C2802,Levels!$B$2:$B$30,0)),""))</f>
        <v/>
      </c>
      <c r="G2802" s="6" t="n"/>
      <c r="H2802" s="10">
        <f>IF(AND(B2802="",C2802=""),"",IF(G2802&lt;&gt;"","Void",IF(OR(B2802="",E2802=""),"Needs child",IF(D2802="","Needs level","OK"))))</f>
        <v/>
      </c>
    </row>
    <row r="2803">
      <c r="A2803" s="6" t="n"/>
      <c r="B2803" s="6" t="n"/>
      <c r="C2803" s="6" t="n"/>
      <c r="D2803" s="11">
        <f>IF(C2803="","",IFERROR(INDEX(Levels!$A$2:$A$30,MATCH(C2803,Levels!$B$2:$B$30,0)),""))</f>
        <v/>
      </c>
      <c r="E2803" s="10">
        <f>IF(B2803="","",IFERROR(INDEX(Roster!$A$2:$A$600,MATCH(B2803,Roster!$E$2:$E$600,0)),""))</f>
        <v/>
      </c>
      <c r="F2803" s="10">
        <f>IF(C2803="","",IFERROR(INDEX(Levels!$C$2:$C$30,MATCH(C2803,Levels!$B$2:$B$30,0)),""))</f>
        <v/>
      </c>
      <c r="G2803" s="6" t="n"/>
      <c r="H2803" s="10">
        <f>IF(AND(B2803="",C2803=""),"",IF(G2803&lt;&gt;"","Void",IF(OR(B2803="",E2803=""),"Needs child",IF(D2803="","Needs level","OK"))))</f>
        <v/>
      </c>
    </row>
    <row r="2804">
      <c r="A2804" s="6" t="n"/>
      <c r="B2804" s="6" t="n"/>
      <c r="C2804" s="6" t="n"/>
      <c r="D2804" s="11">
        <f>IF(C2804="","",IFERROR(INDEX(Levels!$A$2:$A$30,MATCH(C2804,Levels!$B$2:$B$30,0)),""))</f>
        <v/>
      </c>
      <c r="E2804" s="10">
        <f>IF(B2804="","",IFERROR(INDEX(Roster!$A$2:$A$600,MATCH(B2804,Roster!$E$2:$E$600,0)),""))</f>
        <v/>
      </c>
      <c r="F2804" s="10">
        <f>IF(C2804="","",IFERROR(INDEX(Levels!$C$2:$C$30,MATCH(C2804,Levels!$B$2:$B$30,0)),""))</f>
        <v/>
      </c>
      <c r="G2804" s="6" t="n"/>
      <c r="H2804" s="10">
        <f>IF(AND(B2804="",C2804=""),"",IF(G2804&lt;&gt;"","Void",IF(OR(B2804="",E2804=""),"Needs child",IF(D2804="","Needs level","OK"))))</f>
        <v/>
      </c>
    </row>
    <row r="2805">
      <c r="A2805" s="6" t="n"/>
      <c r="B2805" s="6" t="n"/>
      <c r="C2805" s="6" t="n"/>
      <c r="D2805" s="11">
        <f>IF(C2805="","",IFERROR(INDEX(Levels!$A$2:$A$30,MATCH(C2805,Levels!$B$2:$B$30,0)),""))</f>
        <v/>
      </c>
      <c r="E2805" s="10">
        <f>IF(B2805="","",IFERROR(INDEX(Roster!$A$2:$A$600,MATCH(B2805,Roster!$E$2:$E$600,0)),""))</f>
        <v/>
      </c>
      <c r="F2805" s="10">
        <f>IF(C2805="","",IFERROR(INDEX(Levels!$C$2:$C$30,MATCH(C2805,Levels!$B$2:$B$30,0)),""))</f>
        <v/>
      </c>
      <c r="G2805" s="6" t="n"/>
      <c r="H2805" s="10">
        <f>IF(AND(B2805="",C2805=""),"",IF(G2805&lt;&gt;"","Void",IF(OR(B2805="",E2805=""),"Needs child",IF(D2805="","Needs level","OK"))))</f>
        <v/>
      </c>
    </row>
    <row r="2806">
      <c r="A2806" s="6" t="n"/>
      <c r="B2806" s="6" t="n"/>
      <c r="C2806" s="6" t="n"/>
      <c r="D2806" s="11">
        <f>IF(C2806="","",IFERROR(INDEX(Levels!$A$2:$A$30,MATCH(C2806,Levels!$B$2:$B$30,0)),""))</f>
        <v/>
      </c>
      <c r="E2806" s="10">
        <f>IF(B2806="","",IFERROR(INDEX(Roster!$A$2:$A$600,MATCH(B2806,Roster!$E$2:$E$600,0)),""))</f>
        <v/>
      </c>
      <c r="F2806" s="10">
        <f>IF(C2806="","",IFERROR(INDEX(Levels!$C$2:$C$30,MATCH(C2806,Levels!$B$2:$B$30,0)),""))</f>
        <v/>
      </c>
      <c r="G2806" s="6" t="n"/>
      <c r="H2806" s="10">
        <f>IF(AND(B2806="",C2806=""),"",IF(G2806&lt;&gt;"","Void",IF(OR(B2806="",E2806=""),"Needs child",IF(D2806="","Needs level","OK"))))</f>
        <v/>
      </c>
    </row>
    <row r="2807">
      <c r="A2807" s="6" t="n"/>
      <c r="B2807" s="6" t="n"/>
      <c r="C2807" s="6" t="n"/>
      <c r="D2807" s="11">
        <f>IF(C2807="","",IFERROR(INDEX(Levels!$A$2:$A$30,MATCH(C2807,Levels!$B$2:$B$30,0)),""))</f>
        <v/>
      </c>
      <c r="E2807" s="10">
        <f>IF(B2807="","",IFERROR(INDEX(Roster!$A$2:$A$600,MATCH(B2807,Roster!$E$2:$E$600,0)),""))</f>
        <v/>
      </c>
      <c r="F2807" s="10">
        <f>IF(C2807="","",IFERROR(INDEX(Levels!$C$2:$C$30,MATCH(C2807,Levels!$B$2:$B$30,0)),""))</f>
        <v/>
      </c>
      <c r="G2807" s="6" t="n"/>
      <c r="H2807" s="10">
        <f>IF(AND(B2807="",C2807=""),"",IF(G2807&lt;&gt;"","Void",IF(OR(B2807="",E2807=""),"Needs child",IF(D2807="","Needs level","OK"))))</f>
        <v/>
      </c>
    </row>
    <row r="2808">
      <c r="A2808" s="6" t="n"/>
      <c r="B2808" s="6" t="n"/>
      <c r="C2808" s="6" t="n"/>
      <c r="D2808" s="11">
        <f>IF(C2808="","",IFERROR(INDEX(Levels!$A$2:$A$30,MATCH(C2808,Levels!$B$2:$B$30,0)),""))</f>
        <v/>
      </c>
      <c r="E2808" s="10">
        <f>IF(B2808="","",IFERROR(INDEX(Roster!$A$2:$A$600,MATCH(B2808,Roster!$E$2:$E$600,0)),""))</f>
        <v/>
      </c>
      <c r="F2808" s="10">
        <f>IF(C2808="","",IFERROR(INDEX(Levels!$C$2:$C$30,MATCH(C2808,Levels!$B$2:$B$30,0)),""))</f>
        <v/>
      </c>
      <c r="G2808" s="6" t="n"/>
      <c r="H2808" s="10">
        <f>IF(AND(B2808="",C2808=""),"",IF(G2808&lt;&gt;"","Void",IF(OR(B2808="",E2808=""),"Needs child",IF(D2808="","Needs level","OK"))))</f>
        <v/>
      </c>
    </row>
    <row r="2809">
      <c r="A2809" s="6" t="n"/>
      <c r="B2809" s="6" t="n"/>
      <c r="C2809" s="6" t="n"/>
      <c r="D2809" s="11">
        <f>IF(C2809="","",IFERROR(INDEX(Levels!$A$2:$A$30,MATCH(C2809,Levels!$B$2:$B$30,0)),""))</f>
        <v/>
      </c>
      <c r="E2809" s="10">
        <f>IF(B2809="","",IFERROR(INDEX(Roster!$A$2:$A$600,MATCH(B2809,Roster!$E$2:$E$600,0)),""))</f>
        <v/>
      </c>
      <c r="F2809" s="10">
        <f>IF(C2809="","",IFERROR(INDEX(Levels!$C$2:$C$30,MATCH(C2809,Levels!$B$2:$B$30,0)),""))</f>
        <v/>
      </c>
      <c r="G2809" s="6" t="n"/>
      <c r="H2809" s="10">
        <f>IF(AND(B2809="",C2809=""),"",IF(G2809&lt;&gt;"","Void",IF(OR(B2809="",E2809=""),"Needs child",IF(D2809="","Needs level","OK"))))</f>
        <v/>
      </c>
    </row>
    <row r="2810">
      <c r="A2810" s="6" t="n"/>
      <c r="B2810" s="6" t="n"/>
      <c r="C2810" s="6" t="n"/>
      <c r="D2810" s="11">
        <f>IF(C2810="","",IFERROR(INDEX(Levels!$A$2:$A$30,MATCH(C2810,Levels!$B$2:$B$30,0)),""))</f>
        <v/>
      </c>
      <c r="E2810" s="10">
        <f>IF(B2810="","",IFERROR(INDEX(Roster!$A$2:$A$600,MATCH(B2810,Roster!$E$2:$E$600,0)),""))</f>
        <v/>
      </c>
      <c r="F2810" s="10">
        <f>IF(C2810="","",IFERROR(INDEX(Levels!$C$2:$C$30,MATCH(C2810,Levels!$B$2:$B$30,0)),""))</f>
        <v/>
      </c>
      <c r="G2810" s="6" t="n"/>
      <c r="H2810" s="10">
        <f>IF(AND(B2810="",C2810=""),"",IF(G2810&lt;&gt;"","Void",IF(OR(B2810="",E2810=""),"Needs child",IF(D2810="","Needs level","OK"))))</f>
        <v/>
      </c>
    </row>
    <row r="2811">
      <c r="A2811" s="6" t="n"/>
      <c r="B2811" s="6" t="n"/>
      <c r="C2811" s="6" t="n"/>
      <c r="D2811" s="11">
        <f>IF(C2811="","",IFERROR(INDEX(Levels!$A$2:$A$30,MATCH(C2811,Levels!$B$2:$B$30,0)),""))</f>
        <v/>
      </c>
      <c r="E2811" s="10">
        <f>IF(B2811="","",IFERROR(INDEX(Roster!$A$2:$A$600,MATCH(B2811,Roster!$E$2:$E$600,0)),""))</f>
        <v/>
      </c>
      <c r="F2811" s="10">
        <f>IF(C2811="","",IFERROR(INDEX(Levels!$C$2:$C$30,MATCH(C2811,Levels!$B$2:$B$30,0)),""))</f>
        <v/>
      </c>
      <c r="G2811" s="6" t="n"/>
      <c r="H2811" s="10">
        <f>IF(AND(B2811="",C2811=""),"",IF(G2811&lt;&gt;"","Void",IF(OR(B2811="",E2811=""),"Needs child",IF(D2811="","Needs level","OK"))))</f>
        <v/>
      </c>
    </row>
    <row r="2812">
      <c r="A2812" s="6" t="n"/>
      <c r="B2812" s="6" t="n"/>
      <c r="C2812" s="6" t="n"/>
      <c r="D2812" s="11">
        <f>IF(C2812="","",IFERROR(INDEX(Levels!$A$2:$A$30,MATCH(C2812,Levels!$B$2:$B$30,0)),""))</f>
        <v/>
      </c>
      <c r="E2812" s="10">
        <f>IF(B2812="","",IFERROR(INDEX(Roster!$A$2:$A$600,MATCH(B2812,Roster!$E$2:$E$600,0)),""))</f>
        <v/>
      </c>
      <c r="F2812" s="10">
        <f>IF(C2812="","",IFERROR(INDEX(Levels!$C$2:$C$30,MATCH(C2812,Levels!$B$2:$B$30,0)),""))</f>
        <v/>
      </c>
      <c r="G2812" s="6" t="n"/>
      <c r="H2812" s="10">
        <f>IF(AND(B2812="",C2812=""),"",IF(G2812&lt;&gt;"","Void",IF(OR(B2812="",E2812=""),"Needs child",IF(D2812="","Needs level","OK"))))</f>
        <v/>
      </c>
    </row>
    <row r="2813">
      <c r="A2813" s="6" t="n"/>
      <c r="B2813" s="6" t="n"/>
      <c r="C2813" s="6" t="n"/>
      <c r="D2813" s="11">
        <f>IF(C2813="","",IFERROR(INDEX(Levels!$A$2:$A$30,MATCH(C2813,Levels!$B$2:$B$30,0)),""))</f>
        <v/>
      </c>
      <c r="E2813" s="10">
        <f>IF(B2813="","",IFERROR(INDEX(Roster!$A$2:$A$600,MATCH(B2813,Roster!$E$2:$E$600,0)),""))</f>
        <v/>
      </c>
      <c r="F2813" s="10">
        <f>IF(C2813="","",IFERROR(INDEX(Levels!$C$2:$C$30,MATCH(C2813,Levels!$B$2:$B$30,0)),""))</f>
        <v/>
      </c>
      <c r="G2813" s="6" t="n"/>
      <c r="H2813" s="10">
        <f>IF(AND(B2813="",C2813=""),"",IF(G2813&lt;&gt;"","Void",IF(OR(B2813="",E2813=""),"Needs child",IF(D2813="","Needs level","OK"))))</f>
        <v/>
      </c>
    </row>
    <row r="2814">
      <c r="A2814" s="6" t="n"/>
      <c r="B2814" s="6" t="n"/>
      <c r="C2814" s="6" t="n"/>
      <c r="D2814" s="11">
        <f>IF(C2814="","",IFERROR(INDEX(Levels!$A$2:$A$30,MATCH(C2814,Levels!$B$2:$B$30,0)),""))</f>
        <v/>
      </c>
      <c r="E2814" s="10">
        <f>IF(B2814="","",IFERROR(INDEX(Roster!$A$2:$A$600,MATCH(B2814,Roster!$E$2:$E$600,0)),""))</f>
        <v/>
      </c>
      <c r="F2814" s="10">
        <f>IF(C2814="","",IFERROR(INDEX(Levels!$C$2:$C$30,MATCH(C2814,Levels!$B$2:$B$30,0)),""))</f>
        <v/>
      </c>
      <c r="G2814" s="6" t="n"/>
      <c r="H2814" s="10">
        <f>IF(AND(B2814="",C2814=""),"",IF(G2814&lt;&gt;"","Void",IF(OR(B2814="",E2814=""),"Needs child",IF(D2814="","Needs level","OK"))))</f>
        <v/>
      </c>
    </row>
    <row r="2815">
      <c r="A2815" s="6" t="n"/>
      <c r="B2815" s="6" t="n"/>
      <c r="C2815" s="6" t="n"/>
      <c r="D2815" s="11">
        <f>IF(C2815="","",IFERROR(INDEX(Levels!$A$2:$A$30,MATCH(C2815,Levels!$B$2:$B$30,0)),""))</f>
        <v/>
      </c>
      <c r="E2815" s="10">
        <f>IF(B2815="","",IFERROR(INDEX(Roster!$A$2:$A$600,MATCH(B2815,Roster!$E$2:$E$600,0)),""))</f>
        <v/>
      </c>
      <c r="F2815" s="10">
        <f>IF(C2815="","",IFERROR(INDEX(Levels!$C$2:$C$30,MATCH(C2815,Levels!$B$2:$B$30,0)),""))</f>
        <v/>
      </c>
      <c r="G2815" s="6" t="n"/>
      <c r="H2815" s="10">
        <f>IF(AND(B2815="",C2815=""),"",IF(G2815&lt;&gt;"","Void",IF(OR(B2815="",E2815=""),"Needs child",IF(D2815="","Needs level","OK"))))</f>
        <v/>
      </c>
    </row>
    <row r="2816">
      <c r="A2816" s="6" t="n"/>
      <c r="B2816" s="6" t="n"/>
      <c r="C2816" s="6" t="n"/>
      <c r="D2816" s="11">
        <f>IF(C2816="","",IFERROR(INDEX(Levels!$A$2:$A$30,MATCH(C2816,Levels!$B$2:$B$30,0)),""))</f>
        <v/>
      </c>
      <c r="E2816" s="10">
        <f>IF(B2816="","",IFERROR(INDEX(Roster!$A$2:$A$600,MATCH(B2816,Roster!$E$2:$E$600,0)),""))</f>
        <v/>
      </c>
      <c r="F2816" s="10">
        <f>IF(C2816="","",IFERROR(INDEX(Levels!$C$2:$C$30,MATCH(C2816,Levels!$B$2:$B$30,0)),""))</f>
        <v/>
      </c>
      <c r="G2816" s="6" t="n"/>
      <c r="H2816" s="10">
        <f>IF(AND(B2816="",C2816=""),"",IF(G2816&lt;&gt;"","Void",IF(OR(B2816="",E2816=""),"Needs child",IF(D2816="","Needs level","OK"))))</f>
        <v/>
      </c>
    </row>
    <row r="2817">
      <c r="A2817" s="6" t="n"/>
      <c r="B2817" s="6" t="n"/>
      <c r="C2817" s="6" t="n"/>
      <c r="D2817" s="11">
        <f>IF(C2817="","",IFERROR(INDEX(Levels!$A$2:$A$30,MATCH(C2817,Levels!$B$2:$B$30,0)),""))</f>
        <v/>
      </c>
      <c r="E2817" s="10">
        <f>IF(B2817="","",IFERROR(INDEX(Roster!$A$2:$A$600,MATCH(B2817,Roster!$E$2:$E$600,0)),""))</f>
        <v/>
      </c>
      <c r="F2817" s="10">
        <f>IF(C2817="","",IFERROR(INDEX(Levels!$C$2:$C$30,MATCH(C2817,Levels!$B$2:$B$30,0)),""))</f>
        <v/>
      </c>
      <c r="G2817" s="6" t="n"/>
      <c r="H2817" s="10">
        <f>IF(AND(B2817="",C2817=""),"",IF(G2817&lt;&gt;"","Void",IF(OR(B2817="",E2817=""),"Needs child",IF(D2817="","Needs level","OK"))))</f>
        <v/>
      </c>
    </row>
    <row r="2818">
      <c r="A2818" s="6" t="n"/>
      <c r="B2818" s="6" t="n"/>
      <c r="C2818" s="6" t="n"/>
      <c r="D2818" s="11">
        <f>IF(C2818="","",IFERROR(INDEX(Levels!$A$2:$A$30,MATCH(C2818,Levels!$B$2:$B$30,0)),""))</f>
        <v/>
      </c>
      <c r="E2818" s="10">
        <f>IF(B2818="","",IFERROR(INDEX(Roster!$A$2:$A$600,MATCH(B2818,Roster!$E$2:$E$600,0)),""))</f>
        <v/>
      </c>
      <c r="F2818" s="10">
        <f>IF(C2818="","",IFERROR(INDEX(Levels!$C$2:$C$30,MATCH(C2818,Levels!$B$2:$B$30,0)),""))</f>
        <v/>
      </c>
      <c r="G2818" s="6" t="n"/>
      <c r="H2818" s="10">
        <f>IF(AND(B2818="",C2818=""),"",IF(G2818&lt;&gt;"","Void",IF(OR(B2818="",E2818=""),"Needs child",IF(D2818="","Needs level","OK"))))</f>
        <v/>
      </c>
    </row>
    <row r="2819">
      <c r="A2819" s="6" t="n"/>
      <c r="B2819" s="6" t="n"/>
      <c r="C2819" s="6" t="n"/>
      <c r="D2819" s="11">
        <f>IF(C2819="","",IFERROR(INDEX(Levels!$A$2:$A$30,MATCH(C2819,Levels!$B$2:$B$30,0)),""))</f>
        <v/>
      </c>
      <c r="E2819" s="10">
        <f>IF(B2819="","",IFERROR(INDEX(Roster!$A$2:$A$600,MATCH(B2819,Roster!$E$2:$E$600,0)),""))</f>
        <v/>
      </c>
      <c r="F2819" s="10">
        <f>IF(C2819="","",IFERROR(INDEX(Levels!$C$2:$C$30,MATCH(C2819,Levels!$B$2:$B$30,0)),""))</f>
        <v/>
      </c>
      <c r="G2819" s="6" t="n"/>
      <c r="H2819" s="10">
        <f>IF(AND(B2819="",C2819=""),"",IF(G2819&lt;&gt;"","Void",IF(OR(B2819="",E2819=""),"Needs child",IF(D2819="","Needs level","OK"))))</f>
        <v/>
      </c>
    </row>
    <row r="2820">
      <c r="A2820" s="6" t="n"/>
      <c r="B2820" s="6" t="n"/>
      <c r="C2820" s="6" t="n"/>
      <c r="D2820" s="11">
        <f>IF(C2820="","",IFERROR(INDEX(Levels!$A$2:$A$30,MATCH(C2820,Levels!$B$2:$B$30,0)),""))</f>
        <v/>
      </c>
      <c r="E2820" s="10">
        <f>IF(B2820="","",IFERROR(INDEX(Roster!$A$2:$A$600,MATCH(B2820,Roster!$E$2:$E$600,0)),""))</f>
        <v/>
      </c>
      <c r="F2820" s="10">
        <f>IF(C2820="","",IFERROR(INDEX(Levels!$C$2:$C$30,MATCH(C2820,Levels!$B$2:$B$30,0)),""))</f>
        <v/>
      </c>
      <c r="G2820" s="6" t="n"/>
      <c r="H2820" s="10">
        <f>IF(AND(B2820="",C2820=""),"",IF(G2820&lt;&gt;"","Void",IF(OR(B2820="",E2820=""),"Needs child",IF(D2820="","Needs level","OK"))))</f>
        <v/>
      </c>
    </row>
    <row r="2821">
      <c r="A2821" s="6" t="n"/>
      <c r="B2821" s="6" t="n"/>
      <c r="C2821" s="6" t="n"/>
      <c r="D2821" s="11">
        <f>IF(C2821="","",IFERROR(INDEX(Levels!$A$2:$A$30,MATCH(C2821,Levels!$B$2:$B$30,0)),""))</f>
        <v/>
      </c>
      <c r="E2821" s="10">
        <f>IF(B2821="","",IFERROR(INDEX(Roster!$A$2:$A$600,MATCH(B2821,Roster!$E$2:$E$600,0)),""))</f>
        <v/>
      </c>
      <c r="F2821" s="10">
        <f>IF(C2821="","",IFERROR(INDEX(Levels!$C$2:$C$30,MATCH(C2821,Levels!$B$2:$B$30,0)),""))</f>
        <v/>
      </c>
      <c r="G2821" s="6" t="n"/>
      <c r="H2821" s="10">
        <f>IF(AND(B2821="",C2821=""),"",IF(G2821&lt;&gt;"","Void",IF(OR(B2821="",E2821=""),"Needs child",IF(D2821="","Needs level","OK"))))</f>
        <v/>
      </c>
    </row>
    <row r="2822">
      <c r="A2822" s="6" t="n"/>
      <c r="B2822" s="6" t="n"/>
      <c r="C2822" s="6" t="n"/>
      <c r="D2822" s="11">
        <f>IF(C2822="","",IFERROR(INDEX(Levels!$A$2:$A$30,MATCH(C2822,Levels!$B$2:$B$30,0)),""))</f>
        <v/>
      </c>
      <c r="E2822" s="10">
        <f>IF(B2822="","",IFERROR(INDEX(Roster!$A$2:$A$600,MATCH(B2822,Roster!$E$2:$E$600,0)),""))</f>
        <v/>
      </c>
      <c r="F2822" s="10">
        <f>IF(C2822="","",IFERROR(INDEX(Levels!$C$2:$C$30,MATCH(C2822,Levels!$B$2:$B$30,0)),""))</f>
        <v/>
      </c>
      <c r="G2822" s="6" t="n"/>
      <c r="H2822" s="10">
        <f>IF(AND(B2822="",C2822=""),"",IF(G2822&lt;&gt;"","Void",IF(OR(B2822="",E2822=""),"Needs child",IF(D2822="","Needs level","OK"))))</f>
        <v/>
      </c>
    </row>
    <row r="2823">
      <c r="A2823" s="6" t="n"/>
      <c r="B2823" s="6" t="n"/>
      <c r="C2823" s="6" t="n"/>
      <c r="D2823" s="11">
        <f>IF(C2823="","",IFERROR(INDEX(Levels!$A$2:$A$30,MATCH(C2823,Levels!$B$2:$B$30,0)),""))</f>
        <v/>
      </c>
      <c r="E2823" s="10">
        <f>IF(B2823="","",IFERROR(INDEX(Roster!$A$2:$A$600,MATCH(B2823,Roster!$E$2:$E$600,0)),""))</f>
        <v/>
      </c>
      <c r="F2823" s="10">
        <f>IF(C2823="","",IFERROR(INDEX(Levels!$C$2:$C$30,MATCH(C2823,Levels!$B$2:$B$30,0)),""))</f>
        <v/>
      </c>
      <c r="G2823" s="6" t="n"/>
      <c r="H2823" s="10">
        <f>IF(AND(B2823="",C2823=""),"",IF(G2823&lt;&gt;"","Void",IF(OR(B2823="",E2823=""),"Needs child",IF(D2823="","Needs level","OK"))))</f>
        <v/>
      </c>
    </row>
    <row r="2824">
      <c r="A2824" s="6" t="n"/>
      <c r="B2824" s="6" t="n"/>
      <c r="C2824" s="6" t="n"/>
      <c r="D2824" s="11">
        <f>IF(C2824="","",IFERROR(INDEX(Levels!$A$2:$A$30,MATCH(C2824,Levels!$B$2:$B$30,0)),""))</f>
        <v/>
      </c>
      <c r="E2824" s="10">
        <f>IF(B2824="","",IFERROR(INDEX(Roster!$A$2:$A$600,MATCH(B2824,Roster!$E$2:$E$600,0)),""))</f>
        <v/>
      </c>
      <c r="F2824" s="10">
        <f>IF(C2824="","",IFERROR(INDEX(Levels!$C$2:$C$30,MATCH(C2824,Levels!$B$2:$B$30,0)),""))</f>
        <v/>
      </c>
      <c r="G2824" s="6" t="n"/>
      <c r="H2824" s="10">
        <f>IF(AND(B2824="",C2824=""),"",IF(G2824&lt;&gt;"","Void",IF(OR(B2824="",E2824=""),"Needs child",IF(D2824="","Needs level","OK"))))</f>
        <v/>
      </c>
    </row>
    <row r="2825">
      <c r="A2825" s="6" t="n"/>
      <c r="B2825" s="6" t="n"/>
      <c r="C2825" s="6" t="n"/>
      <c r="D2825" s="11">
        <f>IF(C2825="","",IFERROR(INDEX(Levels!$A$2:$A$30,MATCH(C2825,Levels!$B$2:$B$30,0)),""))</f>
        <v/>
      </c>
      <c r="E2825" s="10">
        <f>IF(B2825="","",IFERROR(INDEX(Roster!$A$2:$A$600,MATCH(B2825,Roster!$E$2:$E$600,0)),""))</f>
        <v/>
      </c>
      <c r="F2825" s="10">
        <f>IF(C2825="","",IFERROR(INDEX(Levels!$C$2:$C$30,MATCH(C2825,Levels!$B$2:$B$30,0)),""))</f>
        <v/>
      </c>
      <c r="G2825" s="6" t="n"/>
      <c r="H2825" s="10">
        <f>IF(AND(B2825="",C2825=""),"",IF(G2825&lt;&gt;"","Void",IF(OR(B2825="",E2825=""),"Needs child",IF(D2825="","Needs level","OK"))))</f>
        <v/>
      </c>
    </row>
    <row r="2826">
      <c r="A2826" s="6" t="n"/>
      <c r="B2826" s="6" t="n"/>
      <c r="C2826" s="6" t="n"/>
      <c r="D2826" s="11">
        <f>IF(C2826="","",IFERROR(INDEX(Levels!$A$2:$A$30,MATCH(C2826,Levels!$B$2:$B$30,0)),""))</f>
        <v/>
      </c>
      <c r="E2826" s="10">
        <f>IF(B2826="","",IFERROR(INDEX(Roster!$A$2:$A$600,MATCH(B2826,Roster!$E$2:$E$600,0)),""))</f>
        <v/>
      </c>
      <c r="F2826" s="10">
        <f>IF(C2826="","",IFERROR(INDEX(Levels!$C$2:$C$30,MATCH(C2826,Levels!$B$2:$B$30,0)),""))</f>
        <v/>
      </c>
      <c r="G2826" s="6" t="n"/>
      <c r="H2826" s="10">
        <f>IF(AND(B2826="",C2826=""),"",IF(G2826&lt;&gt;"","Void",IF(OR(B2826="",E2826=""),"Needs child",IF(D2826="","Needs level","OK"))))</f>
        <v/>
      </c>
    </row>
    <row r="2827">
      <c r="A2827" s="6" t="n"/>
      <c r="B2827" s="6" t="n"/>
      <c r="C2827" s="6" t="n"/>
      <c r="D2827" s="11">
        <f>IF(C2827="","",IFERROR(INDEX(Levels!$A$2:$A$30,MATCH(C2827,Levels!$B$2:$B$30,0)),""))</f>
        <v/>
      </c>
      <c r="E2827" s="10">
        <f>IF(B2827="","",IFERROR(INDEX(Roster!$A$2:$A$600,MATCH(B2827,Roster!$E$2:$E$600,0)),""))</f>
        <v/>
      </c>
      <c r="F2827" s="10">
        <f>IF(C2827="","",IFERROR(INDEX(Levels!$C$2:$C$30,MATCH(C2827,Levels!$B$2:$B$30,0)),""))</f>
        <v/>
      </c>
      <c r="G2827" s="6" t="n"/>
      <c r="H2827" s="10">
        <f>IF(AND(B2827="",C2827=""),"",IF(G2827&lt;&gt;"","Void",IF(OR(B2827="",E2827=""),"Needs child",IF(D2827="","Needs level","OK"))))</f>
        <v/>
      </c>
    </row>
    <row r="2828">
      <c r="A2828" s="6" t="n"/>
      <c r="B2828" s="6" t="n"/>
      <c r="C2828" s="6" t="n"/>
      <c r="D2828" s="11">
        <f>IF(C2828="","",IFERROR(INDEX(Levels!$A$2:$A$30,MATCH(C2828,Levels!$B$2:$B$30,0)),""))</f>
        <v/>
      </c>
      <c r="E2828" s="10">
        <f>IF(B2828="","",IFERROR(INDEX(Roster!$A$2:$A$600,MATCH(B2828,Roster!$E$2:$E$600,0)),""))</f>
        <v/>
      </c>
      <c r="F2828" s="10">
        <f>IF(C2828="","",IFERROR(INDEX(Levels!$C$2:$C$30,MATCH(C2828,Levels!$B$2:$B$30,0)),""))</f>
        <v/>
      </c>
      <c r="G2828" s="6" t="n"/>
      <c r="H2828" s="10">
        <f>IF(AND(B2828="",C2828=""),"",IF(G2828&lt;&gt;"","Void",IF(OR(B2828="",E2828=""),"Needs child",IF(D2828="","Needs level","OK"))))</f>
        <v/>
      </c>
    </row>
    <row r="2829">
      <c r="A2829" s="6" t="n"/>
      <c r="B2829" s="6" t="n"/>
      <c r="C2829" s="6" t="n"/>
      <c r="D2829" s="11">
        <f>IF(C2829="","",IFERROR(INDEX(Levels!$A$2:$A$30,MATCH(C2829,Levels!$B$2:$B$30,0)),""))</f>
        <v/>
      </c>
      <c r="E2829" s="10">
        <f>IF(B2829="","",IFERROR(INDEX(Roster!$A$2:$A$600,MATCH(B2829,Roster!$E$2:$E$600,0)),""))</f>
        <v/>
      </c>
      <c r="F2829" s="10">
        <f>IF(C2829="","",IFERROR(INDEX(Levels!$C$2:$C$30,MATCH(C2829,Levels!$B$2:$B$30,0)),""))</f>
        <v/>
      </c>
      <c r="G2829" s="6" t="n"/>
      <c r="H2829" s="10">
        <f>IF(AND(B2829="",C2829=""),"",IF(G2829&lt;&gt;"","Void",IF(OR(B2829="",E2829=""),"Needs child",IF(D2829="","Needs level","OK"))))</f>
        <v/>
      </c>
    </row>
    <row r="2830">
      <c r="A2830" s="6" t="n"/>
      <c r="B2830" s="6" t="n"/>
      <c r="C2830" s="6" t="n"/>
      <c r="D2830" s="11">
        <f>IF(C2830="","",IFERROR(INDEX(Levels!$A$2:$A$30,MATCH(C2830,Levels!$B$2:$B$30,0)),""))</f>
        <v/>
      </c>
      <c r="E2830" s="10">
        <f>IF(B2830="","",IFERROR(INDEX(Roster!$A$2:$A$600,MATCH(B2830,Roster!$E$2:$E$600,0)),""))</f>
        <v/>
      </c>
      <c r="F2830" s="10">
        <f>IF(C2830="","",IFERROR(INDEX(Levels!$C$2:$C$30,MATCH(C2830,Levels!$B$2:$B$30,0)),""))</f>
        <v/>
      </c>
      <c r="G2830" s="6" t="n"/>
      <c r="H2830" s="10">
        <f>IF(AND(B2830="",C2830=""),"",IF(G2830&lt;&gt;"","Void",IF(OR(B2830="",E2830=""),"Needs child",IF(D2830="","Needs level","OK"))))</f>
        <v/>
      </c>
    </row>
    <row r="2831">
      <c r="A2831" s="6" t="n"/>
      <c r="B2831" s="6" t="n"/>
      <c r="C2831" s="6" t="n"/>
      <c r="D2831" s="11">
        <f>IF(C2831="","",IFERROR(INDEX(Levels!$A$2:$A$30,MATCH(C2831,Levels!$B$2:$B$30,0)),""))</f>
        <v/>
      </c>
      <c r="E2831" s="10">
        <f>IF(B2831="","",IFERROR(INDEX(Roster!$A$2:$A$600,MATCH(B2831,Roster!$E$2:$E$600,0)),""))</f>
        <v/>
      </c>
      <c r="F2831" s="10">
        <f>IF(C2831="","",IFERROR(INDEX(Levels!$C$2:$C$30,MATCH(C2831,Levels!$B$2:$B$30,0)),""))</f>
        <v/>
      </c>
      <c r="G2831" s="6" t="n"/>
      <c r="H2831" s="10">
        <f>IF(AND(B2831="",C2831=""),"",IF(G2831&lt;&gt;"","Void",IF(OR(B2831="",E2831=""),"Needs child",IF(D2831="","Needs level","OK"))))</f>
        <v/>
      </c>
    </row>
    <row r="2832">
      <c r="A2832" s="6" t="n"/>
      <c r="B2832" s="6" t="n"/>
      <c r="C2832" s="6" t="n"/>
      <c r="D2832" s="11">
        <f>IF(C2832="","",IFERROR(INDEX(Levels!$A$2:$A$30,MATCH(C2832,Levels!$B$2:$B$30,0)),""))</f>
        <v/>
      </c>
      <c r="E2832" s="10">
        <f>IF(B2832="","",IFERROR(INDEX(Roster!$A$2:$A$600,MATCH(B2832,Roster!$E$2:$E$600,0)),""))</f>
        <v/>
      </c>
      <c r="F2832" s="10">
        <f>IF(C2832="","",IFERROR(INDEX(Levels!$C$2:$C$30,MATCH(C2832,Levels!$B$2:$B$30,0)),""))</f>
        <v/>
      </c>
      <c r="G2832" s="6" t="n"/>
      <c r="H2832" s="10">
        <f>IF(AND(B2832="",C2832=""),"",IF(G2832&lt;&gt;"","Void",IF(OR(B2832="",E2832=""),"Needs child",IF(D2832="","Needs level","OK"))))</f>
        <v/>
      </c>
    </row>
    <row r="2833">
      <c r="A2833" s="6" t="n"/>
      <c r="B2833" s="6" t="n"/>
      <c r="C2833" s="6" t="n"/>
      <c r="D2833" s="11">
        <f>IF(C2833="","",IFERROR(INDEX(Levels!$A$2:$A$30,MATCH(C2833,Levels!$B$2:$B$30,0)),""))</f>
        <v/>
      </c>
      <c r="E2833" s="10">
        <f>IF(B2833="","",IFERROR(INDEX(Roster!$A$2:$A$600,MATCH(B2833,Roster!$E$2:$E$600,0)),""))</f>
        <v/>
      </c>
      <c r="F2833" s="10">
        <f>IF(C2833="","",IFERROR(INDEX(Levels!$C$2:$C$30,MATCH(C2833,Levels!$B$2:$B$30,0)),""))</f>
        <v/>
      </c>
      <c r="G2833" s="6" t="n"/>
      <c r="H2833" s="10">
        <f>IF(AND(B2833="",C2833=""),"",IF(G2833&lt;&gt;"","Void",IF(OR(B2833="",E2833=""),"Needs child",IF(D2833="","Needs level","OK"))))</f>
        <v/>
      </c>
    </row>
    <row r="2834">
      <c r="A2834" s="6" t="n"/>
      <c r="B2834" s="6" t="n"/>
      <c r="C2834" s="6" t="n"/>
      <c r="D2834" s="11">
        <f>IF(C2834="","",IFERROR(INDEX(Levels!$A$2:$A$30,MATCH(C2834,Levels!$B$2:$B$30,0)),""))</f>
        <v/>
      </c>
      <c r="E2834" s="10">
        <f>IF(B2834="","",IFERROR(INDEX(Roster!$A$2:$A$600,MATCH(B2834,Roster!$E$2:$E$600,0)),""))</f>
        <v/>
      </c>
      <c r="F2834" s="10">
        <f>IF(C2834="","",IFERROR(INDEX(Levels!$C$2:$C$30,MATCH(C2834,Levels!$B$2:$B$30,0)),""))</f>
        <v/>
      </c>
      <c r="G2834" s="6" t="n"/>
      <c r="H2834" s="10">
        <f>IF(AND(B2834="",C2834=""),"",IF(G2834&lt;&gt;"","Void",IF(OR(B2834="",E2834=""),"Needs child",IF(D2834="","Needs level","OK"))))</f>
        <v/>
      </c>
    </row>
    <row r="2835">
      <c r="A2835" s="6" t="n"/>
      <c r="B2835" s="6" t="n"/>
      <c r="C2835" s="6" t="n"/>
      <c r="D2835" s="11">
        <f>IF(C2835="","",IFERROR(INDEX(Levels!$A$2:$A$30,MATCH(C2835,Levels!$B$2:$B$30,0)),""))</f>
        <v/>
      </c>
      <c r="E2835" s="10">
        <f>IF(B2835="","",IFERROR(INDEX(Roster!$A$2:$A$600,MATCH(B2835,Roster!$E$2:$E$600,0)),""))</f>
        <v/>
      </c>
      <c r="F2835" s="10">
        <f>IF(C2835="","",IFERROR(INDEX(Levels!$C$2:$C$30,MATCH(C2835,Levels!$B$2:$B$30,0)),""))</f>
        <v/>
      </c>
      <c r="G2835" s="6" t="n"/>
      <c r="H2835" s="10">
        <f>IF(AND(B2835="",C2835=""),"",IF(G2835&lt;&gt;"","Void",IF(OR(B2835="",E2835=""),"Needs child",IF(D2835="","Needs level","OK"))))</f>
        <v/>
      </c>
    </row>
    <row r="2836">
      <c r="A2836" s="6" t="n"/>
      <c r="B2836" s="6" t="n"/>
      <c r="C2836" s="6" t="n"/>
      <c r="D2836" s="11">
        <f>IF(C2836="","",IFERROR(INDEX(Levels!$A$2:$A$30,MATCH(C2836,Levels!$B$2:$B$30,0)),""))</f>
        <v/>
      </c>
      <c r="E2836" s="10">
        <f>IF(B2836="","",IFERROR(INDEX(Roster!$A$2:$A$600,MATCH(B2836,Roster!$E$2:$E$600,0)),""))</f>
        <v/>
      </c>
      <c r="F2836" s="10">
        <f>IF(C2836="","",IFERROR(INDEX(Levels!$C$2:$C$30,MATCH(C2836,Levels!$B$2:$B$30,0)),""))</f>
        <v/>
      </c>
      <c r="G2836" s="6" t="n"/>
      <c r="H2836" s="10">
        <f>IF(AND(B2836="",C2836=""),"",IF(G2836&lt;&gt;"","Void",IF(OR(B2836="",E2836=""),"Needs child",IF(D2836="","Needs level","OK"))))</f>
        <v/>
      </c>
    </row>
    <row r="2837">
      <c r="A2837" s="6" t="n"/>
      <c r="B2837" s="6" t="n"/>
      <c r="C2837" s="6" t="n"/>
      <c r="D2837" s="11">
        <f>IF(C2837="","",IFERROR(INDEX(Levels!$A$2:$A$30,MATCH(C2837,Levels!$B$2:$B$30,0)),""))</f>
        <v/>
      </c>
      <c r="E2837" s="10">
        <f>IF(B2837="","",IFERROR(INDEX(Roster!$A$2:$A$600,MATCH(B2837,Roster!$E$2:$E$600,0)),""))</f>
        <v/>
      </c>
      <c r="F2837" s="10">
        <f>IF(C2837="","",IFERROR(INDEX(Levels!$C$2:$C$30,MATCH(C2837,Levels!$B$2:$B$30,0)),""))</f>
        <v/>
      </c>
      <c r="G2837" s="6" t="n"/>
      <c r="H2837" s="10">
        <f>IF(AND(B2837="",C2837=""),"",IF(G2837&lt;&gt;"","Void",IF(OR(B2837="",E2837=""),"Needs child",IF(D2837="","Needs level","OK"))))</f>
        <v/>
      </c>
    </row>
    <row r="2838">
      <c r="A2838" s="6" t="n"/>
      <c r="B2838" s="6" t="n"/>
      <c r="C2838" s="6" t="n"/>
      <c r="D2838" s="11">
        <f>IF(C2838="","",IFERROR(INDEX(Levels!$A$2:$A$30,MATCH(C2838,Levels!$B$2:$B$30,0)),""))</f>
        <v/>
      </c>
      <c r="E2838" s="10">
        <f>IF(B2838="","",IFERROR(INDEX(Roster!$A$2:$A$600,MATCH(B2838,Roster!$E$2:$E$600,0)),""))</f>
        <v/>
      </c>
      <c r="F2838" s="10">
        <f>IF(C2838="","",IFERROR(INDEX(Levels!$C$2:$C$30,MATCH(C2838,Levels!$B$2:$B$30,0)),""))</f>
        <v/>
      </c>
      <c r="G2838" s="6" t="n"/>
      <c r="H2838" s="10">
        <f>IF(AND(B2838="",C2838=""),"",IF(G2838&lt;&gt;"","Void",IF(OR(B2838="",E2838=""),"Needs child",IF(D2838="","Needs level","OK"))))</f>
        <v/>
      </c>
    </row>
    <row r="2839">
      <c r="A2839" s="6" t="n"/>
      <c r="B2839" s="6" t="n"/>
      <c r="C2839" s="6" t="n"/>
      <c r="D2839" s="11">
        <f>IF(C2839="","",IFERROR(INDEX(Levels!$A$2:$A$30,MATCH(C2839,Levels!$B$2:$B$30,0)),""))</f>
        <v/>
      </c>
      <c r="E2839" s="10">
        <f>IF(B2839="","",IFERROR(INDEX(Roster!$A$2:$A$600,MATCH(B2839,Roster!$E$2:$E$600,0)),""))</f>
        <v/>
      </c>
      <c r="F2839" s="10">
        <f>IF(C2839="","",IFERROR(INDEX(Levels!$C$2:$C$30,MATCH(C2839,Levels!$B$2:$B$30,0)),""))</f>
        <v/>
      </c>
      <c r="G2839" s="6" t="n"/>
      <c r="H2839" s="10">
        <f>IF(AND(B2839="",C2839=""),"",IF(G2839&lt;&gt;"","Void",IF(OR(B2839="",E2839=""),"Needs child",IF(D2839="","Needs level","OK"))))</f>
        <v/>
      </c>
    </row>
    <row r="2840">
      <c r="A2840" s="6" t="n"/>
      <c r="B2840" s="6" t="n"/>
      <c r="C2840" s="6" t="n"/>
      <c r="D2840" s="11">
        <f>IF(C2840="","",IFERROR(INDEX(Levels!$A$2:$A$30,MATCH(C2840,Levels!$B$2:$B$30,0)),""))</f>
        <v/>
      </c>
      <c r="E2840" s="10">
        <f>IF(B2840="","",IFERROR(INDEX(Roster!$A$2:$A$600,MATCH(B2840,Roster!$E$2:$E$600,0)),""))</f>
        <v/>
      </c>
      <c r="F2840" s="10">
        <f>IF(C2840="","",IFERROR(INDEX(Levels!$C$2:$C$30,MATCH(C2840,Levels!$B$2:$B$30,0)),""))</f>
        <v/>
      </c>
      <c r="G2840" s="6" t="n"/>
      <c r="H2840" s="10">
        <f>IF(AND(B2840="",C2840=""),"",IF(G2840&lt;&gt;"","Void",IF(OR(B2840="",E2840=""),"Needs child",IF(D2840="","Needs level","OK"))))</f>
        <v/>
      </c>
    </row>
    <row r="2841">
      <c r="A2841" s="6" t="n"/>
      <c r="B2841" s="6" t="n"/>
      <c r="C2841" s="6" t="n"/>
      <c r="D2841" s="11">
        <f>IF(C2841="","",IFERROR(INDEX(Levels!$A$2:$A$30,MATCH(C2841,Levels!$B$2:$B$30,0)),""))</f>
        <v/>
      </c>
      <c r="E2841" s="10">
        <f>IF(B2841="","",IFERROR(INDEX(Roster!$A$2:$A$600,MATCH(B2841,Roster!$E$2:$E$600,0)),""))</f>
        <v/>
      </c>
      <c r="F2841" s="10">
        <f>IF(C2841="","",IFERROR(INDEX(Levels!$C$2:$C$30,MATCH(C2841,Levels!$B$2:$B$30,0)),""))</f>
        <v/>
      </c>
      <c r="G2841" s="6" t="n"/>
      <c r="H2841" s="10">
        <f>IF(AND(B2841="",C2841=""),"",IF(G2841&lt;&gt;"","Void",IF(OR(B2841="",E2841=""),"Needs child",IF(D2841="","Needs level","OK"))))</f>
        <v/>
      </c>
    </row>
    <row r="2842">
      <c r="A2842" s="6" t="n"/>
      <c r="B2842" s="6" t="n"/>
      <c r="C2842" s="6" t="n"/>
      <c r="D2842" s="11">
        <f>IF(C2842="","",IFERROR(INDEX(Levels!$A$2:$A$30,MATCH(C2842,Levels!$B$2:$B$30,0)),""))</f>
        <v/>
      </c>
      <c r="E2842" s="10">
        <f>IF(B2842="","",IFERROR(INDEX(Roster!$A$2:$A$600,MATCH(B2842,Roster!$E$2:$E$600,0)),""))</f>
        <v/>
      </c>
      <c r="F2842" s="10">
        <f>IF(C2842="","",IFERROR(INDEX(Levels!$C$2:$C$30,MATCH(C2842,Levels!$B$2:$B$30,0)),""))</f>
        <v/>
      </c>
      <c r="G2842" s="6" t="n"/>
      <c r="H2842" s="10">
        <f>IF(AND(B2842="",C2842=""),"",IF(G2842&lt;&gt;"","Void",IF(OR(B2842="",E2842=""),"Needs child",IF(D2842="","Needs level","OK"))))</f>
        <v/>
      </c>
    </row>
    <row r="2843">
      <c r="A2843" s="6" t="n"/>
      <c r="B2843" s="6" t="n"/>
      <c r="C2843" s="6" t="n"/>
      <c r="D2843" s="11">
        <f>IF(C2843="","",IFERROR(INDEX(Levels!$A$2:$A$30,MATCH(C2843,Levels!$B$2:$B$30,0)),""))</f>
        <v/>
      </c>
      <c r="E2843" s="10">
        <f>IF(B2843="","",IFERROR(INDEX(Roster!$A$2:$A$600,MATCH(B2843,Roster!$E$2:$E$600,0)),""))</f>
        <v/>
      </c>
      <c r="F2843" s="10">
        <f>IF(C2843="","",IFERROR(INDEX(Levels!$C$2:$C$30,MATCH(C2843,Levels!$B$2:$B$30,0)),""))</f>
        <v/>
      </c>
      <c r="G2843" s="6" t="n"/>
      <c r="H2843" s="10">
        <f>IF(AND(B2843="",C2843=""),"",IF(G2843&lt;&gt;"","Void",IF(OR(B2843="",E2843=""),"Needs child",IF(D2843="","Needs level","OK"))))</f>
        <v/>
      </c>
    </row>
    <row r="2844">
      <c r="A2844" s="6" t="n"/>
      <c r="B2844" s="6" t="n"/>
      <c r="C2844" s="6" t="n"/>
      <c r="D2844" s="11">
        <f>IF(C2844="","",IFERROR(INDEX(Levels!$A$2:$A$30,MATCH(C2844,Levels!$B$2:$B$30,0)),""))</f>
        <v/>
      </c>
      <c r="E2844" s="10">
        <f>IF(B2844="","",IFERROR(INDEX(Roster!$A$2:$A$600,MATCH(B2844,Roster!$E$2:$E$600,0)),""))</f>
        <v/>
      </c>
      <c r="F2844" s="10">
        <f>IF(C2844="","",IFERROR(INDEX(Levels!$C$2:$C$30,MATCH(C2844,Levels!$B$2:$B$30,0)),""))</f>
        <v/>
      </c>
      <c r="G2844" s="6" t="n"/>
      <c r="H2844" s="10">
        <f>IF(AND(B2844="",C2844=""),"",IF(G2844&lt;&gt;"","Void",IF(OR(B2844="",E2844=""),"Needs child",IF(D2844="","Needs level","OK"))))</f>
        <v/>
      </c>
    </row>
    <row r="2845">
      <c r="A2845" s="6" t="n"/>
      <c r="B2845" s="6" t="n"/>
      <c r="C2845" s="6" t="n"/>
      <c r="D2845" s="11">
        <f>IF(C2845="","",IFERROR(INDEX(Levels!$A$2:$A$30,MATCH(C2845,Levels!$B$2:$B$30,0)),""))</f>
        <v/>
      </c>
      <c r="E2845" s="10">
        <f>IF(B2845="","",IFERROR(INDEX(Roster!$A$2:$A$600,MATCH(B2845,Roster!$E$2:$E$600,0)),""))</f>
        <v/>
      </c>
      <c r="F2845" s="10">
        <f>IF(C2845="","",IFERROR(INDEX(Levels!$C$2:$C$30,MATCH(C2845,Levels!$B$2:$B$30,0)),""))</f>
        <v/>
      </c>
      <c r="G2845" s="6" t="n"/>
      <c r="H2845" s="10">
        <f>IF(AND(B2845="",C2845=""),"",IF(G2845&lt;&gt;"","Void",IF(OR(B2845="",E2845=""),"Needs child",IF(D2845="","Needs level","OK"))))</f>
        <v/>
      </c>
    </row>
    <row r="2846">
      <c r="A2846" s="6" t="n"/>
      <c r="B2846" s="6" t="n"/>
      <c r="C2846" s="6" t="n"/>
      <c r="D2846" s="11">
        <f>IF(C2846="","",IFERROR(INDEX(Levels!$A$2:$A$30,MATCH(C2846,Levels!$B$2:$B$30,0)),""))</f>
        <v/>
      </c>
      <c r="E2846" s="10">
        <f>IF(B2846="","",IFERROR(INDEX(Roster!$A$2:$A$600,MATCH(B2846,Roster!$E$2:$E$600,0)),""))</f>
        <v/>
      </c>
      <c r="F2846" s="10">
        <f>IF(C2846="","",IFERROR(INDEX(Levels!$C$2:$C$30,MATCH(C2846,Levels!$B$2:$B$30,0)),""))</f>
        <v/>
      </c>
      <c r="G2846" s="6" t="n"/>
      <c r="H2846" s="10">
        <f>IF(AND(B2846="",C2846=""),"",IF(G2846&lt;&gt;"","Void",IF(OR(B2846="",E2846=""),"Needs child",IF(D2846="","Needs level","OK"))))</f>
        <v/>
      </c>
    </row>
    <row r="2847">
      <c r="A2847" s="6" t="n"/>
      <c r="B2847" s="6" t="n"/>
      <c r="C2847" s="6" t="n"/>
      <c r="D2847" s="11">
        <f>IF(C2847="","",IFERROR(INDEX(Levels!$A$2:$A$30,MATCH(C2847,Levels!$B$2:$B$30,0)),""))</f>
        <v/>
      </c>
      <c r="E2847" s="10">
        <f>IF(B2847="","",IFERROR(INDEX(Roster!$A$2:$A$600,MATCH(B2847,Roster!$E$2:$E$600,0)),""))</f>
        <v/>
      </c>
      <c r="F2847" s="10">
        <f>IF(C2847="","",IFERROR(INDEX(Levels!$C$2:$C$30,MATCH(C2847,Levels!$B$2:$B$30,0)),""))</f>
        <v/>
      </c>
      <c r="G2847" s="6" t="n"/>
      <c r="H2847" s="10">
        <f>IF(AND(B2847="",C2847=""),"",IF(G2847&lt;&gt;"","Void",IF(OR(B2847="",E2847=""),"Needs child",IF(D2847="","Needs level","OK"))))</f>
        <v/>
      </c>
    </row>
    <row r="2848">
      <c r="A2848" s="6" t="n"/>
      <c r="B2848" s="6" t="n"/>
      <c r="C2848" s="6" t="n"/>
      <c r="D2848" s="11">
        <f>IF(C2848="","",IFERROR(INDEX(Levels!$A$2:$A$30,MATCH(C2848,Levels!$B$2:$B$30,0)),""))</f>
        <v/>
      </c>
      <c r="E2848" s="10">
        <f>IF(B2848="","",IFERROR(INDEX(Roster!$A$2:$A$600,MATCH(B2848,Roster!$E$2:$E$600,0)),""))</f>
        <v/>
      </c>
      <c r="F2848" s="10">
        <f>IF(C2848="","",IFERROR(INDEX(Levels!$C$2:$C$30,MATCH(C2848,Levels!$B$2:$B$30,0)),""))</f>
        <v/>
      </c>
      <c r="G2848" s="6" t="n"/>
      <c r="H2848" s="10">
        <f>IF(AND(B2848="",C2848=""),"",IF(G2848&lt;&gt;"","Void",IF(OR(B2848="",E2848=""),"Needs child",IF(D2848="","Needs level","OK"))))</f>
        <v/>
      </c>
    </row>
    <row r="2849">
      <c r="A2849" s="6" t="n"/>
      <c r="B2849" s="6" t="n"/>
      <c r="C2849" s="6" t="n"/>
      <c r="D2849" s="11">
        <f>IF(C2849="","",IFERROR(INDEX(Levels!$A$2:$A$30,MATCH(C2849,Levels!$B$2:$B$30,0)),""))</f>
        <v/>
      </c>
      <c r="E2849" s="10">
        <f>IF(B2849="","",IFERROR(INDEX(Roster!$A$2:$A$600,MATCH(B2849,Roster!$E$2:$E$600,0)),""))</f>
        <v/>
      </c>
      <c r="F2849" s="10">
        <f>IF(C2849="","",IFERROR(INDEX(Levels!$C$2:$C$30,MATCH(C2849,Levels!$B$2:$B$30,0)),""))</f>
        <v/>
      </c>
      <c r="G2849" s="6" t="n"/>
      <c r="H2849" s="10">
        <f>IF(AND(B2849="",C2849=""),"",IF(G2849&lt;&gt;"","Void",IF(OR(B2849="",E2849=""),"Needs child",IF(D2849="","Needs level","OK"))))</f>
        <v/>
      </c>
    </row>
    <row r="2850">
      <c r="A2850" s="6" t="n"/>
      <c r="B2850" s="6" t="n"/>
      <c r="C2850" s="6" t="n"/>
      <c r="D2850" s="11">
        <f>IF(C2850="","",IFERROR(INDEX(Levels!$A$2:$A$30,MATCH(C2850,Levels!$B$2:$B$30,0)),""))</f>
        <v/>
      </c>
      <c r="E2850" s="10">
        <f>IF(B2850="","",IFERROR(INDEX(Roster!$A$2:$A$600,MATCH(B2850,Roster!$E$2:$E$600,0)),""))</f>
        <v/>
      </c>
      <c r="F2850" s="10">
        <f>IF(C2850="","",IFERROR(INDEX(Levels!$C$2:$C$30,MATCH(C2850,Levels!$B$2:$B$30,0)),""))</f>
        <v/>
      </c>
      <c r="G2850" s="6" t="n"/>
      <c r="H2850" s="10">
        <f>IF(AND(B2850="",C2850=""),"",IF(G2850&lt;&gt;"","Void",IF(OR(B2850="",E2850=""),"Needs child",IF(D2850="","Needs level","OK"))))</f>
        <v/>
      </c>
    </row>
    <row r="2851">
      <c r="A2851" s="6" t="n"/>
      <c r="B2851" s="6" t="n"/>
      <c r="C2851" s="6" t="n"/>
      <c r="D2851" s="11">
        <f>IF(C2851="","",IFERROR(INDEX(Levels!$A$2:$A$30,MATCH(C2851,Levels!$B$2:$B$30,0)),""))</f>
        <v/>
      </c>
      <c r="E2851" s="10">
        <f>IF(B2851="","",IFERROR(INDEX(Roster!$A$2:$A$600,MATCH(B2851,Roster!$E$2:$E$600,0)),""))</f>
        <v/>
      </c>
      <c r="F2851" s="10">
        <f>IF(C2851="","",IFERROR(INDEX(Levels!$C$2:$C$30,MATCH(C2851,Levels!$B$2:$B$30,0)),""))</f>
        <v/>
      </c>
      <c r="G2851" s="6" t="n"/>
      <c r="H2851" s="10">
        <f>IF(AND(B2851="",C2851=""),"",IF(G2851&lt;&gt;"","Void",IF(OR(B2851="",E2851=""),"Needs child",IF(D2851="","Needs level","OK"))))</f>
        <v/>
      </c>
    </row>
    <row r="2852">
      <c r="A2852" s="6" t="n"/>
      <c r="B2852" s="6" t="n"/>
      <c r="C2852" s="6" t="n"/>
      <c r="D2852" s="11">
        <f>IF(C2852="","",IFERROR(INDEX(Levels!$A$2:$A$30,MATCH(C2852,Levels!$B$2:$B$30,0)),""))</f>
        <v/>
      </c>
      <c r="E2852" s="10">
        <f>IF(B2852="","",IFERROR(INDEX(Roster!$A$2:$A$600,MATCH(B2852,Roster!$E$2:$E$600,0)),""))</f>
        <v/>
      </c>
      <c r="F2852" s="10">
        <f>IF(C2852="","",IFERROR(INDEX(Levels!$C$2:$C$30,MATCH(C2852,Levels!$B$2:$B$30,0)),""))</f>
        <v/>
      </c>
      <c r="G2852" s="6" t="n"/>
      <c r="H2852" s="10">
        <f>IF(AND(B2852="",C2852=""),"",IF(G2852&lt;&gt;"","Void",IF(OR(B2852="",E2852=""),"Needs child",IF(D2852="","Needs level","OK"))))</f>
        <v/>
      </c>
    </row>
    <row r="2853">
      <c r="A2853" s="6" t="n"/>
      <c r="B2853" s="6" t="n"/>
      <c r="C2853" s="6" t="n"/>
      <c r="D2853" s="11">
        <f>IF(C2853="","",IFERROR(INDEX(Levels!$A$2:$A$30,MATCH(C2853,Levels!$B$2:$B$30,0)),""))</f>
        <v/>
      </c>
      <c r="E2853" s="10">
        <f>IF(B2853="","",IFERROR(INDEX(Roster!$A$2:$A$600,MATCH(B2853,Roster!$E$2:$E$600,0)),""))</f>
        <v/>
      </c>
      <c r="F2853" s="10">
        <f>IF(C2853="","",IFERROR(INDEX(Levels!$C$2:$C$30,MATCH(C2853,Levels!$B$2:$B$30,0)),""))</f>
        <v/>
      </c>
      <c r="G2853" s="6" t="n"/>
      <c r="H2853" s="10">
        <f>IF(AND(B2853="",C2853=""),"",IF(G2853&lt;&gt;"","Void",IF(OR(B2853="",E2853=""),"Needs child",IF(D2853="","Needs level","OK"))))</f>
        <v/>
      </c>
    </row>
    <row r="2854">
      <c r="A2854" s="6" t="n"/>
      <c r="B2854" s="6" t="n"/>
      <c r="C2854" s="6" t="n"/>
      <c r="D2854" s="11">
        <f>IF(C2854="","",IFERROR(INDEX(Levels!$A$2:$A$30,MATCH(C2854,Levels!$B$2:$B$30,0)),""))</f>
        <v/>
      </c>
      <c r="E2854" s="10">
        <f>IF(B2854="","",IFERROR(INDEX(Roster!$A$2:$A$600,MATCH(B2854,Roster!$E$2:$E$600,0)),""))</f>
        <v/>
      </c>
      <c r="F2854" s="10">
        <f>IF(C2854="","",IFERROR(INDEX(Levels!$C$2:$C$30,MATCH(C2854,Levels!$B$2:$B$30,0)),""))</f>
        <v/>
      </c>
      <c r="G2854" s="6" t="n"/>
      <c r="H2854" s="10">
        <f>IF(AND(B2854="",C2854=""),"",IF(G2854&lt;&gt;"","Void",IF(OR(B2854="",E2854=""),"Needs child",IF(D2854="","Needs level","OK"))))</f>
        <v/>
      </c>
    </row>
    <row r="2855">
      <c r="A2855" s="6" t="n"/>
      <c r="B2855" s="6" t="n"/>
      <c r="C2855" s="6" t="n"/>
      <c r="D2855" s="11">
        <f>IF(C2855="","",IFERROR(INDEX(Levels!$A$2:$A$30,MATCH(C2855,Levels!$B$2:$B$30,0)),""))</f>
        <v/>
      </c>
      <c r="E2855" s="10">
        <f>IF(B2855="","",IFERROR(INDEX(Roster!$A$2:$A$600,MATCH(B2855,Roster!$E$2:$E$600,0)),""))</f>
        <v/>
      </c>
      <c r="F2855" s="10">
        <f>IF(C2855="","",IFERROR(INDEX(Levels!$C$2:$C$30,MATCH(C2855,Levels!$B$2:$B$30,0)),""))</f>
        <v/>
      </c>
      <c r="G2855" s="6" t="n"/>
      <c r="H2855" s="10">
        <f>IF(AND(B2855="",C2855=""),"",IF(G2855&lt;&gt;"","Void",IF(OR(B2855="",E2855=""),"Needs child",IF(D2855="","Needs level","OK"))))</f>
        <v/>
      </c>
    </row>
    <row r="2856">
      <c r="A2856" s="6" t="n"/>
      <c r="B2856" s="6" t="n"/>
      <c r="C2856" s="6" t="n"/>
      <c r="D2856" s="11">
        <f>IF(C2856="","",IFERROR(INDEX(Levels!$A$2:$A$30,MATCH(C2856,Levels!$B$2:$B$30,0)),""))</f>
        <v/>
      </c>
      <c r="E2856" s="10">
        <f>IF(B2856="","",IFERROR(INDEX(Roster!$A$2:$A$600,MATCH(B2856,Roster!$E$2:$E$600,0)),""))</f>
        <v/>
      </c>
      <c r="F2856" s="10">
        <f>IF(C2856="","",IFERROR(INDEX(Levels!$C$2:$C$30,MATCH(C2856,Levels!$B$2:$B$30,0)),""))</f>
        <v/>
      </c>
      <c r="G2856" s="6" t="n"/>
      <c r="H2856" s="10">
        <f>IF(AND(B2856="",C2856=""),"",IF(G2856&lt;&gt;"","Void",IF(OR(B2856="",E2856=""),"Needs child",IF(D2856="","Needs level","OK"))))</f>
        <v/>
      </c>
    </row>
    <row r="2857">
      <c r="A2857" s="6" t="n"/>
      <c r="B2857" s="6" t="n"/>
      <c r="C2857" s="6" t="n"/>
      <c r="D2857" s="11">
        <f>IF(C2857="","",IFERROR(INDEX(Levels!$A$2:$A$30,MATCH(C2857,Levels!$B$2:$B$30,0)),""))</f>
        <v/>
      </c>
      <c r="E2857" s="10">
        <f>IF(B2857="","",IFERROR(INDEX(Roster!$A$2:$A$600,MATCH(B2857,Roster!$E$2:$E$600,0)),""))</f>
        <v/>
      </c>
      <c r="F2857" s="10">
        <f>IF(C2857="","",IFERROR(INDEX(Levels!$C$2:$C$30,MATCH(C2857,Levels!$B$2:$B$30,0)),""))</f>
        <v/>
      </c>
      <c r="G2857" s="6" t="n"/>
      <c r="H2857" s="10">
        <f>IF(AND(B2857="",C2857=""),"",IF(G2857&lt;&gt;"","Void",IF(OR(B2857="",E2857=""),"Needs child",IF(D2857="","Needs level","OK"))))</f>
        <v/>
      </c>
    </row>
    <row r="2858">
      <c r="A2858" s="6" t="n"/>
      <c r="B2858" s="6" t="n"/>
      <c r="C2858" s="6" t="n"/>
      <c r="D2858" s="11">
        <f>IF(C2858="","",IFERROR(INDEX(Levels!$A$2:$A$30,MATCH(C2858,Levels!$B$2:$B$30,0)),""))</f>
        <v/>
      </c>
      <c r="E2858" s="10">
        <f>IF(B2858="","",IFERROR(INDEX(Roster!$A$2:$A$600,MATCH(B2858,Roster!$E$2:$E$600,0)),""))</f>
        <v/>
      </c>
      <c r="F2858" s="10">
        <f>IF(C2858="","",IFERROR(INDEX(Levels!$C$2:$C$30,MATCH(C2858,Levels!$B$2:$B$30,0)),""))</f>
        <v/>
      </c>
      <c r="G2858" s="6" t="n"/>
      <c r="H2858" s="10">
        <f>IF(AND(B2858="",C2858=""),"",IF(G2858&lt;&gt;"","Void",IF(OR(B2858="",E2858=""),"Needs child",IF(D2858="","Needs level","OK"))))</f>
        <v/>
      </c>
    </row>
    <row r="2859">
      <c r="A2859" s="6" t="n"/>
      <c r="B2859" s="6" t="n"/>
      <c r="C2859" s="6" t="n"/>
      <c r="D2859" s="11">
        <f>IF(C2859="","",IFERROR(INDEX(Levels!$A$2:$A$30,MATCH(C2859,Levels!$B$2:$B$30,0)),""))</f>
        <v/>
      </c>
      <c r="E2859" s="10">
        <f>IF(B2859="","",IFERROR(INDEX(Roster!$A$2:$A$600,MATCH(B2859,Roster!$E$2:$E$600,0)),""))</f>
        <v/>
      </c>
      <c r="F2859" s="10">
        <f>IF(C2859="","",IFERROR(INDEX(Levels!$C$2:$C$30,MATCH(C2859,Levels!$B$2:$B$30,0)),""))</f>
        <v/>
      </c>
      <c r="G2859" s="6" t="n"/>
      <c r="H2859" s="10">
        <f>IF(AND(B2859="",C2859=""),"",IF(G2859&lt;&gt;"","Void",IF(OR(B2859="",E2859=""),"Needs child",IF(D2859="","Needs level","OK"))))</f>
        <v/>
      </c>
    </row>
    <row r="2860">
      <c r="A2860" s="6" t="n"/>
      <c r="B2860" s="6" t="n"/>
      <c r="C2860" s="6" t="n"/>
      <c r="D2860" s="11">
        <f>IF(C2860="","",IFERROR(INDEX(Levels!$A$2:$A$30,MATCH(C2860,Levels!$B$2:$B$30,0)),""))</f>
        <v/>
      </c>
      <c r="E2860" s="10">
        <f>IF(B2860="","",IFERROR(INDEX(Roster!$A$2:$A$600,MATCH(B2860,Roster!$E$2:$E$600,0)),""))</f>
        <v/>
      </c>
      <c r="F2860" s="10">
        <f>IF(C2860="","",IFERROR(INDEX(Levels!$C$2:$C$30,MATCH(C2860,Levels!$B$2:$B$30,0)),""))</f>
        <v/>
      </c>
      <c r="G2860" s="6" t="n"/>
      <c r="H2860" s="10">
        <f>IF(AND(B2860="",C2860=""),"",IF(G2860&lt;&gt;"","Void",IF(OR(B2860="",E2860=""),"Needs child",IF(D2860="","Needs level","OK"))))</f>
        <v/>
      </c>
    </row>
    <row r="2861">
      <c r="A2861" s="6" t="n"/>
      <c r="B2861" s="6" t="n"/>
      <c r="C2861" s="6" t="n"/>
      <c r="D2861" s="11">
        <f>IF(C2861="","",IFERROR(INDEX(Levels!$A$2:$A$30,MATCH(C2861,Levels!$B$2:$B$30,0)),""))</f>
        <v/>
      </c>
      <c r="E2861" s="10">
        <f>IF(B2861="","",IFERROR(INDEX(Roster!$A$2:$A$600,MATCH(B2861,Roster!$E$2:$E$600,0)),""))</f>
        <v/>
      </c>
      <c r="F2861" s="10">
        <f>IF(C2861="","",IFERROR(INDEX(Levels!$C$2:$C$30,MATCH(C2861,Levels!$B$2:$B$30,0)),""))</f>
        <v/>
      </c>
      <c r="G2861" s="6" t="n"/>
      <c r="H2861" s="10">
        <f>IF(AND(B2861="",C2861=""),"",IF(G2861&lt;&gt;"","Void",IF(OR(B2861="",E2861=""),"Needs child",IF(D2861="","Needs level","OK"))))</f>
        <v/>
      </c>
    </row>
    <row r="2862">
      <c r="A2862" s="6" t="n"/>
      <c r="B2862" s="6" t="n"/>
      <c r="C2862" s="6" t="n"/>
      <c r="D2862" s="11">
        <f>IF(C2862="","",IFERROR(INDEX(Levels!$A$2:$A$30,MATCH(C2862,Levels!$B$2:$B$30,0)),""))</f>
        <v/>
      </c>
      <c r="E2862" s="10">
        <f>IF(B2862="","",IFERROR(INDEX(Roster!$A$2:$A$600,MATCH(B2862,Roster!$E$2:$E$600,0)),""))</f>
        <v/>
      </c>
      <c r="F2862" s="10">
        <f>IF(C2862="","",IFERROR(INDEX(Levels!$C$2:$C$30,MATCH(C2862,Levels!$B$2:$B$30,0)),""))</f>
        <v/>
      </c>
      <c r="G2862" s="6" t="n"/>
      <c r="H2862" s="10">
        <f>IF(AND(B2862="",C2862=""),"",IF(G2862&lt;&gt;"","Void",IF(OR(B2862="",E2862=""),"Needs child",IF(D2862="","Needs level","OK"))))</f>
        <v/>
      </c>
    </row>
    <row r="2863">
      <c r="A2863" s="6" t="n"/>
      <c r="B2863" s="6" t="n"/>
      <c r="C2863" s="6" t="n"/>
      <c r="D2863" s="11">
        <f>IF(C2863="","",IFERROR(INDEX(Levels!$A$2:$A$30,MATCH(C2863,Levels!$B$2:$B$30,0)),""))</f>
        <v/>
      </c>
      <c r="E2863" s="10">
        <f>IF(B2863="","",IFERROR(INDEX(Roster!$A$2:$A$600,MATCH(B2863,Roster!$E$2:$E$600,0)),""))</f>
        <v/>
      </c>
      <c r="F2863" s="10">
        <f>IF(C2863="","",IFERROR(INDEX(Levels!$C$2:$C$30,MATCH(C2863,Levels!$B$2:$B$30,0)),""))</f>
        <v/>
      </c>
      <c r="G2863" s="6" t="n"/>
      <c r="H2863" s="10">
        <f>IF(AND(B2863="",C2863=""),"",IF(G2863&lt;&gt;"","Void",IF(OR(B2863="",E2863=""),"Needs child",IF(D2863="","Needs level","OK"))))</f>
        <v/>
      </c>
    </row>
    <row r="2864">
      <c r="A2864" s="6" t="n"/>
      <c r="B2864" s="6" t="n"/>
      <c r="C2864" s="6" t="n"/>
      <c r="D2864" s="11">
        <f>IF(C2864="","",IFERROR(INDEX(Levels!$A$2:$A$30,MATCH(C2864,Levels!$B$2:$B$30,0)),""))</f>
        <v/>
      </c>
      <c r="E2864" s="10">
        <f>IF(B2864="","",IFERROR(INDEX(Roster!$A$2:$A$600,MATCH(B2864,Roster!$E$2:$E$600,0)),""))</f>
        <v/>
      </c>
      <c r="F2864" s="10">
        <f>IF(C2864="","",IFERROR(INDEX(Levels!$C$2:$C$30,MATCH(C2864,Levels!$B$2:$B$30,0)),""))</f>
        <v/>
      </c>
      <c r="G2864" s="6" t="n"/>
      <c r="H2864" s="10">
        <f>IF(AND(B2864="",C2864=""),"",IF(G2864&lt;&gt;"","Void",IF(OR(B2864="",E2864=""),"Needs child",IF(D2864="","Needs level","OK"))))</f>
        <v/>
      </c>
    </row>
    <row r="2865">
      <c r="A2865" s="6" t="n"/>
      <c r="B2865" s="6" t="n"/>
      <c r="C2865" s="6" t="n"/>
      <c r="D2865" s="11">
        <f>IF(C2865="","",IFERROR(INDEX(Levels!$A$2:$A$30,MATCH(C2865,Levels!$B$2:$B$30,0)),""))</f>
        <v/>
      </c>
      <c r="E2865" s="10">
        <f>IF(B2865="","",IFERROR(INDEX(Roster!$A$2:$A$600,MATCH(B2865,Roster!$E$2:$E$600,0)),""))</f>
        <v/>
      </c>
      <c r="F2865" s="10">
        <f>IF(C2865="","",IFERROR(INDEX(Levels!$C$2:$C$30,MATCH(C2865,Levels!$B$2:$B$30,0)),""))</f>
        <v/>
      </c>
      <c r="G2865" s="6" t="n"/>
      <c r="H2865" s="10">
        <f>IF(AND(B2865="",C2865=""),"",IF(G2865&lt;&gt;"","Void",IF(OR(B2865="",E2865=""),"Needs child",IF(D2865="","Needs level","OK"))))</f>
        <v/>
      </c>
    </row>
    <row r="2866">
      <c r="A2866" s="6" t="n"/>
      <c r="B2866" s="6" t="n"/>
      <c r="C2866" s="6" t="n"/>
      <c r="D2866" s="11">
        <f>IF(C2866="","",IFERROR(INDEX(Levels!$A$2:$A$30,MATCH(C2866,Levels!$B$2:$B$30,0)),""))</f>
        <v/>
      </c>
      <c r="E2866" s="10">
        <f>IF(B2866="","",IFERROR(INDEX(Roster!$A$2:$A$600,MATCH(B2866,Roster!$E$2:$E$600,0)),""))</f>
        <v/>
      </c>
      <c r="F2866" s="10">
        <f>IF(C2866="","",IFERROR(INDEX(Levels!$C$2:$C$30,MATCH(C2866,Levels!$B$2:$B$30,0)),""))</f>
        <v/>
      </c>
      <c r="G2866" s="6" t="n"/>
      <c r="H2866" s="10">
        <f>IF(AND(B2866="",C2866=""),"",IF(G2866&lt;&gt;"","Void",IF(OR(B2866="",E2866=""),"Needs child",IF(D2866="","Needs level","OK"))))</f>
        <v/>
      </c>
    </row>
    <row r="2867">
      <c r="A2867" s="6" t="n"/>
      <c r="B2867" s="6" t="n"/>
      <c r="C2867" s="6" t="n"/>
      <c r="D2867" s="11">
        <f>IF(C2867="","",IFERROR(INDEX(Levels!$A$2:$A$30,MATCH(C2867,Levels!$B$2:$B$30,0)),""))</f>
        <v/>
      </c>
      <c r="E2867" s="10">
        <f>IF(B2867="","",IFERROR(INDEX(Roster!$A$2:$A$600,MATCH(B2867,Roster!$E$2:$E$600,0)),""))</f>
        <v/>
      </c>
      <c r="F2867" s="10">
        <f>IF(C2867="","",IFERROR(INDEX(Levels!$C$2:$C$30,MATCH(C2867,Levels!$B$2:$B$30,0)),""))</f>
        <v/>
      </c>
      <c r="G2867" s="6" t="n"/>
      <c r="H2867" s="10">
        <f>IF(AND(B2867="",C2867=""),"",IF(G2867&lt;&gt;"","Void",IF(OR(B2867="",E2867=""),"Needs child",IF(D2867="","Needs level","OK"))))</f>
        <v/>
      </c>
    </row>
    <row r="2868">
      <c r="A2868" s="6" t="n"/>
      <c r="B2868" s="6" t="n"/>
      <c r="C2868" s="6" t="n"/>
      <c r="D2868" s="11">
        <f>IF(C2868="","",IFERROR(INDEX(Levels!$A$2:$A$30,MATCH(C2868,Levels!$B$2:$B$30,0)),""))</f>
        <v/>
      </c>
      <c r="E2868" s="10">
        <f>IF(B2868="","",IFERROR(INDEX(Roster!$A$2:$A$600,MATCH(B2868,Roster!$E$2:$E$600,0)),""))</f>
        <v/>
      </c>
      <c r="F2868" s="10">
        <f>IF(C2868="","",IFERROR(INDEX(Levels!$C$2:$C$30,MATCH(C2868,Levels!$B$2:$B$30,0)),""))</f>
        <v/>
      </c>
      <c r="G2868" s="6" t="n"/>
      <c r="H2868" s="10">
        <f>IF(AND(B2868="",C2868=""),"",IF(G2868&lt;&gt;"","Void",IF(OR(B2868="",E2868=""),"Needs child",IF(D2868="","Needs level","OK"))))</f>
        <v/>
      </c>
    </row>
    <row r="2869">
      <c r="A2869" s="6" t="n"/>
      <c r="B2869" s="6" t="n"/>
      <c r="C2869" s="6" t="n"/>
      <c r="D2869" s="11">
        <f>IF(C2869="","",IFERROR(INDEX(Levels!$A$2:$A$30,MATCH(C2869,Levels!$B$2:$B$30,0)),""))</f>
        <v/>
      </c>
      <c r="E2869" s="10">
        <f>IF(B2869="","",IFERROR(INDEX(Roster!$A$2:$A$600,MATCH(B2869,Roster!$E$2:$E$600,0)),""))</f>
        <v/>
      </c>
      <c r="F2869" s="10">
        <f>IF(C2869="","",IFERROR(INDEX(Levels!$C$2:$C$30,MATCH(C2869,Levels!$B$2:$B$30,0)),""))</f>
        <v/>
      </c>
      <c r="G2869" s="6" t="n"/>
      <c r="H2869" s="10">
        <f>IF(AND(B2869="",C2869=""),"",IF(G2869&lt;&gt;"","Void",IF(OR(B2869="",E2869=""),"Needs child",IF(D2869="","Needs level","OK"))))</f>
        <v/>
      </c>
    </row>
    <row r="2870">
      <c r="A2870" s="6" t="n"/>
      <c r="B2870" s="6" t="n"/>
      <c r="C2870" s="6" t="n"/>
      <c r="D2870" s="11">
        <f>IF(C2870="","",IFERROR(INDEX(Levels!$A$2:$A$30,MATCH(C2870,Levels!$B$2:$B$30,0)),""))</f>
        <v/>
      </c>
      <c r="E2870" s="10">
        <f>IF(B2870="","",IFERROR(INDEX(Roster!$A$2:$A$600,MATCH(B2870,Roster!$E$2:$E$600,0)),""))</f>
        <v/>
      </c>
      <c r="F2870" s="10">
        <f>IF(C2870="","",IFERROR(INDEX(Levels!$C$2:$C$30,MATCH(C2870,Levels!$B$2:$B$30,0)),""))</f>
        <v/>
      </c>
      <c r="G2870" s="6" t="n"/>
      <c r="H2870" s="10">
        <f>IF(AND(B2870="",C2870=""),"",IF(G2870&lt;&gt;"","Void",IF(OR(B2870="",E2870=""),"Needs child",IF(D2870="","Needs level","OK"))))</f>
        <v/>
      </c>
    </row>
    <row r="2871">
      <c r="A2871" s="6" t="n"/>
      <c r="B2871" s="6" t="n"/>
      <c r="C2871" s="6" t="n"/>
      <c r="D2871" s="11">
        <f>IF(C2871="","",IFERROR(INDEX(Levels!$A$2:$A$30,MATCH(C2871,Levels!$B$2:$B$30,0)),""))</f>
        <v/>
      </c>
      <c r="E2871" s="10">
        <f>IF(B2871="","",IFERROR(INDEX(Roster!$A$2:$A$600,MATCH(B2871,Roster!$E$2:$E$600,0)),""))</f>
        <v/>
      </c>
      <c r="F2871" s="10">
        <f>IF(C2871="","",IFERROR(INDEX(Levels!$C$2:$C$30,MATCH(C2871,Levels!$B$2:$B$30,0)),""))</f>
        <v/>
      </c>
      <c r="G2871" s="6" t="n"/>
      <c r="H2871" s="10">
        <f>IF(AND(B2871="",C2871=""),"",IF(G2871&lt;&gt;"","Void",IF(OR(B2871="",E2871=""),"Needs child",IF(D2871="","Needs level","OK"))))</f>
        <v/>
      </c>
    </row>
    <row r="2872">
      <c r="A2872" s="6" t="n"/>
      <c r="B2872" s="6" t="n"/>
      <c r="C2872" s="6" t="n"/>
      <c r="D2872" s="11">
        <f>IF(C2872="","",IFERROR(INDEX(Levels!$A$2:$A$30,MATCH(C2872,Levels!$B$2:$B$30,0)),""))</f>
        <v/>
      </c>
      <c r="E2872" s="10">
        <f>IF(B2872="","",IFERROR(INDEX(Roster!$A$2:$A$600,MATCH(B2872,Roster!$E$2:$E$600,0)),""))</f>
        <v/>
      </c>
      <c r="F2872" s="10">
        <f>IF(C2872="","",IFERROR(INDEX(Levels!$C$2:$C$30,MATCH(C2872,Levels!$B$2:$B$30,0)),""))</f>
        <v/>
      </c>
      <c r="G2872" s="6" t="n"/>
      <c r="H2872" s="10">
        <f>IF(AND(B2872="",C2872=""),"",IF(G2872&lt;&gt;"","Void",IF(OR(B2872="",E2872=""),"Needs child",IF(D2872="","Needs level","OK"))))</f>
        <v/>
      </c>
    </row>
    <row r="2873">
      <c r="A2873" s="6" t="n"/>
      <c r="B2873" s="6" t="n"/>
      <c r="C2873" s="6" t="n"/>
      <c r="D2873" s="11">
        <f>IF(C2873="","",IFERROR(INDEX(Levels!$A$2:$A$30,MATCH(C2873,Levels!$B$2:$B$30,0)),""))</f>
        <v/>
      </c>
      <c r="E2873" s="10">
        <f>IF(B2873="","",IFERROR(INDEX(Roster!$A$2:$A$600,MATCH(B2873,Roster!$E$2:$E$600,0)),""))</f>
        <v/>
      </c>
      <c r="F2873" s="10">
        <f>IF(C2873="","",IFERROR(INDEX(Levels!$C$2:$C$30,MATCH(C2873,Levels!$B$2:$B$30,0)),""))</f>
        <v/>
      </c>
      <c r="G2873" s="6" t="n"/>
      <c r="H2873" s="10">
        <f>IF(AND(B2873="",C2873=""),"",IF(G2873&lt;&gt;"","Void",IF(OR(B2873="",E2873=""),"Needs child",IF(D2873="","Needs level","OK"))))</f>
        <v/>
      </c>
    </row>
    <row r="2874">
      <c r="A2874" s="6" t="n"/>
      <c r="B2874" s="6" t="n"/>
      <c r="C2874" s="6" t="n"/>
      <c r="D2874" s="11">
        <f>IF(C2874="","",IFERROR(INDEX(Levels!$A$2:$A$30,MATCH(C2874,Levels!$B$2:$B$30,0)),""))</f>
        <v/>
      </c>
      <c r="E2874" s="10">
        <f>IF(B2874="","",IFERROR(INDEX(Roster!$A$2:$A$600,MATCH(B2874,Roster!$E$2:$E$600,0)),""))</f>
        <v/>
      </c>
      <c r="F2874" s="10">
        <f>IF(C2874="","",IFERROR(INDEX(Levels!$C$2:$C$30,MATCH(C2874,Levels!$B$2:$B$30,0)),""))</f>
        <v/>
      </c>
      <c r="G2874" s="6" t="n"/>
      <c r="H2874" s="10">
        <f>IF(AND(B2874="",C2874=""),"",IF(G2874&lt;&gt;"","Void",IF(OR(B2874="",E2874=""),"Needs child",IF(D2874="","Needs level","OK"))))</f>
        <v/>
      </c>
    </row>
    <row r="2875">
      <c r="A2875" s="6" t="n"/>
      <c r="B2875" s="6" t="n"/>
      <c r="C2875" s="6" t="n"/>
      <c r="D2875" s="11">
        <f>IF(C2875="","",IFERROR(INDEX(Levels!$A$2:$A$30,MATCH(C2875,Levels!$B$2:$B$30,0)),""))</f>
        <v/>
      </c>
      <c r="E2875" s="10">
        <f>IF(B2875="","",IFERROR(INDEX(Roster!$A$2:$A$600,MATCH(B2875,Roster!$E$2:$E$600,0)),""))</f>
        <v/>
      </c>
      <c r="F2875" s="10">
        <f>IF(C2875="","",IFERROR(INDEX(Levels!$C$2:$C$30,MATCH(C2875,Levels!$B$2:$B$30,0)),""))</f>
        <v/>
      </c>
      <c r="G2875" s="6" t="n"/>
      <c r="H2875" s="10">
        <f>IF(AND(B2875="",C2875=""),"",IF(G2875&lt;&gt;"","Void",IF(OR(B2875="",E2875=""),"Needs child",IF(D2875="","Needs level","OK"))))</f>
        <v/>
      </c>
    </row>
    <row r="2876">
      <c r="A2876" s="6" t="n"/>
      <c r="B2876" s="6" t="n"/>
      <c r="C2876" s="6" t="n"/>
      <c r="D2876" s="11">
        <f>IF(C2876="","",IFERROR(INDEX(Levels!$A$2:$A$30,MATCH(C2876,Levels!$B$2:$B$30,0)),""))</f>
        <v/>
      </c>
      <c r="E2876" s="10">
        <f>IF(B2876="","",IFERROR(INDEX(Roster!$A$2:$A$600,MATCH(B2876,Roster!$E$2:$E$600,0)),""))</f>
        <v/>
      </c>
      <c r="F2876" s="10">
        <f>IF(C2876="","",IFERROR(INDEX(Levels!$C$2:$C$30,MATCH(C2876,Levels!$B$2:$B$30,0)),""))</f>
        <v/>
      </c>
      <c r="G2876" s="6" t="n"/>
      <c r="H2876" s="10">
        <f>IF(AND(B2876="",C2876=""),"",IF(G2876&lt;&gt;"","Void",IF(OR(B2876="",E2876=""),"Needs child",IF(D2876="","Needs level","OK"))))</f>
        <v/>
      </c>
    </row>
    <row r="2877">
      <c r="A2877" s="6" t="n"/>
      <c r="B2877" s="6" t="n"/>
      <c r="C2877" s="6" t="n"/>
      <c r="D2877" s="11">
        <f>IF(C2877="","",IFERROR(INDEX(Levels!$A$2:$A$30,MATCH(C2877,Levels!$B$2:$B$30,0)),""))</f>
        <v/>
      </c>
      <c r="E2877" s="10">
        <f>IF(B2877="","",IFERROR(INDEX(Roster!$A$2:$A$600,MATCH(B2877,Roster!$E$2:$E$600,0)),""))</f>
        <v/>
      </c>
      <c r="F2877" s="10">
        <f>IF(C2877="","",IFERROR(INDEX(Levels!$C$2:$C$30,MATCH(C2877,Levels!$B$2:$B$30,0)),""))</f>
        <v/>
      </c>
      <c r="G2877" s="6" t="n"/>
      <c r="H2877" s="10">
        <f>IF(AND(B2877="",C2877=""),"",IF(G2877&lt;&gt;"","Void",IF(OR(B2877="",E2877=""),"Needs child",IF(D2877="","Needs level","OK"))))</f>
        <v/>
      </c>
    </row>
    <row r="2878">
      <c r="A2878" s="6" t="n"/>
      <c r="B2878" s="6" t="n"/>
      <c r="C2878" s="6" t="n"/>
      <c r="D2878" s="11">
        <f>IF(C2878="","",IFERROR(INDEX(Levels!$A$2:$A$30,MATCH(C2878,Levels!$B$2:$B$30,0)),""))</f>
        <v/>
      </c>
      <c r="E2878" s="10">
        <f>IF(B2878="","",IFERROR(INDEX(Roster!$A$2:$A$600,MATCH(B2878,Roster!$E$2:$E$600,0)),""))</f>
        <v/>
      </c>
      <c r="F2878" s="10">
        <f>IF(C2878="","",IFERROR(INDEX(Levels!$C$2:$C$30,MATCH(C2878,Levels!$B$2:$B$30,0)),""))</f>
        <v/>
      </c>
      <c r="G2878" s="6" t="n"/>
      <c r="H2878" s="10">
        <f>IF(AND(B2878="",C2878=""),"",IF(G2878&lt;&gt;"","Void",IF(OR(B2878="",E2878=""),"Needs child",IF(D2878="","Needs level","OK"))))</f>
        <v/>
      </c>
    </row>
    <row r="2879">
      <c r="A2879" s="6" t="n"/>
      <c r="B2879" s="6" t="n"/>
      <c r="C2879" s="6" t="n"/>
      <c r="D2879" s="11">
        <f>IF(C2879="","",IFERROR(INDEX(Levels!$A$2:$A$30,MATCH(C2879,Levels!$B$2:$B$30,0)),""))</f>
        <v/>
      </c>
      <c r="E2879" s="10">
        <f>IF(B2879="","",IFERROR(INDEX(Roster!$A$2:$A$600,MATCH(B2879,Roster!$E$2:$E$600,0)),""))</f>
        <v/>
      </c>
      <c r="F2879" s="10">
        <f>IF(C2879="","",IFERROR(INDEX(Levels!$C$2:$C$30,MATCH(C2879,Levels!$B$2:$B$30,0)),""))</f>
        <v/>
      </c>
      <c r="G2879" s="6" t="n"/>
      <c r="H2879" s="10">
        <f>IF(AND(B2879="",C2879=""),"",IF(G2879&lt;&gt;"","Void",IF(OR(B2879="",E2879=""),"Needs child",IF(D2879="","Needs level","OK"))))</f>
        <v/>
      </c>
    </row>
    <row r="2880">
      <c r="A2880" s="6" t="n"/>
      <c r="B2880" s="6" t="n"/>
      <c r="C2880" s="6" t="n"/>
      <c r="D2880" s="11">
        <f>IF(C2880="","",IFERROR(INDEX(Levels!$A$2:$A$30,MATCH(C2880,Levels!$B$2:$B$30,0)),""))</f>
        <v/>
      </c>
      <c r="E2880" s="10">
        <f>IF(B2880="","",IFERROR(INDEX(Roster!$A$2:$A$600,MATCH(B2880,Roster!$E$2:$E$600,0)),""))</f>
        <v/>
      </c>
      <c r="F2880" s="10">
        <f>IF(C2880="","",IFERROR(INDEX(Levels!$C$2:$C$30,MATCH(C2880,Levels!$B$2:$B$30,0)),""))</f>
        <v/>
      </c>
      <c r="G2880" s="6" t="n"/>
      <c r="H2880" s="10">
        <f>IF(AND(B2880="",C2880=""),"",IF(G2880&lt;&gt;"","Void",IF(OR(B2880="",E2880=""),"Needs child",IF(D2880="","Needs level","OK"))))</f>
        <v/>
      </c>
    </row>
    <row r="2881">
      <c r="A2881" s="6" t="n"/>
      <c r="B2881" s="6" t="n"/>
      <c r="C2881" s="6" t="n"/>
      <c r="D2881" s="11">
        <f>IF(C2881="","",IFERROR(INDEX(Levels!$A$2:$A$30,MATCH(C2881,Levels!$B$2:$B$30,0)),""))</f>
        <v/>
      </c>
      <c r="E2881" s="10">
        <f>IF(B2881="","",IFERROR(INDEX(Roster!$A$2:$A$600,MATCH(B2881,Roster!$E$2:$E$600,0)),""))</f>
        <v/>
      </c>
      <c r="F2881" s="10">
        <f>IF(C2881="","",IFERROR(INDEX(Levels!$C$2:$C$30,MATCH(C2881,Levels!$B$2:$B$30,0)),""))</f>
        <v/>
      </c>
      <c r="G2881" s="6" t="n"/>
      <c r="H2881" s="10">
        <f>IF(AND(B2881="",C2881=""),"",IF(G2881&lt;&gt;"","Void",IF(OR(B2881="",E2881=""),"Needs child",IF(D2881="","Needs level","OK"))))</f>
        <v/>
      </c>
    </row>
    <row r="2882">
      <c r="A2882" s="6" t="n"/>
      <c r="B2882" s="6" t="n"/>
      <c r="C2882" s="6" t="n"/>
      <c r="D2882" s="11">
        <f>IF(C2882="","",IFERROR(INDEX(Levels!$A$2:$A$30,MATCH(C2882,Levels!$B$2:$B$30,0)),""))</f>
        <v/>
      </c>
      <c r="E2882" s="10">
        <f>IF(B2882="","",IFERROR(INDEX(Roster!$A$2:$A$600,MATCH(B2882,Roster!$E$2:$E$600,0)),""))</f>
        <v/>
      </c>
      <c r="F2882" s="10">
        <f>IF(C2882="","",IFERROR(INDEX(Levels!$C$2:$C$30,MATCH(C2882,Levels!$B$2:$B$30,0)),""))</f>
        <v/>
      </c>
      <c r="G2882" s="6" t="n"/>
      <c r="H2882" s="10">
        <f>IF(AND(B2882="",C2882=""),"",IF(G2882&lt;&gt;"","Void",IF(OR(B2882="",E2882=""),"Needs child",IF(D2882="","Needs level","OK"))))</f>
        <v/>
      </c>
    </row>
    <row r="2883">
      <c r="A2883" s="6" t="n"/>
      <c r="B2883" s="6" t="n"/>
      <c r="C2883" s="6" t="n"/>
      <c r="D2883" s="11">
        <f>IF(C2883="","",IFERROR(INDEX(Levels!$A$2:$A$30,MATCH(C2883,Levels!$B$2:$B$30,0)),""))</f>
        <v/>
      </c>
      <c r="E2883" s="10">
        <f>IF(B2883="","",IFERROR(INDEX(Roster!$A$2:$A$600,MATCH(B2883,Roster!$E$2:$E$600,0)),""))</f>
        <v/>
      </c>
      <c r="F2883" s="10">
        <f>IF(C2883="","",IFERROR(INDEX(Levels!$C$2:$C$30,MATCH(C2883,Levels!$B$2:$B$30,0)),""))</f>
        <v/>
      </c>
      <c r="G2883" s="6" t="n"/>
      <c r="H2883" s="10">
        <f>IF(AND(B2883="",C2883=""),"",IF(G2883&lt;&gt;"","Void",IF(OR(B2883="",E2883=""),"Needs child",IF(D2883="","Needs level","OK"))))</f>
        <v/>
      </c>
    </row>
    <row r="2884">
      <c r="A2884" s="6" t="n"/>
      <c r="B2884" s="6" t="n"/>
      <c r="C2884" s="6" t="n"/>
      <c r="D2884" s="11">
        <f>IF(C2884="","",IFERROR(INDEX(Levels!$A$2:$A$30,MATCH(C2884,Levels!$B$2:$B$30,0)),""))</f>
        <v/>
      </c>
      <c r="E2884" s="10">
        <f>IF(B2884="","",IFERROR(INDEX(Roster!$A$2:$A$600,MATCH(B2884,Roster!$E$2:$E$600,0)),""))</f>
        <v/>
      </c>
      <c r="F2884" s="10">
        <f>IF(C2884="","",IFERROR(INDEX(Levels!$C$2:$C$30,MATCH(C2884,Levels!$B$2:$B$30,0)),""))</f>
        <v/>
      </c>
      <c r="G2884" s="6" t="n"/>
      <c r="H2884" s="10">
        <f>IF(AND(B2884="",C2884=""),"",IF(G2884&lt;&gt;"","Void",IF(OR(B2884="",E2884=""),"Needs child",IF(D2884="","Needs level","OK"))))</f>
        <v/>
      </c>
    </row>
    <row r="2885">
      <c r="A2885" s="6" t="n"/>
      <c r="B2885" s="6" t="n"/>
      <c r="C2885" s="6" t="n"/>
      <c r="D2885" s="11">
        <f>IF(C2885="","",IFERROR(INDEX(Levels!$A$2:$A$30,MATCH(C2885,Levels!$B$2:$B$30,0)),""))</f>
        <v/>
      </c>
      <c r="E2885" s="10">
        <f>IF(B2885="","",IFERROR(INDEX(Roster!$A$2:$A$600,MATCH(B2885,Roster!$E$2:$E$600,0)),""))</f>
        <v/>
      </c>
      <c r="F2885" s="10">
        <f>IF(C2885="","",IFERROR(INDEX(Levels!$C$2:$C$30,MATCH(C2885,Levels!$B$2:$B$30,0)),""))</f>
        <v/>
      </c>
      <c r="G2885" s="6" t="n"/>
      <c r="H2885" s="10">
        <f>IF(AND(B2885="",C2885=""),"",IF(G2885&lt;&gt;"","Void",IF(OR(B2885="",E2885=""),"Needs child",IF(D2885="","Needs level","OK"))))</f>
        <v/>
      </c>
    </row>
    <row r="2886">
      <c r="A2886" s="6" t="n"/>
      <c r="B2886" s="6" t="n"/>
      <c r="C2886" s="6" t="n"/>
      <c r="D2886" s="11">
        <f>IF(C2886="","",IFERROR(INDEX(Levels!$A$2:$A$30,MATCH(C2886,Levels!$B$2:$B$30,0)),""))</f>
        <v/>
      </c>
      <c r="E2886" s="10">
        <f>IF(B2886="","",IFERROR(INDEX(Roster!$A$2:$A$600,MATCH(B2886,Roster!$E$2:$E$600,0)),""))</f>
        <v/>
      </c>
      <c r="F2886" s="10">
        <f>IF(C2886="","",IFERROR(INDEX(Levels!$C$2:$C$30,MATCH(C2886,Levels!$B$2:$B$30,0)),""))</f>
        <v/>
      </c>
      <c r="G2886" s="6" t="n"/>
      <c r="H2886" s="10">
        <f>IF(AND(B2886="",C2886=""),"",IF(G2886&lt;&gt;"","Void",IF(OR(B2886="",E2886=""),"Needs child",IF(D2886="","Needs level","OK"))))</f>
        <v/>
      </c>
    </row>
    <row r="2887">
      <c r="A2887" s="6" t="n"/>
      <c r="B2887" s="6" t="n"/>
      <c r="C2887" s="6" t="n"/>
      <c r="D2887" s="11">
        <f>IF(C2887="","",IFERROR(INDEX(Levels!$A$2:$A$30,MATCH(C2887,Levels!$B$2:$B$30,0)),""))</f>
        <v/>
      </c>
      <c r="E2887" s="10">
        <f>IF(B2887="","",IFERROR(INDEX(Roster!$A$2:$A$600,MATCH(B2887,Roster!$E$2:$E$600,0)),""))</f>
        <v/>
      </c>
      <c r="F2887" s="10">
        <f>IF(C2887="","",IFERROR(INDEX(Levels!$C$2:$C$30,MATCH(C2887,Levels!$B$2:$B$30,0)),""))</f>
        <v/>
      </c>
      <c r="G2887" s="6" t="n"/>
      <c r="H2887" s="10">
        <f>IF(AND(B2887="",C2887=""),"",IF(G2887&lt;&gt;"","Void",IF(OR(B2887="",E2887=""),"Needs child",IF(D2887="","Needs level","OK"))))</f>
        <v/>
      </c>
    </row>
    <row r="2888">
      <c r="A2888" s="6" t="n"/>
      <c r="B2888" s="6" t="n"/>
      <c r="C2888" s="6" t="n"/>
      <c r="D2888" s="11">
        <f>IF(C2888="","",IFERROR(INDEX(Levels!$A$2:$A$30,MATCH(C2888,Levels!$B$2:$B$30,0)),""))</f>
        <v/>
      </c>
      <c r="E2888" s="10">
        <f>IF(B2888="","",IFERROR(INDEX(Roster!$A$2:$A$600,MATCH(B2888,Roster!$E$2:$E$600,0)),""))</f>
        <v/>
      </c>
      <c r="F2888" s="10">
        <f>IF(C2888="","",IFERROR(INDEX(Levels!$C$2:$C$30,MATCH(C2888,Levels!$B$2:$B$30,0)),""))</f>
        <v/>
      </c>
      <c r="G2888" s="6" t="n"/>
      <c r="H2888" s="10">
        <f>IF(AND(B2888="",C2888=""),"",IF(G2888&lt;&gt;"","Void",IF(OR(B2888="",E2888=""),"Needs child",IF(D2888="","Needs level","OK"))))</f>
        <v/>
      </c>
    </row>
    <row r="2889">
      <c r="A2889" s="6" t="n"/>
      <c r="B2889" s="6" t="n"/>
      <c r="C2889" s="6" t="n"/>
      <c r="D2889" s="11">
        <f>IF(C2889="","",IFERROR(INDEX(Levels!$A$2:$A$30,MATCH(C2889,Levels!$B$2:$B$30,0)),""))</f>
        <v/>
      </c>
      <c r="E2889" s="10">
        <f>IF(B2889="","",IFERROR(INDEX(Roster!$A$2:$A$600,MATCH(B2889,Roster!$E$2:$E$600,0)),""))</f>
        <v/>
      </c>
      <c r="F2889" s="10">
        <f>IF(C2889="","",IFERROR(INDEX(Levels!$C$2:$C$30,MATCH(C2889,Levels!$B$2:$B$30,0)),""))</f>
        <v/>
      </c>
      <c r="G2889" s="6" t="n"/>
      <c r="H2889" s="10">
        <f>IF(AND(B2889="",C2889=""),"",IF(G2889&lt;&gt;"","Void",IF(OR(B2889="",E2889=""),"Needs child",IF(D2889="","Needs level","OK"))))</f>
        <v/>
      </c>
    </row>
    <row r="2890">
      <c r="A2890" s="6" t="n"/>
      <c r="B2890" s="6" t="n"/>
      <c r="C2890" s="6" t="n"/>
      <c r="D2890" s="11">
        <f>IF(C2890="","",IFERROR(INDEX(Levels!$A$2:$A$30,MATCH(C2890,Levels!$B$2:$B$30,0)),""))</f>
        <v/>
      </c>
      <c r="E2890" s="10">
        <f>IF(B2890="","",IFERROR(INDEX(Roster!$A$2:$A$600,MATCH(B2890,Roster!$E$2:$E$600,0)),""))</f>
        <v/>
      </c>
      <c r="F2890" s="10">
        <f>IF(C2890="","",IFERROR(INDEX(Levels!$C$2:$C$30,MATCH(C2890,Levels!$B$2:$B$30,0)),""))</f>
        <v/>
      </c>
      <c r="G2890" s="6" t="n"/>
      <c r="H2890" s="10">
        <f>IF(AND(B2890="",C2890=""),"",IF(G2890&lt;&gt;"","Void",IF(OR(B2890="",E2890=""),"Needs child",IF(D2890="","Needs level","OK"))))</f>
        <v/>
      </c>
    </row>
    <row r="2891">
      <c r="A2891" s="6" t="n"/>
      <c r="B2891" s="6" t="n"/>
      <c r="C2891" s="6" t="n"/>
      <c r="D2891" s="11">
        <f>IF(C2891="","",IFERROR(INDEX(Levels!$A$2:$A$30,MATCH(C2891,Levels!$B$2:$B$30,0)),""))</f>
        <v/>
      </c>
      <c r="E2891" s="10">
        <f>IF(B2891="","",IFERROR(INDEX(Roster!$A$2:$A$600,MATCH(B2891,Roster!$E$2:$E$600,0)),""))</f>
        <v/>
      </c>
      <c r="F2891" s="10">
        <f>IF(C2891="","",IFERROR(INDEX(Levels!$C$2:$C$30,MATCH(C2891,Levels!$B$2:$B$30,0)),""))</f>
        <v/>
      </c>
      <c r="G2891" s="6" t="n"/>
      <c r="H2891" s="10">
        <f>IF(AND(B2891="",C2891=""),"",IF(G2891&lt;&gt;"","Void",IF(OR(B2891="",E2891=""),"Needs child",IF(D2891="","Needs level","OK"))))</f>
        <v/>
      </c>
    </row>
    <row r="2892">
      <c r="A2892" s="6" t="n"/>
      <c r="B2892" s="6" t="n"/>
      <c r="C2892" s="6" t="n"/>
      <c r="D2892" s="11">
        <f>IF(C2892="","",IFERROR(INDEX(Levels!$A$2:$A$30,MATCH(C2892,Levels!$B$2:$B$30,0)),""))</f>
        <v/>
      </c>
      <c r="E2892" s="10">
        <f>IF(B2892="","",IFERROR(INDEX(Roster!$A$2:$A$600,MATCH(B2892,Roster!$E$2:$E$600,0)),""))</f>
        <v/>
      </c>
      <c r="F2892" s="10">
        <f>IF(C2892="","",IFERROR(INDEX(Levels!$C$2:$C$30,MATCH(C2892,Levels!$B$2:$B$30,0)),""))</f>
        <v/>
      </c>
      <c r="G2892" s="6" t="n"/>
      <c r="H2892" s="10">
        <f>IF(AND(B2892="",C2892=""),"",IF(G2892&lt;&gt;"","Void",IF(OR(B2892="",E2892=""),"Needs child",IF(D2892="","Needs level","OK"))))</f>
        <v/>
      </c>
    </row>
    <row r="2893">
      <c r="A2893" s="6" t="n"/>
      <c r="B2893" s="6" t="n"/>
      <c r="C2893" s="6" t="n"/>
      <c r="D2893" s="11">
        <f>IF(C2893="","",IFERROR(INDEX(Levels!$A$2:$A$30,MATCH(C2893,Levels!$B$2:$B$30,0)),""))</f>
        <v/>
      </c>
      <c r="E2893" s="10">
        <f>IF(B2893="","",IFERROR(INDEX(Roster!$A$2:$A$600,MATCH(B2893,Roster!$E$2:$E$600,0)),""))</f>
        <v/>
      </c>
      <c r="F2893" s="10">
        <f>IF(C2893="","",IFERROR(INDEX(Levels!$C$2:$C$30,MATCH(C2893,Levels!$B$2:$B$30,0)),""))</f>
        <v/>
      </c>
      <c r="G2893" s="6" t="n"/>
      <c r="H2893" s="10">
        <f>IF(AND(B2893="",C2893=""),"",IF(G2893&lt;&gt;"","Void",IF(OR(B2893="",E2893=""),"Needs child",IF(D2893="","Needs level","OK"))))</f>
        <v/>
      </c>
    </row>
    <row r="2894">
      <c r="A2894" s="6" t="n"/>
      <c r="B2894" s="6" t="n"/>
      <c r="C2894" s="6" t="n"/>
      <c r="D2894" s="11">
        <f>IF(C2894="","",IFERROR(INDEX(Levels!$A$2:$A$30,MATCH(C2894,Levels!$B$2:$B$30,0)),""))</f>
        <v/>
      </c>
      <c r="E2894" s="10">
        <f>IF(B2894="","",IFERROR(INDEX(Roster!$A$2:$A$600,MATCH(B2894,Roster!$E$2:$E$600,0)),""))</f>
        <v/>
      </c>
      <c r="F2894" s="10">
        <f>IF(C2894="","",IFERROR(INDEX(Levels!$C$2:$C$30,MATCH(C2894,Levels!$B$2:$B$30,0)),""))</f>
        <v/>
      </c>
      <c r="G2894" s="6" t="n"/>
      <c r="H2894" s="10">
        <f>IF(AND(B2894="",C2894=""),"",IF(G2894&lt;&gt;"","Void",IF(OR(B2894="",E2894=""),"Needs child",IF(D2894="","Needs level","OK"))))</f>
        <v/>
      </c>
    </row>
    <row r="2895">
      <c r="A2895" s="6" t="n"/>
      <c r="B2895" s="6" t="n"/>
      <c r="C2895" s="6" t="n"/>
      <c r="D2895" s="11">
        <f>IF(C2895="","",IFERROR(INDEX(Levels!$A$2:$A$30,MATCH(C2895,Levels!$B$2:$B$30,0)),""))</f>
        <v/>
      </c>
      <c r="E2895" s="10">
        <f>IF(B2895="","",IFERROR(INDEX(Roster!$A$2:$A$600,MATCH(B2895,Roster!$E$2:$E$600,0)),""))</f>
        <v/>
      </c>
      <c r="F2895" s="10">
        <f>IF(C2895="","",IFERROR(INDEX(Levels!$C$2:$C$30,MATCH(C2895,Levels!$B$2:$B$30,0)),""))</f>
        <v/>
      </c>
      <c r="G2895" s="6" t="n"/>
      <c r="H2895" s="10">
        <f>IF(AND(B2895="",C2895=""),"",IF(G2895&lt;&gt;"","Void",IF(OR(B2895="",E2895=""),"Needs child",IF(D2895="","Needs level","OK"))))</f>
        <v/>
      </c>
    </row>
    <row r="2896">
      <c r="A2896" s="6" t="n"/>
      <c r="B2896" s="6" t="n"/>
      <c r="C2896" s="6" t="n"/>
      <c r="D2896" s="11">
        <f>IF(C2896="","",IFERROR(INDEX(Levels!$A$2:$A$30,MATCH(C2896,Levels!$B$2:$B$30,0)),""))</f>
        <v/>
      </c>
      <c r="E2896" s="10">
        <f>IF(B2896="","",IFERROR(INDEX(Roster!$A$2:$A$600,MATCH(B2896,Roster!$E$2:$E$600,0)),""))</f>
        <v/>
      </c>
      <c r="F2896" s="10">
        <f>IF(C2896="","",IFERROR(INDEX(Levels!$C$2:$C$30,MATCH(C2896,Levels!$B$2:$B$30,0)),""))</f>
        <v/>
      </c>
      <c r="G2896" s="6" t="n"/>
      <c r="H2896" s="10">
        <f>IF(AND(B2896="",C2896=""),"",IF(G2896&lt;&gt;"","Void",IF(OR(B2896="",E2896=""),"Needs child",IF(D2896="","Needs level","OK"))))</f>
        <v/>
      </c>
    </row>
    <row r="2897">
      <c r="A2897" s="6" t="n"/>
      <c r="B2897" s="6" t="n"/>
      <c r="C2897" s="6" t="n"/>
      <c r="D2897" s="11">
        <f>IF(C2897="","",IFERROR(INDEX(Levels!$A$2:$A$30,MATCH(C2897,Levels!$B$2:$B$30,0)),""))</f>
        <v/>
      </c>
      <c r="E2897" s="10">
        <f>IF(B2897="","",IFERROR(INDEX(Roster!$A$2:$A$600,MATCH(B2897,Roster!$E$2:$E$600,0)),""))</f>
        <v/>
      </c>
      <c r="F2897" s="10">
        <f>IF(C2897="","",IFERROR(INDEX(Levels!$C$2:$C$30,MATCH(C2897,Levels!$B$2:$B$30,0)),""))</f>
        <v/>
      </c>
      <c r="G2897" s="6" t="n"/>
      <c r="H2897" s="10">
        <f>IF(AND(B2897="",C2897=""),"",IF(G2897&lt;&gt;"","Void",IF(OR(B2897="",E2897=""),"Needs child",IF(D2897="","Needs level","OK"))))</f>
        <v/>
      </c>
    </row>
    <row r="2898">
      <c r="A2898" s="6" t="n"/>
      <c r="B2898" s="6" t="n"/>
      <c r="C2898" s="6" t="n"/>
      <c r="D2898" s="11">
        <f>IF(C2898="","",IFERROR(INDEX(Levels!$A$2:$A$30,MATCH(C2898,Levels!$B$2:$B$30,0)),""))</f>
        <v/>
      </c>
      <c r="E2898" s="10">
        <f>IF(B2898="","",IFERROR(INDEX(Roster!$A$2:$A$600,MATCH(B2898,Roster!$E$2:$E$600,0)),""))</f>
        <v/>
      </c>
      <c r="F2898" s="10">
        <f>IF(C2898="","",IFERROR(INDEX(Levels!$C$2:$C$30,MATCH(C2898,Levels!$B$2:$B$30,0)),""))</f>
        <v/>
      </c>
      <c r="G2898" s="6" t="n"/>
      <c r="H2898" s="10">
        <f>IF(AND(B2898="",C2898=""),"",IF(G2898&lt;&gt;"","Void",IF(OR(B2898="",E2898=""),"Needs child",IF(D2898="","Needs level","OK"))))</f>
        <v/>
      </c>
    </row>
    <row r="2899">
      <c r="A2899" s="6" t="n"/>
      <c r="B2899" s="6" t="n"/>
      <c r="C2899" s="6" t="n"/>
      <c r="D2899" s="11">
        <f>IF(C2899="","",IFERROR(INDEX(Levels!$A$2:$A$30,MATCH(C2899,Levels!$B$2:$B$30,0)),""))</f>
        <v/>
      </c>
      <c r="E2899" s="10">
        <f>IF(B2899="","",IFERROR(INDEX(Roster!$A$2:$A$600,MATCH(B2899,Roster!$E$2:$E$600,0)),""))</f>
        <v/>
      </c>
      <c r="F2899" s="10">
        <f>IF(C2899="","",IFERROR(INDEX(Levels!$C$2:$C$30,MATCH(C2899,Levels!$B$2:$B$30,0)),""))</f>
        <v/>
      </c>
      <c r="G2899" s="6" t="n"/>
      <c r="H2899" s="10">
        <f>IF(AND(B2899="",C2899=""),"",IF(G2899&lt;&gt;"","Void",IF(OR(B2899="",E2899=""),"Needs child",IF(D2899="","Needs level","OK"))))</f>
        <v/>
      </c>
    </row>
    <row r="2900">
      <c r="A2900" s="6" t="n"/>
      <c r="B2900" s="6" t="n"/>
      <c r="C2900" s="6" t="n"/>
      <c r="D2900" s="11">
        <f>IF(C2900="","",IFERROR(INDEX(Levels!$A$2:$A$30,MATCH(C2900,Levels!$B$2:$B$30,0)),""))</f>
        <v/>
      </c>
      <c r="E2900" s="10">
        <f>IF(B2900="","",IFERROR(INDEX(Roster!$A$2:$A$600,MATCH(B2900,Roster!$E$2:$E$600,0)),""))</f>
        <v/>
      </c>
      <c r="F2900" s="10">
        <f>IF(C2900="","",IFERROR(INDEX(Levels!$C$2:$C$30,MATCH(C2900,Levels!$B$2:$B$30,0)),""))</f>
        <v/>
      </c>
      <c r="G2900" s="6" t="n"/>
      <c r="H2900" s="10">
        <f>IF(AND(B2900="",C2900=""),"",IF(G2900&lt;&gt;"","Void",IF(OR(B2900="",E2900=""),"Needs child",IF(D2900="","Needs level","OK"))))</f>
        <v/>
      </c>
    </row>
    <row r="2901">
      <c r="A2901" s="6" t="n"/>
      <c r="B2901" s="6" t="n"/>
      <c r="C2901" s="6" t="n"/>
      <c r="D2901" s="11">
        <f>IF(C2901="","",IFERROR(INDEX(Levels!$A$2:$A$30,MATCH(C2901,Levels!$B$2:$B$30,0)),""))</f>
        <v/>
      </c>
      <c r="E2901" s="10">
        <f>IF(B2901="","",IFERROR(INDEX(Roster!$A$2:$A$600,MATCH(B2901,Roster!$E$2:$E$600,0)),""))</f>
        <v/>
      </c>
      <c r="F2901" s="10">
        <f>IF(C2901="","",IFERROR(INDEX(Levels!$C$2:$C$30,MATCH(C2901,Levels!$B$2:$B$30,0)),""))</f>
        <v/>
      </c>
      <c r="G2901" s="6" t="n"/>
      <c r="H2901" s="10">
        <f>IF(AND(B2901="",C2901=""),"",IF(G2901&lt;&gt;"","Void",IF(OR(B2901="",E2901=""),"Needs child",IF(D2901="","Needs level","OK"))))</f>
        <v/>
      </c>
    </row>
    <row r="2902">
      <c r="A2902" s="6" t="n"/>
      <c r="B2902" s="6" t="n"/>
      <c r="C2902" s="6" t="n"/>
      <c r="D2902" s="11">
        <f>IF(C2902="","",IFERROR(INDEX(Levels!$A$2:$A$30,MATCH(C2902,Levels!$B$2:$B$30,0)),""))</f>
        <v/>
      </c>
      <c r="E2902" s="10">
        <f>IF(B2902="","",IFERROR(INDEX(Roster!$A$2:$A$600,MATCH(B2902,Roster!$E$2:$E$600,0)),""))</f>
        <v/>
      </c>
      <c r="F2902" s="10">
        <f>IF(C2902="","",IFERROR(INDEX(Levels!$C$2:$C$30,MATCH(C2902,Levels!$B$2:$B$30,0)),""))</f>
        <v/>
      </c>
      <c r="G2902" s="6" t="n"/>
      <c r="H2902" s="10">
        <f>IF(AND(B2902="",C2902=""),"",IF(G2902&lt;&gt;"","Void",IF(OR(B2902="",E2902=""),"Needs child",IF(D2902="","Needs level","OK"))))</f>
        <v/>
      </c>
    </row>
    <row r="2903">
      <c r="A2903" s="6" t="n"/>
      <c r="B2903" s="6" t="n"/>
      <c r="C2903" s="6" t="n"/>
      <c r="D2903" s="11">
        <f>IF(C2903="","",IFERROR(INDEX(Levels!$A$2:$A$30,MATCH(C2903,Levels!$B$2:$B$30,0)),""))</f>
        <v/>
      </c>
      <c r="E2903" s="10">
        <f>IF(B2903="","",IFERROR(INDEX(Roster!$A$2:$A$600,MATCH(B2903,Roster!$E$2:$E$600,0)),""))</f>
        <v/>
      </c>
      <c r="F2903" s="10">
        <f>IF(C2903="","",IFERROR(INDEX(Levels!$C$2:$C$30,MATCH(C2903,Levels!$B$2:$B$30,0)),""))</f>
        <v/>
      </c>
      <c r="G2903" s="6" t="n"/>
      <c r="H2903" s="10">
        <f>IF(AND(B2903="",C2903=""),"",IF(G2903&lt;&gt;"","Void",IF(OR(B2903="",E2903=""),"Needs child",IF(D2903="","Needs level","OK"))))</f>
        <v/>
      </c>
    </row>
    <row r="2904">
      <c r="A2904" s="6" t="n"/>
      <c r="B2904" s="6" t="n"/>
      <c r="C2904" s="6" t="n"/>
      <c r="D2904" s="11">
        <f>IF(C2904="","",IFERROR(INDEX(Levels!$A$2:$A$30,MATCH(C2904,Levels!$B$2:$B$30,0)),""))</f>
        <v/>
      </c>
      <c r="E2904" s="10">
        <f>IF(B2904="","",IFERROR(INDEX(Roster!$A$2:$A$600,MATCH(B2904,Roster!$E$2:$E$600,0)),""))</f>
        <v/>
      </c>
      <c r="F2904" s="10">
        <f>IF(C2904="","",IFERROR(INDEX(Levels!$C$2:$C$30,MATCH(C2904,Levels!$B$2:$B$30,0)),""))</f>
        <v/>
      </c>
      <c r="G2904" s="6" t="n"/>
      <c r="H2904" s="10">
        <f>IF(AND(B2904="",C2904=""),"",IF(G2904&lt;&gt;"","Void",IF(OR(B2904="",E2904=""),"Needs child",IF(D2904="","Needs level","OK"))))</f>
        <v/>
      </c>
    </row>
    <row r="2905">
      <c r="A2905" s="6" t="n"/>
      <c r="B2905" s="6" t="n"/>
      <c r="C2905" s="6" t="n"/>
      <c r="D2905" s="11">
        <f>IF(C2905="","",IFERROR(INDEX(Levels!$A$2:$A$30,MATCH(C2905,Levels!$B$2:$B$30,0)),""))</f>
        <v/>
      </c>
      <c r="E2905" s="10">
        <f>IF(B2905="","",IFERROR(INDEX(Roster!$A$2:$A$600,MATCH(B2905,Roster!$E$2:$E$600,0)),""))</f>
        <v/>
      </c>
      <c r="F2905" s="10">
        <f>IF(C2905="","",IFERROR(INDEX(Levels!$C$2:$C$30,MATCH(C2905,Levels!$B$2:$B$30,0)),""))</f>
        <v/>
      </c>
      <c r="G2905" s="6" t="n"/>
      <c r="H2905" s="10">
        <f>IF(AND(B2905="",C2905=""),"",IF(G2905&lt;&gt;"","Void",IF(OR(B2905="",E2905=""),"Needs child",IF(D2905="","Needs level","OK"))))</f>
        <v/>
      </c>
    </row>
    <row r="2906">
      <c r="A2906" s="6" t="n"/>
      <c r="B2906" s="6" t="n"/>
      <c r="C2906" s="6" t="n"/>
      <c r="D2906" s="11">
        <f>IF(C2906="","",IFERROR(INDEX(Levels!$A$2:$A$30,MATCH(C2906,Levels!$B$2:$B$30,0)),""))</f>
        <v/>
      </c>
      <c r="E2906" s="10">
        <f>IF(B2906="","",IFERROR(INDEX(Roster!$A$2:$A$600,MATCH(B2906,Roster!$E$2:$E$600,0)),""))</f>
        <v/>
      </c>
      <c r="F2906" s="10">
        <f>IF(C2906="","",IFERROR(INDEX(Levels!$C$2:$C$30,MATCH(C2906,Levels!$B$2:$B$30,0)),""))</f>
        <v/>
      </c>
      <c r="G2906" s="6" t="n"/>
      <c r="H2906" s="10">
        <f>IF(AND(B2906="",C2906=""),"",IF(G2906&lt;&gt;"","Void",IF(OR(B2906="",E2906=""),"Needs child",IF(D2906="","Needs level","OK"))))</f>
        <v/>
      </c>
    </row>
    <row r="2907">
      <c r="A2907" s="6" t="n"/>
      <c r="B2907" s="6" t="n"/>
      <c r="C2907" s="6" t="n"/>
      <c r="D2907" s="11">
        <f>IF(C2907="","",IFERROR(INDEX(Levels!$A$2:$A$30,MATCH(C2907,Levels!$B$2:$B$30,0)),""))</f>
        <v/>
      </c>
      <c r="E2907" s="10">
        <f>IF(B2907="","",IFERROR(INDEX(Roster!$A$2:$A$600,MATCH(B2907,Roster!$E$2:$E$600,0)),""))</f>
        <v/>
      </c>
      <c r="F2907" s="10">
        <f>IF(C2907="","",IFERROR(INDEX(Levels!$C$2:$C$30,MATCH(C2907,Levels!$B$2:$B$30,0)),""))</f>
        <v/>
      </c>
      <c r="G2907" s="6" t="n"/>
      <c r="H2907" s="10">
        <f>IF(AND(B2907="",C2907=""),"",IF(G2907&lt;&gt;"","Void",IF(OR(B2907="",E2907=""),"Needs child",IF(D2907="","Needs level","OK"))))</f>
        <v/>
      </c>
    </row>
    <row r="2908">
      <c r="A2908" s="6" t="n"/>
      <c r="B2908" s="6" t="n"/>
      <c r="C2908" s="6" t="n"/>
      <c r="D2908" s="11">
        <f>IF(C2908="","",IFERROR(INDEX(Levels!$A$2:$A$30,MATCH(C2908,Levels!$B$2:$B$30,0)),""))</f>
        <v/>
      </c>
      <c r="E2908" s="10">
        <f>IF(B2908="","",IFERROR(INDEX(Roster!$A$2:$A$600,MATCH(B2908,Roster!$E$2:$E$600,0)),""))</f>
        <v/>
      </c>
      <c r="F2908" s="10">
        <f>IF(C2908="","",IFERROR(INDEX(Levels!$C$2:$C$30,MATCH(C2908,Levels!$B$2:$B$30,0)),""))</f>
        <v/>
      </c>
      <c r="G2908" s="6" t="n"/>
      <c r="H2908" s="10">
        <f>IF(AND(B2908="",C2908=""),"",IF(G2908&lt;&gt;"","Void",IF(OR(B2908="",E2908=""),"Needs child",IF(D2908="","Needs level","OK"))))</f>
        <v/>
      </c>
    </row>
    <row r="2909">
      <c r="A2909" s="6" t="n"/>
      <c r="B2909" s="6" t="n"/>
      <c r="C2909" s="6" t="n"/>
      <c r="D2909" s="11">
        <f>IF(C2909="","",IFERROR(INDEX(Levels!$A$2:$A$30,MATCH(C2909,Levels!$B$2:$B$30,0)),""))</f>
        <v/>
      </c>
      <c r="E2909" s="10">
        <f>IF(B2909="","",IFERROR(INDEX(Roster!$A$2:$A$600,MATCH(B2909,Roster!$E$2:$E$600,0)),""))</f>
        <v/>
      </c>
      <c r="F2909" s="10">
        <f>IF(C2909="","",IFERROR(INDEX(Levels!$C$2:$C$30,MATCH(C2909,Levels!$B$2:$B$30,0)),""))</f>
        <v/>
      </c>
      <c r="G2909" s="6" t="n"/>
      <c r="H2909" s="10">
        <f>IF(AND(B2909="",C2909=""),"",IF(G2909&lt;&gt;"","Void",IF(OR(B2909="",E2909=""),"Needs child",IF(D2909="","Needs level","OK"))))</f>
        <v/>
      </c>
    </row>
    <row r="2910">
      <c r="A2910" s="6" t="n"/>
      <c r="B2910" s="6" t="n"/>
      <c r="C2910" s="6" t="n"/>
      <c r="D2910" s="11">
        <f>IF(C2910="","",IFERROR(INDEX(Levels!$A$2:$A$30,MATCH(C2910,Levels!$B$2:$B$30,0)),""))</f>
        <v/>
      </c>
      <c r="E2910" s="10">
        <f>IF(B2910="","",IFERROR(INDEX(Roster!$A$2:$A$600,MATCH(B2910,Roster!$E$2:$E$600,0)),""))</f>
        <v/>
      </c>
      <c r="F2910" s="10">
        <f>IF(C2910="","",IFERROR(INDEX(Levels!$C$2:$C$30,MATCH(C2910,Levels!$B$2:$B$30,0)),""))</f>
        <v/>
      </c>
      <c r="G2910" s="6" t="n"/>
      <c r="H2910" s="10">
        <f>IF(AND(B2910="",C2910=""),"",IF(G2910&lt;&gt;"","Void",IF(OR(B2910="",E2910=""),"Needs child",IF(D2910="","Needs level","OK"))))</f>
        <v/>
      </c>
    </row>
    <row r="2911">
      <c r="A2911" s="6" t="n"/>
      <c r="B2911" s="6" t="n"/>
      <c r="C2911" s="6" t="n"/>
      <c r="D2911" s="11">
        <f>IF(C2911="","",IFERROR(INDEX(Levels!$A$2:$A$30,MATCH(C2911,Levels!$B$2:$B$30,0)),""))</f>
        <v/>
      </c>
      <c r="E2911" s="10">
        <f>IF(B2911="","",IFERROR(INDEX(Roster!$A$2:$A$600,MATCH(B2911,Roster!$E$2:$E$600,0)),""))</f>
        <v/>
      </c>
      <c r="F2911" s="10">
        <f>IF(C2911="","",IFERROR(INDEX(Levels!$C$2:$C$30,MATCH(C2911,Levels!$B$2:$B$30,0)),""))</f>
        <v/>
      </c>
      <c r="G2911" s="6" t="n"/>
      <c r="H2911" s="10">
        <f>IF(AND(B2911="",C2911=""),"",IF(G2911&lt;&gt;"","Void",IF(OR(B2911="",E2911=""),"Needs child",IF(D2911="","Needs level","OK"))))</f>
        <v/>
      </c>
    </row>
    <row r="2912">
      <c r="A2912" s="6" t="n"/>
      <c r="B2912" s="6" t="n"/>
      <c r="C2912" s="6" t="n"/>
      <c r="D2912" s="11">
        <f>IF(C2912="","",IFERROR(INDEX(Levels!$A$2:$A$30,MATCH(C2912,Levels!$B$2:$B$30,0)),""))</f>
        <v/>
      </c>
      <c r="E2912" s="10">
        <f>IF(B2912="","",IFERROR(INDEX(Roster!$A$2:$A$600,MATCH(B2912,Roster!$E$2:$E$600,0)),""))</f>
        <v/>
      </c>
      <c r="F2912" s="10">
        <f>IF(C2912="","",IFERROR(INDEX(Levels!$C$2:$C$30,MATCH(C2912,Levels!$B$2:$B$30,0)),""))</f>
        <v/>
      </c>
      <c r="G2912" s="6" t="n"/>
      <c r="H2912" s="10">
        <f>IF(AND(B2912="",C2912=""),"",IF(G2912&lt;&gt;"","Void",IF(OR(B2912="",E2912=""),"Needs child",IF(D2912="","Needs level","OK"))))</f>
        <v/>
      </c>
    </row>
    <row r="2913">
      <c r="A2913" s="6" t="n"/>
      <c r="B2913" s="6" t="n"/>
      <c r="C2913" s="6" t="n"/>
      <c r="D2913" s="11">
        <f>IF(C2913="","",IFERROR(INDEX(Levels!$A$2:$A$30,MATCH(C2913,Levels!$B$2:$B$30,0)),""))</f>
        <v/>
      </c>
      <c r="E2913" s="10">
        <f>IF(B2913="","",IFERROR(INDEX(Roster!$A$2:$A$600,MATCH(B2913,Roster!$E$2:$E$600,0)),""))</f>
        <v/>
      </c>
      <c r="F2913" s="10">
        <f>IF(C2913="","",IFERROR(INDEX(Levels!$C$2:$C$30,MATCH(C2913,Levels!$B$2:$B$30,0)),""))</f>
        <v/>
      </c>
      <c r="G2913" s="6" t="n"/>
      <c r="H2913" s="10">
        <f>IF(AND(B2913="",C2913=""),"",IF(G2913&lt;&gt;"","Void",IF(OR(B2913="",E2913=""),"Needs child",IF(D2913="","Needs level","OK"))))</f>
        <v/>
      </c>
    </row>
    <row r="2914">
      <c r="A2914" s="6" t="n"/>
      <c r="B2914" s="6" t="n"/>
      <c r="C2914" s="6" t="n"/>
      <c r="D2914" s="11">
        <f>IF(C2914="","",IFERROR(INDEX(Levels!$A$2:$A$30,MATCH(C2914,Levels!$B$2:$B$30,0)),""))</f>
        <v/>
      </c>
      <c r="E2914" s="10">
        <f>IF(B2914="","",IFERROR(INDEX(Roster!$A$2:$A$600,MATCH(B2914,Roster!$E$2:$E$600,0)),""))</f>
        <v/>
      </c>
      <c r="F2914" s="10">
        <f>IF(C2914="","",IFERROR(INDEX(Levels!$C$2:$C$30,MATCH(C2914,Levels!$B$2:$B$30,0)),""))</f>
        <v/>
      </c>
      <c r="G2914" s="6" t="n"/>
      <c r="H2914" s="10">
        <f>IF(AND(B2914="",C2914=""),"",IF(G2914&lt;&gt;"","Void",IF(OR(B2914="",E2914=""),"Needs child",IF(D2914="","Needs level","OK"))))</f>
        <v/>
      </c>
    </row>
    <row r="2915">
      <c r="A2915" s="6" t="n"/>
      <c r="B2915" s="6" t="n"/>
      <c r="C2915" s="6" t="n"/>
      <c r="D2915" s="11">
        <f>IF(C2915="","",IFERROR(INDEX(Levels!$A$2:$A$30,MATCH(C2915,Levels!$B$2:$B$30,0)),""))</f>
        <v/>
      </c>
      <c r="E2915" s="10">
        <f>IF(B2915="","",IFERROR(INDEX(Roster!$A$2:$A$600,MATCH(B2915,Roster!$E$2:$E$600,0)),""))</f>
        <v/>
      </c>
      <c r="F2915" s="10">
        <f>IF(C2915="","",IFERROR(INDEX(Levels!$C$2:$C$30,MATCH(C2915,Levels!$B$2:$B$30,0)),""))</f>
        <v/>
      </c>
      <c r="G2915" s="6" t="n"/>
      <c r="H2915" s="10">
        <f>IF(AND(B2915="",C2915=""),"",IF(G2915&lt;&gt;"","Void",IF(OR(B2915="",E2915=""),"Needs child",IF(D2915="","Needs level","OK"))))</f>
        <v/>
      </c>
    </row>
    <row r="2916">
      <c r="A2916" s="6" t="n"/>
      <c r="B2916" s="6" t="n"/>
      <c r="C2916" s="6" t="n"/>
      <c r="D2916" s="11">
        <f>IF(C2916="","",IFERROR(INDEX(Levels!$A$2:$A$30,MATCH(C2916,Levels!$B$2:$B$30,0)),""))</f>
        <v/>
      </c>
      <c r="E2916" s="10">
        <f>IF(B2916="","",IFERROR(INDEX(Roster!$A$2:$A$600,MATCH(B2916,Roster!$E$2:$E$600,0)),""))</f>
        <v/>
      </c>
      <c r="F2916" s="10">
        <f>IF(C2916="","",IFERROR(INDEX(Levels!$C$2:$C$30,MATCH(C2916,Levels!$B$2:$B$30,0)),""))</f>
        <v/>
      </c>
      <c r="G2916" s="6" t="n"/>
      <c r="H2916" s="10">
        <f>IF(AND(B2916="",C2916=""),"",IF(G2916&lt;&gt;"","Void",IF(OR(B2916="",E2916=""),"Needs child",IF(D2916="","Needs level","OK"))))</f>
        <v/>
      </c>
    </row>
    <row r="2917">
      <c r="A2917" s="6" t="n"/>
      <c r="B2917" s="6" t="n"/>
      <c r="C2917" s="6" t="n"/>
      <c r="D2917" s="11">
        <f>IF(C2917="","",IFERROR(INDEX(Levels!$A$2:$A$30,MATCH(C2917,Levels!$B$2:$B$30,0)),""))</f>
        <v/>
      </c>
      <c r="E2917" s="10">
        <f>IF(B2917="","",IFERROR(INDEX(Roster!$A$2:$A$600,MATCH(B2917,Roster!$E$2:$E$600,0)),""))</f>
        <v/>
      </c>
      <c r="F2917" s="10">
        <f>IF(C2917="","",IFERROR(INDEX(Levels!$C$2:$C$30,MATCH(C2917,Levels!$B$2:$B$30,0)),""))</f>
        <v/>
      </c>
      <c r="G2917" s="6" t="n"/>
      <c r="H2917" s="10">
        <f>IF(AND(B2917="",C2917=""),"",IF(G2917&lt;&gt;"","Void",IF(OR(B2917="",E2917=""),"Needs child",IF(D2917="","Needs level","OK"))))</f>
        <v/>
      </c>
    </row>
    <row r="2918">
      <c r="A2918" s="6" t="n"/>
      <c r="B2918" s="6" t="n"/>
      <c r="C2918" s="6" t="n"/>
      <c r="D2918" s="11">
        <f>IF(C2918="","",IFERROR(INDEX(Levels!$A$2:$A$30,MATCH(C2918,Levels!$B$2:$B$30,0)),""))</f>
        <v/>
      </c>
      <c r="E2918" s="10">
        <f>IF(B2918="","",IFERROR(INDEX(Roster!$A$2:$A$600,MATCH(B2918,Roster!$E$2:$E$600,0)),""))</f>
        <v/>
      </c>
      <c r="F2918" s="10">
        <f>IF(C2918="","",IFERROR(INDEX(Levels!$C$2:$C$30,MATCH(C2918,Levels!$B$2:$B$30,0)),""))</f>
        <v/>
      </c>
      <c r="G2918" s="6" t="n"/>
      <c r="H2918" s="10">
        <f>IF(AND(B2918="",C2918=""),"",IF(G2918&lt;&gt;"","Void",IF(OR(B2918="",E2918=""),"Needs child",IF(D2918="","Needs level","OK"))))</f>
        <v/>
      </c>
    </row>
    <row r="2919">
      <c r="A2919" s="6" t="n"/>
      <c r="B2919" s="6" t="n"/>
      <c r="C2919" s="6" t="n"/>
      <c r="D2919" s="11">
        <f>IF(C2919="","",IFERROR(INDEX(Levels!$A$2:$A$30,MATCH(C2919,Levels!$B$2:$B$30,0)),""))</f>
        <v/>
      </c>
      <c r="E2919" s="10">
        <f>IF(B2919="","",IFERROR(INDEX(Roster!$A$2:$A$600,MATCH(B2919,Roster!$E$2:$E$600,0)),""))</f>
        <v/>
      </c>
      <c r="F2919" s="10">
        <f>IF(C2919="","",IFERROR(INDEX(Levels!$C$2:$C$30,MATCH(C2919,Levels!$B$2:$B$30,0)),""))</f>
        <v/>
      </c>
      <c r="G2919" s="6" t="n"/>
      <c r="H2919" s="10">
        <f>IF(AND(B2919="",C2919=""),"",IF(G2919&lt;&gt;"","Void",IF(OR(B2919="",E2919=""),"Needs child",IF(D2919="","Needs level","OK"))))</f>
        <v/>
      </c>
    </row>
    <row r="2920">
      <c r="A2920" s="6" t="n"/>
      <c r="B2920" s="6" t="n"/>
      <c r="C2920" s="6" t="n"/>
      <c r="D2920" s="11">
        <f>IF(C2920="","",IFERROR(INDEX(Levels!$A$2:$A$30,MATCH(C2920,Levels!$B$2:$B$30,0)),""))</f>
        <v/>
      </c>
      <c r="E2920" s="10">
        <f>IF(B2920="","",IFERROR(INDEX(Roster!$A$2:$A$600,MATCH(B2920,Roster!$E$2:$E$600,0)),""))</f>
        <v/>
      </c>
      <c r="F2920" s="10">
        <f>IF(C2920="","",IFERROR(INDEX(Levels!$C$2:$C$30,MATCH(C2920,Levels!$B$2:$B$30,0)),""))</f>
        <v/>
      </c>
      <c r="G2920" s="6" t="n"/>
      <c r="H2920" s="10">
        <f>IF(AND(B2920="",C2920=""),"",IF(G2920&lt;&gt;"","Void",IF(OR(B2920="",E2920=""),"Needs child",IF(D2920="","Needs level","OK"))))</f>
        <v/>
      </c>
    </row>
    <row r="2921">
      <c r="A2921" s="6" t="n"/>
      <c r="B2921" s="6" t="n"/>
      <c r="C2921" s="6" t="n"/>
      <c r="D2921" s="11">
        <f>IF(C2921="","",IFERROR(INDEX(Levels!$A$2:$A$30,MATCH(C2921,Levels!$B$2:$B$30,0)),""))</f>
        <v/>
      </c>
      <c r="E2921" s="10">
        <f>IF(B2921="","",IFERROR(INDEX(Roster!$A$2:$A$600,MATCH(B2921,Roster!$E$2:$E$600,0)),""))</f>
        <v/>
      </c>
      <c r="F2921" s="10">
        <f>IF(C2921="","",IFERROR(INDEX(Levels!$C$2:$C$30,MATCH(C2921,Levels!$B$2:$B$30,0)),""))</f>
        <v/>
      </c>
      <c r="G2921" s="6" t="n"/>
      <c r="H2921" s="10">
        <f>IF(AND(B2921="",C2921=""),"",IF(G2921&lt;&gt;"","Void",IF(OR(B2921="",E2921=""),"Needs child",IF(D2921="","Needs level","OK"))))</f>
        <v/>
      </c>
    </row>
    <row r="2922">
      <c r="A2922" s="6" t="n"/>
      <c r="B2922" s="6" t="n"/>
      <c r="C2922" s="6" t="n"/>
      <c r="D2922" s="11">
        <f>IF(C2922="","",IFERROR(INDEX(Levels!$A$2:$A$30,MATCH(C2922,Levels!$B$2:$B$30,0)),""))</f>
        <v/>
      </c>
      <c r="E2922" s="10">
        <f>IF(B2922="","",IFERROR(INDEX(Roster!$A$2:$A$600,MATCH(B2922,Roster!$E$2:$E$600,0)),""))</f>
        <v/>
      </c>
      <c r="F2922" s="10">
        <f>IF(C2922="","",IFERROR(INDEX(Levels!$C$2:$C$30,MATCH(C2922,Levels!$B$2:$B$30,0)),""))</f>
        <v/>
      </c>
      <c r="G2922" s="6" t="n"/>
      <c r="H2922" s="10">
        <f>IF(AND(B2922="",C2922=""),"",IF(G2922&lt;&gt;"","Void",IF(OR(B2922="",E2922=""),"Needs child",IF(D2922="","Needs level","OK"))))</f>
        <v/>
      </c>
    </row>
    <row r="2923">
      <c r="A2923" s="6" t="n"/>
      <c r="B2923" s="6" t="n"/>
      <c r="C2923" s="6" t="n"/>
      <c r="D2923" s="11">
        <f>IF(C2923="","",IFERROR(INDEX(Levels!$A$2:$A$30,MATCH(C2923,Levels!$B$2:$B$30,0)),""))</f>
        <v/>
      </c>
      <c r="E2923" s="10">
        <f>IF(B2923="","",IFERROR(INDEX(Roster!$A$2:$A$600,MATCH(B2923,Roster!$E$2:$E$600,0)),""))</f>
        <v/>
      </c>
      <c r="F2923" s="10">
        <f>IF(C2923="","",IFERROR(INDEX(Levels!$C$2:$C$30,MATCH(C2923,Levels!$B$2:$B$30,0)),""))</f>
        <v/>
      </c>
      <c r="G2923" s="6" t="n"/>
      <c r="H2923" s="10">
        <f>IF(AND(B2923="",C2923=""),"",IF(G2923&lt;&gt;"","Void",IF(OR(B2923="",E2923=""),"Needs child",IF(D2923="","Needs level","OK"))))</f>
        <v/>
      </c>
    </row>
    <row r="2924">
      <c r="A2924" s="6" t="n"/>
      <c r="B2924" s="6" t="n"/>
      <c r="C2924" s="6" t="n"/>
      <c r="D2924" s="11">
        <f>IF(C2924="","",IFERROR(INDEX(Levels!$A$2:$A$30,MATCH(C2924,Levels!$B$2:$B$30,0)),""))</f>
        <v/>
      </c>
      <c r="E2924" s="10">
        <f>IF(B2924="","",IFERROR(INDEX(Roster!$A$2:$A$600,MATCH(B2924,Roster!$E$2:$E$600,0)),""))</f>
        <v/>
      </c>
      <c r="F2924" s="10">
        <f>IF(C2924="","",IFERROR(INDEX(Levels!$C$2:$C$30,MATCH(C2924,Levels!$B$2:$B$30,0)),""))</f>
        <v/>
      </c>
      <c r="G2924" s="6" t="n"/>
      <c r="H2924" s="10">
        <f>IF(AND(B2924="",C2924=""),"",IF(G2924&lt;&gt;"","Void",IF(OR(B2924="",E2924=""),"Needs child",IF(D2924="","Needs level","OK"))))</f>
        <v/>
      </c>
    </row>
    <row r="2925">
      <c r="A2925" s="6" t="n"/>
      <c r="B2925" s="6" t="n"/>
      <c r="C2925" s="6" t="n"/>
      <c r="D2925" s="11">
        <f>IF(C2925="","",IFERROR(INDEX(Levels!$A$2:$A$30,MATCH(C2925,Levels!$B$2:$B$30,0)),""))</f>
        <v/>
      </c>
      <c r="E2925" s="10">
        <f>IF(B2925="","",IFERROR(INDEX(Roster!$A$2:$A$600,MATCH(B2925,Roster!$E$2:$E$600,0)),""))</f>
        <v/>
      </c>
      <c r="F2925" s="10">
        <f>IF(C2925="","",IFERROR(INDEX(Levels!$C$2:$C$30,MATCH(C2925,Levels!$B$2:$B$30,0)),""))</f>
        <v/>
      </c>
      <c r="G2925" s="6" t="n"/>
      <c r="H2925" s="10">
        <f>IF(AND(B2925="",C2925=""),"",IF(G2925&lt;&gt;"","Void",IF(OR(B2925="",E2925=""),"Needs child",IF(D2925="","Needs level","OK"))))</f>
        <v/>
      </c>
    </row>
    <row r="2926">
      <c r="A2926" s="6" t="n"/>
      <c r="B2926" s="6" t="n"/>
      <c r="C2926" s="6" t="n"/>
      <c r="D2926" s="11">
        <f>IF(C2926="","",IFERROR(INDEX(Levels!$A$2:$A$30,MATCH(C2926,Levels!$B$2:$B$30,0)),""))</f>
        <v/>
      </c>
      <c r="E2926" s="10">
        <f>IF(B2926="","",IFERROR(INDEX(Roster!$A$2:$A$600,MATCH(B2926,Roster!$E$2:$E$600,0)),""))</f>
        <v/>
      </c>
      <c r="F2926" s="10">
        <f>IF(C2926="","",IFERROR(INDEX(Levels!$C$2:$C$30,MATCH(C2926,Levels!$B$2:$B$30,0)),""))</f>
        <v/>
      </c>
      <c r="G2926" s="6" t="n"/>
      <c r="H2926" s="10">
        <f>IF(AND(B2926="",C2926=""),"",IF(G2926&lt;&gt;"","Void",IF(OR(B2926="",E2926=""),"Needs child",IF(D2926="","Needs level","OK"))))</f>
        <v/>
      </c>
    </row>
    <row r="2927">
      <c r="A2927" s="6" t="n"/>
      <c r="B2927" s="6" t="n"/>
      <c r="C2927" s="6" t="n"/>
      <c r="D2927" s="11">
        <f>IF(C2927="","",IFERROR(INDEX(Levels!$A$2:$A$30,MATCH(C2927,Levels!$B$2:$B$30,0)),""))</f>
        <v/>
      </c>
      <c r="E2927" s="10">
        <f>IF(B2927="","",IFERROR(INDEX(Roster!$A$2:$A$600,MATCH(B2927,Roster!$E$2:$E$600,0)),""))</f>
        <v/>
      </c>
      <c r="F2927" s="10">
        <f>IF(C2927="","",IFERROR(INDEX(Levels!$C$2:$C$30,MATCH(C2927,Levels!$B$2:$B$30,0)),""))</f>
        <v/>
      </c>
      <c r="G2927" s="6" t="n"/>
      <c r="H2927" s="10">
        <f>IF(AND(B2927="",C2927=""),"",IF(G2927&lt;&gt;"","Void",IF(OR(B2927="",E2927=""),"Needs child",IF(D2927="","Needs level","OK"))))</f>
        <v/>
      </c>
    </row>
    <row r="2928">
      <c r="A2928" s="6" t="n"/>
      <c r="B2928" s="6" t="n"/>
      <c r="C2928" s="6" t="n"/>
      <c r="D2928" s="11">
        <f>IF(C2928="","",IFERROR(INDEX(Levels!$A$2:$A$30,MATCH(C2928,Levels!$B$2:$B$30,0)),""))</f>
        <v/>
      </c>
      <c r="E2928" s="10">
        <f>IF(B2928="","",IFERROR(INDEX(Roster!$A$2:$A$600,MATCH(B2928,Roster!$E$2:$E$600,0)),""))</f>
        <v/>
      </c>
      <c r="F2928" s="10">
        <f>IF(C2928="","",IFERROR(INDEX(Levels!$C$2:$C$30,MATCH(C2928,Levels!$B$2:$B$30,0)),""))</f>
        <v/>
      </c>
      <c r="G2928" s="6" t="n"/>
      <c r="H2928" s="10">
        <f>IF(AND(B2928="",C2928=""),"",IF(G2928&lt;&gt;"","Void",IF(OR(B2928="",E2928=""),"Needs child",IF(D2928="","Needs level","OK"))))</f>
        <v/>
      </c>
    </row>
    <row r="2929">
      <c r="A2929" s="6" t="n"/>
      <c r="B2929" s="6" t="n"/>
      <c r="C2929" s="6" t="n"/>
      <c r="D2929" s="11">
        <f>IF(C2929="","",IFERROR(INDEX(Levels!$A$2:$A$30,MATCH(C2929,Levels!$B$2:$B$30,0)),""))</f>
        <v/>
      </c>
      <c r="E2929" s="10">
        <f>IF(B2929="","",IFERROR(INDEX(Roster!$A$2:$A$600,MATCH(B2929,Roster!$E$2:$E$600,0)),""))</f>
        <v/>
      </c>
      <c r="F2929" s="10">
        <f>IF(C2929="","",IFERROR(INDEX(Levels!$C$2:$C$30,MATCH(C2929,Levels!$B$2:$B$30,0)),""))</f>
        <v/>
      </c>
      <c r="G2929" s="6" t="n"/>
      <c r="H2929" s="10">
        <f>IF(AND(B2929="",C2929=""),"",IF(G2929&lt;&gt;"","Void",IF(OR(B2929="",E2929=""),"Needs child",IF(D2929="","Needs level","OK"))))</f>
        <v/>
      </c>
    </row>
    <row r="2930">
      <c r="A2930" s="6" t="n"/>
      <c r="B2930" s="6" t="n"/>
      <c r="C2930" s="6" t="n"/>
      <c r="D2930" s="11">
        <f>IF(C2930="","",IFERROR(INDEX(Levels!$A$2:$A$30,MATCH(C2930,Levels!$B$2:$B$30,0)),""))</f>
        <v/>
      </c>
      <c r="E2930" s="10">
        <f>IF(B2930="","",IFERROR(INDEX(Roster!$A$2:$A$600,MATCH(B2930,Roster!$E$2:$E$600,0)),""))</f>
        <v/>
      </c>
      <c r="F2930" s="10">
        <f>IF(C2930="","",IFERROR(INDEX(Levels!$C$2:$C$30,MATCH(C2930,Levels!$B$2:$B$30,0)),""))</f>
        <v/>
      </c>
      <c r="G2930" s="6" t="n"/>
      <c r="H2930" s="10">
        <f>IF(AND(B2930="",C2930=""),"",IF(G2930&lt;&gt;"","Void",IF(OR(B2930="",E2930=""),"Needs child",IF(D2930="","Needs level","OK"))))</f>
        <v/>
      </c>
    </row>
    <row r="2931">
      <c r="A2931" s="6" t="n"/>
      <c r="B2931" s="6" t="n"/>
      <c r="C2931" s="6" t="n"/>
      <c r="D2931" s="11">
        <f>IF(C2931="","",IFERROR(INDEX(Levels!$A$2:$A$30,MATCH(C2931,Levels!$B$2:$B$30,0)),""))</f>
        <v/>
      </c>
      <c r="E2931" s="10">
        <f>IF(B2931="","",IFERROR(INDEX(Roster!$A$2:$A$600,MATCH(B2931,Roster!$E$2:$E$600,0)),""))</f>
        <v/>
      </c>
      <c r="F2931" s="10">
        <f>IF(C2931="","",IFERROR(INDEX(Levels!$C$2:$C$30,MATCH(C2931,Levels!$B$2:$B$30,0)),""))</f>
        <v/>
      </c>
      <c r="G2931" s="6" t="n"/>
      <c r="H2931" s="10">
        <f>IF(AND(B2931="",C2931=""),"",IF(G2931&lt;&gt;"","Void",IF(OR(B2931="",E2931=""),"Needs child",IF(D2931="","Needs level","OK"))))</f>
        <v/>
      </c>
    </row>
    <row r="2932">
      <c r="A2932" s="6" t="n"/>
      <c r="B2932" s="6" t="n"/>
      <c r="C2932" s="6" t="n"/>
      <c r="D2932" s="11">
        <f>IF(C2932="","",IFERROR(INDEX(Levels!$A$2:$A$30,MATCH(C2932,Levels!$B$2:$B$30,0)),""))</f>
        <v/>
      </c>
      <c r="E2932" s="10">
        <f>IF(B2932="","",IFERROR(INDEX(Roster!$A$2:$A$600,MATCH(B2932,Roster!$E$2:$E$600,0)),""))</f>
        <v/>
      </c>
      <c r="F2932" s="10">
        <f>IF(C2932="","",IFERROR(INDEX(Levels!$C$2:$C$30,MATCH(C2932,Levels!$B$2:$B$30,0)),""))</f>
        <v/>
      </c>
      <c r="G2932" s="6" t="n"/>
      <c r="H2932" s="10">
        <f>IF(AND(B2932="",C2932=""),"",IF(G2932&lt;&gt;"","Void",IF(OR(B2932="",E2932=""),"Needs child",IF(D2932="","Needs level","OK"))))</f>
        <v/>
      </c>
    </row>
    <row r="2933">
      <c r="A2933" s="6" t="n"/>
      <c r="B2933" s="6" t="n"/>
      <c r="C2933" s="6" t="n"/>
      <c r="D2933" s="11">
        <f>IF(C2933="","",IFERROR(INDEX(Levels!$A$2:$A$30,MATCH(C2933,Levels!$B$2:$B$30,0)),""))</f>
        <v/>
      </c>
      <c r="E2933" s="10">
        <f>IF(B2933="","",IFERROR(INDEX(Roster!$A$2:$A$600,MATCH(B2933,Roster!$E$2:$E$600,0)),""))</f>
        <v/>
      </c>
      <c r="F2933" s="10">
        <f>IF(C2933="","",IFERROR(INDEX(Levels!$C$2:$C$30,MATCH(C2933,Levels!$B$2:$B$30,0)),""))</f>
        <v/>
      </c>
      <c r="G2933" s="6" t="n"/>
      <c r="H2933" s="10">
        <f>IF(AND(B2933="",C2933=""),"",IF(G2933&lt;&gt;"","Void",IF(OR(B2933="",E2933=""),"Needs child",IF(D2933="","Needs level","OK"))))</f>
        <v/>
      </c>
    </row>
    <row r="2934">
      <c r="A2934" s="6" t="n"/>
      <c r="B2934" s="6" t="n"/>
      <c r="C2934" s="6" t="n"/>
      <c r="D2934" s="11">
        <f>IF(C2934="","",IFERROR(INDEX(Levels!$A$2:$A$30,MATCH(C2934,Levels!$B$2:$B$30,0)),""))</f>
        <v/>
      </c>
      <c r="E2934" s="10">
        <f>IF(B2934="","",IFERROR(INDEX(Roster!$A$2:$A$600,MATCH(B2934,Roster!$E$2:$E$600,0)),""))</f>
        <v/>
      </c>
      <c r="F2934" s="10">
        <f>IF(C2934="","",IFERROR(INDEX(Levels!$C$2:$C$30,MATCH(C2934,Levels!$B$2:$B$30,0)),""))</f>
        <v/>
      </c>
      <c r="G2934" s="6" t="n"/>
      <c r="H2934" s="10">
        <f>IF(AND(B2934="",C2934=""),"",IF(G2934&lt;&gt;"","Void",IF(OR(B2934="",E2934=""),"Needs child",IF(D2934="","Needs level","OK"))))</f>
        <v/>
      </c>
    </row>
    <row r="2935">
      <c r="A2935" s="6" t="n"/>
      <c r="B2935" s="6" t="n"/>
      <c r="C2935" s="6" t="n"/>
      <c r="D2935" s="11">
        <f>IF(C2935="","",IFERROR(INDEX(Levels!$A$2:$A$30,MATCH(C2935,Levels!$B$2:$B$30,0)),""))</f>
        <v/>
      </c>
      <c r="E2935" s="10">
        <f>IF(B2935="","",IFERROR(INDEX(Roster!$A$2:$A$600,MATCH(B2935,Roster!$E$2:$E$600,0)),""))</f>
        <v/>
      </c>
      <c r="F2935" s="10">
        <f>IF(C2935="","",IFERROR(INDEX(Levels!$C$2:$C$30,MATCH(C2935,Levels!$B$2:$B$30,0)),""))</f>
        <v/>
      </c>
      <c r="G2935" s="6" t="n"/>
      <c r="H2935" s="10">
        <f>IF(AND(B2935="",C2935=""),"",IF(G2935&lt;&gt;"","Void",IF(OR(B2935="",E2935=""),"Needs child",IF(D2935="","Needs level","OK"))))</f>
        <v/>
      </c>
    </row>
    <row r="2936">
      <c r="A2936" s="6" t="n"/>
      <c r="B2936" s="6" t="n"/>
      <c r="C2936" s="6" t="n"/>
      <c r="D2936" s="11">
        <f>IF(C2936="","",IFERROR(INDEX(Levels!$A$2:$A$30,MATCH(C2936,Levels!$B$2:$B$30,0)),""))</f>
        <v/>
      </c>
      <c r="E2936" s="10">
        <f>IF(B2936="","",IFERROR(INDEX(Roster!$A$2:$A$600,MATCH(B2936,Roster!$E$2:$E$600,0)),""))</f>
        <v/>
      </c>
      <c r="F2936" s="10">
        <f>IF(C2936="","",IFERROR(INDEX(Levels!$C$2:$C$30,MATCH(C2936,Levels!$B$2:$B$30,0)),""))</f>
        <v/>
      </c>
      <c r="G2936" s="6" t="n"/>
      <c r="H2936" s="10">
        <f>IF(AND(B2936="",C2936=""),"",IF(G2936&lt;&gt;"","Void",IF(OR(B2936="",E2936=""),"Needs child",IF(D2936="","Needs level","OK"))))</f>
        <v/>
      </c>
    </row>
    <row r="2937">
      <c r="A2937" s="6" t="n"/>
      <c r="B2937" s="6" t="n"/>
      <c r="C2937" s="6" t="n"/>
      <c r="D2937" s="11">
        <f>IF(C2937="","",IFERROR(INDEX(Levels!$A$2:$A$30,MATCH(C2937,Levels!$B$2:$B$30,0)),""))</f>
        <v/>
      </c>
      <c r="E2937" s="10">
        <f>IF(B2937="","",IFERROR(INDEX(Roster!$A$2:$A$600,MATCH(B2937,Roster!$E$2:$E$600,0)),""))</f>
        <v/>
      </c>
      <c r="F2937" s="10">
        <f>IF(C2937="","",IFERROR(INDEX(Levels!$C$2:$C$30,MATCH(C2937,Levels!$B$2:$B$30,0)),""))</f>
        <v/>
      </c>
      <c r="G2937" s="6" t="n"/>
      <c r="H2937" s="10">
        <f>IF(AND(B2937="",C2937=""),"",IF(G2937&lt;&gt;"","Void",IF(OR(B2937="",E2937=""),"Needs child",IF(D2937="","Needs level","OK"))))</f>
        <v/>
      </c>
    </row>
    <row r="2938">
      <c r="A2938" s="6" t="n"/>
      <c r="B2938" s="6" t="n"/>
      <c r="C2938" s="6" t="n"/>
      <c r="D2938" s="11">
        <f>IF(C2938="","",IFERROR(INDEX(Levels!$A$2:$A$30,MATCH(C2938,Levels!$B$2:$B$30,0)),""))</f>
        <v/>
      </c>
      <c r="E2938" s="10">
        <f>IF(B2938="","",IFERROR(INDEX(Roster!$A$2:$A$600,MATCH(B2938,Roster!$E$2:$E$600,0)),""))</f>
        <v/>
      </c>
      <c r="F2938" s="10">
        <f>IF(C2938="","",IFERROR(INDEX(Levels!$C$2:$C$30,MATCH(C2938,Levels!$B$2:$B$30,0)),""))</f>
        <v/>
      </c>
      <c r="G2938" s="6" t="n"/>
      <c r="H2938" s="10">
        <f>IF(AND(B2938="",C2938=""),"",IF(G2938&lt;&gt;"","Void",IF(OR(B2938="",E2938=""),"Needs child",IF(D2938="","Needs level","OK"))))</f>
        <v/>
      </c>
    </row>
    <row r="2939">
      <c r="A2939" s="6" t="n"/>
      <c r="B2939" s="6" t="n"/>
      <c r="C2939" s="6" t="n"/>
      <c r="D2939" s="11">
        <f>IF(C2939="","",IFERROR(INDEX(Levels!$A$2:$A$30,MATCH(C2939,Levels!$B$2:$B$30,0)),""))</f>
        <v/>
      </c>
      <c r="E2939" s="10">
        <f>IF(B2939="","",IFERROR(INDEX(Roster!$A$2:$A$600,MATCH(B2939,Roster!$E$2:$E$600,0)),""))</f>
        <v/>
      </c>
      <c r="F2939" s="10">
        <f>IF(C2939="","",IFERROR(INDEX(Levels!$C$2:$C$30,MATCH(C2939,Levels!$B$2:$B$30,0)),""))</f>
        <v/>
      </c>
      <c r="G2939" s="6" t="n"/>
      <c r="H2939" s="10">
        <f>IF(AND(B2939="",C2939=""),"",IF(G2939&lt;&gt;"","Void",IF(OR(B2939="",E2939=""),"Needs child",IF(D2939="","Needs level","OK"))))</f>
        <v/>
      </c>
    </row>
    <row r="2940">
      <c r="A2940" s="6" t="n"/>
      <c r="B2940" s="6" t="n"/>
      <c r="C2940" s="6" t="n"/>
      <c r="D2940" s="11">
        <f>IF(C2940="","",IFERROR(INDEX(Levels!$A$2:$A$30,MATCH(C2940,Levels!$B$2:$B$30,0)),""))</f>
        <v/>
      </c>
      <c r="E2940" s="10">
        <f>IF(B2940="","",IFERROR(INDEX(Roster!$A$2:$A$600,MATCH(B2940,Roster!$E$2:$E$600,0)),""))</f>
        <v/>
      </c>
      <c r="F2940" s="10">
        <f>IF(C2940="","",IFERROR(INDEX(Levels!$C$2:$C$30,MATCH(C2940,Levels!$B$2:$B$30,0)),""))</f>
        <v/>
      </c>
      <c r="G2940" s="6" t="n"/>
      <c r="H2940" s="10">
        <f>IF(AND(B2940="",C2940=""),"",IF(G2940&lt;&gt;"","Void",IF(OR(B2940="",E2940=""),"Needs child",IF(D2940="","Needs level","OK"))))</f>
        <v/>
      </c>
    </row>
    <row r="2941">
      <c r="A2941" s="6" t="n"/>
      <c r="B2941" s="6" t="n"/>
      <c r="C2941" s="6" t="n"/>
      <c r="D2941" s="11">
        <f>IF(C2941="","",IFERROR(INDEX(Levels!$A$2:$A$30,MATCH(C2941,Levels!$B$2:$B$30,0)),""))</f>
        <v/>
      </c>
      <c r="E2941" s="10">
        <f>IF(B2941="","",IFERROR(INDEX(Roster!$A$2:$A$600,MATCH(B2941,Roster!$E$2:$E$600,0)),""))</f>
        <v/>
      </c>
      <c r="F2941" s="10">
        <f>IF(C2941="","",IFERROR(INDEX(Levels!$C$2:$C$30,MATCH(C2941,Levels!$B$2:$B$30,0)),""))</f>
        <v/>
      </c>
      <c r="G2941" s="6" t="n"/>
      <c r="H2941" s="10">
        <f>IF(AND(B2941="",C2941=""),"",IF(G2941&lt;&gt;"","Void",IF(OR(B2941="",E2941=""),"Needs child",IF(D2941="","Needs level","OK"))))</f>
        <v/>
      </c>
    </row>
    <row r="2942">
      <c r="A2942" s="6" t="n"/>
      <c r="B2942" s="6" t="n"/>
      <c r="C2942" s="6" t="n"/>
      <c r="D2942" s="11">
        <f>IF(C2942="","",IFERROR(INDEX(Levels!$A$2:$A$30,MATCH(C2942,Levels!$B$2:$B$30,0)),""))</f>
        <v/>
      </c>
      <c r="E2942" s="10">
        <f>IF(B2942="","",IFERROR(INDEX(Roster!$A$2:$A$600,MATCH(B2942,Roster!$E$2:$E$600,0)),""))</f>
        <v/>
      </c>
      <c r="F2942" s="10">
        <f>IF(C2942="","",IFERROR(INDEX(Levels!$C$2:$C$30,MATCH(C2942,Levels!$B$2:$B$30,0)),""))</f>
        <v/>
      </c>
      <c r="G2942" s="6" t="n"/>
      <c r="H2942" s="10">
        <f>IF(AND(B2942="",C2942=""),"",IF(G2942&lt;&gt;"","Void",IF(OR(B2942="",E2942=""),"Needs child",IF(D2942="","Needs level","OK"))))</f>
        <v/>
      </c>
    </row>
    <row r="2943">
      <c r="A2943" s="6" t="n"/>
      <c r="B2943" s="6" t="n"/>
      <c r="C2943" s="6" t="n"/>
      <c r="D2943" s="11">
        <f>IF(C2943="","",IFERROR(INDEX(Levels!$A$2:$A$30,MATCH(C2943,Levels!$B$2:$B$30,0)),""))</f>
        <v/>
      </c>
      <c r="E2943" s="10">
        <f>IF(B2943="","",IFERROR(INDEX(Roster!$A$2:$A$600,MATCH(B2943,Roster!$E$2:$E$600,0)),""))</f>
        <v/>
      </c>
      <c r="F2943" s="10">
        <f>IF(C2943="","",IFERROR(INDEX(Levels!$C$2:$C$30,MATCH(C2943,Levels!$B$2:$B$30,0)),""))</f>
        <v/>
      </c>
      <c r="G2943" s="6" t="n"/>
      <c r="H2943" s="10">
        <f>IF(AND(B2943="",C2943=""),"",IF(G2943&lt;&gt;"","Void",IF(OR(B2943="",E2943=""),"Needs child",IF(D2943="","Needs level","OK"))))</f>
        <v/>
      </c>
    </row>
    <row r="2944">
      <c r="A2944" s="6" t="n"/>
      <c r="B2944" s="6" t="n"/>
      <c r="C2944" s="6" t="n"/>
      <c r="D2944" s="11">
        <f>IF(C2944="","",IFERROR(INDEX(Levels!$A$2:$A$30,MATCH(C2944,Levels!$B$2:$B$30,0)),""))</f>
        <v/>
      </c>
      <c r="E2944" s="10">
        <f>IF(B2944="","",IFERROR(INDEX(Roster!$A$2:$A$600,MATCH(B2944,Roster!$E$2:$E$600,0)),""))</f>
        <v/>
      </c>
      <c r="F2944" s="10">
        <f>IF(C2944="","",IFERROR(INDEX(Levels!$C$2:$C$30,MATCH(C2944,Levels!$B$2:$B$30,0)),""))</f>
        <v/>
      </c>
      <c r="G2944" s="6" t="n"/>
      <c r="H2944" s="10">
        <f>IF(AND(B2944="",C2944=""),"",IF(G2944&lt;&gt;"","Void",IF(OR(B2944="",E2944=""),"Needs child",IF(D2944="","Needs level","OK"))))</f>
        <v/>
      </c>
    </row>
    <row r="2945">
      <c r="A2945" s="6" t="n"/>
      <c r="B2945" s="6" t="n"/>
      <c r="C2945" s="6" t="n"/>
      <c r="D2945" s="11">
        <f>IF(C2945="","",IFERROR(INDEX(Levels!$A$2:$A$30,MATCH(C2945,Levels!$B$2:$B$30,0)),""))</f>
        <v/>
      </c>
      <c r="E2945" s="10">
        <f>IF(B2945="","",IFERROR(INDEX(Roster!$A$2:$A$600,MATCH(B2945,Roster!$E$2:$E$600,0)),""))</f>
        <v/>
      </c>
      <c r="F2945" s="10">
        <f>IF(C2945="","",IFERROR(INDEX(Levels!$C$2:$C$30,MATCH(C2945,Levels!$B$2:$B$30,0)),""))</f>
        <v/>
      </c>
      <c r="G2945" s="6" t="n"/>
      <c r="H2945" s="10">
        <f>IF(AND(B2945="",C2945=""),"",IF(G2945&lt;&gt;"","Void",IF(OR(B2945="",E2945=""),"Needs child",IF(D2945="","Needs level","OK"))))</f>
        <v/>
      </c>
    </row>
    <row r="2946">
      <c r="A2946" s="6" t="n"/>
      <c r="B2946" s="6" t="n"/>
      <c r="C2946" s="6" t="n"/>
      <c r="D2946" s="11">
        <f>IF(C2946="","",IFERROR(INDEX(Levels!$A$2:$A$30,MATCH(C2946,Levels!$B$2:$B$30,0)),""))</f>
        <v/>
      </c>
      <c r="E2946" s="10">
        <f>IF(B2946="","",IFERROR(INDEX(Roster!$A$2:$A$600,MATCH(B2946,Roster!$E$2:$E$600,0)),""))</f>
        <v/>
      </c>
      <c r="F2946" s="10">
        <f>IF(C2946="","",IFERROR(INDEX(Levels!$C$2:$C$30,MATCH(C2946,Levels!$B$2:$B$30,0)),""))</f>
        <v/>
      </c>
      <c r="G2946" s="6" t="n"/>
      <c r="H2946" s="10">
        <f>IF(AND(B2946="",C2946=""),"",IF(G2946&lt;&gt;"","Void",IF(OR(B2946="",E2946=""),"Needs child",IF(D2946="","Needs level","OK"))))</f>
        <v/>
      </c>
    </row>
    <row r="2947">
      <c r="A2947" s="6" t="n"/>
      <c r="B2947" s="6" t="n"/>
      <c r="C2947" s="6" t="n"/>
      <c r="D2947" s="11">
        <f>IF(C2947="","",IFERROR(INDEX(Levels!$A$2:$A$30,MATCH(C2947,Levels!$B$2:$B$30,0)),""))</f>
        <v/>
      </c>
      <c r="E2947" s="10">
        <f>IF(B2947="","",IFERROR(INDEX(Roster!$A$2:$A$600,MATCH(B2947,Roster!$E$2:$E$600,0)),""))</f>
        <v/>
      </c>
      <c r="F2947" s="10">
        <f>IF(C2947="","",IFERROR(INDEX(Levels!$C$2:$C$30,MATCH(C2947,Levels!$B$2:$B$30,0)),""))</f>
        <v/>
      </c>
      <c r="G2947" s="6" t="n"/>
      <c r="H2947" s="10">
        <f>IF(AND(B2947="",C2947=""),"",IF(G2947&lt;&gt;"","Void",IF(OR(B2947="",E2947=""),"Needs child",IF(D2947="","Needs level","OK"))))</f>
        <v/>
      </c>
    </row>
    <row r="2948">
      <c r="A2948" s="6" t="n"/>
      <c r="B2948" s="6" t="n"/>
      <c r="C2948" s="6" t="n"/>
      <c r="D2948" s="11">
        <f>IF(C2948="","",IFERROR(INDEX(Levels!$A$2:$A$30,MATCH(C2948,Levels!$B$2:$B$30,0)),""))</f>
        <v/>
      </c>
      <c r="E2948" s="10">
        <f>IF(B2948="","",IFERROR(INDEX(Roster!$A$2:$A$600,MATCH(B2948,Roster!$E$2:$E$600,0)),""))</f>
        <v/>
      </c>
      <c r="F2948" s="10">
        <f>IF(C2948="","",IFERROR(INDEX(Levels!$C$2:$C$30,MATCH(C2948,Levels!$B$2:$B$30,0)),""))</f>
        <v/>
      </c>
      <c r="G2948" s="6" t="n"/>
      <c r="H2948" s="10">
        <f>IF(AND(B2948="",C2948=""),"",IF(G2948&lt;&gt;"","Void",IF(OR(B2948="",E2948=""),"Needs child",IF(D2948="","Needs level","OK"))))</f>
        <v/>
      </c>
    </row>
    <row r="2949">
      <c r="A2949" s="6" t="n"/>
      <c r="B2949" s="6" t="n"/>
      <c r="C2949" s="6" t="n"/>
      <c r="D2949" s="11">
        <f>IF(C2949="","",IFERROR(INDEX(Levels!$A$2:$A$30,MATCH(C2949,Levels!$B$2:$B$30,0)),""))</f>
        <v/>
      </c>
      <c r="E2949" s="10">
        <f>IF(B2949="","",IFERROR(INDEX(Roster!$A$2:$A$600,MATCH(B2949,Roster!$E$2:$E$600,0)),""))</f>
        <v/>
      </c>
      <c r="F2949" s="10">
        <f>IF(C2949="","",IFERROR(INDEX(Levels!$C$2:$C$30,MATCH(C2949,Levels!$B$2:$B$30,0)),""))</f>
        <v/>
      </c>
      <c r="G2949" s="6" t="n"/>
      <c r="H2949" s="10">
        <f>IF(AND(B2949="",C2949=""),"",IF(G2949&lt;&gt;"","Void",IF(OR(B2949="",E2949=""),"Needs child",IF(D2949="","Needs level","OK"))))</f>
        <v/>
      </c>
    </row>
    <row r="2950">
      <c r="A2950" s="6" t="n"/>
      <c r="B2950" s="6" t="n"/>
      <c r="C2950" s="6" t="n"/>
      <c r="D2950" s="11">
        <f>IF(C2950="","",IFERROR(INDEX(Levels!$A$2:$A$30,MATCH(C2950,Levels!$B$2:$B$30,0)),""))</f>
        <v/>
      </c>
      <c r="E2950" s="10">
        <f>IF(B2950="","",IFERROR(INDEX(Roster!$A$2:$A$600,MATCH(B2950,Roster!$E$2:$E$600,0)),""))</f>
        <v/>
      </c>
      <c r="F2950" s="10">
        <f>IF(C2950="","",IFERROR(INDEX(Levels!$C$2:$C$30,MATCH(C2950,Levels!$B$2:$B$30,0)),""))</f>
        <v/>
      </c>
      <c r="G2950" s="6" t="n"/>
      <c r="H2950" s="10">
        <f>IF(AND(B2950="",C2950=""),"",IF(G2950&lt;&gt;"","Void",IF(OR(B2950="",E2950=""),"Needs child",IF(D2950="","Needs level","OK"))))</f>
        <v/>
      </c>
    </row>
    <row r="2951">
      <c r="A2951" s="6" t="n"/>
      <c r="B2951" s="6" t="n"/>
      <c r="C2951" s="6" t="n"/>
      <c r="D2951" s="11">
        <f>IF(C2951="","",IFERROR(INDEX(Levels!$A$2:$A$30,MATCH(C2951,Levels!$B$2:$B$30,0)),""))</f>
        <v/>
      </c>
      <c r="E2951" s="10">
        <f>IF(B2951="","",IFERROR(INDEX(Roster!$A$2:$A$600,MATCH(B2951,Roster!$E$2:$E$600,0)),""))</f>
        <v/>
      </c>
      <c r="F2951" s="10">
        <f>IF(C2951="","",IFERROR(INDEX(Levels!$C$2:$C$30,MATCH(C2951,Levels!$B$2:$B$30,0)),""))</f>
        <v/>
      </c>
      <c r="G2951" s="6" t="n"/>
      <c r="H2951" s="10">
        <f>IF(AND(B2951="",C2951=""),"",IF(G2951&lt;&gt;"","Void",IF(OR(B2951="",E2951=""),"Needs child",IF(D2951="","Needs level","OK"))))</f>
        <v/>
      </c>
    </row>
    <row r="2952">
      <c r="A2952" s="6" t="n"/>
      <c r="B2952" s="6" t="n"/>
      <c r="C2952" s="6" t="n"/>
      <c r="D2952" s="11">
        <f>IF(C2952="","",IFERROR(INDEX(Levels!$A$2:$A$30,MATCH(C2952,Levels!$B$2:$B$30,0)),""))</f>
        <v/>
      </c>
      <c r="E2952" s="10">
        <f>IF(B2952="","",IFERROR(INDEX(Roster!$A$2:$A$600,MATCH(B2952,Roster!$E$2:$E$600,0)),""))</f>
        <v/>
      </c>
      <c r="F2952" s="10">
        <f>IF(C2952="","",IFERROR(INDEX(Levels!$C$2:$C$30,MATCH(C2952,Levels!$B$2:$B$30,0)),""))</f>
        <v/>
      </c>
      <c r="G2952" s="6" t="n"/>
      <c r="H2952" s="10">
        <f>IF(AND(B2952="",C2952=""),"",IF(G2952&lt;&gt;"","Void",IF(OR(B2952="",E2952=""),"Needs child",IF(D2952="","Needs level","OK"))))</f>
        <v/>
      </c>
    </row>
    <row r="2953">
      <c r="A2953" s="6" t="n"/>
      <c r="B2953" s="6" t="n"/>
      <c r="C2953" s="6" t="n"/>
      <c r="D2953" s="11">
        <f>IF(C2953="","",IFERROR(INDEX(Levels!$A$2:$A$30,MATCH(C2953,Levels!$B$2:$B$30,0)),""))</f>
        <v/>
      </c>
      <c r="E2953" s="10">
        <f>IF(B2953="","",IFERROR(INDEX(Roster!$A$2:$A$600,MATCH(B2953,Roster!$E$2:$E$600,0)),""))</f>
        <v/>
      </c>
      <c r="F2953" s="10">
        <f>IF(C2953="","",IFERROR(INDEX(Levels!$C$2:$C$30,MATCH(C2953,Levels!$B$2:$B$30,0)),""))</f>
        <v/>
      </c>
      <c r="G2953" s="6" t="n"/>
      <c r="H2953" s="10">
        <f>IF(AND(B2953="",C2953=""),"",IF(G2953&lt;&gt;"","Void",IF(OR(B2953="",E2953=""),"Needs child",IF(D2953="","Needs level","OK"))))</f>
        <v/>
      </c>
    </row>
    <row r="2954">
      <c r="A2954" s="6" t="n"/>
      <c r="B2954" s="6" t="n"/>
      <c r="C2954" s="6" t="n"/>
      <c r="D2954" s="11">
        <f>IF(C2954="","",IFERROR(INDEX(Levels!$A$2:$A$30,MATCH(C2954,Levels!$B$2:$B$30,0)),""))</f>
        <v/>
      </c>
      <c r="E2954" s="10">
        <f>IF(B2954="","",IFERROR(INDEX(Roster!$A$2:$A$600,MATCH(B2954,Roster!$E$2:$E$600,0)),""))</f>
        <v/>
      </c>
      <c r="F2954" s="10">
        <f>IF(C2954="","",IFERROR(INDEX(Levels!$C$2:$C$30,MATCH(C2954,Levels!$B$2:$B$30,0)),""))</f>
        <v/>
      </c>
      <c r="G2954" s="6" t="n"/>
      <c r="H2954" s="10">
        <f>IF(AND(B2954="",C2954=""),"",IF(G2954&lt;&gt;"","Void",IF(OR(B2954="",E2954=""),"Needs child",IF(D2954="","Needs level","OK"))))</f>
        <v/>
      </c>
    </row>
    <row r="2955">
      <c r="A2955" s="6" t="n"/>
      <c r="B2955" s="6" t="n"/>
      <c r="C2955" s="6" t="n"/>
      <c r="D2955" s="11">
        <f>IF(C2955="","",IFERROR(INDEX(Levels!$A$2:$A$30,MATCH(C2955,Levels!$B$2:$B$30,0)),""))</f>
        <v/>
      </c>
      <c r="E2955" s="10">
        <f>IF(B2955="","",IFERROR(INDEX(Roster!$A$2:$A$600,MATCH(B2955,Roster!$E$2:$E$600,0)),""))</f>
        <v/>
      </c>
      <c r="F2955" s="10">
        <f>IF(C2955="","",IFERROR(INDEX(Levels!$C$2:$C$30,MATCH(C2955,Levels!$B$2:$B$30,0)),""))</f>
        <v/>
      </c>
      <c r="G2955" s="6" t="n"/>
      <c r="H2955" s="10">
        <f>IF(AND(B2955="",C2955=""),"",IF(G2955&lt;&gt;"","Void",IF(OR(B2955="",E2955=""),"Needs child",IF(D2955="","Needs level","OK"))))</f>
        <v/>
      </c>
    </row>
    <row r="2956">
      <c r="A2956" s="6" t="n"/>
      <c r="B2956" s="6" t="n"/>
      <c r="C2956" s="6" t="n"/>
      <c r="D2956" s="11">
        <f>IF(C2956="","",IFERROR(INDEX(Levels!$A$2:$A$30,MATCH(C2956,Levels!$B$2:$B$30,0)),""))</f>
        <v/>
      </c>
      <c r="E2956" s="10">
        <f>IF(B2956="","",IFERROR(INDEX(Roster!$A$2:$A$600,MATCH(B2956,Roster!$E$2:$E$600,0)),""))</f>
        <v/>
      </c>
      <c r="F2956" s="10">
        <f>IF(C2956="","",IFERROR(INDEX(Levels!$C$2:$C$30,MATCH(C2956,Levels!$B$2:$B$30,0)),""))</f>
        <v/>
      </c>
      <c r="G2956" s="6" t="n"/>
      <c r="H2956" s="10">
        <f>IF(AND(B2956="",C2956=""),"",IF(G2956&lt;&gt;"","Void",IF(OR(B2956="",E2956=""),"Needs child",IF(D2956="","Needs level","OK"))))</f>
        <v/>
      </c>
    </row>
    <row r="2957">
      <c r="A2957" s="6" t="n"/>
      <c r="B2957" s="6" t="n"/>
      <c r="C2957" s="6" t="n"/>
      <c r="D2957" s="11">
        <f>IF(C2957="","",IFERROR(INDEX(Levels!$A$2:$A$30,MATCH(C2957,Levels!$B$2:$B$30,0)),""))</f>
        <v/>
      </c>
      <c r="E2957" s="10">
        <f>IF(B2957="","",IFERROR(INDEX(Roster!$A$2:$A$600,MATCH(B2957,Roster!$E$2:$E$600,0)),""))</f>
        <v/>
      </c>
      <c r="F2957" s="10">
        <f>IF(C2957="","",IFERROR(INDEX(Levels!$C$2:$C$30,MATCH(C2957,Levels!$B$2:$B$30,0)),""))</f>
        <v/>
      </c>
      <c r="G2957" s="6" t="n"/>
      <c r="H2957" s="10">
        <f>IF(AND(B2957="",C2957=""),"",IF(G2957&lt;&gt;"","Void",IF(OR(B2957="",E2957=""),"Needs child",IF(D2957="","Needs level","OK"))))</f>
        <v/>
      </c>
    </row>
    <row r="2958">
      <c r="A2958" s="6" t="n"/>
      <c r="B2958" s="6" t="n"/>
      <c r="C2958" s="6" t="n"/>
      <c r="D2958" s="11">
        <f>IF(C2958="","",IFERROR(INDEX(Levels!$A$2:$A$30,MATCH(C2958,Levels!$B$2:$B$30,0)),""))</f>
        <v/>
      </c>
      <c r="E2958" s="10">
        <f>IF(B2958="","",IFERROR(INDEX(Roster!$A$2:$A$600,MATCH(B2958,Roster!$E$2:$E$600,0)),""))</f>
        <v/>
      </c>
      <c r="F2958" s="10">
        <f>IF(C2958="","",IFERROR(INDEX(Levels!$C$2:$C$30,MATCH(C2958,Levels!$B$2:$B$30,0)),""))</f>
        <v/>
      </c>
      <c r="G2958" s="6" t="n"/>
      <c r="H2958" s="10">
        <f>IF(AND(B2958="",C2958=""),"",IF(G2958&lt;&gt;"","Void",IF(OR(B2958="",E2958=""),"Needs child",IF(D2958="","Needs level","OK"))))</f>
        <v/>
      </c>
    </row>
    <row r="2959">
      <c r="A2959" s="6" t="n"/>
      <c r="B2959" s="6" t="n"/>
      <c r="C2959" s="6" t="n"/>
      <c r="D2959" s="11">
        <f>IF(C2959="","",IFERROR(INDEX(Levels!$A$2:$A$30,MATCH(C2959,Levels!$B$2:$B$30,0)),""))</f>
        <v/>
      </c>
      <c r="E2959" s="10">
        <f>IF(B2959="","",IFERROR(INDEX(Roster!$A$2:$A$600,MATCH(B2959,Roster!$E$2:$E$600,0)),""))</f>
        <v/>
      </c>
      <c r="F2959" s="10">
        <f>IF(C2959="","",IFERROR(INDEX(Levels!$C$2:$C$30,MATCH(C2959,Levels!$B$2:$B$30,0)),""))</f>
        <v/>
      </c>
      <c r="G2959" s="6" t="n"/>
      <c r="H2959" s="10">
        <f>IF(AND(B2959="",C2959=""),"",IF(G2959&lt;&gt;"","Void",IF(OR(B2959="",E2959=""),"Needs child",IF(D2959="","Needs level","OK"))))</f>
        <v/>
      </c>
    </row>
    <row r="2960">
      <c r="A2960" s="6" t="n"/>
      <c r="B2960" s="6" t="n"/>
      <c r="C2960" s="6" t="n"/>
      <c r="D2960" s="11">
        <f>IF(C2960="","",IFERROR(INDEX(Levels!$A$2:$A$30,MATCH(C2960,Levels!$B$2:$B$30,0)),""))</f>
        <v/>
      </c>
      <c r="E2960" s="10">
        <f>IF(B2960="","",IFERROR(INDEX(Roster!$A$2:$A$600,MATCH(B2960,Roster!$E$2:$E$600,0)),""))</f>
        <v/>
      </c>
      <c r="F2960" s="10">
        <f>IF(C2960="","",IFERROR(INDEX(Levels!$C$2:$C$30,MATCH(C2960,Levels!$B$2:$B$30,0)),""))</f>
        <v/>
      </c>
      <c r="G2960" s="6" t="n"/>
      <c r="H2960" s="10">
        <f>IF(AND(B2960="",C2960=""),"",IF(G2960&lt;&gt;"","Void",IF(OR(B2960="",E2960=""),"Needs child",IF(D2960="","Needs level","OK"))))</f>
        <v/>
      </c>
    </row>
    <row r="2961">
      <c r="A2961" s="6" t="n"/>
      <c r="B2961" s="6" t="n"/>
      <c r="C2961" s="6" t="n"/>
      <c r="D2961" s="11">
        <f>IF(C2961="","",IFERROR(INDEX(Levels!$A$2:$A$30,MATCH(C2961,Levels!$B$2:$B$30,0)),""))</f>
        <v/>
      </c>
      <c r="E2961" s="10">
        <f>IF(B2961="","",IFERROR(INDEX(Roster!$A$2:$A$600,MATCH(B2961,Roster!$E$2:$E$600,0)),""))</f>
        <v/>
      </c>
      <c r="F2961" s="10">
        <f>IF(C2961="","",IFERROR(INDEX(Levels!$C$2:$C$30,MATCH(C2961,Levels!$B$2:$B$30,0)),""))</f>
        <v/>
      </c>
      <c r="G2961" s="6" t="n"/>
      <c r="H2961" s="10">
        <f>IF(AND(B2961="",C2961=""),"",IF(G2961&lt;&gt;"","Void",IF(OR(B2961="",E2961=""),"Needs child",IF(D2961="","Needs level","OK"))))</f>
        <v/>
      </c>
    </row>
    <row r="2962">
      <c r="A2962" s="6" t="n"/>
      <c r="B2962" s="6" t="n"/>
      <c r="C2962" s="6" t="n"/>
      <c r="D2962" s="11">
        <f>IF(C2962="","",IFERROR(INDEX(Levels!$A$2:$A$30,MATCH(C2962,Levels!$B$2:$B$30,0)),""))</f>
        <v/>
      </c>
      <c r="E2962" s="10">
        <f>IF(B2962="","",IFERROR(INDEX(Roster!$A$2:$A$600,MATCH(B2962,Roster!$E$2:$E$600,0)),""))</f>
        <v/>
      </c>
      <c r="F2962" s="10">
        <f>IF(C2962="","",IFERROR(INDEX(Levels!$C$2:$C$30,MATCH(C2962,Levels!$B$2:$B$30,0)),""))</f>
        <v/>
      </c>
      <c r="G2962" s="6" t="n"/>
      <c r="H2962" s="10">
        <f>IF(AND(B2962="",C2962=""),"",IF(G2962&lt;&gt;"","Void",IF(OR(B2962="",E2962=""),"Needs child",IF(D2962="","Needs level","OK"))))</f>
        <v/>
      </c>
    </row>
    <row r="2963">
      <c r="A2963" s="6" t="n"/>
      <c r="B2963" s="6" t="n"/>
      <c r="C2963" s="6" t="n"/>
      <c r="D2963" s="11">
        <f>IF(C2963="","",IFERROR(INDEX(Levels!$A$2:$A$30,MATCH(C2963,Levels!$B$2:$B$30,0)),""))</f>
        <v/>
      </c>
      <c r="E2963" s="10">
        <f>IF(B2963="","",IFERROR(INDEX(Roster!$A$2:$A$600,MATCH(B2963,Roster!$E$2:$E$600,0)),""))</f>
        <v/>
      </c>
      <c r="F2963" s="10">
        <f>IF(C2963="","",IFERROR(INDEX(Levels!$C$2:$C$30,MATCH(C2963,Levels!$B$2:$B$30,0)),""))</f>
        <v/>
      </c>
      <c r="G2963" s="6" t="n"/>
      <c r="H2963" s="10">
        <f>IF(AND(B2963="",C2963=""),"",IF(G2963&lt;&gt;"","Void",IF(OR(B2963="",E2963=""),"Needs child",IF(D2963="","Needs level","OK"))))</f>
        <v/>
      </c>
    </row>
    <row r="2964">
      <c r="A2964" s="6" t="n"/>
      <c r="B2964" s="6" t="n"/>
      <c r="C2964" s="6" t="n"/>
      <c r="D2964" s="11">
        <f>IF(C2964="","",IFERROR(INDEX(Levels!$A$2:$A$30,MATCH(C2964,Levels!$B$2:$B$30,0)),""))</f>
        <v/>
      </c>
      <c r="E2964" s="10">
        <f>IF(B2964="","",IFERROR(INDEX(Roster!$A$2:$A$600,MATCH(B2964,Roster!$E$2:$E$600,0)),""))</f>
        <v/>
      </c>
      <c r="F2964" s="10">
        <f>IF(C2964="","",IFERROR(INDEX(Levels!$C$2:$C$30,MATCH(C2964,Levels!$B$2:$B$30,0)),""))</f>
        <v/>
      </c>
      <c r="G2964" s="6" t="n"/>
      <c r="H2964" s="10">
        <f>IF(AND(B2964="",C2964=""),"",IF(G2964&lt;&gt;"","Void",IF(OR(B2964="",E2964=""),"Needs child",IF(D2964="","Needs level","OK"))))</f>
        <v/>
      </c>
    </row>
    <row r="2965">
      <c r="A2965" s="6" t="n"/>
      <c r="B2965" s="6" t="n"/>
      <c r="C2965" s="6" t="n"/>
      <c r="D2965" s="11">
        <f>IF(C2965="","",IFERROR(INDEX(Levels!$A$2:$A$30,MATCH(C2965,Levels!$B$2:$B$30,0)),""))</f>
        <v/>
      </c>
      <c r="E2965" s="10">
        <f>IF(B2965="","",IFERROR(INDEX(Roster!$A$2:$A$600,MATCH(B2965,Roster!$E$2:$E$600,0)),""))</f>
        <v/>
      </c>
      <c r="F2965" s="10">
        <f>IF(C2965="","",IFERROR(INDEX(Levels!$C$2:$C$30,MATCH(C2965,Levels!$B$2:$B$30,0)),""))</f>
        <v/>
      </c>
      <c r="G2965" s="6" t="n"/>
      <c r="H2965" s="10">
        <f>IF(AND(B2965="",C2965=""),"",IF(G2965&lt;&gt;"","Void",IF(OR(B2965="",E2965=""),"Needs child",IF(D2965="","Needs level","OK"))))</f>
        <v/>
      </c>
    </row>
    <row r="2966">
      <c r="A2966" s="6" t="n"/>
      <c r="B2966" s="6" t="n"/>
      <c r="C2966" s="6" t="n"/>
      <c r="D2966" s="11">
        <f>IF(C2966="","",IFERROR(INDEX(Levels!$A$2:$A$30,MATCH(C2966,Levels!$B$2:$B$30,0)),""))</f>
        <v/>
      </c>
      <c r="E2966" s="10">
        <f>IF(B2966="","",IFERROR(INDEX(Roster!$A$2:$A$600,MATCH(B2966,Roster!$E$2:$E$600,0)),""))</f>
        <v/>
      </c>
      <c r="F2966" s="10">
        <f>IF(C2966="","",IFERROR(INDEX(Levels!$C$2:$C$30,MATCH(C2966,Levels!$B$2:$B$30,0)),""))</f>
        <v/>
      </c>
      <c r="G2966" s="6" t="n"/>
      <c r="H2966" s="10">
        <f>IF(AND(B2966="",C2966=""),"",IF(G2966&lt;&gt;"","Void",IF(OR(B2966="",E2966=""),"Needs child",IF(D2966="","Needs level","OK"))))</f>
        <v/>
      </c>
    </row>
    <row r="2967">
      <c r="A2967" s="6" t="n"/>
      <c r="B2967" s="6" t="n"/>
      <c r="C2967" s="6" t="n"/>
      <c r="D2967" s="11">
        <f>IF(C2967="","",IFERROR(INDEX(Levels!$A$2:$A$30,MATCH(C2967,Levels!$B$2:$B$30,0)),""))</f>
        <v/>
      </c>
      <c r="E2967" s="10">
        <f>IF(B2967="","",IFERROR(INDEX(Roster!$A$2:$A$600,MATCH(B2967,Roster!$E$2:$E$600,0)),""))</f>
        <v/>
      </c>
      <c r="F2967" s="10">
        <f>IF(C2967="","",IFERROR(INDEX(Levels!$C$2:$C$30,MATCH(C2967,Levels!$B$2:$B$30,0)),""))</f>
        <v/>
      </c>
      <c r="G2967" s="6" t="n"/>
      <c r="H2967" s="10">
        <f>IF(AND(B2967="",C2967=""),"",IF(G2967&lt;&gt;"","Void",IF(OR(B2967="",E2967=""),"Needs child",IF(D2967="","Needs level","OK"))))</f>
        <v/>
      </c>
    </row>
    <row r="2968">
      <c r="A2968" s="6" t="n"/>
      <c r="B2968" s="6" t="n"/>
      <c r="C2968" s="6" t="n"/>
      <c r="D2968" s="11">
        <f>IF(C2968="","",IFERROR(INDEX(Levels!$A$2:$A$30,MATCH(C2968,Levels!$B$2:$B$30,0)),""))</f>
        <v/>
      </c>
      <c r="E2968" s="10">
        <f>IF(B2968="","",IFERROR(INDEX(Roster!$A$2:$A$600,MATCH(B2968,Roster!$E$2:$E$600,0)),""))</f>
        <v/>
      </c>
      <c r="F2968" s="10">
        <f>IF(C2968="","",IFERROR(INDEX(Levels!$C$2:$C$30,MATCH(C2968,Levels!$B$2:$B$30,0)),""))</f>
        <v/>
      </c>
      <c r="G2968" s="6" t="n"/>
      <c r="H2968" s="10">
        <f>IF(AND(B2968="",C2968=""),"",IF(G2968&lt;&gt;"","Void",IF(OR(B2968="",E2968=""),"Needs child",IF(D2968="","Needs level","OK"))))</f>
        <v/>
      </c>
    </row>
    <row r="2969">
      <c r="A2969" s="6" t="n"/>
      <c r="B2969" s="6" t="n"/>
      <c r="C2969" s="6" t="n"/>
      <c r="D2969" s="11">
        <f>IF(C2969="","",IFERROR(INDEX(Levels!$A$2:$A$30,MATCH(C2969,Levels!$B$2:$B$30,0)),""))</f>
        <v/>
      </c>
      <c r="E2969" s="10">
        <f>IF(B2969="","",IFERROR(INDEX(Roster!$A$2:$A$600,MATCH(B2969,Roster!$E$2:$E$600,0)),""))</f>
        <v/>
      </c>
      <c r="F2969" s="10">
        <f>IF(C2969="","",IFERROR(INDEX(Levels!$C$2:$C$30,MATCH(C2969,Levels!$B$2:$B$30,0)),""))</f>
        <v/>
      </c>
      <c r="G2969" s="6" t="n"/>
      <c r="H2969" s="10">
        <f>IF(AND(B2969="",C2969=""),"",IF(G2969&lt;&gt;"","Void",IF(OR(B2969="",E2969=""),"Needs child",IF(D2969="","Needs level","OK"))))</f>
        <v/>
      </c>
    </row>
    <row r="2970">
      <c r="A2970" s="6" t="n"/>
      <c r="B2970" s="6" t="n"/>
      <c r="C2970" s="6" t="n"/>
      <c r="D2970" s="11">
        <f>IF(C2970="","",IFERROR(INDEX(Levels!$A$2:$A$30,MATCH(C2970,Levels!$B$2:$B$30,0)),""))</f>
        <v/>
      </c>
      <c r="E2970" s="10">
        <f>IF(B2970="","",IFERROR(INDEX(Roster!$A$2:$A$600,MATCH(B2970,Roster!$E$2:$E$600,0)),""))</f>
        <v/>
      </c>
      <c r="F2970" s="10">
        <f>IF(C2970="","",IFERROR(INDEX(Levels!$C$2:$C$30,MATCH(C2970,Levels!$B$2:$B$30,0)),""))</f>
        <v/>
      </c>
      <c r="G2970" s="6" t="n"/>
      <c r="H2970" s="10">
        <f>IF(AND(B2970="",C2970=""),"",IF(G2970&lt;&gt;"","Void",IF(OR(B2970="",E2970=""),"Needs child",IF(D2970="","Needs level","OK"))))</f>
        <v/>
      </c>
    </row>
    <row r="2971">
      <c r="A2971" s="6" t="n"/>
      <c r="B2971" s="6" t="n"/>
      <c r="C2971" s="6" t="n"/>
      <c r="D2971" s="11">
        <f>IF(C2971="","",IFERROR(INDEX(Levels!$A$2:$A$30,MATCH(C2971,Levels!$B$2:$B$30,0)),""))</f>
        <v/>
      </c>
      <c r="E2971" s="10">
        <f>IF(B2971="","",IFERROR(INDEX(Roster!$A$2:$A$600,MATCH(B2971,Roster!$E$2:$E$600,0)),""))</f>
        <v/>
      </c>
      <c r="F2971" s="10">
        <f>IF(C2971="","",IFERROR(INDEX(Levels!$C$2:$C$30,MATCH(C2971,Levels!$B$2:$B$30,0)),""))</f>
        <v/>
      </c>
      <c r="G2971" s="6" t="n"/>
      <c r="H2971" s="10">
        <f>IF(AND(B2971="",C2971=""),"",IF(G2971&lt;&gt;"","Void",IF(OR(B2971="",E2971=""),"Needs child",IF(D2971="","Needs level","OK"))))</f>
        <v/>
      </c>
    </row>
    <row r="2972">
      <c r="A2972" s="6" t="n"/>
      <c r="B2972" s="6" t="n"/>
      <c r="C2972" s="6" t="n"/>
      <c r="D2972" s="11">
        <f>IF(C2972="","",IFERROR(INDEX(Levels!$A$2:$A$30,MATCH(C2972,Levels!$B$2:$B$30,0)),""))</f>
        <v/>
      </c>
      <c r="E2972" s="10">
        <f>IF(B2972="","",IFERROR(INDEX(Roster!$A$2:$A$600,MATCH(B2972,Roster!$E$2:$E$600,0)),""))</f>
        <v/>
      </c>
      <c r="F2972" s="10">
        <f>IF(C2972="","",IFERROR(INDEX(Levels!$C$2:$C$30,MATCH(C2972,Levels!$B$2:$B$30,0)),""))</f>
        <v/>
      </c>
      <c r="G2972" s="6" t="n"/>
      <c r="H2972" s="10">
        <f>IF(AND(B2972="",C2972=""),"",IF(G2972&lt;&gt;"","Void",IF(OR(B2972="",E2972=""),"Needs child",IF(D2972="","Needs level","OK"))))</f>
        <v/>
      </c>
    </row>
    <row r="2973">
      <c r="A2973" s="6" t="n"/>
      <c r="B2973" s="6" t="n"/>
      <c r="C2973" s="6" t="n"/>
      <c r="D2973" s="11">
        <f>IF(C2973="","",IFERROR(INDEX(Levels!$A$2:$A$30,MATCH(C2973,Levels!$B$2:$B$30,0)),""))</f>
        <v/>
      </c>
      <c r="E2973" s="10">
        <f>IF(B2973="","",IFERROR(INDEX(Roster!$A$2:$A$600,MATCH(B2973,Roster!$E$2:$E$600,0)),""))</f>
        <v/>
      </c>
      <c r="F2973" s="10">
        <f>IF(C2973="","",IFERROR(INDEX(Levels!$C$2:$C$30,MATCH(C2973,Levels!$B$2:$B$30,0)),""))</f>
        <v/>
      </c>
      <c r="G2973" s="6" t="n"/>
      <c r="H2973" s="10">
        <f>IF(AND(B2973="",C2973=""),"",IF(G2973&lt;&gt;"","Void",IF(OR(B2973="",E2973=""),"Needs child",IF(D2973="","Needs level","OK"))))</f>
        <v/>
      </c>
    </row>
    <row r="2974">
      <c r="A2974" s="6" t="n"/>
      <c r="B2974" s="6" t="n"/>
      <c r="C2974" s="6" t="n"/>
      <c r="D2974" s="11">
        <f>IF(C2974="","",IFERROR(INDEX(Levels!$A$2:$A$30,MATCH(C2974,Levels!$B$2:$B$30,0)),""))</f>
        <v/>
      </c>
      <c r="E2974" s="10">
        <f>IF(B2974="","",IFERROR(INDEX(Roster!$A$2:$A$600,MATCH(B2974,Roster!$E$2:$E$600,0)),""))</f>
        <v/>
      </c>
      <c r="F2974" s="10">
        <f>IF(C2974="","",IFERROR(INDEX(Levels!$C$2:$C$30,MATCH(C2974,Levels!$B$2:$B$30,0)),""))</f>
        <v/>
      </c>
      <c r="G2974" s="6" t="n"/>
      <c r="H2974" s="10">
        <f>IF(AND(B2974="",C2974=""),"",IF(G2974&lt;&gt;"","Void",IF(OR(B2974="",E2974=""),"Needs child",IF(D2974="","Needs level","OK"))))</f>
        <v/>
      </c>
    </row>
    <row r="2975">
      <c r="A2975" s="6" t="n"/>
      <c r="B2975" s="6" t="n"/>
      <c r="C2975" s="6" t="n"/>
      <c r="D2975" s="11">
        <f>IF(C2975="","",IFERROR(INDEX(Levels!$A$2:$A$30,MATCH(C2975,Levels!$B$2:$B$30,0)),""))</f>
        <v/>
      </c>
      <c r="E2975" s="10">
        <f>IF(B2975="","",IFERROR(INDEX(Roster!$A$2:$A$600,MATCH(B2975,Roster!$E$2:$E$600,0)),""))</f>
        <v/>
      </c>
      <c r="F2975" s="10">
        <f>IF(C2975="","",IFERROR(INDEX(Levels!$C$2:$C$30,MATCH(C2975,Levels!$B$2:$B$30,0)),""))</f>
        <v/>
      </c>
      <c r="G2975" s="6" t="n"/>
      <c r="H2975" s="10">
        <f>IF(AND(B2975="",C2975=""),"",IF(G2975&lt;&gt;"","Void",IF(OR(B2975="",E2975=""),"Needs child",IF(D2975="","Needs level","OK"))))</f>
        <v/>
      </c>
    </row>
    <row r="2976">
      <c r="A2976" s="6" t="n"/>
      <c r="B2976" s="6" t="n"/>
      <c r="C2976" s="6" t="n"/>
      <c r="D2976" s="11">
        <f>IF(C2976="","",IFERROR(INDEX(Levels!$A$2:$A$30,MATCH(C2976,Levels!$B$2:$B$30,0)),""))</f>
        <v/>
      </c>
      <c r="E2976" s="10">
        <f>IF(B2976="","",IFERROR(INDEX(Roster!$A$2:$A$600,MATCH(B2976,Roster!$E$2:$E$600,0)),""))</f>
        <v/>
      </c>
      <c r="F2976" s="10">
        <f>IF(C2976="","",IFERROR(INDEX(Levels!$C$2:$C$30,MATCH(C2976,Levels!$B$2:$B$30,0)),""))</f>
        <v/>
      </c>
      <c r="G2976" s="6" t="n"/>
      <c r="H2976" s="10">
        <f>IF(AND(B2976="",C2976=""),"",IF(G2976&lt;&gt;"","Void",IF(OR(B2976="",E2976=""),"Needs child",IF(D2976="","Needs level","OK"))))</f>
        <v/>
      </c>
    </row>
    <row r="2977">
      <c r="A2977" s="6" t="n"/>
      <c r="B2977" s="6" t="n"/>
      <c r="C2977" s="6" t="n"/>
      <c r="D2977" s="11">
        <f>IF(C2977="","",IFERROR(INDEX(Levels!$A$2:$A$30,MATCH(C2977,Levels!$B$2:$B$30,0)),""))</f>
        <v/>
      </c>
      <c r="E2977" s="10">
        <f>IF(B2977="","",IFERROR(INDEX(Roster!$A$2:$A$600,MATCH(B2977,Roster!$E$2:$E$600,0)),""))</f>
        <v/>
      </c>
      <c r="F2977" s="10">
        <f>IF(C2977="","",IFERROR(INDEX(Levels!$C$2:$C$30,MATCH(C2977,Levels!$B$2:$B$30,0)),""))</f>
        <v/>
      </c>
      <c r="G2977" s="6" t="n"/>
      <c r="H2977" s="10">
        <f>IF(AND(B2977="",C2977=""),"",IF(G2977&lt;&gt;"","Void",IF(OR(B2977="",E2977=""),"Needs child",IF(D2977="","Needs level","OK"))))</f>
        <v/>
      </c>
    </row>
    <row r="2978">
      <c r="A2978" s="6" t="n"/>
      <c r="B2978" s="6" t="n"/>
      <c r="C2978" s="6" t="n"/>
      <c r="D2978" s="11">
        <f>IF(C2978="","",IFERROR(INDEX(Levels!$A$2:$A$30,MATCH(C2978,Levels!$B$2:$B$30,0)),""))</f>
        <v/>
      </c>
      <c r="E2978" s="10">
        <f>IF(B2978="","",IFERROR(INDEX(Roster!$A$2:$A$600,MATCH(B2978,Roster!$E$2:$E$600,0)),""))</f>
        <v/>
      </c>
      <c r="F2978" s="10">
        <f>IF(C2978="","",IFERROR(INDEX(Levels!$C$2:$C$30,MATCH(C2978,Levels!$B$2:$B$30,0)),""))</f>
        <v/>
      </c>
      <c r="G2978" s="6" t="n"/>
      <c r="H2978" s="10">
        <f>IF(AND(B2978="",C2978=""),"",IF(G2978&lt;&gt;"","Void",IF(OR(B2978="",E2978=""),"Needs child",IF(D2978="","Needs level","OK"))))</f>
        <v/>
      </c>
    </row>
    <row r="2979">
      <c r="A2979" s="6" t="n"/>
      <c r="B2979" s="6" t="n"/>
      <c r="C2979" s="6" t="n"/>
      <c r="D2979" s="11">
        <f>IF(C2979="","",IFERROR(INDEX(Levels!$A$2:$A$30,MATCH(C2979,Levels!$B$2:$B$30,0)),""))</f>
        <v/>
      </c>
      <c r="E2979" s="10">
        <f>IF(B2979="","",IFERROR(INDEX(Roster!$A$2:$A$600,MATCH(B2979,Roster!$E$2:$E$600,0)),""))</f>
        <v/>
      </c>
      <c r="F2979" s="10">
        <f>IF(C2979="","",IFERROR(INDEX(Levels!$C$2:$C$30,MATCH(C2979,Levels!$B$2:$B$30,0)),""))</f>
        <v/>
      </c>
      <c r="G2979" s="6" t="n"/>
      <c r="H2979" s="10">
        <f>IF(AND(B2979="",C2979=""),"",IF(G2979&lt;&gt;"","Void",IF(OR(B2979="",E2979=""),"Needs child",IF(D2979="","Needs level","OK"))))</f>
        <v/>
      </c>
    </row>
    <row r="2980">
      <c r="A2980" s="6" t="n"/>
      <c r="B2980" s="6" t="n"/>
      <c r="C2980" s="6" t="n"/>
      <c r="D2980" s="11">
        <f>IF(C2980="","",IFERROR(INDEX(Levels!$A$2:$A$30,MATCH(C2980,Levels!$B$2:$B$30,0)),""))</f>
        <v/>
      </c>
      <c r="E2980" s="10">
        <f>IF(B2980="","",IFERROR(INDEX(Roster!$A$2:$A$600,MATCH(B2980,Roster!$E$2:$E$600,0)),""))</f>
        <v/>
      </c>
      <c r="F2980" s="10">
        <f>IF(C2980="","",IFERROR(INDEX(Levels!$C$2:$C$30,MATCH(C2980,Levels!$B$2:$B$30,0)),""))</f>
        <v/>
      </c>
      <c r="G2980" s="6" t="n"/>
      <c r="H2980" s="10">
        <f>IF(AND(B2980="",C2980=""),"",IF(G2980&lt;&gt;"","Void",IF(OR(B2980="",E2980=""),"Needs child",IF(D2980="","Needs level","OK"))))</f>
        <v/>
      </c>
    </row>
    <row r="2981">
      <c r="A2981" s="6" t="n"/>
      <c r="B2981" s="6" t="n"/>
      <c r="C2981" s="6" t="n"/>
      <c r="D2981" s="11">
        <f>IF(C2981="","",IFERROR(INDEX(Levels!$A$2:$A$30,MATCH(C2981,Levels!$B$2:$B$30,0)),""))</f>
        <v/>
      </c>
      <c r="E2981" s="10">
        <f>IF(B2981="","",IFERROR(INDEX(Roster!$A$2:$A$600,MATCH(B2981,Roster!$E$2:$E$600,0)),""))</f>
        <v/>
      </c>
      <c r="F2981" s="10">
        <f>IF(C2981="","",IFERROR(INDEX(Levels!$C$2:$C$30,MATCH(C2981,Levels!$B$2:$B$30,0)),""))</f>
        <v/>
      </c>
      <c r="G2981" s="6" t="n"/>
      <c r="H2981" s="10">
        <f>IF(AND(B2981="",C2981=""),"",IF(G2981&lt;&gt;"","Void",IF(OR(B2981="",E2981=""),"Needs child",IF(D2981="","Needs level","OK"))))</f>
        <v/>
      </c>
    </row>
    <row r="2982">
      <c r="A2982" s="6" t="n"/>
      <c r="B2982" s="6" t="n"/>
      <c r="C2982" s="6" t="n"/>
      <c r="D2982" s="11">
        <f>IF(C2982="","",IFERROR(INDEX(Levels!$A$2:$A$30,MATCH(C2982,Levels!$B$2:$B$30,0)),""))</f>
        <v/>
      </c>
      <c r="E2982" s="10">
        <f>IF(B2982="","",IFERROR(INDEX(Roster!$A$2:$A$600,MATCH(B2982,Roster!$E$2:$E$600,0)),""))</f>
        <v/>
      </c>
      <c r="F2982" s="10">
        <f>IF(C2982="","",IFERROR(INDEX(Levels!$C$2:$C$30,MATCH(C2982,Levels!$B$2:$B$30,0)),""))</f>
        <v/>
      </c>
      <c r="G2982" s="6" t="n"/>
      <c r="H2982" s="10">
        <f>IF(AND(B2982="",C2982=""),"",IF(G2982&lt;&gt;"","Void",IF(OR(B2982="",E2982=""),"Needs child",IF(D2982="","Needs level","OK"))))</f>
        <v/>
      </c>
    </row>
    <row r="2983">
      <c r="A2983" s="6" t="n"/>
      <c r="B2983" s="6" t="n"/>
      <c r="C2983" s="6" t="n"/>
      <c r="D2983" s="11">
        <f>IF(C2983="","",IFERROR(INDEX(Levels!$A$2:$A$30,MATCH(C2983,Levels!$B$2:$B$30,0)),""))</f>
        <v/>
      </c>
      <c r="E2983" s="10">
        <f>IF(B2983="","",IFERROR(INDEX(Roster!$A$2:$A$600,MATCH(B2983,Roster!$E$2:$E$600,0)),""))</f>
        <v/>
      </c>
      <c r="F2983" s="10">
        <f>IF(C2983="","",IFERROR(INDEX(Levels!$C$2:$C$30,MATCH(C2983,Levels!$B$2:$B$30,0)),""))</f>
        <v/>
      </c>
      <c r="G2983" s="6" t="n"/>
      <c r="H2983" s="10">
        <f>IF(AND(B2983="",C2983=""),"",IF(G2983&lt;&gt;"","Void",IF(OR(B2983="",E2983=""),"Needs child",IF(D2983="","Needs level","OK"))))</f>
        <v/>
      </c>
    </row>
    <row r="2984">
      <c r="A2984" s="6" t="n"/>
      <c r="B2984" s="6" t="n"/>
      <c r="C2984" s="6" t="n"/>
      <c r="D2984" s="11">
        <f>IF(C2984="","",IFERROR(INDEX(Levels!$A$2:$A$30,MATCH(C2984,Levels!$B$2:$B$30,0)),""))</f>
        <v/>
      </c>
      <c r="E2984" s="10">
        <f>IF(B2984="","",IFERROR(INDEX(Roster!$A$2:$A$600,MATCH(B2984,Roster!$E$2:$E$600,0)),""))</f>
        <v/>
      </c>
      <c r="F2984" s="10">
        <f>IF(C2984="","",IFERROR(INDEX(Levels!$C$2:$C$30,MATCH(C2984,Levels!$B$2:$B$30,0)),""))</f>
        <v/>
      </c>
      <c r="G2984" s="6" t="n"/>
      <c r="H2984" s="10">
        <f>IF(AND(B2984="",C2984=""),"",IF(G2984&lt;&gt;"","Void",IF(OR(B2984="",E2984=""),"Needs child",IF(D2984="","Needs level","OK"))))</f>
        <v/>
      </c>
    </row>
    <row r="2985">
      <c r="A2985" s="6" t="n"/>
      <c r="B2985" s="6" t="n"/>
      <c r="C2985" s="6" t="n"/>
      <c r="D2985" s="11">
        <f>IF(C2985="","",IFERROR(INDEX(Levels!$A$2:$A$30,MATCH(C2985,Levels!$B$2:$B$30,0)),""))</f>
        <v/>
      </c>
      <c r="E2985" s="10">
        <f>IF(B2985="","",IFERROR(INDEX(Roster!$A$2:$A$600,MATCH(B2985,Roster!$E$2:$E$600,0)),""))</f>
        <v/>
      </c>
      <c r="F2985" s="10">
        <f>IF(C2985="","",IFERROR(INDEX(Levels!$C$2:$C$30,MATCH(C2985,Levels!$B$2:$B$30,0)),""))</f>
        <v/>
      </c>
      <c r="G2985" s="6" t="n"/>
      <c r="H2985" s="10">
        <f>IF(AND(B2985="",C2985=""),"",IF(G2985&lt;&gt;"","Void",IF(OR(B2985="",E2985=""),"Needs child",IF(D2985="","Needs level","OK"))))</f>
        <v/>
      </c>
    </row>
    <row r="2986">
      <c r="A2986" s="6" t="n"/>
      <c r="B2986" s="6" t="n"/>
      <c r="C2986" s="6" t="n"/>
      <c r="D2986" s="11">
        <f>IF(C2986="","",IFERROR(INDEX(Levels!$A$2:$A$30,MATCH(C2986,Levels!$B$2:$B$30,0)),""))</f>
        <v/>
      </c>
      <c r="E2986" s="10">
        <f>IF(B2986="","",IFERROR(INDEX(Roster!$A$2:$A$600,MATCH(B2986,Roster!$E$2:$E$600,0)),""))</f>
        <v/>
      </c>
      <c r="F2986" s="10">
        <f>IF(C2986="","",IFERROR(INDEX(Levels!$C$2:$C$30,MATCH(C2986,Levels!$B$2:$B$30,0)),""))</f>
        <v/>
      </c>
      <c r="G2986" s="6" t="n"/>
      <c r="H2986" s="10">
        <f>IF(AND(B2986="",C2986=""),"",IF(G2986&lt;&gt;"","Void",IF(OR(B2986="",E2986=""),"Needs child",IF(D2986="","Needs level","OK"))))</f>
        <v/>
      </c>
    </row>
    <row r="2987">
      <c r="A2987" s="6" t="n"/>
      <c r="B2987" s="6" t="n"/>
      <c r="C2987" s="6" t="n"/>
      <c r="D2987" s="11">
        <f>IF(C2987="","",IFERROR(INDEX(Levels!$A$2:$A$30,MATCH(C2987,Levels!$B$2:$B$30,0)),""))</f>
        <v/>
      </c>
      <c r="E2987" s="10">
        <f>IF(B2987="","",IFERROR(INDEX(Roster!$A$2:$A$600,MATCH(B2987,Roster!$E$2:$E$600,0)),""))</f>
        <v/>
      </c>
      <c r="F2987" s="10">
        <f>IF(C2987="","",IFERROR(INDEX(Levels!$C$2:$C$30,MATCH(C2987,Levels!$B$2:$B$30,0)),""))</f>
        <v/>
      </c>
      <c r="G2987" s="6" t="n"/>
      <c r="H2987" s="10">
        <f>IF(AND(B2987="",C2987=""),"",IF(G2987&lt;&gt;"","Void",IF(OR(B2987="",E2987=""),"Needs child",IF(D2987="","Needs level","OK"))))</f>
        <v/>
      </c>
    </row>
    <row r="2988">
      <c r="A2988" s="6" t="n"/>
      <c r="B2988" s="6" t="n"/>
      <c r="C2988" s="6" t="n"/>
      <c r="D2988" s="11">
        <f>IF(C2988="","",IFERROR(INDEX(Levels!$A$2:$A$30,MATCH(C2988,Levels!$B$2:$B$30,0)),""))</f>
        <v/>
      </c>
      <c r="E2988" s="10">
        <f>IF(B2988="","",IFERROR(INDEX(Roster!$A$2:$A$600,MATCH(B2988,Roster!$E$2:$E$600,0)),""))</f>
        <v/>
      </c>
      <c r="F2988" s="10">
        <f>IF(C2988="","",IFERROR(INDEX(Levels!$C$2:$C$30,MATCH(C2988,Levels!$B$2:$B$30,0)),""))</f>
        <v/>
      </c>
      <c r="G2988" s="6" t="n"/>
      <c r="H2988" s="10">
        <f>IF(AND(B2988="",C2988=""),"",IF(G2988&lt;&gt;"","Void",IF(OR(B2988="",E2988=""),"Needs child",IF(D2988="","Needs level","OK"))))</f>
        <v/>
      </c>
    </row>
    <row r="2989">
      <c r="A2989" s="6" t="n"/>
      <c r="B2989" s="6" t="n"/>
      <c r="C2989" s="6" t="n"/>
      <c r="D2989" s="11">
        <f>IF(C2989="","",IFERROR(INDEX(Levels!$A$2:$A$30,MATCH(C2989,Levels!$B$2:$B$30,0)),""))</f>
        <v/>
      </c>
      <c r="E2989" s="10">
        <f>IF(B2989="","",IFERROR(INDEX(Roster!$A$2:$A$600,MATCH(B2989,Roster!$E$2:$E$600,0)),""))</f>
        <v/>
      </c>
      <c r="F2989" s="10">
        <f>IF(C2989="","",IFERROR(INDEX(Levels!$C$2:$C$30,MATCH(C2989,Levels!$B$2:$B$30,0)),""))</f>
        <v/>
      </c>
      <c r="G2989" s="6" t="n"/>
      <c r="H2989" s="10">
        <f>IF(AND(B2989="",C2989=""),"",IF(G2989&lt;&gt;"","Void",IF(OR(B2989="",E2989=""),"Needs child",IF(D2989="","Needs level","OK"))))</f>
        <v/>
      </c>
    </row>
    <row r="2990">
      <c r="A2990" s="6" t="n"/>
      <c r="B2990" s="6" t="n"/>
      <c r="C2990" s="6" t="n"/>
      <c r="D2990" s="11">
        <f>IF(C2990="","",IFERROR(INDEX(Levels!$A$2:$A$30,MATCH(C2990,Levels!$B$2:$B$30,0)),""))</f>
        <v/>
      </c>
      <c r="E2990" s="10">
        <f>IF(B2990="","",IFERROR(INDEX(Roster!$A$2:$A$600,MATCH(B2990,Roster!$E$2:$E$600,0)),""))</f>
        <v/>
      </c>
      <c r="F2990" s="10">
        <f>IF(C2990="","",IFERROR(INDEX(Levels!$C$2:$C$30,MATCH(C2990,Levels!$B$2:$B$30,0)),""))</f>
        <v/>
      </c>
      <c r="G2990" s="6" t="n"/>
      <c r="H2990" s="10">
        <f>IF(AND(B2990="",C2990=""),"",IF(G2990&lt;&gt;"","Void",IF(OR(B2990="",E2990=""),"Needs child",IF(D2990="","Needs level","OK"))))</f>
        <v/>
      </c>
    </row>
    <row r="2991">
      <c r="A2991" s="6" t="n"/>
      <c r="B2991" s="6" t="n"/>
      <c r="C2991" s="6" t="n"/>
      <c r="D2991" s="11">
        <f>IF(C2991="","",IFERROR(INDEX(Levels!$A$2:$A$30,MATCH(C2991,Levels!$B$2:$B$30,0)),""))</f>
        <v/>
      </c>
      <c r="E2991" s="10">
        <f>IF(B2991="","",IFERROR(INDEX(Roster!$A$2:$A$600,MATCH(B2991,Roster!$E$2:$E$600,0)),""))</f>
        <v/>
      </c>
      <c r="F2991" s="10">
        <f>IF(C2991="","",IFERROR(INDEX(Levels!$C$2:$C$30,MATCH(C2991,Levels!$B$2:$B$30,0)),""))</f>
        <v/>
      </c>
      <c r="G2991" s="6" t="n"/>
      <c r="H2991" s="10">
        <f>IF(AND(B2991="",C2991=""),"",IF(G2991&lt;&gt;"","Void",IF(OR(B2991="",E2991=""),"Needs child",IF(D2991="","Needs level","OK"))))</f>
        <v/>
      </c>
    </row>
    <row r="2992">
      <c r="A2992" s="6" t="n"/>
      <c r="B2992" s="6" t="n"/>
      <c r="C2992" s="6" t="n"/>
      <c r="D2992" s="11">
        <f>IF(C2992="","",IFERROR(INDEX(Levels!$A$2:$A$30,MATCH(C2992,Levels!$B$2:$B$30,0)),""))</f>
        <v/>
      </c>
      <c r="E2992" s="10">
        <f>IF(B2992="","",IFERROR(INDEX(Roster!$A$2:$A$600,MATCH(B2992,Roster!$E$2:$E$600,0)),""))</f>
        <v/>
      </c>
      <c r="F2992" s="10">
        <f>IF(C2992="","",IFERROR(INDEX(Levels!$C$2:$C$30,MATCH(C2992,Levels!$B$2:$B$30,0)),""))</f>
        <v/>
      </c>
      <c r="G2992" s="6" t="n"/>
      <c r="H2992" s="10">
        <f>IF(AND(B2992="",C2992=""),"",IF(G2992&lt;&gt;"","Void",IF(OR(B2992="",E2992=""),"Needs child",IF(D2992="","Needs level","OK"))))</f>
        <v/>
      </c>
    </row>
    <row r="2993">
      <c r="A2993" s="6" t="n"/>
      <c r="B2993" s="6" t="n"/>
      <c r="C2993" s="6" t="n"/>
      <c r="D2993" s="11">
        <f>IF(C2993="","",IFERROR(INDEX(Levels!$A$2:$A$30,MATCH(C2993,Levels!$B$2:$B$30,0)),""))</f>
        <v/>
      </c>
      <c r="E2993" s="10">
        <f>IF(B2993="","",IFERROR(INDEX(Roster!$A$2:$A$600,MATCH(B2993,Roster!$E$2:$E$600,0)),""))</f>
        <v/>
      </c>
      <c r="F2993" s="10">
        <f>IF(C2993="","",IFERROR(INDEX(Levels!$C$2:$C$30,MATCH(C2993,Levels!$B$2:$B$30,0)),""))</f>
        <v/>
      </c>
      <c r="G2993" s="6" t="n"/>
      <c r="H2993" s="10">
        <f>IF(AND(B2993="",C2993=""),"",IF(G2993&lt;&gt;"","Void",IF(OR(B2993="",E2993=""),"Needs child",IF(D2993="","Needs level","OK"))))</f>
        <v/>
      </c>
    </row>
    <row r="2994">
      <c r="A2994" s="6" t="n"/>
      <c r="B2994" s="6" t="n"/>
      <c r="C2994" s="6" t="n"/>
      <c r="D2994" s="11">
        <f>IF(C2994="","",IFERROR(INDEX(Levels!$A$2:$A$30,MATCH(C2994,Levels!$B$2:$B$30,0)),""))</f>
        <v/>
      </c>
      <c r="E2994" s="10">
        <f>IF(B2994="","",IFERROR(INDEX(Roster!$A$2:$A$600,MATCH(B2994,Roster!$E$2:$E$600,0)),""))</f>
        <v/>
      </c>
      <c r="F2994" s="10">
        <f>IF(C2994="","",IFERROR(INDEX(Levels!$C$2:$C$30,MATCH(C2994,Levels!$B$2:$B$30,0)),""))</f>
        <v/>
      </c>
      <c r="G2994" s="6" t="n"/>
      <c r="H2994" s="10">
        <f>IF(AND(B2994="",C2994=""),"",IF(G2994&lt;&gt;"","Void",IF(OR(B2994="",E2994=""),"Needs child",IF(D2994="","Needs level","OK"))))</f>
        <v/>
      </c>
    </row>
    <row r="2995">
      <c r="A2995" s="6" t="n"/>
      <c r="B2995" s="6" t="n"/>
      <c r="C2995" s="6" t="n"/>
      <c r="D2995" s="11">
        <f>IF(C2995="","",IFERROR(INDEX(Levels!$A$2:$A$30,MATCH(C2995,Levels!$B$2:$B$30,0)),""))</f>
        <v/>
      </c>
      <c r="E2995" s="10">
        <f>IF(B2995="","",IFERROR(INDEX(Roster!$A$2:$A$600,MATCH(B2995,Roster!$E$2:$E$600,0)),""))</f>
        <v/>
      </c>
      <c r="F2995" s="10">
        <f>IF(C2995="","",IFERROR(INDEX(Levels!$C$2:$C$30,MATCH(C2995,Levels!$B$2:$B$30,0)),""))</f>
        <v/>
      </c>
      <c r="G2995" s="6" t="n"/>
      <c r="H2995" s="10">
        <f>IF(AND(B2995="",C2995=""),"",IF(G2995&lt;&gt;"","Void",IF(OR(B2995="",E2995=""),"Needs child",IF(D2995="","Needs level","OK"))))</f>
        <v/>
      </c>
    </row>
    <row r="2996">
      <c r="A2996" s="6" t="n"/>
      <c r="B2996" s="6" t="n"/>
      <c r="C2996" s="6" t="n"/>
      <c r="D2996" s="11">
        <f>IF(C2996="","",IFERROR(INDEX(Levels!$A$2:$A$30,MATCH(C2996,Levels!$B$2:$B$30,0)),""))</f>
        <v/>
      </c>
      <c r="E2996" s="10">
        <f>IF(B2996="","",IFERROR(INDEX(Roster!$A$2:$A$600,MATCH(B2996,Roster!$E$2:$E$600,0)),""))</f>
        <v/>
      </c>
      <c r="F2996" s="10">
        <f>IF(C2996="","",IFERROR(INDEX(Levels!$C$2:$C$30,MATCH(C2996,Levels!$B$2:$B$30,0)),""))</f>
        <v/>
      </c>
      <c r="G2996" s="6" t="n"/>
      <c r="H2996" s="10">
        <f>IF(AND(B2996="",C2996=""),"",IF(G2996&lt;&gt;"","Void",IF(OR(B2996="",E2996=""),"Needs child",IF(D2996="","Needs level","OK"))))</f>
        <v/>
      </c>
    </row>
    <row r="2997">
      <c r="A2997" s="6" t="n"/>
      <c r="B2997" s="6" t="n"/>
      <c r="C2997" s="6" t="n"/>
      <c r="D2997" s="11">
        <f>IF(C2997="","",IFERROR(INDEX(Levels!$A$2:$A$30,MATCH(C2997,Levels!$B$2:$B$30,0)),""))</f>
        <v/>
      </c>
      <c r="E2997" s="10">
        <f>IF(B2997="","",IFERROR(INDEX(Roster!$A$2:$A$600,MATCH(B2997,Roster!$E$2:$E$600,0)),""))</f>
        <v/>
      </c>
      <c r="F2997" s="10">
        <f>IF(C2997="","",IFERROR(INDEX(Levels!$C$2:$C$30,MATCH(C2997,Levels!$B$2:$B$30,0)),""))</f>
        <v/>
      </c>
      <c r="G2997" s="6" t="n"/>
      <c r="H2997" s="10">
        <f>IF(AND(B2997="",C2997=""),"",IF(G2997&lt;&gt;"","Void",IF(OR(B2997="",E2997=""),"Needs child",IF(D2997="","Needs level","OK"))))</f>
        <v/>
      </c>
    </row>
    <row r="2998">
      <c r="A2998" s="6" t="n"/>
      <c r="B2998" s="6" t="n"/>
      <c r="C2998" s="6" t="n"/>
      <c r="D2998" s="11">
        <f>IF(C2998="","",IFERROR(INDEX(Levels!$A$2:$A$30,MATCH(C2998,Levels!$B$2:$B$30,0)),""))</f>
        <v/>
      </c>
      <c r="E2998" s="10">
        <f>IF(B2998="","",IFERROR(INDEX(Roster!$A$2:$A$600,MATCH(B2998,Roster!$E$2:$E$600,0)),""))</f>
        <v/>
      </c>
      <c r="F2998" s="10">
        <f>IF(C2998="","",IFERROR(INDEX(Levels!$C$2:$C$30,MATCH(C2998,Levels!$B$2:$B$30,0)),""))</f>
        <v/>
      </c>
      <c r="G2998" s="6" t="n"/>
      <c r="H2998" s="10">
        <f>IF(AND(B2998="",C2998=""),"",IF(G2998&lt;&gt;"","Void",IF(OR(B2998="",E2998=""),"Needs child",IF(D2998="","Needs level","OK"))))</f>
        <v/>
      </c>
    </row>
    <row r="2999">
      <c r="A2999" s="6" t="n"/>
      <c r="B2999" s="6" t="n"/>
      <c r="C2999" s="6" t="n"/>
      <c r="D2999" s="11">
        <f>IF(C2999="","",IFERROR(INDEX(Levels!$A$2:$A$30,MATCH(C2999,Levels!$B$2:$B$30,0)),""))</f>
        <v/>
      </c>
      <c r="E2999" s="10">
        <f>IF(B2999="","",IFERROR(INDEX(Roster!$A$2:$A$600,MATCH(B2999,Roster!$E$2:$E$600,0)),""))</f>
        <v/>
      </c>
      <c r="F2999" s="10">
        <f>IF(C2999="","",IFERROR(INDEX(Levels!$C$2:$C$30,MATCH(C2999,Levels!$B$2:$B$30,0)),""))</f>
        <v/>
      </c>
      <c r="G2999" s="6" t="n"/>
      <c r="H2999" s="10">
        <f>IF(AND(B2999="",C2999=""),"",IF(G2999&lt;&gt;"","Void",IF(OR(B2999="",E2999=""),"Needs child",IF(D2999="","Needs level","OK"))))</f>
        <v/>
      </c>
    </row>
    <row r="3000">
      <c r="A3000" s="6" t="n"/>
      <c r="B3000" s="6" t="n"/>
      <c r="C3000" s="6" t="n"/>
      <c r="D3000" s="11">
        <f>IF(C3000="","",IFERROR(INDEX(Levels!$A$2:$A$30,MATCH(C3000,Levels!$B$2:$B$30,0)),""))</f>
        <v/>
      </c>
      <c r="E3000" s="10">
        <f>IF(B3000="","",IFERROR(INDEX(Roster!$A$2:$A$600,MATCH(B3000,Roster!$E$2:$E$600,0)),""))</f>
        <v/>
      </c>
      <c r="F3000" s="10">
        <f>IF(C3000="","",IFERROR(INDEX(Levels!$C$2:$C$30,MATCH(C3000,Levels!$B$2:$B$30,0)),""))</f>
        <v/>
      </c>
      <c r="G3000" s="6" t="n"/>
      <c r="H3000" s="10">
        <f>IF(AND(B3000="",C3000=""),"",IF(G3000&lt;&gt;"","Void",IF(OR(B3000="",E3000=""),"Needs child",IF(D3000="","Needs level","OK"))))</f>
        <v/>
      </c>
    </row>
  </sheetData>
  <conditionalFormatting sqref="A2:H3000">
    <cfRule type="expression" priority="1" dxfId="0">
      <formula>OR($H2="Needs child",$H2="Needs level")</formula>
    </cfRule>
    <cfRule type="expression" priority="2" dxfId="1">
      <formula>$H2="Void"</formula>
    </cfRule>
  </conditionalFormatting>
  <dataValidations count="3">
    <dataValidation sqref="B2:B3000" showDropDown="0" showInputMessage="0" showErrorMessage="1" allowBlank="1" type="list" errorStyle="stop">
      <formula1>=Roster!$E$2:$E$600</formula1>
    </dataValidation>
    <dataValidation sqref="C2:C3000" showDropDown="0" showInputMessage="0" showErrorMessage="1" allowBlank="1" type="list" errorStyle="stop">
      <formula1>=Levels!$B$2:$B$30</formula1>
    </dataValidation>
    <dataValidation sqref="G2:G3000" showDropDown="0" showInputMessage="0" showErrorMessage="1" allowBlank="1" type="list" errorStyle="stop">
      <formula1>"x"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18" customWidth="1" min="5" max="5"/>
    <col width="20" customWidth="1" min="6" max="6"/>
  </cols>
  <sheetData>
    <row r="1">
      <c r="A1" s="1" t="inlineStr">
        <is>
          <t>Find a child</t>
        </is>
      </c>
    </row>
    <row r="3">
      <c r="A3" s="2" t="inlineStr">
        <is>
          <t>Type part of a name or teacher:</t>
        </is>
      </c>
      <c r="B3" s="12" t="n"/>
    </row>
    <row r="4">
      <c r="A4" s="4" t="inlineStr">
        <is>
          <t>Matches:</t>
        </is>
      </c>
      <c r="B4" s="13">
        <f>COUNT(Roster!$J$2:$J$600)</f>
        <v/>
      </c>
      <c r="C4" s="7">
        <f>IF(B4&gt;25,"Showing the first 25; type more letters to narrow it down.","")</f>
        <v/>
      </c>
    </row>
    <row r="6" ht="32" customHeight="1">
      <c r="A6" s="8" t="inlineStr">
        <is>
          <t>Name</t>
        </is>
      </c>
      <c r="B6" s="8" t="inlineStr">
        <is>
          <t>Teacher</t>
        </is>
      </c>
      <c r="C6" s="8" t="inlineStr">
        <is>
          <t>School year</t>
        </is>
      </c>
      <c r="D6" s="8" t="inlineStr">
        <is>
          <t>Total pages</t>
        </is>
      </c>
      <c r="E6" s="8" t="inlineStr">
        <is>
          <t>Last prize level given</t>
        </is>
      </c>
      <c r="F6" s="8" t="inlineStr">
        <is>
          <t>Highest prize owed</t>
        </is>
      </c>
    </row>
    <row r="7">
      <c r="A7" s="10">
        <f>IFERROR(INDEX(Roster!$B$2:$B$600,MATCH(1,Roster!$J$2:$J$600,0)),"")</f>
        <v/>
      </c>
      <c r="B7" s="10">
        <f>IFERROR(INDEX(Roster!$C$2:$C$600,MATCH(1,Roster!$J$2:$J$600,0)),"")</f>
        <v/>
      </c>
      <c r="C7" s="10">
        <f>IFERROR(INDEX(Roster!$D$2:$D$600,MATCH(1,Roster!$J$2:$J$600,0)),"")</f>
        <v/>
      </c>
      <c r="D7" s="11">
        <f>IFERROR(INDEX(Roster!$F$2:$F$600,MATCH(1,Roster!$J$2:$J$600,0)),"")</f>
        <v/>
      </c>
      <c r="E7" s="11">
        <f>IFERROR(INDEX(Roster!$G$2:$G$600,MATCH(1,Roster!$J$2:$J$600,0)),"")</f>
        <v/>
      </c>
      <c r="F7" s="10">
        <f>IFERROR(INDEX(Roster!$H$2:$H$600,MATCH(1,Roster!$J$2:$J$600,0)),"")</f>
        <v/>
      </c>
    </row>
    <row r="8">
      <c r="A8" s="10">
        <f>IFERROR(INDEX(Roster!$B$2:$B$600,MATCH(2,Roster!$J$2:$J$600,0)),"")</f>
        <v/>
      </c>
      <c r="B8" s="10">
        <f>IFERROR(INDEX(Roster!$C$2:$C$600,MATCH(2,Roster!$J$2:$J$600,0)),"")</f>
        <v/>
      </c>
      <c r="C8" s="10">
        <f>IFERROR(INDEX(Roster!$D$2:$D$600,MATCH(2,Roster!$J$2:$J$600,0)),"")</f>
        <v/>
      </c>
      <c r="D8" s="11">
        <f>IFERROR(INDEX(Roster!$F$2:$F$600,MATCH(2,Roster!$J$2:$J$600,0)),"")</f>
        <v/>
      </c>
      <c r="E8" s="11">
        <f>IFERROR(INDEX(Roster!$G$2:$G$600,MATCH(2,Roster!$J$2:$J$600,0)),"")</f>
        <v/>
      </c>
      <c r="F8" s="10">
        <f>IFERROR(INDEX(Roster!$H$2:$H$600,MATCH(2,Roster!$J$2:$J$600,0)),"")</f>
        <v/>
      </c>
    </row>
    <row r="9">
      <c r="A9" s="10">
        <f>IFERROR(INDEX(Roster!$B$2:$B$600,MATCH(3,Roster!$J$2:$J$600,0)),"")</f>
        <v/>
      </c>
      <c r="B9" s="10">
        <f>IFERROR(INDEX(Roster!$C$2:$C$600,MATCH(3,Roster!$J$2:$J$600,0)),"")</f>
        <v/>
      </c>
      <c r="C9" s="10">
        <f>IFERROR(INDEX(Roster!$D$2:$D$600,MATCH(3,Roster!$J$2:$J$600,0)),"")</f>
        <v/>
      </c>
      <c r="D9" s="11">
        <f>IFERROR(INDEX(Roster!$F$2:$F$600,MATCH(3,Roster!$J$2:$J$600,0)),"")</f>
        <v/>
      </c>
      <c r="E9" s="11">
        <f>IFERROR(INDEX(Roster!$G$2:$G$600,MATCH(3,Roster!$J$2:$J$600,0)),"")</f>
        <v/>
      </c>
      <c r="F9" s="10">
        <f>IFERROR(INDEX(Roster!$H$2:$H$600,MATCH(3,Roster!$J$2:$J$600,0)),"")</f>
        <v/>
      </c>
    </row>
    <row r="10">
      <c r="A10" s="10">
        <f>IFERROR(INDEX(Roster!$B$2:$B$600,MATCH(4,Roster!$J$2:$J$600,0)),"")</f>
        <v/>
      </c>
      <c r="B10" s="10">
        <f>IFERROR(INDEX(Roster!$C$2:$C$600,MATCH(4,Roster!$J$2:$J$600,0)),"")</f>
        <v/>
      </c>
      <c r="C10" s="10">
        <f>IFERROR(INDEX(Roster!$D$2:$D$600,MATCH(4,Roster!$J$2:$J$600,0)),"")</f>
        <v/>
      </c>
      <c r="D10" s="11">
        <f>IFERROR(INDEX(Roster!$F$2:$F$600,MATCH(4,Roster!$J$2:$J$600,0)),"")</f>
        <v/>
      </c>
      <c r="E10" s="11">
        <f>IFERROR(INDEX(Roster!$G$2:$G$600,MATCH(4,Roster!$J$2:$J$600,0)),"")</f>
        <v/>
      </c>
      <c r="F10" s="10">
        <f>IFERROR(INDEX(Roster!$H$2:$H$600,MATCH(4,Roster!$J$2:$J$600,0)),"")</f>
        <v/>
      </c>
    </row>
    <row r="11">
      <c r="A11" s="10">
        <f>IFERROR(INDEX(Roster!$B$2:$B$600,MATCH(5,Roster!$J$2:$J$600,0)),"")</f>
        <v/>
      </c>
      <c r="B11" s="10">
        <f>IFERROR(INDEX(Roster!$C$2:$C$600,MATCH(5,Roster!$J$2:$J$600,0)),"")</f>
        <v/>
      </c>
      <c r="C11" s="10">
        <f>IFERROR(INDEX(Roster!$D$2:$D$600,MATCH(5,Roster!$J$2:$J$600,0)),"")</f>
        <v/>
      </c>
      <c r="D11" s="11">
        <f>IFERROR(INDEX(Roster!$F$2:$F$600,MATCH(5,Roster!$J$2:$J$600,0)),"")</f>
        <v/>
      </c>
      <c r="E11" s="11">
        <f>IFERROR(INDEX(Roster!$G$2:$G$600,MATCH(5,Roster!$J$2:$J$600,0)),"")</f>
        <v/>
      </c>
      <c r="F11" s="10">
        <f>IFERROR(INDEX(Roster!$H$2:$H$600,MATCH(5,Roster!$J$2:$J$600,0)),"")</f>
        <v/>
      </c>
    </row>
    <row r="12">
      <c r="A12" s="10">
        <f>IFERROR(INDEX(Roster!$B$2:$B$600,MATCH(6,Roster!$J$2:$J$600,0)),"")</f>
        <v/>
      </c>
      <c r="B12" s="10">
        <f>IFERROR(INDEX(Roster!$C$2:$C$600,MATCH(6,Roster!$J$2:$J$600,0)),"")</f>
        <v/>
      </c>
      <c r="C12" s="10">
        <f>IFERROR(INDEX(Roster!$D$2:$D$600,MATCH(6,Roster!$J$2:$J$600,0)),"")</f>
        <v/>
      </c>
      <c r="D12" s="11">
        <f>IFERROR(INDEX(Roster!$F$2:$F$600,MATCH(6,Roster!$J$2:$J$600,0)),"")</f>
        <v/>
      </c>
      <c r="E12" s="11">
        <f>IFERROR(INDEX(Roster!$G$2:$G$600,MATCH(6,Roster!$J$2:$J$600,0)),"")</f>
        <v/>
      </c>
      <c r="F12" s="10">
        <f>IFERROR(INDEX(Roster!$H$2:$H$600,MATCH(6,Roster!$J$2:$J$600,0)),"")</f>
        <v/>
      </c>
    </row>
    <row r="13">
      <c r="A13" s="10">
        <f>IFERROR(INDEX(Roster!$B$2:$B$600,MATCH(7,Roster!$J$2:$J$600,0)),"")</f>
        <v/>
      </c>
      <c r="B13" s="10">
        <f>IFERROR(INDEX(Roster!$C$2:$C$600,MATCH(7,Roster!$J$2:$J$600,0)),"")</f>
        <v/>
      </c>
      <c r="C13" s="10">
        <f>IFERROR(INDEX(Roster!$D$2:$D$600,MATCH(7,Roster!$J$2:$J$600,0)),"")</f>
        <v/>
      </c>
      <c r="D13" s="11">
        <f>IFERROR(INDEX(Roster!$F$2:$F$600,MATCH(7,Roster!$J$2:$J$600,0)),"")</f>
        <v/>
      </c>
      <c r="E13" s="11">
        <f>IFERROR(INDEX(Roster!$G$2:$G$600,MATCH(7,Roster!$J$2:$J$600,0)),"")</f>
        <v/>
      </c>
      <c r="F13" s="10">
        <f>IFERROR(INDEX(Roster!$H$2:$H$600,MATCH(7,Roster!$J$2:$J$600,0)),"")</f>
        <v/>
      </c>
    </row>
    <row r="14">
      <c r="A14" s="10">
        <f>IFERROR(INDEX(Roster!$B$2:$B$600,MATCH(8,Roster!$J$2:$J$600,0)),"")</f>
        <v/>
      </c>
      <c r="B14" s="10">
        <f>IFERROR(INDEX(Roster!$C$2:$C$600,MATCH(8,Roster!$J$2:$J$600,0)),"")</f>
        <v/>
      </c>
      <c r="C14" s="10">
        <f>IFERROR(INDEX(Roster!$D$2:$D$600,MATCH(8,Roster!$J$2:$J$600,0)),"")</f>
        <v/>
      </c>
      <c r="D14" s="11">
        <f>IFERROR(INDEX(Roster!$F$2:$F$600,MATCH(8,Roster!$J$2:$J$600,0)),"")</f>
        <v/>
      </c>
      <c r="E14" s="11">
        <f>IFERROR(INDEX(Roster!$G$2:$G$600,MATCH(8,Roster!$J$2:$J$600,0)),"")</f>
        <v/>
      </c>
      <c r="F14" s="10">
        <f>IFERROR(INDEX(Roster!$H$2:$H$600,MATCH(8,Roster!$J$2:$J$600,0)),"")</f>
        <v/>
      </c>
    </row>
    <row r="15">
      <c r="A15" s="10">
        <f>IFERROR(INDEX(Roster!$B$2:$B$600,MATCH(9,Roster!$J$2:$J$600,0)),"")</f>
        <v/>
      </c>
      <c r="B15" s="10">
        <f>IFERROR(INDEX(Roster!$C$2:$C$600,MATCH(9,Roster!$J$2:$J$600,0)),"")</f>
        <v/>
      </c>
      <c r="C15" s="10">
        <f>IFERROR(INDEX(Roster!$D$2:$D$600,MATCH(9,Roster!$J$2:$J$600,0)),"")</f>
        <v/>
      </c>
      <c r="D15" s="11">
        <f>IFERROR(INDEX(Roster!$F$2:$F$600,MATCH(9,Roster!$J$2:$J$600,0)),"")</f>
        <v/>
      </c>
      <c r="E15" s="11">
        <f>IFERROR(INDEX(Roster!$G$2:$G$600,MATCH(9,Roster!$J$2:$J$600,0)),"")</f>
        <v/>
      </c>
      <c r="F15" s="10">
        <f>IFERROR(INDEX(Roster!$H$2:$H$600,MATCH(9,Roster!$J$2:$J$600,0)),"")</f>
        <v/>
      </c>
    </row>
    <row r="16">
      <c r="A16" s="10">
        <f>IFERROR(INDEX(Roster!$B$2:$B$600,MATCH(10,Roster!$J$2:$J$600,0)),"")</f>
        <v/>
      </c>
      <c r="B16" s="10">
        <f>IFERROR(INDEX(Roster!$C$2:$C$600,MATCH(10,Roster!$J$2:$J$600,0)),"")</f>
        <v/>
      </c>
      <c r="C16" s="10">
        <f>IFERROR(INDEX(Roster!$D$2:$D$600,MATCH(10,Roster!$J$2:$J$600,0)),"")</f>
        <v/>
      </c>
      <c r="D16" s="11">
        <f>IFERROR(INDEX(Roster!$F$2:$F$600,MATCH(10,Roster!$J$2:$J$600,0)),"")</f>
        <v/>
      </c>
      <c r="E16" s="11">
        <f>IFERROR(INDEX(Roster!$G$2:$G$600,MATCH(10,Roster!$J$2:$J$600,0)),"")</f>
        <v/>
      </c>
      <c r="F16" s="10">
        <f>IFERROR(INDEX(Roster!$H$2:$H$600,MATCH(10,Roster!$J$2:$J$600,0)),"")</f>
        <v/>
      </c>
    </row>
    <row r="17">
      <c r="A17" s="10">
        <f>IFERROR(INDEX(Roster!$B$2:$B$600,MATCH(11,Roster!$J$2:$J$600,0)),"")</f>
        <v/>
      </c>
      <c r="B17" s="10">
        <f>IFERROR(INDEX(Roster!$C$2:$C$600,MATCH(11,Roster!$J$2:$J$600,0)),"")</f>
        <v/>
      </c>
      <c r="C17" s="10">
        <f>IFERROR(INDEX(Roster!$D$2:$D$600,MATCH(11,Roster!$J$2:$J$600,0)),"")</f>
        <v/>
      </c>
      <c r="D17" s="11">
        <f>IFERROR(INDEX(Roster!$F$2:$F$600,MATCH(11,Roster!$J$2:$J$600,0)),"")</f>
        <v/>
      </c>
      <c r="E17" s="11">
        <f>IFERROR(INDEX(Roster!$G$2:$G$600,MATCH(11,Roster!$J$2:$J$600,0)),"")</f>
        <v/>
      </c>
      <c r="F17" s="10">
        <f>IFERROR(INDEX(Roster!$H$2:$H$600,MATCH(11,Roster!$J$2:$J$600,0)),"")</f>
        <v/>
      </c>
    </row>
    <row r="18">
      <c r="A18" s="10">
        <f>IFERROR(INDEX(Roster!$B$2:$B$600,MATCH(12,Roster!$J$2:$J$600,0)),"")</f>
        <v/>
      </c>
      <c r="B18" s="10">
        <f>IFERROR(INDEX(Roster!$C$2:$C$600,MATCH(12,Roster!$J$2:$J$600,0)),"")</f>
        <v/>
      </c>
      <c r="C18" s="10">
        <f>IFERROR(INDEX(Roster!$D$2:$D$600,MATCH(12,Roster!$J$2:$J$600,0)),"")</f>
        <v/>
      </c>
      <c r="D18" s="11">
        <f>IFERROR(INDEX(Roster!$F$2:$F$600,MATCH(12,Roster!$J$2:$J$600,0)),"")</f>
        <v/>
      </c>
      <c r="E18" s="11">
        <f>IFERROR(INDEX(Roster!$G$2:$G$600,MATCH(12,Roster!$J$2:$J$600,0)),"")</f>
        <v/>
      </c>
      <c r="F18" s="10">
        <f>IFERROR(INDEX(Roster!$H$2:$H$600,MATCH(12,Roster!$J$2:$J$600,0)),"")</f>
        <v/>
      </c>
    </row>
    <row r="19">
      <c r="A19" s="10">
        <f>IFERROR(INDEX(Roster!$B$2:$B$600,MATCH(13,Roster!$J$2:$J$600,0)),"")</f>
        <v/>
      </c>
      <c r="B19" s="10">
        <f>IFERROR(INDEX(Roster!$C$2:$C$600,MATCH(13,Roster!$J$2:$J$600,0)),"")</f>
        <v/>
      </c>
      <c r="C19" s="10">
        <f>IFERROR(INDEX(Roster!$D$2:$D$600,MATCH(13,Roster!$J$2:$J$600,0)),"")</f>
        <v/>
      </c>
      <c r="D19" s="11">
        <f>IFERROR(INDEX(Roster!$F$2:$F$600,MATCH(13,Roster!$J$2:$J$600,0)),"")</f>
        <v/>
      </c>
      <c r="E19" s="11">
        <f>IFERROR(INDEX(Roster!$G$2:$G$600,MATCH(13,Roster!$J$2:$J$600,0)),"")</f>
        <v/>
      </c>
      <c r="F19" s="10">
        <f>IFERROR(INDEX(Roster!$H$2:$H$600,MATCH(13,Roster!$J$2:$J$600,0)),"")</f>
        <v/>
      </c>
    </row>
    <row r="20">
      <c r="A20" s="10">
        <f>IFERROR(INDEX(Roster!$B$2:$B$600,MATCH(14,Roster!$J$2:$J$600,0)),"")</f>
        <v/>
      </c>
      <c r="B20" s="10">
        <f>IFERROR(INDEX(Roster!$C$2:$C$600,MATCH(14,Roster!$J$2:$J$600,0)),"")</f>
        <v/>
      </c>
      <c r="C20" s="10">
        <f>IFERROR(INDEX(Roster!$D$2:$D$600,MATCH(14,Roster!$J$2:$J$600,0)),"")</f>
        <v/>
      </c>
      <c r="D20" s="11">
        <f>IFERROR(INDEX(Roster!$F$2:$F$600,MATCH(14,Roster!$J$2:$J$600,0)),"")</f>
        <v/>
      </c>
      <c r="E20" s="11">
        <f>IFERROR(INDEX(Roster!$G$2:$G$600,MATCH(14,Roster!$J$2:$J$600,0)),"")</f>
        <v/>
      </c>
      <c r="F20" s="10">
        <f>IFERROR(INDEX(Roster!$H$2:$H$600,MATCH(14,Roster!$J$2:$J$600,0)),"")</f>
        <v/>
      </c>
    </row>
    <row r="21">
      <c r="A21" s="10">
        <f>IFERROR(INDEX(Roster!$B$2:$B$600,MATCH(15,Roster!$J$2:$J$600,0)),"")</f>
        <v/>
      </c>
      <c r="B21" s="10">
        <f>IFERROR(INDEX(Roster!$C$2:$C$600,MATCH(15,Roster!$J$2:$J$600,0)),"")</f>
        <v/>
      </c>
      <c r="C21" s="10">
        <f>IFERROR(INDEX(Roster!$D$2:$D$600,MATCH(15,Roster!$J$2:$J$600,0)),"")</f>
        <v/>
      </c>
      <c r="D21" s="11">
        <f>IFERROR(INDEX(Roster!$F$2:$F$600,MATCH(15,Roster!$J$2:$J$600,0)),"")</f>
        <v/>
      </c>
      <c r="E21" s="11">
        <f>IFERROR(INDEX(Roster!$G$2:$G$600,MATCH(15,Roster!$J$2:$J$600,0)),"")</f>
        <v/>
      </c>
      <c r="F21" s="10">
        <f>IFERROR(INDEX(Roster!$H$2:$H$600,MATCH(15,Roster!$J$2:$J$600,0)),"")</f>
        <v/>
      </c>
    </row>
    <row r="22">
      <c r="A22" s="10">
        <f>IFERROR(INDEX(Roster!$B$2:$B$600,MATCH(16,Roster!$J$2:$J$600,0)),"")</f>
        <v/>
      </c>
      <c r="B22" s="10">
        <f>IFERROR(INDEX(Roster!$C$2:$C$600,MATCH(16,Roster!$J$2:$J$600,0)),"")</f>
        <v/>
      </c>
      <c r="C22" s="10">
        <f>IFERROR(INDEX(Roster!$D$2:$D$600,MATCH(16,Roster!$J$2:$J$600,0)),"")</f>
        <v/>
      </c>
      <c r="D22" s="11">
        <f>IFERROR(INDEX(Roster!$F$2:$F$600,MATCH(16,Roster!$J$2:$J$600,0)),"")</f>
        <v/>
      </c>
      <c r="E22" s="11">
        <f>IFERROR(INDEX(Roster!$G$2:$G$600,MATCH(16,Roster!$J$2:$J$600,0)),"")</f>
        <v/>
      </c>
      <c r="F22" s="10">
        <f>IFERROR(INDEX(Roster!$H$2:$H$600,MATCH(16,Roster!$J$2:$J$600,0)),"")</f>
        <v/>
      </c>
    </row>
    <row r="23">
      <c r="A23" s="10">
        <f>IFERROR(INDEX(Roster!$B$2:$B$600,MATCH(17,Roster!$J$2:$J$600,0)),"")</f>
        <v/>
      </c>
      <c r="B23" s="10">
        <f>IFERROR(INDEX(Roster!$C$2:$C$600,MATCH(17,Roster!$J$2:$J$600,0)),"")</f>
        <v/>
      </c>
      <c r="C23" s="10">
        <f>IFERROR(INDEX(Roster!$D$2:$D$600,MATCH(17,Roster!$J$2:$J$600,0)),"")</f>
        <v/>
      </c>
      <c r="D23" s="11">
        <f>IFERROR(INDEX(Roster!$F$2:$F$600,MATCH(17,Roster!$J$2:$J$600,0)),"")</f>
        <v/>
      </c>
      <c r="E23" s="11">
        <f>IFERROR(INDEX(Roster!$G$2:$G$600,MATCH(17,Roster!$J$2:$J$600,0)),"")</f>
        <v/>
      </c>
      <c r="F23" s="10">
        <f>IFERROR(INDEX(Roster!$H$2:$H$600,MATCH(17,Roster!$J$2:$J$600,0)),"")</f>
        <v/>
      </c>
    </row>
    <row r="24">
      <c r="A24" s="10">
        <f>IFERROR(INDEX(Roster!$B$2:$B$600,MATCH(18,Roster!$J$2:$J$600,0)),"")</f>
        <v/>
      </c>
      <c r="B24" s="10">
        <f>IFERROR(INDEX(Roster!$C$2:$C$600,MATCH(18,Roster!$J$2:$J$600,0)),"")</f>
        <v/>
      </c>
      <c r="C24" s="10">
        <f>IFERROR(INDEX(Roster!$D$2:$D$600,MATCH(18,Roster!$J$2:$J$600,0)),"")</f>
        <v/>
      </c>
      <c r="D24" s="11">
        <f>IFERROR(INDEX(Roster!$F$2:$F$600,MATCH(18,Roster!$J$2:$J$600,0)),"")</f>
        <v/>
      </c>
      <c r="E24" s="11">
        <f>IFERROR(INDEX(Roster!$G$2:$G$600,MATCH(18,Roster!$J$2:$J$600,0)),"")</f>
        <v/>
      </c>
      <c r="F24" s="10">
        <f>IFERROR(INDEX(Roster!$H$2:$H$600,MATCH(18,Roster!$J$2:$J$600,0)),"")</f>
        <v/>
      </c>
    </row>
    <row r="25">
      <c r="A25" s="10">
        <f>IFERROR(INDEX(Roster!$B$2:$B$600,MATCH(19,Roster!$J$2:$J$600,0)),"")</f>
        <v/>
      </c>
      <c r="B25" s="10">
        <f>IFERROR(INDEX(Roster!$C$2:$C$600,MATCH(19,Roster!$J$2:$J$600,0)),"")</f>
        <v/>
      </c>
      <c r="C25" s="10">
        <f>IFERROR(INDEX(Roster!$D$2:$D$600,MATCH(19,Roster!$J$2:$J$600,0)),"")</f>
        <v/>
      </c>
      <c r="D25" s="11">
        <f>IFERROR(INDEX(Roster!$F$2:$F$600,MATCH(19,Roster!$J$2:$J$600,0)),"")</f>
        <v/>
      </c>
      <c r="E25" s="11">
        <f>IFERROR(INDEX(Roster!$G$2:$G$600,MATCH(19,Roster!$J$2:$J$600,0)),"")</f>
        <v/>
      </c>
      <c r="F25" s="10">
        <f>IFERROR(INDEX(Roster!$H$2:$H$600,MATCH(19,Roster!$J$2:$J$600,0)),"")</f>
        <v/>
      </c>
    </row>
    <row r="26">
      <c r="A26" s="10">
        <f>IFERROR(INDEX(Roster!$B$2:$B$600,MATCH(20,Roster!$J$2:$J$600,0)),"")</f>
        <v/>
      </c>
      <c r="B26" s="10">
        <f>IFERROR(INDEX(Roster!$C$2:$C$600,MATCH(20,Roster!$J$2:$J$600,0)),"")</f>
        <v/>
      </c>
      <c r="C26" s="10">
        <f>IFERROR(INDEX(Roster!$D$2:$D$600,MATCH(20,Roster!$J$2:$J$600,0)),"")</f>
        <v/>
      </c>
      <c r="D26" s="11">
        <f>IFERROR(INDEX(Roster!$F$2:$F$600,MATCH(20,Roster!$J$2:$J$600,0)),"")</f>
        <v/>
      </c>
      <c r="E26" s="11">
        <f>IFERROR(INDEX(Roster!$G$2:$G$600,MATCH(20,Roster!$J$2:$J$600,0)),"")</f>
        <v/>
      </c>
      <c r="F26" s="10">
        <f>IFERROR(INDEX(Roster!$H$2:$H$600,MATCH(20,Roster!$J$2:$J$600,0)),"")</f>
        <v/>
      </c>
    </row>
    <row r="27">
      <c r="A27" s="10">
        <f>IFERROR(INDEX(Roster!$B$2:$B$600,MATCH(21,Roster!$J$2:$J$600,0)),"")</f>
        <v/>
      </c>
      <c r="B27" s="10">
        <f>IFERROR(INDEX(Roster!$C$2:$C$600,MATCH(21,Roster!$J$2:$J$600,0)),"")</f>
        <v/>
      </c>
      <c r="C27" s="10">
        <f>IFERROR(INDEX(Roster!$D$2:$D$600,MATCH(21,Roster!$J$2:$J$600,0)),"")</f>
        <v/>
      </c>
      <c r="D27" s="11">
        <f>IFERROR(INDEX(Roster!$F$2:$F$600,MATCH(21,Roster!$J$2:$J$600,0)),"")</f>
        <v/>
      </c>
      <c r="E27" s="11">
        <f>IFERROR(INDEX(Roster!$G$2:$G$600,MATCH(21,Roster!$J$2:$J$600,0)),"")</f>
        <v/>
      </c>
      <c r="F27" s="10">
        <f>IFERROR(INDEX(Roster!$H$2:$H$600,MATCH(21,Roster!$J$2:$J$600,0)),"")</f>
        <v/>
      </c>
    </row>
    <row r="28">
      <c r="A28" s="10">
        <f>IFERROR(INDEX(Roster!$B$2:$B$600,MATCH(22,Roster!$J$2:$J$600,0)),"")</f>
        <v/>
      </c>
      <c r="B28" s="10">
        <f>IFERROR(INDEX(Roster!$C$2:$C$600,MATCH(22,Roster!$J$2:$J$600,0)),"")</f>
        <v/>
      </c>
      <c r="C28" s="10">
        <f>IFERROR(INDEX(Roster!$D$2:$D$600,MATCH(22,Roster!$J$2:$J$600,0)),"")</f>
        <v/>
      </c>
      <c r="D28" s="11">
        <f>IFERROR(INDEX(Roster!$F$2:$F$600,MATCH(22,Roster!$J$2:$J$600,0)),"")</f>
        <v/>
      </c>
      <c r="E28" s="11">
        <f>IFERROR(INDEX(Roster!$G$2:$G$600,MATCH(22,Roster!$J$2:$J$600,0)),"")</f>
        <v/>
      </c>
      <c r="F28" s="10">
        <f>IFERROR(INDEX(Roster!$H$2:$H$600,MATCH(22,Roster!$J$2:$J$600,0)),"")</f>
        <v/>
      </c>
    </row>
    <row r="29">
      <c r="A29" s="10">
        <f>IFERROR(INDEX(Roster!$B$2:$B$600,MATCH(23,Roster!$J$2:$J$600,0)),"")</f>
        <v/>
      </c>
      <c r="B29" s="10">
        <f>IFERROR(INDEX(Roster!$C$2:$C$600,MATCH(23,Roster!$J$2:$J$600,0)),"")</f>
        <v/>
      </c>
      <c r="C29" s="10">
        <f>IFERROR(INDEX(Roster!$D$2:$D$600,MATCH(23,Roster!$J$2:$J$600,0)),"")</f>
        <v/>
      </c>
      <c r="D29" s="11">
        <f>IFERROR(INDEX(Roster!$F$2:$F$600,MATCH(23,Roster!$J$2:$J$600,0)),"")</f>
        <v/>
      </c>
      <c r="E29" s="11">
        <f>IFERROR(INDEX(Roster!$G$2:$G$600,MATCH(23,Roster!$J$2:$J$600,0)),"")</f>
        <v/>
      </c>
      <c r="F29" s="10">
        <f>IFERROR(INDEX(Roster!$H$2:$H$600,MATCH(23,Roster!$J$2:$J$600,0)),"")</f>
        <v/>
      </c>
    </row>
    <row r="30">
      <c r="A30" s="10">
        <f>IFERROR(INDEX(Roster!$B$2:$B$600,MATCH(24,Roster!$J$2:$J$600,0)),"")</f>
        <v/>
      </c>
      <c r="B30" s="10">
        <f>IFERROR(INDEX(Roster!$C$2:$C$600,MATCH(24,Roster!$J$2:$J$600,0)),"")</f>
        <v/>
      </c>
      <c r="C30" s="10">
        <f>IFERROR(INDEX(Roster!$D$2:$D$600,MATCH(24,Roster!$J$2:$J$600,0)),"")</f>
        <v/>
      </c>
      <c r="D30" s="11">
        <f>IFERROR(INDEX(Roster!$F$2:$F$600,MATCH(24,Roster!$J$2:$J$600,0)),"")</f>
        <v/>
      </c>
      <c r="E30" s="11">
        <f>IFERROR(INDEX(Roster!$G$2:$G$600,MATCH(24,Roster!$J$2:$J$600,0)),"")</f>
        <v/>
      </c>
      <c r="F30" s="10">
        <f>IFERROR(INDEX(Roster!$H$2:$H$600,MATCH(24,Roster!$J$2:$J$600,0)),"")</f>
        <v/>
      </c>
    </row>
    <row r="31">
      <c r="A31" s="10">
        <f>IFERROR(INDEX(Roster!$B$2:$B$600,MATCH(25,Roster!$J$2:$J$600,0)),"")</f>
        <v/>
      </c>
      <c r="B31" s="10">
        <f>IFERROR(INDEX(Roster!$C$2:$C$600,MATCH(25,Roster!$J$2:$J$600,0)),"")</f>
        <v/>
      </c>
      <c r="C31" s="10">
        <f>IFERROR(INDEX(Roster!$D$2:$D$600,MATCH(25,Roster!$J$2:$J$600,0)),"")</f>
        <v/>
      </c>
      <c r="D31" s="11">
        <f>IFERROR(INDEX(Roster!$F$2:$F$600,MATCH(25,Roster!$J$2:$J$600,0)),"")</f>
        <v/>
      </c>
      <c r="E31" s="11">
        <f>IFERROR(INDEX(Roster!$G$2:$G$600,MATCH(25,Roster!$J$2:$J$600,0)),"")</f>
        <v/>
      </c>
      <c r="F31" s="10">
        <f>IFERROR(INDEX(Roster!$H$2:$H$600,MATCH(25,Roster!$J$2:$J$600,0)),"")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2" customWidth="1" min="4" max="4"/>
    <col width="36" customWidth="1" min="5" max="5"/>
    <col width="12" customWidth="1" min="6" max="6"/>
    <col width="14" customWidth="1" min="7" max="7"/>
    <col width="18" customWidth="1" min="8" max="8"/>
    <col width="10" customWidth="1" min="9" max="9"/>
    <col width="10" customWidth="1" min="10" max="10"/>
  </cols>
  <sheetData>
    <row r="1" ht="32" customHeight="1">
      <c r="A1" s="8" t="inlineStr">
        <is>
          <t>Child ID</t>
        </is>
      </c>
      <c r="B1" s="8" t="inlineStr">
        <is>
          <t>Name</t>
        </is>
      </c>
      <c r="C1" s="8" t="inlineStr">
        <is>
          <t>Teacher</t>
        </is>
      </c>
      <c r="D1" s="8" t="inlineStr">
        <is>
          <t>School year</t>
        </is>
      </c>
      <c r="E1" s="8" t="inlineStr">
        <is>
          <t>Pick-list name</t>
        </is>
      </c>
      <c r="F1" s="8" t="inlineStr">
        <is>
          <t>Total pages</t>
        </is>
      </c>
      <c r="G1" s="8" t="inlineStr">
        <is>
          <t>Last prize level given</t>
        </is>
      </c>
      <c r="H1" s="8" t="inlineStr">
        <is>
          <t>Highest prize owed</t>
        </is>
      </c>
      <c r="I1" s="8" t="inlineStr">
        <is>
          <t>Levels owed</t>
        </is>
      </c>
      <c r="J1" s="8" t="inlineStr">
        <is>
          <t>Search helper</t>
        </is>
      </c>
    </row>
    <row r="2">
      <c r="A2" s="10" t="inlineStr">
        <is>
          <t>C0001</t>
        </is>
      </c>
      <c r="B2" s="6" t="n"/>
      <c r="C2" s="6" t="n"/>
      <c r="D2" s="6" t="n"/>
      <c r="E2" s="10">
        <f>IF(B2="","",IF(COUNTIFS($B$2:$B$600,B2,$C$2:$C$600,C2)&gt;1,B2&amp;" ("&amp;C2&amp;") "&amp;A2,B2&amp;" ("&amp;C2&amp;")"))</f>
        <v/>
      </c>
      <c r="F2" s="11">
        <f>IF(B2="","",SUMIFS(Entries!$J$2:$J$3000,Entries!$H$2:$H$3000,A2))</f>
        <v/>
      </c>
      <c r="G2" s="11">
        <f>IF(B2="","",_xlfn.MAXIFS(Prizes!$D$2:$D$3000,Prizes!$E$2:$E$3000,A2,Prizes!$G$2:$G$3000,""))</f>
        <v/>
      </c>
      <c r="H2" s="10">
        <f>IF(B2="","",IF(_xlfn.MAXIFS(Levels!$A$2:$A$30,Levels!$A$2:$A$30,"&lt;="&amp;F2)&gt;G2,INDEX(Levels!$B$2:$B$30,MATCH(_xlfn.MAXIFS(Levels!$A$2:$A$30,Levels!$A$2:$A$30,"&lt;="&amp;F2),Levels!$A$2:$A$30,0)),""))</f>
        <v/>
      </c>
      <c r="I2" s="10">
        <f>IF(B2="","",COUNTIFS(Levels!$A$2:$A$30,"&lt;="&amp;F2,Levels!$A$2:$A$30,"&gt;"&amp;G2))</f>
        <v/>
      </c>
      <c r="J2" s="10">
        <f>IF(OR(B2="",TRIM('Find a child'!$B$3)=""),"",IF(ISNUMBER(SEARCH(TRIM('Find a child'!$B$3),B2&amp;" "&amp;C2)),COUNT(J$1:J1)+1,""))</f>
        <v/>
      </c>
    </row>
    <row r="3">
      <c r="A3" s="10" t="inlineStr">
        <is>
          <t>C0002</t>
        </is>
      </c>
      <c r="B3" s="6" t="n"/>
      <c r="C3" s="6" t="n"/>
      <c r="D3" s="6" t="n"/>
      <c r="E3" s="10">
        <f>IF(B3="","",IF(COUNTIFS($B$2:$B$600,B3,$C$2:$C$600,C3)&gt;1,B3&amp;" ("&amp;C3&amp;") "&amp;A3,B3&amp;" ("&amp;C3&amp;")"))</f>
        <v/>
      </c>
      <c r="F3" s="11">
        <f>IF(B3="","",SUMIFS(Entries!$J$2:$J$3000,Entries!$H$2:$H$3000,A3))</f>
        <v/>
      </c>
      <c r="G3" s="11">
        <f>IF(B3="","",_xlfn.MAXIFS(Prizes!$D$2:$D$3000,Prizes!$E$2:$E$3000,A3,Prizes!$G$2:$G$3000,""))</f>
        <v/>
      </c>
      <c r="H3" s="10">
        <f>IF(B3="","",IF(_xlfn.MAXIFS(Levels!$A$2:$A$30,Levels!$A$2:$A$30,"&lt;="&amp;F3)&gt;G3,INDEX(Levels!$B$2:$B$30,MATCH(_xlfn.MAXIFS(Levels!$A$2:$A$30,Levels!$A$2:$A$30,"&lt;="&amp;F3),Levels!$A$2:$A$30,0)),""))</f>
        <v/>
      </c>
      <c r="I3" s="10">
        <f>IF(B3="","",COUNTIFS(Levels!$A$2:$A$30,"&lt;="&amp;F3,Levels!$A$2:$A$30,"&gt;"&amp;G3))</f>
        <v/>
      </c>
      <c r="J3" s="10">
        <f>IF(OR(B3="",TRIM('Find a child'!$B$3)=""),"",IF(ISNUMBER(SEARCH(TRIM('Find a child'!$B$3),B3&amp;" "&amp;C3)),COUNT(J$1:J2)+1,""))</f>
        <v/>
      </c>
    </row>
    <row r="4">
      <c r="A4" s="10" t="inlineStr">
        <is>
          <t>C0003</t>
        </is>
      </c>
      <c r="B4" s="6" t="n"/>
      <c r="C4" s="6" t="n"/>
      <c r="D4" s="6" t="n"/>
      <c r="E4" s="10">
        <f>IF(B4="","",IF(COUNTIFS($B$2:$B$600,B4,$C$2:$C$600,C4)&gt;1,B4&amp;" ("&amp;C4&amp;") "&amp;A4,B4&amp;" ("&amp;C4&amp;")"))</f>
        <v/>
      </c>
      <c r="F4" s="11">
        <f>IF(B4="","",SUMIFS(Entries!$J$2:$J$3000,Entries!$H$2:$H$3000,A4))</f>
        <v/>
      </c>
      <c r="G4" s="11">
        <f>IF(B4="","",_xlfn.MAXIFS(Prizes!$D$2:$D$3000,Prizes!$E$2:$E$3000,A4,Prizes!$G$2:$G$3000,""))</f>
        <v/>
      </c>
      <c r="H4" s="10">
        <f>IF(B4="","",IF(_xlfn.MAXIFS(Levels!$A$2:$A$30,Levels!$A$2:$A$30,"&lt;="&amp;F4)&gt;G4,INDEX(Levels!$B$2:$B$30,MATCH(_xlfn.MAXIFS(Levels!$A$2:$A$30,Levels!$A$2:$A$30,"&lt;="&amp;F4),Levels!$A$2:$A$30,0)),""))</f>
        <v/>
      </c>
      <c r="I4" s="10">
        <f>IF(B4="","",COUNTIFS(Levels!$A$2:$A$30,"&lt;="&amp;F4,Levels!$A$2:$A$30,"&gt;"&amp;G4))</f>
        <v/>
      </c>
      <c r="J4" s="10">
        <f>IF(OR(B4="",TRIM('Find a child'!$B$3)=""),"",IF(ISNUMBER(SEARCH(TRIM('Find a child'!$B$3),B4&amp;" "&amp;C4)),COUNT(J$1:J3)+1,""))</f>
        <v/>
      </c>
    </row>
    <row r="5">
      <c r="A5" s="10" t="inlineStr">
        <is>
          <t>C0004</t>
        </is>
      </c>
      <c r="B5" s="6" t="n"/>
      <c r="C5" s="6" t="n"/>
      <c r="D5" s="6" t="n"/>
      <c r="E5" s="10">
        <f>IF(B5="","",IF(COUNTIFS($B$2:$B$600,B5,$C$2:$C$600,C5)&gt;1,B5&amp;" ("&amp;C5&amp;") "&amp;A5,B5&amp;" ("&amp;C5&amp;")"))</f>
        <v/>
      </c>
      <c r="F5" s="11">
        <f>IF(B5="","",SUMIFS(Entries!$J$2:$J$3000,Entries!$H$2:$H$3000,A5))</f>
        <v/>
      </c>
      <c r="G5" s="11">
        <f>IF(B5="","",_xlfn.MAXIFS(Prizes!$D$2:$D$3000,Prizes!$E$2:$E$3000,A5,Prizes!$G$2:$G$3000,""))</f>
        <v/>
      </c>
      <c r="H5" s="10">
        <f>IF(B5="","",IF(_xlfn.MAXIFS(Levels!$A$2:$A$30,Levels!$A$2:$A$30,"&lt;="&amp;F5)&gt;G5,INDEX(Levels!$B$2:$B$30,MATCH(_xlfn.MAXIFS(Levels!$A$2:$A$30,Levels!$A$2:$A$30,"&lt;="&amp;F5),Levels!$A$2:$A$30,0)),""))</f>
        <v/>
      </c>
      <c r="I5" s="10">
        <f>IF(B5="","",COUNTIFS(Levels!$A$2:$A$30,"&lt;="&amp;F5,Levels!$A$2:$A$30,"&gt;"&amp;G5))</f>
        <v/>
      </c>
      <c r="J5" s="10">
        <f>IF(OR(B5="",TRIM('Find a child'!$B$3)=""),"",IF(ISNUMBER(SEARCH(TRIM('Find a child'!$B$3),B5&amp;" "&amp;C5)),COUNT(J$1:J4)+1,""))</f>
        <v/>
      </c>
    </row>
    <row r="6">
      <c r="A6" s="10" t="inlineStr">
        <is>
          <t>C0005</t>
        </is>
      </c>
      <c r="B6" s="6" t="n"/>
      <c r="C6" s="6" t="n"/>
      <c r="D6" s="6" t="n"/>
      <c r="E6" s="10">
        <f>IF(B6="","",IF(COUNTIFS($B$2:$B$600,B6,$C$2:$C$600,C6)&gt;1,B6&amp;" ("&amp;C6&amp;") "&amp;A6,B6&amp;" ("&amp;C6&amp;")"))</f>
        <v/>
      </c>
      <c r="F6" s="11">
        <f>IF(B6="","",SUMIFS(Entries!$J$2:$J$3000,Entries!$H$2:$H$3000,A6))</f>
        <v/>
      </c>
      <c r="G6" s="11">
        <f>IF(B6="","",_xlfn.MAXIFS(Prizes!$D$2:$D$3000,Prizes!$E$2:$E$3000,A6,Prizes!$G$2:$G$3000,""))</f>
        <v/>
      </c>
      <c r="H6" s="10">
        <f>IF(B6="","",IF(_xlfn.MAXIFS(Levels!$A$2:$A$30,Levels!$A$2:$A$30,"&lt;="&amp;F6)&gt;G6,INDEX(Levels!$B$2:$B$30,MATCH(_xlfn.MAXIFS(Levels!$A$2:$A$30,Levels!$A$2:$A$30,"&lt;="&amp;F6),Levels!$A$2:$A$30,0)),""))</f>
        <v/>
      </c>
      <c r="I6" s="10">
        <f>IF(B6="","",COUNTIFS(Levels!$A$2:$A$30,"&lt;="&amp;F6,Levels!$A$2:$A$30,"&gt;"&amp;G6))</f>
        <v/>
      </c>
      <c r="J6" s="10">
        <f>IF(OR(B6="",TRIM('Find a child'!$B$3)=""),"",IF(ISNUMBER(SEARCH(TRIM('Find a child'!$B$3),B6&amp;" "&amp;C6)),COUNT(J$1:J5)+1,""))</f>
        <v/>
      </c>
    </row>
    <row r="7">
      <c r="A7" s="10" t="inlineStr">
        <is>
          <t>C0006</t>
        </is>
      </c>
      <c r="B7" s="6" t="n"/>
      <c r="C7" s="6" t="n"/>
      <c r="D7" s="6" t="n"/>
      <c r="E7" s="10">
        <f>IF(B7="","",IF(COUNTIFS($B$2:$B$600,B7,$C$2:$C$600,C7)&gt;1,B7&amp;" ("&amp;C7&amp;") "&amp;A7,B7&amp;" ("&amp;C7&amp;")"))</f>
        <v/>
      </c>
      <c r="F7" s="11">
        <f>IF(B7="","",SUMIFS(Entries!$J$2:$J$3000,Entries!$H$2:$H$3000,A7))</f>
        <v/>
      </c>
      <c r="G7" s="11">
        <f>IF(B7="","",_xlfn.MAXIFS(Prizes!$D$2:$D$3000,Prizes!$E$2:$E$3000,A7,Prizes!$G$2:$G$3000,""))</f>
        <v/>
      </c>
      <c r="H7" s="10">
        <f>IF(B7="","",IF(_xlfn.MAXIFS(Levels!$A$2:$A$30,Levels!$A$2:$A$30,"&lt;="&amp;F7)&gt;G7,INDEX(Levels!$B$2:$B$30,MATCH(_xlfn.MAXIFS(Levels!$A$2:$A$30,Levels!$A$2:$A$30,"&lt;="&amp;F7),Levels!$A$2:$A$30,0)),""))</f>
        <v/>
      </c>
      <c r="I7" s="10">
        <f>IF(B7="","",COUNTIFS(Levels!$A$2:$A$30,"&lt;="&amp;F7,Levels!$A$2:$A$30,"&gt;"&amp;G7))</f>
        <v/>
      </c>
      <c r="J7" s="10">
        <f>IF(OR(B7="",TRIM('Find a child'!$B$3)=""),"",IF(ISNUMBER(SEARCH(TRIM('Find a child'!$B$3),B7&amp;" "&amp;C7)),COUNT(J$1:J6)+1,""))</f>
        <v/>
      </c>
    </row>
    <row r="8">
      <c r="A8" s="10" t="inlineStr">
        <is>
          <t>C0007</t>
        </is>
      </c>
      <c r="B8" s="6" t="n"/>
      <c r="C8" s="6" t="n"/>
      <c r="D8" s="6" t="n"/>
      <c r="E8" s="10">
        <f>IF(B8="","",IF(COUNTIFS($B$2:$B$600,B8,$C$2:$C$600,C8)&gt;1,B8&amp;" ("&amp;C8&amp;") "&amp;A8,B8&amp;" ("&amp;C8&amp;")"))</f>
        <v/>
      </c>
      <c r="F8" s="11">
        <f>IF(B8="","",SUMIFS(Entries!$J$2:$J$3000,Entries!$H$2:$H$3000,A8))</f>
        <v/>
      </c>
      <c r="G8" s="11">
        <f>IF(B8="","",_xlfn.MAXIFS(Prizes!$D$2:$D$3000,Prizes!$E$2:$E$3000,A8,Prizes!$G$2:$G$3000,""))</f>
        <v/>
      </c>
      <c r="H8" s="10">
        <f>IF(B8="","",IF(_xlfn.MAXIFS(Levels!$A$2:$A$30,Levels!$A$2:$A$30,"&lt;="&amp;F8)&gt;G8,INDEX(Levels!$B$2:$B$30,MATCH(_xlfn.MAXIFS(Levels!$A$2:$A$30,Levels!$A$2:$A$30,"&lt;="&amp;F8),Levels!$A$2:$A$30,0)),""))</f>
        <v/>
      </c>
      <c r="I8" s="10">
        <f>IF(B8="","",COUNTIFS(Levels!$A$2:$A$30,"&lt;="&amp;F8,Levels!$A$2:$A$30,"&gt;"&amp;G8))</f>
        <v/>
      </c>
      <c r="J8" s="10">
        <f>IF(OR(B8="",TRIM('Find a child'!$B$3)=""),"",IF(ISNUMBER(SEARCH(TRIM('Find a child'!$B$3),B8&amp;" "&amp;C8)),COUNT(J$1:J7)+1,""))</f>
        <v/>
      </c>
    </row>
    <row r="9">
      <c r="A9" s="10" t="inlineStr">
        <is>
          <t>C0008</t>
        </is>
      </c>
      <c r="B9" s="6" t="n"/>
      <c r="C9" s="6" t="n"/>
      <c r="D9" s="6" t="n"/>
      <c r="E9" s="10">
        <f>IF(B9="","",IF(COUNTIFS($B$2:$B$600,B9,$C$2:$C$600,C9)&gt;1,B9&amp;" ("&amp;C9&amp;") "&amp;A9,B9&amp;" ("&amp;C9&amp;")"))</f>
        <v/>
      </c>
      <c r="F9" s="11">
        <f>IF(B9="","",SUMIFS(Entries!$J$2:$J$3000,Entries!$H$2:$H$3000,A9))</f>
        <v/>
      </c>
      <c r="G9" s="11">
        <f>IF(B9="","",_xlfn.MAXIFS(Prizes!$D$2:$D$3000,Prizes!$E$2:$E$3000,A9,Prizes!$G$2:$G$3000,""))</f>
        <v/>
      </c>
      <c r="H9" s="10">
        <f>IF(B9="","",IF(_xlfn.MAXIFS(Levels!$A$2:$A$30,Levels!$A$2:$A$30,"&lt;="&amp;F9)&gt;G9,INDEX(Levels!$B$2:$B$30,MATCH(_xlfn.MAXIFS(Levels!$A$2:$A$30,Levels!$A$2:$A$30,"&lt;="&amp;F9),Levels!$A$2:$A$30,0)),""))</f>
        <v/>
      </c>
      <c r="I9" s="10">
        <f>IF(B9="","",COUNTIFS(Levels!$A$2:$A$30,"&lt;="&amp;F9,Levels!$A$2:$A$30,"&gt;"&amp;G9))</f>
        <v/>
      </c>
      <c r="J9" s="10">
        <f>IF(OR(B9="",TRIM('Find a child'!$B$3)=""),"",IF(ISNUMBER(SEARCH(TRIM('Find a child'!$B$3),B9&amp;" "&amp;C9)),COUNT(J$1:J8)+1,""))</f>
        <v/>
      </c>
    </row>
    <row r="10">
      <c r="A10" s="10" t="inlineStr">
        <is>
          <t>C0009</t>
        </is>
      </c>
      <c r="B10" s="6" t="n"/>
      <c r="C10" s="6" t="n"/>
      <c r="D10" s="6" t="n"/>
      <c r="E10" s="10">
        <f>IF(B10="","",IF(COUNTIFS($B$2:$B$600,B10,$C$2:$C$600,C10)&gt;1,B10&amp;" ("&amp;C10&amp;") "&amp;A10,B10&amp;" ("&amp;C10&amp;")"))</f>
        <v/>
      </c>
      <c r="F10" s="11">
        <f>IF(B10="","",SUMIFS(Entries!$J$2:$J$3000,Entries!$H$2:$H$3000,A10))</f>
        <v/>
      </c>
      <c r="G10" s="11">
        <f>IF(B10="","",_xlfn.MAXIFS(Prizes!$D$2:$D$3000,Prizes!$E$2:$E$3000,A10,Prizes!$G$2:$G$3000,""))</f>
        <v/>
      </c>
      <c r="H10" s="10">
        <f>IF(B10="","",IF(_xlfn.MAXIFS(Levels!$A$2:$A$30,Levels!$A$2:$A$30,"&lt;="&amp;F10)&gt;G10,INDEX(Levels!$B$2:$B$30,MATCH(_xlfn.MAXIFS(Levels!$A$2:$A$30,Levels!$A$2:$A$30,"&lt;="&amp;F10),Levels!$A$2:$A$30,0)),""))</f>
        <v/>
      </c>
      <c r="I10" s="10">
        <f>IF(B10="","",COUNTIFS(Levels!$A$2:$A$30,"&lt;="&amp;F10,Levels!$A$2:$A$30,"&gt;"&amp;G10))</f>
        <v/>
      </c>
      <c r="J10" s="10">
        <f>IF(OR(B10="",TRIM('Find a child'!$B$3)=""),"",IF(ISNUMBER(SEARCH(TRIM('Find a child'!$B$3),B10&amp;" "&amp;C10)),COUNT(J$1:J9)+1,""))</f>
        <v/>
      </c>
    </row>
    <row r="11">
      <c r="A11" s="10" t="inlineStr">
        <is>
          <t>C0010</t>
        </is>
      </c>
      <c r="B11" s="6" t="n"/>
      <c r="C11" s="6" t="n"/>
      <c r="D11" s="6" t="n"/>
      <c r="E11" s="10">
        <f>IF(B11="","",IF(COUNTIFS($B$2:$B$600,B11,$C$2:$C$600,C11)&gt;1,B11&amp;" ("&amp;C11&amp;") "&amp;A11,B11&amp;" ("&amp;C11&amp;")"))</f>
        <v/>
      </c>
      <c r="F11" s="11">
        <f>IF(B11="","",SUMIFS(Entries!$J$2:$J$3000,Entries!$H$2:$H$3000,A11))</f>
        <v/>
      </c>
      <c r="G11" s="11">
        <f>IF(B11="","",_xlfn.MAXIFS(Prizes!$D$2:$D$3000,Prizes!$E$2:$E$3000,A11,Prizes!$G$2:$G$3000,""))</f>
        <v/>
      </c>
      <c r="H11" s="10">
        <f>IF(B11="","",IF(_xlfn.MAXIFS(Levels!$A$2:$A$30,Levels!$A$2:$A$30,"&lt;="&amp;F11)&gt;G11,INDEX(Levels!$B$2:$B$30,MATCH(_xlfn.MAXIFS(Levels!$A$2:$A$30,Levels!$A$2:$A$30,"&lt;="&amp;F11),Levels!$A$2:$A$30,0)),""))</f>
        <v/>
      </c>
      <c r="I11" s="10">
        <f>IF(B11="","",COUNTIFS(Levels!$A$2:$A$30,"&lt;="&amp;F11,Levels!$A$2:$A$30,"&gt;"&amp;G11))</f>
        <v/>
      </c>
      <c r="J11" s="10">
        <f>IF(OR(B11="",TRIM('Find a child'!$B$3)=""),"",IF(ISNUMBER(SEARCH(TRIM('Find a child'!$B$3),B11&amp;" "&amp;C11)),COUNT(J$1:J10)+1,""))</f>
        <v/>
      </c>
    </row>
    <row r="12">
      <c r="A12" s="10" t="inlineStr">
        <is>
          <t>C0011</t>
        </is>
      </c>
      <c r="B12" s="6" t="n"/>
      <c r="C12" s="6" t="n"/>
      <c r="D12" s="6" t="n"/>
      <c r="E12" s="10">
        <f>IF(B12="","",IF(COUNTIFS($B$2:$B$600,B12,$C$2:$C$600,C12)&gt;1,B12&amp;" ("&amp;C12&amp;") "&amp;A12,B12&amp;" ("&amp;C12&amp;")"))</f>
        <v/>
      </c>
      <c r="F12" s="11">
        <f>IF(B12="","",SUMIFS(Entries!$J$2:$J$3000,Entries!$H$2:$H$3000,A12))</f>
        <v/>
      </c>
      <c r="G12" s="11">
        <f>IF(B12="","",_xlfn.MAXIFS(Prizes!$D$2:$D$3000,Prizes!$E$2:$E$3000,A12,Prizes!$G$2:$G$3000,""))</f>
        <v/>
      </c>
      <c r="H12" s="10">
        <f>IF(B12="","",IF(_xlfn.MAXIFS(Levels!$A$2:$A$30,Levels!$A$2:$A$30,"&lt;="&amp;F12)&gt;G12,INDEX(Levels!$B$2:$B$30,MATCH(_xlfn.MAXIFS(Levels!$A$2:$A$30,Levels!$A$2:$A$30,"&lt;="&amp;F12),Levels!$A$2:$A$30,0)),""))</f>
        <v/>
      </c>
      <c r="I12" s="10">
        <f>IF(B12="","",COUNTIFS(Levels!$A$2:$A$30,"&lt;="&amp;F12,Levels!$A$2:$A$30,"&gt;"&amp;G12))</f>
        <v/>
      </c>
      <c r="J12" s="10">
        <f>IF(OR(B12="",TRIM('Find a child'!$B$3)=""),"",IF(ISNUMBER(SEARCH(TRIM('Find a child'!$B$3),B12&amp;" "&amp;C12)),COUNT(J$1:J11)+1,""))</f>
        <v/>
      </c>
    </row>
    <row r="13">
      <c r="A13" s="10" t="inlineStr">
        <is>
          <t>C0012</t>
        </is>
      </c>
      <c r="B13" s="6" t="n"/>
      <c r="C13" s="6" t="n"/>
      <c r="D13" s="6" t="n"/>
      <c r="E13" s="10">
        <f>IF(B13="","",IF(COUNTIFS($B$2:$B$600,B13,$C$2:$C$600,C13)&gt;1,B13&amp;" ("&amp;C13&amp;") "&amp;A13,B13&amp;" ("&amp;C13&amp;")"))</f>
        <v/>
      </c>
      <c r="F13" s="11">
        <f>IF(B13="","",SUMIFS(Entries!$J$2:$J$3000,Entries!$H$2:$H$3000,A13))</f>
        <v/>
      </c>
      <c r="G13" s="11">
        <f>IF(B13="","",_xlfn.MAXIFS(Prizes!$D$2:$D$3000,Prizes!$E$2:$E$3000,A13,Prizes!$G$2:$G$3000,""))</f>
        <v/>
      </c>
      <c r="H13" s="10">
        <f>IF(B13="","",IF(_xlfn.MAXIFS(Levels!$A$2:$A$30,Levels!$A$2:$A$30,"&lt;="&amp;F13)&gt;G13,INDEX(Levels!$B$2:$B$30,MATCH(_xlfn.MAXIFS(Levels!$A$2:$A$30,Levels!$A$2:$A$30,"&lt;="&amp;F13),Levels!$A$2:$A$30,0)),""))</f>
        <v/>
      </c>
      <c r="I13" s="10">
        <f>IF(B13="","",COUNTIFS(Levels!$A$2:$A$30,"&lt;="&amp;F13,Levels!$A$2:$A$30,"&gt;"&amp;G13))</f>
        <v/>
      </c>
      <c r="J13" s="10">
        <f>IF(OR(B13="",TRIM('Find a child'!$B$3)=""),"",IF(ISNUMBER(SEARCH(TRIM('Find a child'!$B$3),B13&amp;" "&amp;C13)),COUNT(J$1:J12)+1,""))</f>
        <v/>
      </c>
    </row>
    <row r="14">
      <c r="A14" s="10" t="inlineStr">
        <is>
          <t>C0013</t>
        </is>
      </c>
      <c r="B14" s="6" t="n"/>
      <c r="C14" s="6" t="n"/>
      <c r="D14" s="6" t="n"/>
      <c r="E14" s="10">
        <f>IF(B14="","",IF(COUNTIFS($B$2:$B$600,B14,$C$2:$C$600,C14)&gt;1,B14&amp;" ("&amp;C14&amp;") "&amp;A14,B14&amp;" ("&amp;C14&amp;")"))</f>
        <v/>
      </c>
      <c r="F14" s="11">
        <f>IF(B14="","",SUMIFS(Entries!$J$2:$J$3000,Entries!$H$2:$H$3000,A14))</f>
        <v/>
      </c>
      <c r="G14" s="11">
        <f>IF(B14="","",_xlfn.MAXIFS(Prizes!$D$2:$D$3000,Prizes!$E$2:$E$3000,A14,Prizes!$G$2:$G$3000,""))</f>
        <v/>
      </c>
      <c r="H14" s="10">
        <f>IF(B14="","",IF(_xlfn.MAXIFS(Levels!$A$2:$A$30,Levels!$A$2:$A$30,"&lt;="&amp;F14)&gt;G14,INDEX(Levels!$B$2:$B$30,MATCH(_xlfn.MAXIFS(Levels!$A$2:$A$30,Levels!$A$2:$A$30,"&lt;="&amp;F14),Levels!$A$2:$A$30,0)),""))</f>
        <v/>
      </c>
      <c r="I14" s="10">
        <f>IF(B14="","",COUNTIFS(Levels!$A$2:$A$30,"&lt;="&amp;F14,Levels!$A$2:$A$30,"&gt;"&amp;G14))</f>
        <v/>
      </c>
      <c r="J14" s="10">
        <f>IF(OR(B14="",TRIM('Find a child'!$B$3)=""),"",IF(ISNUMBER(SEARCH(TRIM('Find a child'!$B$3),B14&amp;" "&amp;C14)),COUNT(J$1:J13)+1,""))</f>
        <v/>
      </c>
    </row>
    <row r="15">
      <c r="A15" s="10" t="inlineStr">
        <is>
          <t>C0014</t>
        </is>
      </c>
      <c r="B15" s="6" t="n"/>
      <c r="C15" s="6" t="n"/>
      <c r="D15" s="6" t="n"/>
      <c r="E15" s="10">
        <f>IF(B15="","",IF(COUNTIFS($B$2:$B$600,B15,$C$2:$C$600,C15)&gt;1,B15&amp;" ("&amp;C15&amp;") "&amp;A15,B15&amp;" ("&amp;C15&amp;")"))</f>
        <v/>
      </c>
      <c r="F15" s="11">
        <f>IF(B15="","",SUMIFS(Entries!$J$2:$J$3000,Entries!$H$2:$H$3000,A15))</f>
        <v/>
      </c>
      <c r="G15" s="11">
        <f>IF(B15="","",_xlfn.MAXIFS(Prizes!$D$2:$D$3000,Prizes!$E$2:$E$3000,A15,Prizes!$G$2:$G$3000,""))</f>
        <v/>
      </c>
      <c r="H15" s="10">
        <f>IF(B15="","",IF(_xlfn.MAXIFS(Levels!$A$2:$A$30,Levels!$A$2:$A$30,"&lt;="&amp;F15)&gt;G15,INDEX(Levels!$B$2:$B$30,MATCH(_xlfn.MAXIFS(Levels!$A$2:$A$30,Levels!$A$2:$A$30,"&lt;="&amp;F15),Levels!$A$2:$A$30,0)),""))</f>
        <v/>
      </c>
      <c r="I15" s="10">
        <f>IF(B15="","",COUNTIFS(Levels!$A$2:$A$30,"&lt;="&amp;F15,Levels!$A$2:$A$30,"&gt;"&amp;G15))</f>
        <v/>
      </c>
      <c r="J15" s="10">
        <f>IF(OR(B15="",TRIM('Find a child'!$B$3)=""),"",IF(ISNUMBER(SEARCH(TRIM('Find a child'!$B$3),B15&amp;" "&amp;C15)),COUNT(J$1:J14)+1,""))</f>
        <v/>
      </c>
    </row>
    <row r="16">
      <c r="A16" s="10" t="inlineStr">
        <is>
          <t>C0015</t>
        </is>
      </c>
      <c r="B16" s="6" t="n"/>
      <c r="C16" s="6" t="n"/>
      <c r="D16" s="6" t="n"/>
      <c r="E16" s="10">
        <f>IF(B16="","",IF(COUNTIFS($B$2:$B$600,B16,$C$2:$C$600,C16)&gt;1,B16&amp;" ("&amp;C16&amp;") "&amp;A16,B16&amp;" ("&amp;C16&amp;")"))</f>
        <v/>
      </c>
      <c r="F16" s="11">
        <f>IF(B16="","",SUMIFS(Entries!$J$2:$J$3000,Entries!$H$2:$H$3000,A16))</f>
        <v/>
      </c>
      <c r="G16" s="11">
        <f>IF(B16="","",_xlfn.MAXIFS(Prizes!$D$2:$D$3000,Prizes!$E$2:$E$3000,A16,Prizes!$G$2:$G$3000,""))</f>
        <v/>
      </c>
      <c r="H16" s="10">
        <f>IF(B16="","",IF(_xlfn.MAXIFS(Levels!$A$2:$A$30,Levels!$A$2:$A$30,"&lt;="&amp;F16)&gt;G16,INDEX(Levels!$B$2:$B$30,MATCH(_xlfn.MAXIFS(Levels!$A$2:$A$30,Levels!$A$2:$A$30,"&lt;="&amp;F16),Levels!$A$2:$A$30,0)),""))</f>
        <v/>
      </c>
      <c r="I16" s="10">
        <f>IF(B16="","",COUNTIFS(Levels!$A$2:$A$30,"&lt;="&amp;F16,Levels!$A$2:$A$30,"&gt;"&amp;G16))</f>
        <v/>
      </c>
      <c r="J16" s="10">
        <f>IF(OR(B16="",TRIM('Find a child'!$B$3)=""),"",IF(ISNUMBER(SEARCH(TRIM('Find a child'!$B$3),B16&amp;" "&amp;C16)),COUNT(J$1:J15)+1,""))</f>
        <v/>
      </c>
    </row>
    <row r="17">
      <c r="A17" s="10" t="inlineStr">
        <is>
          <t>C0016</t>
        </is>
      </c>
      <c r="B17" s="6" t="n"/>
      <c r="C17" s="6" t="n"/>
      <c r="D17" s="6" t="n"/>
      <c r="E17" s="10">
        <f>IF(B17="","",IF(COUNTIFS($B$2:$B$600,B17,$C$2:$C$600,C17)&gt;1,B17&amp;" ("&amp;C17&amp;") "&amp;A17,B17&amp;" ("&amp;C17&amp;")"))</f>
        <v/>
      </c>
      <c r="F17" s="11">
        <f>IF(B17="","",SUMIFS(Entries!$J$2:$J$3000,Entries!$H$2:$H$3000,A17))</f>
        <v/>
      </c>
      <c r="G17" s="11">
        <f>IF(B17="","",_xlfn.MAXIFS(Prizes!$D$2:$D$3000,Prizes!$E$2:$E$3000,A17,Prizes!$G$2:$G$3000,""))</f>
        <v/>
      </c>
      <c r="H17" s="10">
        <f>IF(B17="","",IF(_xlfn.MAXIFS(Levels!$A$2:$A$30,Levels!$A$2:$A$30,"&lt;="&amp;F17)&gt;G17,INDEX(Levels!$B$2:$B$30,MATCH(_xlfn.MAXIFS(Levels!$A$2:$A$30,Levels!$A$2:$A$30,"&lt;="&amp;F17),Levels!$A$2:$A$30,0)),""))</f>
        <v/>
      </c>
      <c r="I17" s="10">
        <f>IF(B17="","",COUNTIFS(Levels!$A$2:$A$30,"&lt;="&amp;F17,Levels!$A$2:$A$30,"&gt;"&amp;G17))</f>
        <v/>
      </c>
      <c r="J17" s="10">
        <f>IF(OR(B17="",TRIM('Find a child'!$B$3)=""),"",IF(ISNUMBER(SEARCH(TRIM('Find a child'!$B$3),B17&amp;" "&amp;C17)),COUNT(J$1:J16)+1,""))</f>
        <v/>
      </c>
    </row>
    <row r="18">
      <c r="A18" s="10" t="inlineStr">
        <is>
          <t>C0017</t>
        </is>
      </c>
      <c r="B18" s="6" t="n"/>
      <c r="C18" s="6" t="n"/>
      <c r="D18" s="6" t="n"/>
      <c r="E18" s="10">
        <f>IF(B18="","",IF(COUNTIFS($B$2:$B$600,B18,$C$2:$C$600,C18)&gt;1,B18&amp;" ("&amp;C18&amp;") "&amp;A18,B18&amp;" ("&amp;C18&amp;")"))</f>
        <v/>
      </c>
      <c r="F18" s="11">
        <f>IF(B18="","",SUMIFS(Entries!$J$2:$J$3000,Entries!$H$2:$H$3000,A18))</f>
        <v/>
      </c>
      <c r="G18" s="11">
        <f>IF(B18="","",_xlfn.MAXIFS(Prizes!$D$2:$D$3000,Prizes!$E$2:$E$3000,A18,Prizes!$G$2:$G$3000,""))</f>
        <v/>
      </c>
      <c r="H18" s="10">
        <f>IF(B18="","",IF(_xlfn.MAXIFS(Levels!$A$2:$A$30,Levels!$A$2:$A$30,"&lt;="&amp;F18)&gt;G18,INDEX(Levels!$B$2:$B$30,MATCH(_xlfn.MAXIFS(Levels!$A$2:$A$30,Levels!$A$2:$A$30,"&lt;="&amp;F18),Levels!$A$2:$A$30,0)),""))</f>
        <v/>
      </c>
      <c r="I18" s="10">
        <f>IF(B18="","",COUNTIFS(Levels!$A$2:$A$30,"&lt;="&amp;F18,Levels!$A$2:$A$30,"&gt;"&amp;G18))</f>
        <v/>
      </c>
      <c r="J18" s="10">
        <f>IF(OR(B18="",TRIM('Find a child'!$B$3)=""),"",IF(ISNUMBER(SEARCH(TRIM('Find a child'!$B$3),B18&amp;" "&amp;C18)),COUNT(J$1:J17)+1,""))</f>
        <v/>
      </c>
    </row>
    <row r="19">
      <c r="A19" s="10" t="inlineStr">
        <is>
          <t>C0018</t>
        </is>
      </c>
      <c r="B19" s="6" t="n"/>
      <c r="C19" s="6" t="n"/>
      <c r="D19" s="6" t="n"/>
      <c r="E19" s="10">
        <f>IF(B19="","",IF(COUNTIFS($B$2:$B$600,B19,$C$2:$C$600,C19)&gt;1,B19&amp;" ("&amp;C19&amp;") "&amp;A19,B19&amp;" ("&amp;C19&amp;")"))</f>
        <v/>
      </c>
      <c r="F19" s="11">
        <f>IF(B19="","",SUMIFS(Entries!$J$2:$J$3000,Entries!$H$2:$H$3000,A19))</f>
        <v/>
      </c>
      <c r="G19" s="11">
        <f>IF(B19="","",_xlfn.MAXIFS(Prizes!$D$2:$D$3000,Prizes!$E$2:$E$3000,A19,Prizes!$G$2:$G$3000,""))</f>
        <v/>
      </c>
      <c r="H19" s="10">
        <f>IF(B19="","",IF(_xlfn.MAXIFS(Levels!$A$2:$A$30,Levels!$A$2:$A$30,"&lt;="&amp;F19)&gt;G19,INDEX(Levels!$B$2:$B$30,MATCH(_xlfn.MAXIFS(Levels!$A$2:$A$30,Levels!$A$2:$A$30,"&lt;="&amp;F19),Levels!$A$2:$A$30,0)),""))</f>
        <v/>
      </c>
      <c r="I19" s="10">
        <f>IF(B19="","",COUNTIFS(Levels!$A$2:$A$30,"&lt;="&amp;F19,Levels!$A$2:$A$30,"&gt;"&amp;G19))</f>
        <v/>
      </c>
      <c r="J19" s="10">
        <f>IF(OR(B19="",TRIM('Find a child'!$B$3)=""),"",IF(ISNUMBER(SEARCH(TRIM('Find a child'!$B$3),B19&amp;" "&amp;C19)),COUNT(J$1:J18)+1,""))</f>
        <v/>
      </c>
    </row>
    <row r="20">
      <c r="A20" s="10" t="inlineStr">
        <is>
          <t>C0019</t>
        </is>
      </c>
      <c r="B20" s="6" t="n"/>
      <c r="C20" s="6" t="n"/>
      <c r="D20" s="6" t="n"/>
      <c r="E20" s="10">
        <f>IF(B20="","",IF(COUNTIFS($B$2:$B$600,B20,$C$2:$C$600,C20)&gt;1,B20&amp;" ("&amp;C20&amp;") "&amp;A20,B20&amp;" ("&amp;C20&amp;")"))</f>
        <v/>
      </c>
      <c r="F20" s="11">
        <f>IF(B20="","",SUMIFS(Entries!$J$2:$J$3000,Entries!$H$2:$H$3000,A20))</f>
        <v/>
      </c>
      <c r="G20" s="11">
        <f>IF(B20="","",_xlfn.MAXIFS(Prizes!$D$2:$D$3000,Prizes!$E$2:$E$3000,A20,Prizes!$G$2:$G$3000,""))</f>
        <v/>
      </c>
      <c r="H20" s="10">
        <f>IF(B20="","",IF(_xlfn.MAXIFS(Levels!$A$2:$A$30,Levels!$A$2:$A$30,"&lt;="&amp;F20)&gt;G20,INDEX(Levels!$B$2:$B$30,MATCH(_xlfn.MAXIFS(Levels!$A$2:$A$30,Levels!$A$2:$A$30,"&lt;="&amp;F20),Levels!$A$2:$A$30,0)),""))</f>
        <v/>
      </c>
      <c r="I20" s="10">
        <f>IF(B20="","",COUNTIFS(Levels!$A$2:$A$30,"&lt;="&amp;F20,Levels!$A$2:$A$30,"&gt;"&amp;G20))</f>
        <v/>
      </c>
      <c r="J20" s="10">
        <f>IF(OR(B20="",TRIM('Find a child'!$B$3)=""),"",IF(ISNUMBER(SEARCH(TRIM('Find a child'!$B$3),B20&amp;" "&amp;C20)),COUNT(J$1:J19)+1,""))</f>
        <v/>
      </c>
    </row>
    <row r="21">
      <c r="A21" s="10" t="inlineStr">
        <is>
          <t>C0020</t>
        </is>
      </c>
      <c r="B21" s="6" t="n"/>
      <c r="C21" s="6" t="n"/>
      <c r="D21" s="6" t="n"/>
      <c r="E21" s="10">
        <f>IF(B21="","",IF(COUNTIFS($B$2:$B$600,B21,$C$2:$C$600,C21)&gt;1,B21&amp;" ("&amp;C21&amp;") "&amp;A21,B21&amp;" ("&amp;C21&amp;")"))</f>
        <v/>
      </c>
      <c r="F21" s="11">
        <f>IF(B21="","",SUMIFS(Entries!$J$2:$J$3000,Entries!$H$2:$H$3000,A21))</f>
        <v/>
      </c>
      <c r="G21" s="11">
        <f>IF(B21="","",_xlfn.MAXIFS(Prizes!$D$2:$D$3000,Prizes!$E$2:$E$3000,A21,Prizes!$G$2:$G$3000,""))</f>
        <v/>
      </c>
      <c r="H21" s="10">
        <f>IF(B21="","",IF(_xlfn.MAXIFS(Levels!$A$2:$A$30,Levels!$A$2:$A$30,"&lt;="&amp;F21)&gt;G21,INDEX(Levels!$B$2:$B$30,MATCH(_xlfn.MAXIFS(Levels!$A$2:$A$30,Levels!$A$2:$A$30,"&lt;="&amp;F21),Levels!$A$2:$A$30,0)),""))</f>
        <v/>
      </c>
      <c r="I21" s="10">
        <f>IF(B21="","",COUNTIFS(Levels!$A$2:$A$30,"&lt;="&amp;F21,Levels!$A$2:$A$30,"&gt;"&amp;G21))</f>
        <v/>
      </c>
      <c r="J21" s="10">
        <f>IF(OR(B21="",TRIM('Find a child'!$B$3)=""),"",IF(ISNUMBER(SEARCH(TRIM('Find a child'!$B$3),B21&amp;" "&amp;C21)),COUNT(J$1:J20)+1,""))</f>
        <v/>
      </c>
    </row>
    <row r="22">
      <c r="A22" s="10" t="inlineStr">
        <is>
          <t>C0021</t>
        </is>
      </c>
      <c r="B22" s="6" t="n"/>
      <c r="C22" s="6" t="n"/>
      <c r="D22" s="6" t="n"/>
      <c r="E22" s="10">
        <f>IF(B22="","",IF(COUNTIFS($B$2:$B$600,B22,$C$2:$C$600,C22)&gt;1,B22&amp;" ("&amp;C22&amp;") "&amp;A22,B22&amp;" ("&amp;C22&amp;")"))</f>
        <v/>
      </c>
      <c r="F22" s="11">
        <f>IF(B22="","",SUMIFS(Entries!$J$2:$J$3000,Entries!$H$2:$H$3000,A22))</f>
        <v/>
      </c>
      <c r="G22" s="11">
        <f>IF(B22="","",_xlfn.MAXIFS(Prizes!$D$2:$D$3000,Prizes!$E$2:$E$3000,A22,Prizes!$G$2:$G$3000,""))</f>
        <v/>
      </c>
      <c r="H22" s="10">
        <f>IF(B22="","",IF(_xlfn.MAXIFS(Levels!$A$2:$A$30,Levels!$A$2:$A$30,"&lt;="&amp;F22)&gt;G22,INDEX(Levels!$B$2:$B$30,MATCH(_xlfn.MAXIFS(Levels!$A$2:$A$30,Levels!$A$2:$A$30,"&lt;="&amp;F22),Levels!$A$2:$A$30,0)),""))</f>
        <v/>
      </c>
      <c r="I22" s="10">
        <f>IF(B22="","",COUNTIFS(Levels!$A$2:$A$30,"&lt;="&amp;F22,Levels!$A$2:$A$30,"&gt;"&amp;G22))</f>
        <v/>
      </c>
      <c r="J22" s="10">
        <f>IF(OR(B22="",TRIM('Find a child'!$B$3)=""),"",IF(ISNUMBER(SEARCH(TRIM('Find a child'!$B$3),B22&amp;" "&amp;C22)),COUNT(J$1:J21)+1,""))</f>
        <v/>
      </c>
    </row>
    <row r="23">
      <c r="A23" s="10" t="inlineStr">
        <is>
          <t>C0022</t>
        </is>
      </c>
      <c r="B23" s="6" t="n"/>
      <c r="C23" s="6" t="n"/>
      <c r="D23" s="6" t="n"/>
      <c r="E23" s="10">
        <f>IF(B23="","",IF(COUNTIFS($B$2:$B$600,B23,$C$2:$C$600,C23)&gt;1,B23&amp;" ("&amp;C23&amp;") "&amp;A23,B23&amp;" ("&amp;C23&amp;")"))</f>
        <v/>
      </c>
      <c r="F23" s="11">
        <f>IF(B23="","",SUMIFS(Entries!$J$2:$J$3000,Entries!$H$2:$H$3000,A23))</f>
        <v/>
      </c>
      <c r="G23" s="11">
        <f>IF(B23="","",_xlfn.MAXIFS(Prizes!$D$2:$D$3000,Prizes!$E$2:$E$3000,A23,Prizes!$G$2:$G$3000,""))</f>
        <v/>
      </c>
      <c r="H23" s="10">
        <f>IF(B23="","",IF(_xlfn.MAXIFS(Levels!$A$2:$A$30,Levels!$A$2:$A$30,"&lt;="&amp;F23)&gt;G23,INDEX(Levels!$B$2:$B$30,MATCH(_xlfn.MAXIFS(Levels!$A$2:$A$30,Levels!$A$2:$A$30,"&lt;="&amp;F23),Levels!$A$2:$A$30,0)),""))</f>
        <v/>
      </c>
      <c r="I23" s="10">
        <f>IF(B23="","",COUNTIFS(Levels!$A$2:$A$30,"&lt;="&amp;F23,Levels!$A$2:$A$30,"&gt;"&amp;G23))</f>
        <v/>
      </c>
      <c r="J23" s="10">
        <f>IF(OR(B23="",TRIM('Find a child'!$B$3)=""),"",IF(ISNUMBER(SEARCH(TRIM('Find a child'!$B$3),B23&amp;" "&amp;C23)),COUNT(J$1:J22)+1,""))</f>
        <v/>
      </c>
    </row>
    <row r="24">
      <c r="A24" s="10" t="inlineStr">
        <is>
          <t>C0023</t>
        </is>
      </c>
      <c r="B24" s="6" t="n"/>
      <c r="C24" s="6" t="n"/>
      <c r="D24" s="6" t="n"/>
      <c r="E24" s="10">
        <f>IF(B24="","",IF(COUNTIFS($B$2:$B$600,B24,$C$2:$C$600,C24)&gt;1,B24&amp;" ("&amp;C24&amp;") "&amp;A24,B24&amp;" ("&amp;C24&amp;")"))</f>
        <v/>
      </c>
      <c r="F24" s="11">
        <f>IF(B24="","",SUMIFS(Entries!$J$2:$J$3000,Entries!$H$2:$H$3000,A24))</f>
        <v/>
      </c>
      <c r="G24" s="11">
        <f>IF(B24="","",_xlfn.MAXIFS(Prizes!$D$2:$D$3000,Prizes!$E$2:$E$3000,A24,Prizes!$G$2:$G$3000,""))</f>
        <v/>
      </c>
      <c r="H24" s="10">
        <f>IF(B24="","",IF(_xlfn.MAXIFS(Levels!$A$2:$A$30,Levels!$A$2:$A$30,"&lt;="&amp;F24)&gt;G24,INDEX(Levels!$B$2:$B$30,MATCH(_xlfn.MAXIFS(Levels!$A$2:$A$30,Levels!$A$2:$A$30,"&lt;="&amp;F24),Levels!$A$2:$A$30,0)),""))</f>
        <v/>
      </c>
      <c r="I24" s="10">
        <f>IF(B24="","",COUNTIFS(Levels!$A$2:$A$30,"&lt;="&amp;F24,Levels!$A$2:$A$30,"&gt;"&amp;G24))</f>
        <v/>
      </c>
      <c r="J24" s="10">
        <f>IF(OR(B24="",TRIM('Find a child'!$B$3)=""),"",IF(ISNUMBER(SEARCH(TRIM('Find a child'!$B$3),B24&amp;" "&amp;C24)),COUNT(J$1:J23)+1,""))</f>
        <v/>
      </c>
    </row>
    <row r="25">
      <c r="A25" s="10" t="inlineStr">
        <is>
          <t>C0024</t>
        </is>
      </c>
      <c r="B25" s="6" t="n"/>
      <c r="C25" s="6" t="n"/>
      <c r="D25" s="6" t="n"/>
      <c r="E25" s="10">
        <f>IF(B25="","",IF(COUNTIFS($B$2:$B$600,B25,$C$2:$C$600,C25)&gt;1,B25&amp;" ("&amp;C25&amp;") "&amp;A25,B25&amp;" ("&amp;C25&amp;")"))</f>
        <v/>
      </c>
      <c r="F25" s="11">
        <f>IF(B25="","",SUMIFS(Entries!$J$2:$J$3000,Entries!$H$2:$H$3000,A25))</f>
        <v/>
      </c>
      <c r="G25" s="11">
        <f>IF(B25="","",_xlfn.MAXIFS(Prizes!$D$2:$D$3000,Prizes!$E$2:$E$3000,A25,Prizes!$G$2:$G$3000,""))</f>
        <v/>
      </c>
      <c r="H25" s="10">
        <f>IF(B25="","",IF(_xlfn.MAXIFS(Levels!$A$2:$A$30,Levels!$A$2:$A$30,"&lt;="&amp;F25)&gt;G25,INDEX(Levels!$B$2:$B$30,MATCH(_xlfn.MAXIFS(Levels!$A$2:$A$30,Levels!$A$2:$A$30,"&lt;="&amp;F25),Levels!$A$2:$A$30,0)),""))</f>
        <v/>
      </c>
      <c r="I25" s="10">
        <f>IF(B25="","",COUNTIFS(Levels!$A$2:$A$30,"&lt;="&amp;F25,Levels!$A$2:$A$30,"&gt;"&amp;G25))</f>
        <v/>
      </c>
      <c r="J25" s="10">
        <f>IF(OR(B25="",TRIM('Find a child'!$B$3)=""),"",IF(ISNUMBER(SEARCH(TRIM('Find a child'!$B$3),B25&amp;" "&amp;C25)),COUNT(J$1:J24)+1,""))</f>
        <v/>
      </c>
    </row>
    <row r="26">
      <c r="A26" s="10" t="inlineStr">
        <is>
          <t>C0025</t>
        </is>
      </c>
      <c r="B26" s="6" t="n"/>
      <c r="C26" s="6" t="n"/>
      <c r="D26" s="6" t="n"/>
      <c r="E26" s="10">
        <f>IF(B26="","",IF(COUNTIFS($B$2:$B$600,B26,$C$2:$C$600,C26)&gt;1,B26&amp;" ("&amp;C26&amp;") "&amp;A26,B26&amp;" ("&amp;C26&amp;")"))</f>
        <v/>
      </c>
      <c r="F26" s="11">
        <f>IF(B26="","",SUMIFS(Entries!$J$2:$J$3000,Entries!$H$2:$H$3000,A26))</f>
        <v/>
      </c>
      <c r="G26" s="11">
        <f>IF(B26="","",_xlfn.MAXIFS(Prizes!$D$2:$D$3000,Prizes!$E$2:$E$3000,A26,Prizes!$G$2:$G$3000,""))</f>
        <v/>
      </c>
      <c r="H26" s="10">
        <f>IF(B26="","",IF(_xlfn.MAXIFS(Levels!$A$2:$A$30,Levels!$A$2:$A$30,"&lt;="&amp;F26)&gt;G26,INDEX(Levels!$B$2:$B$30,MATCH(_xlfn.MAXIFS(Levels!$A$2:$A$30,Levels!$A$2:$A$30,"&lt;="&amp;F26),Levels!$A$2:$A$30,0)),""))</f>
        <v/>
      </c>
      <c r="I26" s="10">
        <f>IF(B26="","",COUNTIFS(Levels!$A$2:$A$30,"&lt;="&amp;F26,Levels!$A$2:$A$30,"&gt;"&amp;G26))</f>
        <v/>
      </c>
      <c r="J26" s="10">
        <f>IF(OR(B26="",TRIM('Find a child'!$B$3)=""),"",IF(ISNUMBER(SEARCH(TRIM('Find a child'!$B$3),B26&amp;" "&amp;C26)),COUNT(J$1:J25)+1,""))</f>
        <v/>
      </c>
    </row>
    <row r="27">
      <c r="A27" s="10" t="inlineStr">
        <is>
          <t>C0026</t>
        </is>
      </c>
      <c r="B27" s="6" t="n"/>
      <c r="C27" s="6" t="n"/>
      <c r="D27" s="6" t="n"/>
      <c r="E27" s="10">
        <f>IF(B27="","",IF(COUNTIFS($B$2:$B$600,B27,$C$2:$C$600,C27)&gt;1,B27&amp;" ("&amp;C27&amp;") "&amp;A27,B27&amp;" ("&amp;C27&amp;")"))</f>
        <v/>
      </c>
      <c r="F27" s="11">
        <f>IF(B27="","",SUMIFS(Entries!$J$2:$J$3000,Entries!$H$2:$H$3000,A27))</f>
        <v/>
      </c>
      <c r="G27" s="11">
        <f>IF(B27="","",_xlfn.MAXIFS(Prizes!$D$2:$D$3000,Prizes!$E$2:$E$3000,A27,Prizes!$G$2:$G$3000,""))</f>
        <v/>
      </c>
      <c r="H27" s="10">
        <f>IF(B27="","",IF(_xlfn.MAXIFS(Levels!$A$2:$A$30,Levels!$A$2:$A$30,"&lt;="&amp;F27)&gt;G27,INDEX(Levels!$B$2:$B$30,MATCH(_xlfn.MAXIFS(Levels!$A$2:$A$30,Levels!$A$2:$A$30,"&lt;="&amp;F27),Levels!$A$2:$A$30,0)),""))</f>
        <v/>
      </c>
      <c r="I27" s="10">
        <f>IF(B27="","",COUNTIFS(Levels!$A$2:$A$30,"&lt;="&amp;F27,Levels!$A$2:$A$30,"&gt;"&amp;G27))</f>
        <v/>
      </c>
      <c r="J27" s="10">
        <f>IF(OR(B27="",TRIM('Find a child'!$B$3)=""),"",IF(ISNUMBER(SEARCH(TRIM('Find a child'!$B$3),B27&amp;" "&amp;C27)),COUNT(J$1:J26)+1,""))</f>
        <v/>
      </c>
    </row>
    <row r="28">
      <c r="A28" s="10" t="inlineStr">
        <is>
          <t>C0027</t>
        </is>
      </c>
      <c r="B28" s="6" t="n"/>
      <c r="C28" s="6" t="n"/>
      <c r="D28" s="6" t="n"/>
      <c r="E28" s="10">
        <f>IF(B28="","",IF(COUNTIFS($B$2:$B$600,B28,$C$2:$C$600,C28)&gt;1,B28&amp;" ("&amp;C28&amp;") "&amp;A28,B28&amp;" ("&amp;C28&amp;")"))</f>
        <v/>
      </c>
      <c r="F28" s="11">
        <f>IF(B28="","",SUMIFS(Entries!$J$2:$J$3000,Entries!$H$2:$H$3000,A28))</f>
        <v/>
      </c>
      <c r="G28" s="11">
        <f>IF(B28="","",_xlfn.MAXIFS(Prizes!$D$2:$D$3000,Prizes!$E$2:$E$3000,A28,Prizes!$G$2:$G$3000,""))</f>
        <v/>
      </c>
      <c r="H28" s="10">
        <f>IF(B28="","",IF(_xlfn.MAXIFS(Levels!$A$2:$A$30,Levels!$A$2:$A$30,"&lt;="&amp;F28)&gt;G28,INDEX(Levels!$B$2:$B$30,MATCH(_xlfn.MAXIFS(Levels!$A$2:$A$30,Levels!$A$2:$A$30,"&lt;="&amp;F28),Levels!$A$2:$A$30,0)),""))</f>
        <v/>
      </c>
      <c r="I28" s="10">
        <f>IF(B28="","",COUNTIFS(Levels!$A$2:$A$30,"&lt;="&amp;F28,Levels!$A$2:$A$30,"&gt;"&amp;G28))</f>
        <v/>
      </c>
      <c r="J28" s="10">
        <f>IF(OR(B28="",TRIM('Find a child'!$B$3)=""),"",IF(ISNUMBER(SEARCH(TRIM('Find a child'!$B$3),B28&amp;" "&amp;C28)),COUNT(J$1:J27)+1,""))</f>
        <v/>
      </c>
    </row>
    <row r="29">
      <c r="A29" s="10" t="inlineStr">
        <is>
          <t>C0028</t>
        </is>
      </c>
      <c r="B29" s="6" t="n"/>
      <c r="C29" s="6" t="n"/>
      <c r="D29" s="6" t="n"/>
      <c r="E29" s="10">
        <f>IF(B29="","",IF(COUNTIFS($B$2:$B$600,B29,$C$2:$C$600,C29)&gt;1,B29&amp;" ("&amp;C29&amp;") "&amp;A29,B29&amp;" ("&amp;C29&amp;")"))</f>
        <v/>
      </c>
      <c r="F29" s="11">
        <f>IF(B29="","",SUMIFS(Entries!$J$2:$J$3000,Entries!$H$2:$H$3000,A29))</f>
        <v/>
      </c>
      <c r="G29" s="11">
        <f>IF(B29="","",_xlfn.MAXIFS(Prizes!$D$2:$D$3000,Prizes!$E$2:$E$3000,A29,Prizes!$G$2:$G$3000,""))</f>
        <v/>
      </c>
      <c r="H29" s="10">
        <f>IF(B29="","",IF(_xlfn.MAXIFS(Levels!$A$2:$A$30,Levels!$A$2:$A$30,"&lt;="&amp;F29)&gt;G29,INDEX(Levels!$B$2:$B$30,MATCH(_xlfn.MAXIFS(Levels!$A$2:$A$30,Levels!$A$2:$A$30,"&lt;="&amp;F29),Levels!$A$2:$A$30,0)),""))</f>
        <v/>
      </c>
      <c r="I29" s="10">
        <f>IF(B29="","",COUNTIFS(Levels!$A$2:$A$30,"&lt;="&amp;F29,Levels!$A$2:$A$30,"&gt;"&amp;G29))</f>
        <v/>
      </c>
      <c r="J29" s="10">
        <f>IF(OR(B29="",TRIM('Find a child'!$B$3)=""),"",IF(ISNUMBER(SEARCH(TRIM('Find a child'!$B$3),B29&amp;" "&amp;C29)),COUNT(J$1:J28)+1,""))</f>
        <v/>
      </c>
    </row>
    <row r="30">
      <c r="A30" s="10" t="inlineStr">
        <is>
          <t>C0029</t>
        </is>
      </c>
      <c r="B30" s="6" t="n"/>
      <c r="C30" s="6" t="n"/>
      <c r="D30" s="6" t="n"/>
      <c r="E30" s="10">
        <f>IF(B30="","",IF(COUNTIFS($B$2:$B$600,B30,$C$2:$C$600,C30)&gt;1,B30&amp;" ("&amp;C30&amp;") "&amp;A30,B30&amp;" ("&amp;C30&amp;")"))</f>
        <v/>
      </c>
      <c r="F30" s="11">
        <f>IF(B30="","",SUMIFS(Entries!$J$2:$J$3000,Entries!$H$2:$H$3000,A30))</f>
        <v/>
      </c>
      <c r="G30" s="11">
        <f>IF(B30="","",_xlfn.MAXIFS(Prizes!$D$2:$D$3000,Prizes!$E$2:$E$3000,A30,Prizes!$G$2:$G$3000,""))</f>
        <v/>
      </c>
      <c r="H30" s="10">
        <f>IF(B30="","",IF(_xlfn.MAXIFS(Levels!$A$2:$A$30,Levels!$A$2:$A$30,"&lt;="&amp;F30)&gt;G30,INDEX(Levels!$B$2:$B$30,MATCH(_xlfn.MAXIFS(Levels!$A$2:$A$30,Levels!$A$2:$A$30,"&lt;="&amp;F30),Levels!$A$2:$A$30,0)),""))</f>
        <v/>
      </c>
      <c r="I30" s="10">
        <f>IF(B30="","",COUNTIFS(Levels!$A$2:$A$30,"&lt;="&amp;F30,Levels!$A$2:$A$30,"&gt;"&amp;G30))</f>
        <v/>
      </c>
      <c r="J30" s="10">
        <f>IF(OR(B30="",TRIM('Find a child'!$B$3)=""),"",IF(ISNUMBER(SEARCH(TRIM('Find a child'!$B$3),B30&amp;" "&amp;C30)),COUNT(J$1:J29)+1,""))</f>
        <v/>
      </c>
    </row>
    <row r="31">
      <c r="A31" s="10" t="inlineStr">
        <is>
          <t>C0030</t>
        </is>
      </c>
      <c r="B31" s="6" t="n"/>
      <c r="C31" s="6" t="n"/>
      <c r="D31" s="6" t="n"/>
      <c r="E31" s="10">
        <f>IF(B31="","",IF(COUNTIFS($B$2:$B$600,B31,$C$2:$C$600,C31)&gt;1,B31&amp;" ("&amp;C31&amp;") "&amp;A31,B31&amp;" ("&amp;C31&amp;")"))</f>
        <v/>
      </c>
      <c r="F31" s="11">
        <f>IF(B31="","",SUMIFS(Entries!$J$2:$J$3000,Entries!$H$2:$H$3000,A31))</f>
        <v/>
      </c>
      <c r="G31" s="11">
        <f>IF(B31="","",_xlfn.MAXIFS(Prizes!$D$2:$D$3000,Prizes!$E$2:$E$3000,A31,Prizes!$G$2:$G$3000,""))</f>
        <v/>
      </c>
      <c r="H31" s="10">
        <f>IF(B31="","",IF(_xlfn.MAXIFS(Levels!$A$2:$A$30,Levels!$A$2:$A$30,"&lt;="&amp;F31)&gt;G31,INDEX(Levels!$B$2:$B$30,MATCH(_xlfn.MAXIFS(Levels!$A$2:$A$30,Levels!$A$2:$A$30,"&lt;="&amp;F31),Levels!$A$2:$A$30,0)),""))</f>
        <v/>
      </c>
      <c r="I31" s="10">
        <f>IF(B31="","",COUNTIFS(Levels!$A$2:$A$30,"&lt;="&amp;F31,Levels!$A$2:$A$30,"&gt;"&amp;G31))</f>
        <v/>
      </c>
      <c r="J31" s="10">
        <f>IF(OR(B31="",TRIM('Find a child'!$B$3)=""),"",IF(ISNUMBER(SEARCH(TRIM('Find a child'!$B$3),B31&amp;" "&amp;C31)),COUNT(J$1:J30)+1,""))</f>
        <v/>
      </c>
    </row>
    <row r="32">
      <c r="A32" s="10" t="inlineStr">
        <is>
          <t>C0031</t>
        </is>
      </c>
      <c r="B32" s="6" t="n"/>
      <c r="C32" s="6" t="n"/>
      <c r="D32" s="6" t="n"/>
      <c r="E32" s="10">
        <f>IF(B32="","",IF(COUNTIFS($B$2:$B$600,B32,$C$2:$C$600,C32)&gt;1,B32&amp;" ("&amp;C32&amp;") "&amp;A32,B32&amp;" ("&amp;C32&amp;")"))</f>
        <v/>
      </c>
      <c r="F32" s="11">
        <f>IF(B32="","",SUMIFS(Entries!$J$2:$J$3000,Entries!$H$2:$H$3000,A32))</f>
        <v/>
      </c>
      <c r="G32" s="11">
        <f>IF(B32="","",_xlfn.MAXIFS(Prizes!$D$2:$D$3000,Prizes!$E$2:$E$3000,A32,Prizes!$G$2:$G$3000,""))</f>
        <v/>
      </c>
      <c r="H32" s="10">
        <f>IF(B32="","",IF(_xlfn.MAXIFS(Levels!$A$2:$A$30,Levels!$A$2:$A$30,"&lt;="&amp;F32)&gt;G32,INDEX(Levels!$B$2:$B$30,MATCH(_xlfn.MAXIFS(Levels!$A$2:$A$30,Levels!$A$2:$A$30,"&lt;="&amp;F32),Levels!$A$2:$A$30,0)),""))</f>
        <v/>
      </c>
      <c r="I32" s="10">
        <f>IF(B32="","",COUNTIFS(Levels!$A$2:$A$30,"&lt;="&amp;F32,Levels!$A$2:$A$30,"&gt;"&amp;G32))</f>
        <v/>
      </c>
      <c r="J32" s="10">
        <f>IF(OR(B32="",TRIM('Find a child'!$B$3)=""),"",IF(ISNUMBER(SEARCH(TRIM('Find a child'!$B$3),B32&amp;" "&amp;C32)),COUNT(J$1:J31)+1,""))</f>
        <v/>
      </c>
    </row>
    <row r="33">
      <c r="A33" s="10" t="inlineStr">
        <is>
          <t>C0032</t>
        </is>
      </c>
      <c r="B33" s="6" t="n"/>
      <c r="C33" s="6" t="n"/>
      <c r="D33" s="6" t="n"/>
      <c r="E33" s="10">
        <f>IF(B33="","",IF(COUNTIFS($B$2:$B$600,B33,$C$2:$C$600,C33)&gt;1,B33&amp;" ("&amp;C33&amp;") "&amp;A33,B33&amp;" ("&amp;C33&amp;")"))</f>
        <v/>
      </c>
      <c r="F33" s="11">
        <f>IF(B33="","",SUMIFS(Entries!$J$2:$J$3000,Entries!$H$2:$H$3000,A33))</f>
        <v/>
      </c>
      <c r="G33" s="11">
        <f>IF(B33="","",_xlfn.MAXIFS(Prizes!$D$2:$D$3000,Prizes!$E$2:$E$3000,A33,Prizes!$G$2:$G$3000,""))</f>
        <v/>
      </c>
      <c r="H33" s="10">
        <f>IF(B33="","",IF(_xlfn.MAXIFS(Levels!$A$2:$A$30,Levels!$A$2:$A$30,"&lt;="&amp;F33)&gt;G33,INDEX(Levels!$B$2:$B$30,MATCH(_xlfn.MAXIFS(Levels!$A$2:$A$30,Levels!$A$2:$A$30,"&lt;="&amp;F33),Levels!$A$2:$A$30,0)),""))</f>
        <v/>
      </c>
      <c r="I33" s="10">
        <f>IF(B33="","",COUNTIFS(Levels!$A$2:$A$30,"&lt;="&amp;F33,Levels!$A$2:$A$30,"&gt;"&amp;G33))</f>
        <v/>
      </c>
      <c r="J33" s="10">
        <f>IF(OR(B33="",TRIM('Find a child'!$B$3)=""),"",IF(ISNUMBER(SEARCH(TRIM('Find a child'!$B$3),B33&amp;" "&amp;C33)),COUNT(J$1:J32)+1,""))</f>
        <v/>
      </c>
    </row>
    <row r="34">
      <c r="A34" s="10" t="inlineStr">
        <is>
          <t>C0033</t>
        </is>
      </c>
      <c r="B34" s="6" t="n"/>
      <c r="C34" s="6" t="n"/>
      <c r="D34" s="6" t="n"/>
      <c r="E34" s="10">
        <f>IF(B34="","",IF(COUNTIFS($B$2:$B$600,B34,$C$2:$C$600,C34)&gt;1,B34&amp;" ("&amp;C34&amp;") "&amp;A34,B34&amp;" ("&amp;C34&amp;")"))</f>
        <v/>
      </c>
      <c r="F34" s="11">
        <f>IF(B34="","",SUMIFS(Entries!$J$2:$J$3000,Entries!$H$2:$H$3000,A34))</f>
        <v/>
      </c>
      <c r="G34" s="11">
        <f>IF(B34="","",_xlfn.MAXIFS(Prizes!$D$2:$D$3000,Prizes!$E$2:$E$3000,A34,Prizes!$G$2:$G$3000,""))</f>
        <v/>
      </c>
      <c r="H34" s="10">
        <f>IF(B34="","",IF(_xlfn.MAXIFS(Levels!$A$2:$A$30,Levels!$A$2:$A$30,"&lt;="&amp;F34)&gt;G34,INDEX(Levels!$B$2:$B$30,MATCH(_xlfn.MAXIFS(Levels!$A$2:$A$30,Levels!$A$2:$A$30,"&lt;="&amp;F34),Levels!$A$2:$A$30,0)),""))</f>
        <v/>
      </c>
      <c r="I34" s="10">
        <f>IF(B34="","",COUNTIFS(Levels!$A$2:$A$30,"&lt;="&amp;F34,Levels!$A$2:$A$30,"&gt;"&amp;G34))</f>
        <v/>
      </c>
      <c r="J34" s="10">
        <f>IF(OR(B34="",TRIM('Find a child'!$B$3)=""),"",IF(ISNUMBER(SEARCH(TRIM('Find a child'!$B$3),B34&amp;" "&amp;C34)),COUNT(J$1:J33)+1,""))</f>
        <v/>
      </c>
    </row>
    <row r="35">
      <c r="A35" s="10" t="inlineStr">
        <is>
          <t>C0034</t>
        </is>
      </c>
      <c r="B35" s="6" t="n"/>
      <c r="C35" s="6" t="n"/>
      <c r="D35" s="6" t="n"/>
      <c r="E35" s="10">
        <f>IF(B35="","",IF(COUNTIFS($B$2:$B$600,B35,$C$2:$C$600,C35)&gt;1,B35&amp;" ("&amp;C35&amp;") "&amp;A35,B35&amp;" ("&amp;C35&amp;")"))</f>
        <v/>
      </c>
      <c r="F35" s="11">
        <f>IF(B35="","",SUMIFS(Entries!$J$2:$J$3000,Entries!$H$2:$H$3000,A35))</f>
        <v/>
      </c>
      <c r="G35" s="11">
        <f>IF(B35="","",_xlfn.MAXIFS(Prizes!$D$2:$D$3000,Prizes!$E$2:$E$3000,A35,Prizes!$G$2:$G$3000,""))</f>
        <v/>
      </c>
      <c r="H35" s="10">
        <f>IF(B35="","",IF(_xlfn.MAXIFS(Levels!$A$2:$A$30,Levels!$A$2:$A$30,"&lt;="&amp;F35)&gt;G35,INDEX(Levels!$B$2:$B$30,MATCH(_xlfn.MAXIFS(Levels!$A$2:$A$30,Levels!$A$2:$A$30,"&lt;="&amp;F35),Levels!$A$2:$A$30,0)),""))</f>
        <v/>
      </c>
      <c r="I35" s="10">
        <f>IF(B35="","",COUNTIFS(Levels!$A$2:$A$30,"&lt;="&amp;F35,Levels!$A$2:$A$30,"&gt;"&amp;G35))</f>
        <v/>
      </c>
      <c r="J35" s="10">
        <f>IF(OR(B35="",TRIM('Find a child'!$B$3)=""),"",IF(ISNUMBER(SEARCH(TRIM('Find a child'!$B$3),B35&amp;" "&amp;C35)),COUNT(J$1:J34)+1,""))</f>
        <v/>
      </c>
    </row>
    <row r="36">
      <c r="A36" s="10" t="inlineStr">
        <is>
          <t>C0035</t>
        </is>
      </c>
      <c r="B36" s="6" t="n"/>
      <c r="C36" s="6" t="n"/>
      <c r="D36" s="6" t="n"/>
      <c r="E36" s="10">
        <f>IF(B36="","",IF(COUNTIFS($B$2:$B$600,B36,$C$2:$C$600,C36)&gt;1,B36&amp;" ("&amp;C36&amp;") "&amp;A36,B36&amp;" ("&amp;C36&amp;")"))</f>
        <v/>
      </c>
      <c r="F36" s="11">
        <f>IF(B36="","",SUMIFS(Entries!$J$2:$J$3000,Entries!$H$2:$H$3000,A36))</f>
        <v/>
      </c>
      <c r="G36" s="11">
        <f>IF(B36="","",_xlfn.MAXIFS(Prizes!$D$2:$D$3000,Prizes!$E$2:$E$3000,A36,Prizes!$G$2:$G$3000,""))</f>
        <v/>
      </c>
      <c r="H36" s="10">
        <f>IF(B36="","",IF(_xlfn.MAXIFS(Levels!$A$2:$A$30,Levels!$A$2:$A$30,"&lt;="&amp;F36)&gt;G36,INDEX(Levels!$B$2:$B$30,MATCH(_xlfn.MAXIFS(Levels!$A$2:$A$30,Levels!$A$2:$A$30,"&lt;="&amp;F36),Levels!$A$2:$A$30,0)),""))</f>
        <v/>
      </c>
      <c r="I36" s="10">
        <f>IF(B36="","",COUNTIFS(Levels!$A$2:$A$30,"&lt;="&amp;F36,Levels!$A$2:$A$30,"&gt;"&amp;G36))</f>
        <v/>
      </c>
      <c r="J36" s="10">
        <f>IF(OR(B36="",TRIM('Find a child'!$B$3)=""),"",IF(ISNUMBER(SEARCH(TRIM('Find a child'!$B$3),B36&amp;" "&amp;C36)),COUNT(J$1:J35)+1,""))</f>
        <v/>
      </c>
    </row>
    <row r="37">
      <c r="A37" s="10" t="inlineStr">
        <is>
          <t>C0036</t>
        </is>
      </c>
      <c r="B37" s="6" t="n"/>
      <c r="C37" s="6" t="n"/>
      <c r="D37" s="6" t="n"/>
      <c r="E37" s="10">
        <f>IF(B37="","",IF(COUNTIFS($B$2:$B$600,B37,$C$2:$C$600,C37)&gt;1,B37&amp;" ("&amp;C37&amp;") "&amp;A37,B37&amp;" ("&amp;C37&amp;")"))</f>
        <v/>
      </c>
      <c r="F37" s="11">
        <f>IF(B37="","",SUMIFS(Entries!$J$2:$J$3000,Entries!$H$2:$H$3000,A37))</f>
        <v/>
      </c>
      <c r="G37" s="11">
        <f>IF(B37="","",_xlfn.MAXIFS(Prizes!$D$2:$D$3000,Prizes!$E$2:$E$3000,A37,Prizes!$G$2:$G$3000,""))</f>
        <v/>
      </c>
      <c r="H37" s="10">
        <f>IF(B37="","",IF(_xlfn.MAXIFS(Levels!$A$2:$A$30,Levels!$A$2:$A$30,"&lt;="&amp;F37)&gt;G37,INDEX(Levels!$B$2:$B$30,MATCH(_xlfn.MAXIFS(Levels!$A$2:$A$30,Levels!$A$2:$A$30,"&lt;="&amp;F37),Levels!$A$2:$A$30,0)),""))</f>
        <v/>
      </c>
      <c r="I37" s="10">
        <f>IF(B37="","",COUNTIFS(Levels!$A$2:$A$30,"&lt;="&amp;F37,Levels!$A$2:$A$30,"&gt;"&amp;G37))</f>
        <v/>
      </c>
      <c r="J37" s="10">
        <f>IF(OR(B37="",TRIM('Find a child'!$B$3)=""),"",IF(ISNUMBER(SEARCH(TRIM('Find a child'!$B$3),B37&amp;" "&amp;C37)),COUNT(J$1:J36)+1,""))</f>
        <v/>
      </c>
    </row>
    <row r="38">
      <c r="A38" s="10" t="inlineStr">
        <is>
          <t>C0037</t>
        </is>
      </c>
      <c r="B38" s="6" t="n"/>
      <c r="C38" s="6" t="n"/>
      <c r="D38" s="6" t="n"/>
      <c r="E38" s="10">
        <f>IF(B38="","",IF(COUNTIFS($B$2:$B$600,B38,$C$2:$C$600,C38)&gt;1,B38&amp;" ("&amp;C38&amp;") "&amp;A38,B38&amp;" ("&amp;C38&amp;")"))</f>
        <v/>
      </c>
      <c r="F38" s="11">
        <f>IF(B38="","",SUMIFS(Entries!$J$2:$J$3000,Entries!$H$2:$H$3000,A38))</f>
        <v/>
      </c>
      <c r="G38" s="11">
        <f>IF(B38="","",_xlfn.MAXIFS(Prizes!$D$2:$D$3000,Prizes!$E$2:$E$3000,A38,Prizes!$G$2:$G$3000,""))</f>
        <v/>
      </c>
      <c r="H38" s="10">
        <f>IF(B38="","",IF(_xlfn.MAXIFS(Levels!$A$2:$A$30,Levels!$A$2:$A$30,"&lt;="&amp;F38)&gt;G38,INDEX(Levels!$B$2:$B$30,MATCH(_xlfn.MAXIFS(Levels!$A$2:$A$30,Levels!$A$2:$A$30,"&lt;="&amp;F38),Levels!$A$2:$A$30,0)),""))</f>
        <v/>
      </c>
      <c r="I38" s="10">
        <f>IF(B38="","",COUNTIFS(Levels!$A$2:$A$30,"&lt;="&amp;F38,Levels!$A$2:$A$30,"&gt;"&amp;G38))</f>
        <v/>
      </c>
      <c r="J38" s="10">
        <f>IF(OR(B38="",TRIM('Find a child'!$B$3)=""),"",IF(ISNUMBER(SEARCH(TRIM('Find a child'!$B$3),B38&amp;" "&amp;C38)),COUNT(J$1:J37)+1,""))</f>
        <v/>
      </c>
    </row>
    <row r="39">
      <c r="A39" s="10" t="inlineStr">
        <is>
          <t>C0038</t>
        </is>
      </c>
      <c r="B39" s="6" t="n"/>
      <c r="C39" s="6" t="n"/>
      <c r="D39" s="6" t="n"/>
      <c r="E39" s="10">
        <f>IF(B39="","",IF(COUNTIFS($B$2:$B$600,B39,$C$2:$C$600,C39)&gt;1,B39&amp;" ("&amp;C39&amp;") "&amp;A39,B39&amp;" ("&amp;C39&amp;")"))</f>
        <v/>
      </c>
      <c r="F39" s="11">
        <f>IF(B39="","",SUMIFS(Entries!$J$2:$J$3000,Entries!$H$2:$H$3000,A39))</f>
        <v/>
      </c>
      <c r="G39" s="11">
        <f>IF(B39="","",_xlfn.MAXIFS(Prizes!$D$2:$D$3000,Prizes!$E$2:$E$3000,A39,Prizes!$G$2:$G$3000,""))</f>
        <v/>
      </c>
      <c r="H39" s="10">
        <f>IF(B39="","",IF(_xlfn.MAXIFS(Levels!$A$2:$A$30,Levels!$A$2:$A$30,"&lt;="&amp;F39)&gt;G39,INDEX(Levels!$B$2:$B$30,MATCH(_xlfn.MAXIFS(Levels!$A$2:$A$30,Levels!$A$2:$A$30,"&lt;="&amp;F39),Levels!$A$2:$A$30,0)),""))</f>
        <v/>
      </c>
      <c r="I39" s="10">
        <f>IF(B39="","",COUNTIFS(Levels!$A$2:$A$30,"&lt;="&amp;F39,Levels!$A$2:$A$30,"&gt;"&amp;G39))</f>
        <v/>
      </c>
      <c r="J39" s="10">
        <f>IF(OR(B39="",TRIM('Find a child'!$B$3)=""),"",IF(ISNUMBER(SEARCH(TRIM('Find a child'!$B$3),B39&amp;" "&amp;C39)),COUNT(J$1:J38)+1,""))</f>
        <v/>
      </c>
    </row>
    <row r="40">
      <c r="A40" s="10" t="inlineStr">
        <is>
          <t>C0039</t>
        </is>
      </c>
      <c r="B40" s="6" t="n"/>
      <c r="C40" s="6" t="n"/>
      <c r="D40" s="6" t="n"/>
      <c r="E40" s="10">
        <f>IF(B40="","",IF(COUNTIFS($B$2:$B$600,B40,$C$2:$C$600,C40)&gt;1,B40&amp;" ("&amp;C40&amp;") "&amp;A40,B40&amp;" ("&amp;C40&amp;")"))</f>
        <v/>
      </c>
      <c r="F40" s="11">
        <f>IF(B40="","",SUMIFS(Entries!$J$2:$J$3000,Entries!$H$2:$H$3000,A40))</f>
        <v/>
      </c>
      <c r="G40" s="11">
        <f>IF(B40="","",_xlfn.MAXIFS(Prizes!$D$2:$D$3000,Prizes!$E$2:$E$3000,A40,Prizes!$G$2:$G$3000,""))</f>
        <v/>
      </c>
      <c r="H40" s="10">
        <f>IF(B40="","",IF(_xlfn.MAXIFS(Levels!$A$2:$A$30,Levels!$A$2:$A$30,"&lt;="&amp;F40)&gt;G40,INDEX(Levels!$B$2:$B$30,MATCH(_xlfn.MAXIFS(Levels!$A$2:$A$30,Levels!$A$2:$A$30,"&lt;="&amp;F40),Levels!$A$2:$A$30,0)),""))</f>
        <v/>
      </c>
      <c r="I40" s="10">
        <f>IF(B40="","",COUNTIFS(Levels!$A$2:$A$30,"&lt;="&amp;F40,Levels!$A$2:$A$30,"&gt;"&amp;G40))</f>
        <v/>
      </c>
      <c r="J40" s="10">
        <f>IF(OR(B40="",TRIM('Find a child'!$B$3)=""),"",IF(ISNUMBER(SEARCH(TRIM('Find a child'!$B$3),B40&amp;" "&amp;C40)),COUNT(J$1:J39)+1,""))</f>
        <v/>
      </c>
    </row>
    <row r="41">
      <c r="A41" s="10" t="inlineStr">
        <is>
          <t>C0040</t>
        </is>
      </c>
      <c r="B41" s="6" t="n"/>
      <c r="C41" s="6" t="n"/>
      <c r="D41" s="6" t="n"/>
      <c r="E41" s="10">
        <f>IF(B41="","",IF(COUNTIFS($B$2:$B$600,B41,$C$2:$C$600,C41)&gt;1,B41&amp;" ("&amp;C41&amp;") "&amp;A41,B41&amp;" ("&amp;C41&amp;")"))</f>
        <v/>
      </c>
      <c r="F41" s="11">
        <f>IF(B41="","",SUMIFS(Entries!$J$2:$J$3000,Entries!$H$2:$H$3000,A41))</f>
        <v/>
      </c>
      <c r="G41" s="11">
        <f>IF(B41="","",_xlfn.MAXIFS(Prizes!$D$2:$D$3000,Prizes!$E$2:$E$3000,A41,Prizes!$G$2:$G$3000,""))</f>
        <v/>
      </c>
      <c r="H41" s="10">
        <f>IF(B41="","",IF(_xlfn.MAXIFS(Levels!$A$2:$A$30,Levels!$A$2:$A$30,"&lt;="&amp;F41)&gt;G41,INDEX(Levels!$B$2:$B$30,MATCH(_xlfn.MAXIFS(Levels!$A$2:$A$30,Levels!$A$2:$A$30,"&lt;="&amp;F41),Levels!$A$2:$A$30,0)),""))</f>
        <v/>
      </c>
      <c r="I41" s="10">
        <f>IF(B41="","",COUNTIFS(Levels!$A$2:$A$30,"&lt;="&amp;F41,Levels!$A$2:$A$30,"&gt;"&amp;G41))</f>
        <v/>
      </c>
      <c r="J41" s="10">
        <f>IF(OR(B41="",TRIM('Find a child'!$B$3)=""),"",IF(ISNUMBER(SEARCH(TRIM('Find a child'!$B$3),B41&amp;" "&amp;C41)),COUNT(J$1:J40)+1,""))</f>
        <v/>
      </c>
    </row>
    <row r="42">
      <c r="A42" s="10" t="inlineStr">
        <is>
          <t>C0041</t>
        </is>
      </c>
      <c r="B42" s="6" t="n"/>
      <c r="C42" s="6" t="n"/>
      <c r="D42" s="6" t="n"/>
      <c r="E42" s="10">
        <f>IF(B42="","",IF(COUNTIFS($B$2:$B$600,B42,$C$2:$C$600,C42)&gt;1,B42&amp;" ("&amp;C42&amp;") "&amp;A42,B42&amp;" ("&amp;C42&amp;")"))</f>
        <v/>
      </c>
      <c r="F42" s="11">
        <f>IF(B42="","",SUMIFS(Entries!$J$2:$J$3000,Entries!$H$2:$H$3000,A42))</f>
        <v/>
      </c>
      <c r="G42" s="11">
        <f>IF(B42="","",_xlfn.MAXIFS(Prizes!$D$2:$D$3000,Prizes!$E$2:$E$3000,A42,Prizes!$G$2:$G$3000,""))</f>
        <v/>
      </c>
      <c r="H42" s="10">
        <f>IF(B42="","",IF(_xlfn.MAXIFS(Levels!$A$2:$A$30,Levels!$A$2:$A$30,"&lt;="&amp;F42)&gt;G42,INDEX(Levels!$B$2:$B$30,MATCH(_xlfn.MAXIFS(Levels!$A$2:$A$30,Levels!$A$2:$A$30,"&lt;="&amp;F42),Levels!$A$2:$A$30,0)),""))</f>
        <v/>
      </c>
      <c r="I42" s="10">
        <f>IF(B42="","",COUNTIFS(Levels!$A$2:$A$30,"&lt;="&amp;F42,Levels!$A$2:$A$30,"&gt;"&amp;G42))</f>
        <v/>
      </c>
      <c r="J42" s="10">
        <f>IF(OR(B42="",TRIM('Find a child'!$B$3)=""),"",IF(ISNUMBER(SEARCH(TRIM('Find a child'!$B$3),B42&amp;" "&amp;C42)),COUNT(J$1:J41)+1,""))</f>
        <v/>
      </c>
    </row>
    <row r="43">
      <c r="A43" s="10" t="inlineStr">
        <is>
          <t>C0042</t>
        </is>
      </c>
      <c r="B43" s="6" t="n"/>
      <c r="C43" s="6" t="n"/>
      <c r="D43" s="6" t="n"/>
      <c r="E43" s="10">
        <f>IF(B43="","",IF(COUNTIFS($B$2:$B$600,B43,$C$2:$C$600,C43)&gt;1,B43&amp;" ("&amp;C43&amp;") "&amp;A43,B43&amp;" ("&amp;C43&amp;")"))</f>
        <v/>
      </c>
      <c r="F43" s="11">
        <f>IF(B43="","",SUMIFS(Entries!$J$2:$J$3000,Entries!$H$2:$H$3000,A43))</f>
        <v/>
      </c>
      <c r="G43" s="11">
        <f>IF(B43="","",_xlfn.MAXIFS(Prizes!$D$2:$D$3000,Prizes!$E$2:$E$3000,A43,Prizes!$G$2:$G$3000,""))</f>
        <v/>
      </c>
      <c r="H43" s="10">
        <f>IF(B43="","",IF(_xlfn.MAXIFS(Levels!$A$2:$A$30,Levels!$A$2:$A$30,"&lt;="&amp;F43)&gt;G43,INDEX(Levels!$B$2:$B$30,MATCH(_xlfn.MAXIFS(Levels!$A$2:$A$30,Levels!$A$2:$A$30,"&lt;="&amp;F43),Levels!$A$2:$A$30,0)),""))</f>
        <v/>
      </c>
      <c r="I43" s="10">
        <f>IF(B43="","",COUNTIFS(Levels!$A$2:$A$30,"&lt;="&amp;F43,Levels!$A$2:$A$30,"&gt;"&amp;G43))</f>
        <v/>
      </c>
      <c r="J43" s="10">
        <f>IF(OR(B43="",TRIM('Find a child'!$B$3)=""),"",IF(ISNUMBER(SEARCH(TRIM('Find a child'!$B$3),B43&amp;" "&amp;C43)),COUNT(J$1:J42)+1,""))</f>
        <v/>
      </c>
    </row>
    <row r="44">
      <c r="A44" s="10" t="inlineStr">
        <is>
          <t>C0043</t>
        </is>
      </c>
      <c r="B44" s="6" t="n"/>
      <c r="C44" s="6" t="n"/>
      <c r="D44" s="6" t="n"/>
      <c r="E44" s="10">
        <f>IF(B44="","",IF(COUNTIFS($B$2:$B$600,B44,$C$2:$C$600,C44)&gt;1,B44&amp;" ("&amp;C44&amp;") "&amp;A44,B44&amp;" ("&amp;C44&amp;")"))</f>
        <v/>
      </c>
      <c r="F44" s="11">
        <f>IF(B44="","",SUMIFS(Entries!$J$2:$J$3000,Entries!$H$2:$H$3000,A44))</f>
        <v/>
      </c>
      <c r="G44" s="11">
        <f>IF(B44="","",_xlfn.MAXIFS(Prizes!$D$2:$D$3000,Prizes!$E$2:$E$3000,A44,Prizes!$G$2:$G$3000,""))</f>
        <v/>
      </c>
      <c r="H44" s="10">
        <f>IF(B44="","",IF(_xlfn.MAXIFS(Levels!$A$2:$A$30,Levels!$A$2:$A$30,"&lt;="&amp;F44)&gt;G44,INDEX(Levels!$B$2:$B$30,MATCH(_xlfn.MAXIFS(Levels!$A$2:$A$30,Levels!$A$2:$A$30,"&lt;="&amp;F44),Levels!$A$2:$A$30,0)),""))</f>
        <v/>
      </c>
      <c r="I44" s="10">
        <f>IF(B44="","",COUNTIFS(Levels!$A$2:$A$30,"&lt;="&amp;F44,Levels!$A$2:$A$30,"&gt;"&amp;G44))</f>
        <v/>
      </c>
      <c r="J44" s="10">
        <f>IF(OR(B44="",TRIM('Find a child'!$B$3)=""),"",IF(ISNUMBER(SEARCH(TRIM('Find a child'!$B$3),B44&amp;" "&amp;C44)),COUNT(J$1:J43)+1,""))</f>
        <v/>
      </c>
    </row>
    <row r="45">
      <c r="A45" s="10" t="inlineStr">
        <is>
          <t>C0044</t>
        </is>
      </c>
      <c r="B45" s="6" t="n"/>
      <c r="C45" s="6" t="n"/>
      <c r="D45" s="6" t="n"/>
      <c r="E45" s="10">
        <f>IF(B45="","",IF(COUNTIFS($B$2:$B$600,B45,$C$2:$C$600,C45)&gt;1,B45&amp;" ("&amp;C45&amp;") "&amp;A45,B45&amp;" ("&amp;C45&amp;")"))</f>
        <v/>
      </c>
      <c r="F45" s="11">
        <f>IF(B45="","",SUMIFS(Entries!$J$2:$J$3000,Entries!$H$2:$H$3000,A45))</f>
        <v/>
      </c>
      <c r="G45" s="11">
        <f>IF(B45="","",_xlfn.MAXIFS(Prizes!$D$2:$D$3000,Prizes!$E$2:$E$3000,A45,Prizes!$G$2:$G$3000,""))</f>
        <v/>
      </c>
      <c r="H45" s="10">
        <f>IF(B45="","",IF(_xlfn.MAXIFS(Levels!$A$2:$A$30,Levels!$A$2:$A$30,"&lt;="&amp;F45)&gt;G45,INDEX(Levels!$B$2:$B$30,MATCH(_xlfn.MAXIFS(Levels!$A$2:$A$30,Levels!$A$2:$A$30,"&lt;="&amp;F45),Levels!$A$2:$A$30,0)),""))</f>
        <v/>
      </c>
      <c r="I45" s="10">
        <f>IF(B45="","",COUNTIFS(Levels!$A$2:$A$30,"&lt;="&amp;F45,Levels!$A$2:$A$30,"&gt;"&amp;G45))</f>
        <v/>
      </c>
      <c r="J45" s="10">
        <f>IF(OR(B45="",TRIM('Find a child'!$B$3)=""),"",IF(ISNUMBER(SEARCH(TRIM('Find a child'!$B$3),B45&amp;" "&amp;C45)),COUNT(J$1:J44)+1,""))</f>
        <v/>
      </c>
    </row>
    <row r="46">
      <c r="A46" s="10" t="inlineStr">
        <is>
          <t>C0045</t>
        </is>
      </c>
      <c r="B46" s="6" t="n"/>
      <c r="C46" s="6" t="n"/>
      <c r="D46" s="6" t="n"/>
      <c r="E46" s="10">
        <f>IF(B46="","",IF(COUNTIFS($B$2:$B$600,B46,$C$2:$C$600,C46)&gt;1,B46&amp;" ("&amp;C46&amp;") "&amp;A46,B46&amp;" ("&amp;C46&amp;")"))</f>
        <v/>
      </c>
      <c r="F46" s="11">
        <f>IF(B46="","",SUMIFS(Entries!$J$2:$J$3000,Entries!$H$2:$H$3000,A46))</f>
        <v/>
      </c>
      <c r="G46" s="11">
        <f>IF(B46="","",_xlfn.MAXIFS(Prizes!$D$2:$D$3000,Prizes!$E$2:$E$3000,A46,Prizes!$G$2:$G$3000,""))</f>
        <v/>
      </c>
      <c r="H46" s="10">
        <f>IF(B46="","",IF(_xlfn.MAXIFS(Levels!$A$2:$A$30,Levels!$A$2:$A$30,"&lt;="&amp;F46)&gt;G46,INDEX(Levels!$B$2:$B$30,MATCH(_xlfn.MAXIFS(Levels!$A$2:$A$30,Levels!$A$2:$A$30,"&lt;="&amp;F46),Levels!$A$2:$A$30,0)),""))</f>
        <v/>
      </c>
      <c r="I46" s="10">
        <f>IF(B46="","",COUNTIFS(Levels!$A$2:$A$30,"&lt;="&amp;F46,Levels!$A$2:$A$30,"&gt;"&amp;G46))</f>
        <v/>
      </c>
      <c r="J46" s="10">
        <f>IF(OR(B46="",TRIM('Find a child'!$B$3)=""),"",IF(ISNUMBER(SEARCH(TRIM('Find a child'!$B$3),B46&amp;" "&amp;C46)),COUNT(J$1:J45)+1,""))</f>
        <v/>
      </c>
    </row>
    <row r="47">
      <c r="A47" s="10" t="inlineStr">
        <is>
          <t>C0046</t>
        </is>
      </c>
      <c r="B47" s="6" t="n"/>
      <c r="C47" s="6" t="n"/>
      <c r="D47" s="6" t="n"/>
      <c r="E47" s="10">
        <f>IF(B47="","",IF(COUNTIFS($B$2:$B$600,B47,$C$2:$C$600,C47)&gt;1,B47&amp;" ("&amp;C47&amp;") "&amp;A47,B47&amp;" ("&amp;C47&amp;")"))</f>
        <v/>
      </c>
      <c r="F47" s="11">
        <f>IF(B47="","",SUMIFS(Entries!$J$2:$J$3000,Entries!$H$2:$H$3000,A47))</f>
        <v/>
      </c>
      <c r="G47" s="11">
        <f>IF(B47="","",_xlfn.MAXIFS(Prizes!$D$2:$D$3000,Prizes!$E$2:$E$3000,A47,Prizes!$G$2:$G$3000,""))</f>
        <v/>
      </c>
      <c r="H47" s="10">
        <f>IF(B47="","",IF(_xlfn.MAXIFS(Levels!$A$2:$A$30,Levels!$A$2:$A$30,"&lt;="&amp;F47)&gt;G47,INDEX(Levels!$B$2:$B$30,MATCH(_xlfn.MAXIFS(Levels!$A$2:$A$30,Levels!$A$2:$A$30,"&lt;="&amp;F47),Levels!$A$2:$A$30,0)),""))</f>
        <v/>
      </c>
      <c r="I47" s="10">
        <f>IF(B47="","",COUNTIFS(Levels!$A$2:$A$30,"&lt;="&amp;F47,Levels!$A$2:$A$30,"&gt;"&amp;G47))</f>
        <v/>
      </c>
      <c r="J47" s="10">
        <f>IF(OR(B47="",TRIM('Find a child'!$B$3)=""),"",IF(ISNUMBER(SEARCH(TRIM('Find a child'!$B$3),B47&amp;" "&amp;C47)),COUNT(J$1:J46)+1,""))</f>
        <v/>
      </c>
    </row>
    <row r="48">
      <c r="A48" s="10" t="inlineStr">
        <is>
          <t>C0047</t>
        </is>
      </c>
      <c r="B48" s="6" t="n"/>
      <c r="C48" s="6" t="n"/>
      <c r="D48" s="6" t="n"/>
      <c r="E48" s="10">
        <f>IF(B48="","",IF(COUNTIFS($B$2:$B$600,B48,$C$2:$C$600,C48)&gt;1,B48&amp;" ("&amp;C48&amp;") "&amp;A48,B48&amp;" ("&amp;C48&amp;")"))</f>
        <v/>
      </c>
      <c r="F48" s="11">
        <f>IF(B48="","",SUMIFS(Entries!$J$2:$J$3000,Entries!$H$2:$H$3000,A48))</f>
        <v/>
      </c>
      <c r="G48" s="11">
        <f>IF(B48="","",_xlfn.MAXIFS(Prizes!$D$2:$D$3000,Prizes!$E$2:$E$3000,A48,Prizes!$G$2:$G$3000,""))</f>
        <v/>
      </c>
      <c r="H48" s="10">
        <f>IF(B48="","",IF(_xlfn.MAXIFS(Levels!$A$2:$A$30,Levels!$A$2:$A$30,"&lt;="&amp;F48)&gt;G48,INDEX(Levels!$B$2:$B$30,MATCH(_xlfn.MAXIFS(Levels!$A$2:$A$30,Levels!$A$2:$A$30,"&lt;="&amp;F48),Levels!$A$2:$A$30,0)),""))</f>
        <v/>
      </c>
      <c r="I48" s="10">
        <f>IF(B48="","",COUNTIFS(Levels!$A$2:$A$30,"&lt;="&amp;F48,Levels!$A$2:$A$30,"&gt;"&amp;G48))</f>
        <v/>
      </c>
      <c r="J48" s="10">
        <f>IF(OR(B48="",TRIM('Find a child'!$B$3)=""),"",IF(ISNUMBER(SEARCH(TRIM('Find a child'!$B$3),B48&amp;" "&amp;C48)),COUNT(J$1:J47)+1,""))</f>
        <v/>
      </c>
    </row>
    <row r="49">
      <c r="A49" s="10" t="inlineStr">
        <is>
          <t>C0048</t>
        </is>
      </c>
      <c r="B49" s="6" t="n"/>
      <c r="C49" s="6" t="n"/>
      <c r="D49" s="6" t="n"/>
      <c r="E49" s="10">
        <f>IF(B49="","",IF(COUNTIFS($B$2:$B$600,B49,$C$2:$C$600,C49)&gt;1,B49&amp;" ("&amp;C49&amp;") "&amp;A49,B49&amp;" ("&amp;C49&amp;")"))</f>
        <v/>
      </c>
      <c r="F49" s="11">
        <f>IF(B49="","",SUMIFS(Entries!$J$2:$J$3000,Entries!$H$2:$H$3000,A49))</f>
        <v/>
      </c>
      <c r="G49" s="11">
        <f>IF(B49="","",_xlfn.MAXIFS(Prizes!$D$2:$D$3000,Prizes!$E$2:$E$3000,A49,Prizes!$G$2:$G$3000,""))</f>
        <v/>
      </c>
      <c r="H49" s="10">
        <f>IF(B49="","",IF(_xlfn.MAXIFS(Levels!$A$2:$A$30,Levels!$A$2:$A$30,"&lt;="&amp;F49)&gt;G49,INDEX(Levels!$B$2:$B$30,MATCH(_xlfn.MAXIFS(Levels!$A$2:$A$30,Levels!$A$2:$A$30,"&lt;="&amp;F49),Levels!$A$2:$A$30,0)),""))</f>
        <v/>
      </c>
      <c r="I49" s="10">
        <f>IF(B49="","",COUNTIFS(Levels!$A$2:$A$30,"&lt;="&amp;F49,Levels!$A$2:$A$30,"&gt;"&amp;G49))</f>
        <v/>
      </c>
      <c r="J49" s="10">
        <f>IF(OR(B49="",TRIM('Find a child'!$B$3)=""),"",IF(ISNUMBER(SEARCH(TRIM('Find a child'!$B$3),B49&amp;" "&amp;C49)),COUNT(J$1:J48)+1,""))</f>
        <v/>
      </c>
    </row>
    <row r="50">
      <c r="A50" s="10" t="inlineStr">
        <is>
          <t>C0049</t>
        </is>
      </c>
      <c r="B50" s="6" t="n"/>
      <c r="C50" s="6" t="n"/>
      <c r="D50" s="6" t="n"/>
      <c r="E50" s="10">
        <f>IF(B50="","",IF(COUNTIFS($B$2:$B$600,B50,$C$2:$C$600,C50)&gt;1,B50&amp;" ("&amp;C50&amp;") "&amp;A50,B50&amp;" ("&amp;C50&amp;")"))</f>
        <v/>
      </c>
      <c r="F50" s="11">
        <f>IF(B50="","",SUMIFS(Entries!$J$2:$J$3000,Entries!$H$2:$H$3000,A50))</f>
        <v/>
      </c>
      <c r="G50" s="11">
        <f>IF(B50="","",_xlfn.MAXIFS(Prizes!$D$2:$D$3000,Prizes!$E$2:$E$3000,A50,Prizes!$G$2:$G$3000,""))</f>
        <v/>
      </c>
      <c r="H50" s="10">
        <f>IF(B50="","",IF(_xlfn.MAXIFS(Levels!$A$2:$A$30,Levels!$A$2:$A$30,"&lt;="&amp;F50)&gt;G50,INDEX(Levels!$B$2:$B$30,MATCH(_xlfn.MAXIFS(Levels!$A$2:$A$30,Levels!$A$2:$A$30,"&lt;="&amp;F50),Levels!$A$2:$A$30,0)),""))</f>
        <v/>
      </c>
      <c r="I50" s="10">
        <f>IF(B50="","",COUNTIFS(Levels!$A$2:$A$30,"&lt;="&amp;F50,Levels!$A$2:$A$30,"&gt;"&amp;G50))</f>
        <v/>
      </c>
      <c r="J50" s="10">
        <f>IF(OR(B50="",TRIM('Find a child'!$B$3)=""),"",IF(ISNUMBER(SEARCH(TRIM('Find a child'!$B$3),B50&amp;" "&amp;C50)),COUNT(J$1:J49)+1,""))</f>
        <v/>
      </c>
    </row>
    <row r="51">
      <c r="A51" s="10" t="inlineStr">
        <is>
          <t>C0050</t>
        </is>
      </c>
      <c r="B51" s="6" t="n"/>
      <c r="C51" s="6" t="n"/>
      <c r="D51" s="6" t="n"/>
      <c r="E51" s="10">
        <f>IF(B51="","",IF(COUNTIFS($B$2:$B$600,B51,$C$2:$C$600,C51)&gt;1,B51&amp;" ("&amp;C51&amp;") "&amp;A51,B51&amp;" ("&amp;C51&amp;")"))</f>
        <v/>
      </c>
      <c r="F51" s="11">
        <f>IF(B51="","",SUMIFS(Entries!$J$2:$J$3000,Entries!$H$2:$H$3000,A51))</f>
        <v/>
      </c>
      <c r="G51" s="11">
        <f>IF(B51="","",_xlfn.MAXIFS(Prizes!$D$2:$D$3000,Prizes!$E$2:$E$3000,A51,Prizes!$G$2:$G$3000,""))</f>
        <v/>
      </c>
      <c r="H51" s="10">
        <f>IF(B51="","",IF(_xlfn.MAXIFS(Levels!$A$2:$A$30,Levels!$A$2:$A$30,"&lt;="&amp;F51)&gt;G51,INDEX(Levels!$B$2:$B$30,MATCH(_xlfn.MAXIFS(Levels!$A$2:$A$30,Levels!$A$2:$A$30,"&lt;="&amp;F51),Levels!$A$2:$A$30,0)),""))</f>
        <v/>
      </c>
      <c r="I51" s="10">
        <f>IF(B51="","",COUNTIFS(Levels!$A$2:$A$30,"&lt;="&amp;F51,Levels!$A$2:$A$30,"&gt;"&amp;G51))</f>
        <v/>
      </c>
      <c r="J51" s="10">
        <f>IF(OR(B51="",TRIM('Find a child'!$B$3)=""),"",IF(ISNUMBER(SEARCH(TRIM('Find a child'!$B$3),B51&amp;" "&amp;C51)),COUNT(J$1:J50)+1,""))</f>
        <v/>
      </c>
    </row>
    <row r="52">
      <c r="A52" s="10" t="inlineStr">
        <is>
          <t>C0051</t>
        </is>
      </c>
      <c r="B52" s="6" t="n"/>
      <c r="C52" s="6" t="n"/>
      <c r="D52" s="6" t="n"/>
      <c r="E52" s="10">
        <f>IF(B52="","",IF(COUNTIFS($B$2:$B$600,B52,$C$2:$C$600,C52)&gt;1,B52&amp;" ("&amp;C52&amp;") "&amp;A52,B52&amp;" ("&amp;C52&amp;")"))</f>
        <v/>
      </c>
      <c r="F52" s="11">
        <f>IF(B52="","",SUMIFS(Entries!$J$2:$J$3000,Entries!$H$2:$H$3000,A52))</f>
        <v/>
      </c>
      <c r="G52" s="11">
        <f>IF(B52="","",_xlfn.MAXIFS(Prizes!$D$2:$D$3000,Prizes!$E$2:$E$3000,A52,Prizes!$G$2:$G$3000,""))</f>
        <v/>
      </c>
      <c r="H52" s="10">
        <f>IF(B52="","",IF(_xlfn.MAXIFS(Levels!$A$2:$A$30,Levels!$A$2:$A$30,"&lt;="&amp;F52)&gt;G52,INDEX(Levels!$B$2:$B$30,MATCH(_xlfn.MAXIFS(Levels!$A$2:$A$30,Levels!$A$2:$A$30,"&lt;="&amp;F52),Levels!$A$2:$A$30,0)),""))</f>
        <v/>
      </c>
      <c r="I52" s="10">
        <f>IF(B52="","",COUNTIFS(Levels!$A$2:$A$30,"&lt;="&amp;F52,Levels!$A$2:$A$30,"&gt;"&amp;G52))</f>
        <v/>
      </c>
      <c r="J52" s="10">
        <f>IF(OR(B52="",TRIM('Find a child'!$B$3)=""),"",IF(ISNUMBER(SEARCH(TRIM('Find a child'!$B$3),B52&amp;" "&amp;C52)),COUNT(J$1:J51)+1,""))</f>
        <v/>
      </c>
    </row>
    <row r="53">
      <c r="A53" s="10" t="inlineStr">
        <is>
          <t>C0052</t>
        </is>
      </c>
      <c r="B53" s="6" t="n"/>
      <c r="C53" s="6" t="n"/>
      <c r="D53" s="6" t="n"/>
      <c r="E53" s="10">
        <f>IF(B53="","",IF(COUNTIFS($B$2:$B$600,B53,$C$2:$C$600,C53)&gt;1,B53&amp;" ("&amp;C53&amp;") "&amp;A53,B53&amp;" ("&amp;C53&amp;")"))</f>
        <v/>
      </c>
      <c r="F53" s="11">
        <f>IF(B53="","",SUMIFS(Entries!$J$2:$J$3000,Entries!$H$2:$H$3000,A53))</f>
        <v/>
      </c>
      <c r="G53" s="11">
        <f>IF(B53="","",_xlfn.MAXIFS(Prizes!$D$2:$D$3000,Prizes!$E$2:$E$3000,A53,Prizes!$G$2:$G$3000,""))</f>
        <v/>
      </c>
      <c r="H53" s="10">
        <f>IF(B53="","",IF(_xlfn.MAXIFS(Levels!$A$2:$A$30,Levels!$A$2:$A$30,"&lt;="&amp;F53)&gt;G53,INDEX(Levels!$B$2:$B$30,MATCH(_xlfn.MAXIFS(Levels!$A$2:$A$30,Levels!$A$2:$A$30,"&lt;="&amp;F53),Levels!$A$2:$A$30,0)),""))</f>
        <v/>
      </c>
      <c r="I53" s="10">
        <f>IF(B53="","",COUNTIFS(Levels!$A$2:$A$30,"&lt;="&amp;F53,Levels!$A$2:$A$30,"&gt;"&amp;G53))</f>
        <v/>
      </c>
      <c r="J53" s="10">
        <f>IF(OR(B53="",TRIM('Find a child'!$B$3)=""),"",IF(ISNUMBER(SEARCH(TRIM('Find a child'!$B$3),B53&amp;" "&amp;C53)),COUNT(J$1:J52)+1,""))</f>
        <v/>
      </c>
    </row>
    <row r="54">
      <c r="A54" s="10" t="inlineStr">
        <is>
          <t>C0053</t>
        </is>
      </c>
      <c r="B54" s="6" t="n"/>
      <c r="C54" s="6" t="n"/>
      <c r="D54" s="6" t="n"/>
      <c r="E54" s="10">
        <f>IF(B54="","",IF(COUNTIFS($B$2:$B$600,B54,$C$2:$C$600,C54)&gt;1,B54&amp;" ("&amp;C54&amp;") "&amp;A54,B54&amp;" ("&amp;C54&amp;")"))</f>
        <v/>
      </c>
      <c r="F54" s="11">
        <f>IF(B54="","",SUMIFS(Entries!$J$2:$J$3000,Entries!$H$2:$H$3000,A54))</f>
        <v/>
      </c>
      <c r="G54" s="11">
        <f>IF(B54="","",_xlfn.MAXIFS(Prizes!$D$2:$D$3000,Prizes!$E$2:$E$3000,A54,Prizes!$G$2:$G$3000,""))</f>
        <v/>
      </c>
      <c r="H54" s="10">
        <f>IF(B54="","",IF(_xlfn.MAXIFS(Levels!$A$2:$A$30,Levels!$A$2:$A$30,"&lt;="&amp;F54)&gt;G54,INDEX(Levels!$B$2:$B$30,MATCH(_xlfn.MAXIFS(Levels!$A$2:$A$30,Levels!$A$2:$A$30,"&lt;="&amp;F54),Levels!$A$2:$A$30,0)),""))</f>
        <v/>
      </c>
      <c r="I54" s="10">
        <f>IF(B54="","",COUNTIFS(Levels!$A$2:$A$30,"&lt;="&amp;F54,Levels!$A$2:$A$30,"&gt;"&amp;G54))</f>
        <v/>
      </c>
      <c r="J54" s="10">
        <f>IF(OR(B54="",TRIM('Find a child'!$B$3)=""),"",IF(ISNUMBER(SEARCH(TRIM('Find a child'!$B$3),B54&amp;" "&amp;C54)),COUNT(J$1:J53)+1,""))</f>
        <v/>
      </c>
    </row>
    <row r="55">
      <c r="A55" s="10" t="inlineStr">
        <is>
          <t>C0054</t>
        </is>
      </c>
      <c r="B55" s="6" t="n"/>
      <c r="C55" s="6" t="n"/>
      <c r="D55" s="6" t="n"/>
      <c r="E55" s="10">
        <f>IF(B55="","",IF(COUNTIFS($B$2:$B$600,B55,$C$2:$C$600,C55)&gt;1,B55&amp;" ("&amp;C55&amp;") "&amp;A55,B55&amp;" ("&amp;C55&amp;")"))</f>
        <v/>
      </c>
      <c r="F55" s="11">
        <f>IF(B55="","",SUMIFS(Entries!$J$2:$J$3000,Entries!$H$2:$H$3000,A55))</f>
        <v/>
      </c>
      <c r="G55" s="11">
        <f>IF(B55="","",_xlfn.MAXIFS(Prizes!$D$2:$D$3000,Prizes!$E$2:$E$3000,A55,Prizes!$G$2:$G$3000,""))</f>
        <v/>
      </c>
      <c r="H55" s="10">
        <f>IF(B55="","",IF(_xlfn.MAXIFS(Levels!$A$2:$A$30,Levels!$A$2:$A$30,"&lt;="&amp;F55)&gt;G55,INDEX(Levels!$B$2:$B$30,MATCH(_xlfn.MAXIFS(Levels!$A$2:$A$30,Levels!$A$2:$A$30,"&lt;="&amp;F55),Levels!$A$2:$A$30,0)),""))</f>
        <v/>
      </c>
      <c r="I55" s="10">
        <f>IF(B55="","",COUNTIFS(Levels!$A$2:$A$30,"&lt;="&amp;F55,Levels!$A$2:$A$30,"&gt;"&amp;G55))</f>
        <v/>
      </c>
      <c r="J55" s="10">
        <f>IF(OR(B55="",TRIM('Find a child'!$B$3)=""),"",IF(ISNUMBER(SEARCH(TRIM('Find a child'!$B$3),B55&amp;" "&amp;C55)),COUNT(J$1:J54)+1,""))</f>
        <v/>
      </c>
    </row>
    <row r="56">
      <c r="A56" s="10" t="inlineStr">
        <is>
          <t>C0055</t>
        </is>
      </c>
      <c r="B56" s="6" t="n"/>
      <c r="C56" s="6" t="n"/>
      <c r="D56" s="6" t="n"/>
      <c r="E56" s="10">
        <f>IF(B56="","",IF(COUNTIFS($B$2:$B$600,B56,$C$2:$C$600,C56)&gt;1,B56&amp;" ("&amp;C56&amp;") "&amp;A56,B56&amp;" ("&amp;C56&amp;")"))</f>
        <v/>
      </c>
      <c r="F56" s="11">
        <f>IF(B56="","",SUMIFS(Entries!$J$2:$J$3000,Entries!$H$2:$H$3000,A56))</f>
        <v/>
      </c>
      <c r="G56" s="11">
        <f>IF(B56="","",_xlfn.MAXIFS(Prizes!$D$2:$D$3000,Prizes!$E$2:$E$3000,A56,Prizes!$G$2:$G$3000,""))</f>
        <v/>
      </c>
      <c r="H56" s="10">
        <f>IF(B56="","",IF(_xlfn.MAXIFS(Levels!$A$2:$A$30,Levels!$A$2:$A$30,"&lt;="&amp;F56)&gt;G56,INDEX(Levels!$B$2:$B$30,MATCH(_xlfn.MAXIFS(Levels!$A$2:$A$30,Levels!$A$2:$A$30,"&lt;="&amp;F56),Levels!$A$2:$A$30,0)),""))</f>
        <v/>
      </c>
      <c r="I56" s="10">
        <f>IF(B56="","",COUNTIFS(Levels!$A$2:$A$30,"&lt;="&amp;F56,Levels!$A$2:$A$30,"&gt;"&amp;G56))</f>
        <v/>
      </c>
      <c r="J56" s="10">
        <f>IF(OR(B56="",TRIM('Find a child'!$B$3)=""),"",IF(ISNUMBER(SEARCH(TRIM('Find a child'!$B$3),B56&amp;" "&amp;C56)),COUNT(J$1:J55)+1,""))</f>
        <v/>
      </c>
    </row>
    <row r="57">
      <c r="A57" s="10" t="inlineStr">
        <is>
          <t>C0056</t>
        </is>
      </c>
      <c r="B57" s="6" t="n"/>
      <c r="C57" s="6" t="n"/>
      <c r="D57" s="6" t="n"/>
      <c r="E57" s="10">
        <f>IF(B57="","",IF(COUNTIFS($B$2:$B$600,B57,$C$2:$C$600,C57)&gt;1,B57&amp;" ("&amp;C57&amp;") "&amp;A57,B57&amp;" ("&amp;C57&amp;")"))</f>
        <v/>
      </c>
      <c r="F57" s="11">
        <f>IF(B57="","",SUMIFS(Entries!$J$2:$J$3000,Entries!$H$2:$H$3000,A57))</f>
        <v/>
      </c>
      <c r="G57" s="11">
        <f>IF(B57="","",_xlfn.MAXIFS(Prizes!$D$2:$D$3000,Prizes!$E$2:$E$3000,A57,Prizes!$G$2:$G$3000,""))</f>
        <v/>
      </c>
      <c r="H57" s="10">
        <f>IF(B57="","",IF(_xlfn.MAXIFS(Levels!$A$2:$A$30,Levels!$A$2:$A$30,"&lt;="&amp;F57)&gt;G57,INDEX(Levels!$B$2:$B$30,MATCH(_xlfn.MAXIFS(Levels!$A$2:$A$30,Levels!$A$2:$A$30,"&lt;="&amp;F57),Levels!$A$2:$A$30,0)),""))</f>
        <v/>
      </c>
      <c r="I57" s="10">
        <f>IF(B57="","",COUNTIFS(Levels!$A$2:$A$30,"&lt;="&amp;F57,Levels!$A$2:$A$30,"&gt;"&amp;G57))</f>
        <v/>
      </c>
      <c r="J57" s="10">
        <f>IF(OR(B57="",TRIM('Find a child'!$B$3)=""),"",IF(ISNUMBER(SEARCH(TRIM('Find a child'!$B$3),B57&amp;" "&amp;C57)),COUNT(J$1:J56)+1,""))</f>
        <v/>
      </c>
    </row>
    <row r="58">
      <c r="A58" s="10" t="inlineStr">
        <is>
          <t>C0057</t>
        </is>
      </c>
      <c r="B58" s="6" t="n"/>
      <c r="C58" s="6" t="n"/>
      <c r="D58" s="6" t="n"/>
      <c r="E58" s="10">
        <f>IF(B58="","",IF(COUNTIFS($B$2:$B$600,B58,$C$2:$C$600,C58)&gt;1,B58&amp;" ("&amp;C58&amp;") "&amp;A58,B58&amp;" ("&amp;C58&amp;")"))</f>
        <v/>
      </c>
      <c r="F58" s="11">
        <f>IF(B58="","",SUMIFS(Entries!$J$2:$J$3000,Entries!$H$2:$H$3000,A58))</f>
        <v/>
      </c>
      <c r="G58" s="11">
        <f>IF(B58="","",_xlfn.MAXIFS(Prizes!$D$2:$D$3000,Prizes!$E$2:$E$3000,A58,Prizes!$G$2:$G$3000,""))</f>
        <v/>
      </c>
      <c r="H58" s="10">
        <f>IF(B58="","",IF(_xlfn.MAXIFS(Levels!$A$2:$A$30,Levels!$A$2:$A$30,"&lt;="&amp;F58)&gt;G58,INDEX(Levels!$B$2:$B$30,MATCH(_xlfn.MAXIFS(Levels!$A$2:$A$30,Levels!$A$2:$A$30,"&lt;="&amp;F58),Levels!$A$2:$A$30,0)),""))</f>
        <v/>
      </c>
      <c r="I58" s="10">
        <f>IF(B58="","",COUNTIFS(Levels!$A$2:$A$30,"&lt;="&amp;F58,Levels!$A$2:$A$30,"&gt;"&amp;G58))</f>
        <v/>
      </c>
      <c r="J58" s="10">
        <f>IF(OR(B58="",TRIM('Find a child'!$B$3)=""),"",IF(ISNUMBER(SEARCH(TRIM('Find a child'!$B$3),B58&amp;" "&amp;C58)),COUNT(J$1:J57)+1,""))</f>
        <v/>
      </c>
    </row>
    <row r="59">
      <c r="A59" s="10" t="inlineStr">
        <is>
          <t>C0058</t>
        </is>
      </c>
      <c r="B59" s="6" t="n"/>
      <c r="C59" s="6" t="n"/>
      <c r="D59" s="6" t="n"/>
      <c r="E59" s="10">
        <f>IF(B59="","",IF(COUNTIFS($B$2:$B$600,B59,$C$2:$C$600,C59)&gt;1,B59&amp;" ("&amp;C59&amp;") "&amp;A59,B59&amp;" ("&amp;C59&amp;")"))</f>
        <v/>
      </c>
      <c r="F59" s="11">
        <f>IF(B59="","",SUMIFS(Entries!$J$2:$J$3000,Entries!$H$2:$H$3000,A59))</f>
        <v/>
      </c>
      <c r="G59" s="11">
        <f>IF(B59="","",_xlfn.MAXIFS(Prizes!$D$2:$D$3000,Prizes!$E$2:$E$3000,A59,Prizes!$G$2:$G$3000,""))</f>
        <v/>
      </c>
      <c r="H59" s="10">
        <f>IF(B59="","",IF(_xlfn.MAXIFS(Levels!$A$2:$A$30,Levels!$A$2:$A$30,"&lt;="&amp;F59)&gt;G59,INDEX(Levels!$B$2:$B$30,MATCH(_xlfn.MAXIFS(Levels!$A$2:$A$30,Levels!$A$2:$A$30,"&lt;="&amp;F59),Levels!$A$2:$A$30,0)),""))</f>
        <v/>
      </c>
      <c r="I59" s="10">
        <f>IF(B59="","",COUNTIFS(Levels!$A$2:$A$30,"&lt;="&amp;F59,Levels!$A$2:$A$30,"&gt;"&amp;G59))</f>
        <v/>
      </c>
      <c r="J59" s="10">
        <f>IF(OR(B59="",TRIM('Find a child'!$B$3)=""),"",IF(ISNUMBER(SEARCH(TRIM('Find a child'!$B$3),B59&amp;" "&amp;C59)),COUNT(J$1:J58)+1,""))</f>
        <v/>
      </c>
    </row>
    <row r="60">
      <c r="A60" s="10" t="inlineStr">
        <is>
          <t>C0059</t>
        </is>
      </c>
      <c r="B60" s="6" t="n"/>
      <c r="C60" s="6" t="n"/>
      <c r="D60" s="6" t="n"/>
      <c r="E60" s="10">
        <f>IF(B60="","",IF(COUNTIFS($B$2:$B$600,B60,$C$2:$C$600,C60)&gt;1,B60&amp;" ("&amp;C60&amp;") "&amp;A60,B60&amp;" ("&amp;C60&amp;")"))</f>
        <v/>
      </c>
      <c r="F60" s="11">
        <f>IF(B60="","",SUMIFS(Entries!$J$2:$J$3000,Entries!$H$2:$H$3000,A60))</f>
        <v/>
      </c>
      <c r="G60" s="11">
        <f>IF(B60="","",_xlfn.MAXIFS(Prizes!$D$2:$D$3000,Prizes!$E$2:$E$3000,A60,Prizes!$G$2:$G$3000,""))</f>
        <v/>
      </c>
      <c r="H60" s="10">
        <f>IF(B60="","",IF(_xlfn.MAXIFS(Levels!$A$2:$A$30,Levels!$A$2:$A$30,"&lt;="&amp;F60)&gt;G60,INDEX(Levels!$B$2:$B$30,MATCH(_xlfn.MAXIFS(Levels!$A$2:$A$30,Levels!$A$2:$A$30,"&lt;="&amp;F60),Levels!$A$2:$A$30,0)),""))</f>
        <v/>
      </c>
      <c r="I60" s="10">
        <f>IF(B60="","",COUNTIFS(Levels!$A$2:$A$30,"&lt;="&amp;F60,Levels!$A$2:$A$30,"&gt;"&amp;G60))</f>
        <v/>
      </c>
      <c r="J60" s="10">
        <f>IF(OR(B60="",TRIM('Find a child'!$B$3)=""),"",IF(ISNUMBER(SEARCH(TRIM('Find a child'!$B$3),B60&amp;" "&amp;C60)),COUNT(J$1:J59)+1,""))</f>
        <v/>
      </c>
    </row>
    <row r="61">
      <c r="A61" s="10" t="inlineStr">
        <is>
          <t>C0060</t>
        </is>
      </c>
      <c r="B61" s="6" t="n"/>
      <c r="C61" s="6" t="n"/>
      <c r="D61" s="6" t="n"/>
      <c r="E61" s="10">
        <f>IF(B61="","",IF(COUNTIFS($B$2:$B$600,B61,$C$2:$C$600,C61)&gt;1,B61&amp;" ("&amp;C61&amp;") "&amp;A61,B61&amp;" ("&amp;C61&amp;")"))</f>
        <v/>
      </c>
      <c r="F61" s="11">
        <f>IF(B61="","",SUMIFS(Entries!$J$2:$J$3000,Entries!$H$2:$H$3000,A61))</f>
        <v/>
      </c>
      <c r="G61" s="11">
        <f>IF(B61="","",_xlfn.MAXIFS(Prizes!$D$2:$D$3000,Prizes!$E$2:$E$3000,A61,Prizes!$G$2:$G$3000,""))</f>
        <v/>
      </c>
      <c r="H61" s="10">
        <f>IF(B61="","",IF(_xlfn.MAXIFS(Levels!$A$2:$A$30,Levels!$A$2:$A$30,"&lt;="&amp;F61)&gt;G61,INDEX(Levels!$B$2:$B$30,MATCH(_xlfn.MAXIFS(Levels!$A$2:$A$30,Levels!$A$2:$A$30,"&lt;="&amp;F61),Levels!$A$2:$A$30,0)),""))</f>
        <v/>
      </c>
      <c r="I61" s="10">
        <f>IF(B61="","",COUNTIFS(Levels!$A$2:$A$30,"&lt;="&amp;F61,Levels!$A$2:$A$30,"&gt;"&amp;G61))</f>
        <v/>
      </c>
      <c r="J61" s="10">
        <f>IF(OR(B61="",TRIM('Find a child'!$B$3)=""),"",IF(ISNUMBER(SEARCH(TRIM('Find a child'!$B$3),B61&amp;" "&amp;C61)),COUNT(J$1:J60)+1,""))</f>
        <v/>
      </c>
    </row>
    <row r="62">
      <c r="A62" s="10" t="inlineStr">
        <is>
          <t>C0061</t>
        </is>
      </c>
      <c r="B62" s="6" t="n"/>
      <c r="C62" s="6" t="n"/>
      <c r="D62" s="6" t="n"/>
      <c r="E62" s="10">
        <f>IF(B62="","",IF(COUNTIFS($B$2:$B$600,B62,$C$2:$C$600,C62)&gt;1,B62&amp;" ("&amp;C62&amp;") "&amp;A62,B62&amp;" ("&amp;C62&amp;")"))</f>
        <v/>
      </c>
      <c r="F62" s="11">
        <f>IF(B62="","",SUMIFS(Entries!$J$2:$J$3000,Entries!$H$2:$H$3000,A62))</f>
        <v/>
      </c>
      <c r="G62" s="11">
        <f>IF(B62="","",_xlfn.MAXIFS(Prizes!$D$2:$D$3000,Prizes!$E$2:$E$3000,A62,Prizes!$G$2:$G$3000,""))</f>
        <v/>
      </c>
      <c r="H62" s="10">
        <f>IF(B62="","",IF(_xlfn.MAXIFS(Levels!$A$2:$A$30,Levels!$A$2:$A$30,"&lt;="&amp;F62)&gt;G62,INDEX(Levels!$B$2:$B$30,MATCH(_xlfn.MAXIFS(Levels!$A$2:$A$30,Levels!$A$2:$A$30,"&lt;="&amp;F62),Levels!$A$2:$A$30,0)),""))</f>
        <v/>
      </c>
      <c r="I62" s="10">
        <f>IF(B62="","",COUNTIFS(Levels!$A$2:$A$30,"&lt;="&amp;F62,Levels!$A$2:$A$30,"&gt;"&amp;G62))</f>
        <v/>
      </c>
      <c r="J62" s="10">
        <f>IF(OR(B62="",TRIM('Find a child'!$B$3)=""),"",IF(ISNUMBER(SEARCH(TRIM('Find a child'!$B$3),B62&amp;" "&amp;C62)),COUNT(J$1:J61)+1,""))</f>
        <v/>
      </c>
    </row>
    <row r="63">
      <c r="A63" s="10" t="inlineStr">
        <is>
          <t>C0062</t>
        </is>
      </c>
      <c r="B63" s="6" t="n"/>
      <c r="C63" s="6" t="n"/>
      <c r="D63" s="6" t="n"/>
      <c r="E63" s="10">
        <f>IF(B63="","",IF(COUNTIFS($B$2:$B$600,B63,$C$2:$C$600,C63)&gt;1,B63&amp;" ("&amp;C63&amp;") "&amp;A63,B63&amp;" ("&amp;C63&amp;")"))</f>
        <v/>
      </c>
      <c r="F63" s="11">
        <f>IF(B63="","",SUMIFS(Entries!$J$2:$J$3000,Entries!$H$2:$H$3000,A63))</f>
        <v/>
      </c>
      <c r="G63" s="11">
        <f>IF(B63="","",_xlfn.MAXIFS(Prizes!$D$2:$D$3000,Prizes!$E$2:$E$3000,A63,Prizes!$G$2:$G$3000,""))</f>
        <v/>
      </c>
      <c r="H63" s="10">
        <f>IF(B63="","",IF(_xlfn.MAXIFS(Levels!$A$2:$A$30,Levels!$A$2:$A$30,"&lt;="&amp;F63)&gt;G63,INDEX(Levels!$B$2:$B$30,MATCH(_xlfn.MAXIFS(Levels!$A$2:$A$30,Levels!$A$2:$A$30,"&lt;="&amp;F63),Levels!$A$2:$A$30,0)),""))</f>
        <v/>
      </c>
      <c r="I63" s="10">
        <f>IF(B63="","",COUNTIFS(Levels!$A$2:$A$30,"&lt;="&amp;F63,Levels!$A$2:$A$30,"&gt;"&amp;G63))</f>
        <v/>
      </c>
      <c r="J63" s="10">
        <f>IF(OR(B63="",TRIM('Find a child'!$B$3)=""),"",IF(ISNUMBER(SEARCH(TRIM('Find a child'!$B$3),B63&amp;" "&amp;C63)),COUNT(J$1:J62)+1,""))</f>
        <v/>
      </c>
    </row>
    <row r="64">
      <c r="A64" s="10" t="inlineStr">
        <is>
          <t>C0063</t>
        </is>
      </c>
      <c r="B64" s="6" t="n"/>
      <c r="C64" s="6" t="n"/>
      <c r="D64" s="6" t="n"/>
      <c r="E64" s="10">
        <f>IF(B64="","",IF(COUNTIFS($B$2:$B$600,B64,$C$2:$C$600,C64)&gt;1,B64&amp;" ("&amp;C64&amp;") "&amp;A64,B64&amp;" ("&amp;C64&amp;")"))</f>
        <v/>
      </c>
      <c r="F64" s="11">
        <f>IF(B64="","",SUMIFS(Entries!$J$2:$J$3000,Entries!$H$2:$H$3000,A64))</f>
        <v/>
      </c>
      <c r="G64" s="11">
        <f>IF(B64="","",_xlfn.MAXIFS(Prizes!$D$2:$D$3000,Prizes!$E$2:$E$3000,A64,Prizes!$G$2:$G$3000,""))</f>
        <v/>
      </c>
      <c r="H64" s="10">
        <f>IF(B64="","",IF(_xlfn.MAXIFS(Levels!$A$2:$A$30,Levels!$A$2:$A$30,"&lt;="&amp;F64)&gt;G64,INDEX(Levels!$B$2:$B$30,MATCH(_xlfn.MAXIFS(Levels!$A$2:$A$30,Levels!$A$2:$A$30,"&lt;="&amp;F64),Levels!$A$2:$A$30,0)),""))</f>
        <v/>
      </c>
      <c r="I64" s="10">
        <f>IF(B64="","",COUNTIFS(Levels!$A$2:$A$30,"&lt;="&amp;F64,Levels!$A$2:$A$30,"&gt;"&amp;G64))</f>
        <v/>
      </c>
      <c r="J64" s="10">
        <f>IF(OR(B64="",TRIM('Find a child'!$B$3)=""),"",IF(ISNUMBER(SEARCH(TRIM('Find a child'!$B$3),B64&amp;" "&amp;C64)),COUNT(J$1:J63)+1,""))</f>
        <v/>
      </c>
    </row>
    <row r="65">
      <c r="A65" s="10" t="inlineStr">
        <is>
          <t>C0064</t>
        </is>
      </c>
      <c r="B65" s="6" t="n"/>
      <c r="C65" s="6" t="n"/>
      <c r="D65" s="6" t="n"/>
      <c r="E65" s="10">
        <f>IF(B65="","",IF(COUNTIFS($B$2:$B$600,B65,$C$2:$C$600,C65)&gt;1,B65&amp;" ("&amp;C65&amp;") "&amp;A65,B65&amp;" ("&amp;C65&amp;")"))</f>
        <v/>
      </c>
      <c r="F65" s="11">
        <f>IF(B65="","",SUMIFS(Entries!$J$2:$J$3000,Entries!$H$2:$H$3000,A65))</f>
        <v/>
      </c>
      <c r="G65" s="11">
        <f>IF(B65="","",_xlfn.MAXIFS(Prizes!$D$2:$D$3000,Prizes!$E$2:$E$3000,A65,Prizes!$G$2:$G$3000,""))</f>
        <v/>
      </c>
      <c r="H65" s="10">
        <f>IF(B65="","",IF(_xlfn.MAXIFS(Levels!$A$2:$A$30,Levels!$A$2:$A$30,"&lt;="&amp;F65)&gt;G65,INDEX(Levels!$B$2:$B$30,MATCH(_xlfn.MAXIFS(Levels!$A$2:$A$30,Levels!$A$2:$A$30,"&lt;="&amp;F65),Levels!$A$2:$A$30,0)),""))</f>
        <v/>
      </c>
      <c r="I65" s="10">
        <f>IF(B65="","",COUNTIFS(Levels!$A$2:$A$30,"&lt;="&amp;F65,Levels!$A$2:$A$30,"&gt;"&amp;G65))</f>
        <v/>
      </c>
      <c r="J65" s="10">
        <f>IF(OR(B65="",TRIM('Find a child'!$B$3)=""),"",IF(ISNUMBER(SEARCH(TRIM('Find a child'!$B$3),B65&amp;" "&amp;C65)),COUNT(J$1:J64)+1,""))</f>
        <v/>
      </c>
    </row>
    <row r="66">
      <c r="A66" s="10" t="inlineStr">
        <is>
          <t>C0065</t>
        </is>
      </c>
      <c r="B66" s="6" t="n"/>
      <c r="C66" s="6" t="n"/>
      <c r="D66" s="6" t="n"/>
      <c r="E66" s="10">
        <f>IF(B66="","",IF(COUNTIFS($B$2:$B$600,B66,$C$2:$C$600,C66)&gt;1,B66&amp;" ("&amp;C66&amp;") "&amp;A66,B66&amp;" ("&amp;C66&amp;")"))</f>
        <v/>
      </c>
      <c r="F66" s="11">
        <f>IF(B66="","",SUMIFS(Entries!$J$2:$J$3000,Entries!$H$2:$H$3000,A66))</f>
        <v/>
      </c>
      <c r="G66" s="11">
        <f>IF(B66="","",_xlfn.MAXIFS(Prizes!$D$2:$D$3000,Prizes!$E$2:$E$3000,A66,Prizes!$G$2:$G$3000,""))</f>
        <v/>
      </c>
      <c r="H66" s="10">
        <f>IF(B66="","",IF(_xlfn.MAXIFS(Levels!$A$2:$A$30,Levels!$A$2:$A$30,"&lt;="&amp;F66)&gt;G66,INDEX(Levels!$B$2:$B$30,MATCH(_xlfn.MAXIFS(Levels!$A$2:$A$30,Levels!$A$2:$A$30,"&lt;="&amp;F66),Levels!$A$2:$A$30,0)),""))</f>
        <v/>
      </c>
      <c r="I66" s="10">
        <f>IF(B66="","",COUNTIFS(Levels!$A$2:$A$30,"&lt;="&amp;F66,Levels!$A$2:$A$30,"&gt;"&amp;G66))</f>
        <v/>
      </c>
      <c r="J66" s="10">
        <f>IF(OR(B66="",TRIM('Find a child'!$B$3)=""),"",IF(ISNUMBER(SEARCH(TRIM('Find a child'!$B$3),B66&amp;" "&amp;C66)),COUNT(J$1:J65)+1,""))</f>
        <v/>
      </c>
    </row>
    <row r="67">
      <c r="A67" s="10" t="inlineStr">
        <is>
          <t>C0066</t>
        </is>
      </c>
      <c r="B67" s="6" t="n"/>
      <c r="C67" s="6" t="n"/>
      <c r="D67" s="6" t="n"/>
      <c r="E67" s="10">
        <f>IF(B67="","",IF(COUNTIFS($B$2:$B$600,B67,$C$2:$C$600,C67)&gt;1,B67&amp;" ("&amp;C67&amp;") "&amp;A67,B67&amp;" ("&amp;C67&amp;")"))</f>
        <v/>
      </c>
      <c r="F67" s="11">
        <f>IF(B67="","",SUMIFS(Entries!$J$2:$J$3000,Entries!$H$2:$H$3000,A67))</f>
        <v/>
      </c>
      <c r="G67" s="11">
        <f>IF(B67="","",_xlfn.MAXIFS(Prizes!$D$2:$D$3000,Prizes!$E$2:$E$3000,A67,Prizes!$G$2:$G$3000,""))</f>
        <v/>
      </c>
      <c r="H67" s="10">
        <f>IF(B67="","",IF(_xlfn.MAXIFS(Levels!$A$2:$A$30,Levels!$A$2:$A$30,"&lt;="&amp;F67)&gt;G67,INDEX(Levels!$B$2:$B$30,MATCH(_xlfn.MAXIFS(Levels!$A$2:$A$30,Levels!$A$2:$A$30,"&lt;="&amp;F67),Levels!$A$2:$A$30,0)),""))</f>
        <v/>
      </c>
      <c r="I67" s="10">
        <f>IF(B67="","",COUNTIFS(Levels!$A$2:$A$30,"&lt;="&amp;F67,Levels!$A$2:$A$30,"&gt;"&amp;G67))</f>
        <v/>
      </c>
      <c r="J67" s="10">
        <f>IF(OR(B67="",TRIM('Find a child'!$B$3)=""),"",IF(ISNUMBER(SEARCH(TRIM('Find a child'!$B$3),B67&amp;" "&amp;C67)),COUNT(J$1:J66)+1,""))</f>
        <v/>
      </c>
    </row>
    <row r="68">
      <c r="A68" s="10" t="inlineStr">
        <is>
          <t>C0067</t>
        </is>
      </c>
      <c r="B68" s="6" t="n"/>
      <c r="C68" s="6" t="n"/>
      <c r="D68" s="6" t="n"/>
      <c r="E68" s="10">
        <f>IF(B68="","",IF(COUNTIFS($B$2:$B$600,B68,$C$2:$C$600,C68)&gt;1,B68&amp;" ("&amp;C68&amp;") "&amp;A68,B68&amp;" ("&amp;C68&amp;")"))</f>
        <v/>
      </c>
      <c r="F68" s="11">
        <f>IF(B68="","",SUMIFS(Entries!$J$2:$J$3000,Entries!$H$2:$H$3000,A68))</f>
        <v/>
      </c>
      <c r="G68" s="11">
        <f>IF(B68="","",_xlfn.MAXIFS(Prizes!$D$2:$D$3000,Prizes!$E$2:$E$3000,A68,Prizes!$G$2:$G$3000,""))</f>
        <v/>
      </c>
      <c r="H68" s="10">
        <f>IF(B68="","",IF(_xlfn.MAXIFS(Levels!$A$2:$A$30,Levels!$A$2:$A$30,"&lt;="&amp;F68)&gt;G68,INDEX(Levels!$B$2:$B$30,MATCH(_xlfn.MAXIFS(Levels!$A$2:$A$30,Levels!$A$2:$A$30,"&lt;="&amp;F68),Levels!$A$2:$A$30,0)),""))</f>
        <v/>
      </c>
      <c r="I68" s="10">
        <f>IF(B68="","",COUNTIFS(Levels!$A$2:$A$30,"&lt;="&amp;F68,Levels!$A$2:$A$30,"&gt;"&amp;G68))</f>
        <v/>
      </c>
      <c r="J68" s="10">
        <f>IF(OR(B68="",TRIM('Find a child'!$B$3)=""),"",IF(ISNUMBER(SEARCH(TRIM('Find a child'!$B$3),B68&amp;" "&amp;C68)),COUNT(J$1:J67)+1,""))</f>
        <v/>
      </c>
    </row>
    <row r="69">
      <c r="A69" s="10" t="inlineStr">
        <is>
          <t>C0068</t>
        </is>
      </c>
      <c r="B69" s="6" t="n"/>
      <c r="C69" s="6" t="n"/>
      <c r="D69" s="6" t="n"/>
      <c r="E69" s="10">
        <f>IF(B69="","",IF(COUNTIFS($B$2:$B$600,B69,$C$2:$C$600,C69)&gt;1,B69&amp;" ("&amp;C69&amp;") "&amp;A69,B69&amp;" ("&amp;C69&amp;")"))</f>
        <v/>
      </c>
      <c r="F69" s="11">
        <f>IF(B69="","",SUMIFS(Entries!$J$2:$J$3000,Entries!$H$2:$H$3000,A69))</f>
        <v/>
      </c>
      <c r="G69" s="11">
        <f>IF(B69="","",_xlfn.MAXIFS(Prizes!$D$2:$D$3000,Prizes!$E$2:$E$3000,A69,Prizes!$G$2:$G$3000,""))</f>
        <v/>
      </c>
      <c r="H69" s="10">
        <f>IF(B69="","",IF(_xlfn.MAXIFS(Levels!$A$2:$A$30,Levels!$A$2:$A$30,"&lt;="&amp;F69)&gt;G69,INDEX(Levels!$B$2:$B$30,MATCH(_xlfn.MAXIFS(Levels!$A$2:$A$30,Levels!$A$2:$A$30,"&lt;="&amp;F69),Levels!$A$2:$A$30,0)),""))</f>
        <v/>
      </c>
      <c r="I69" s="10">
        <f>IF(B69="","",COUNTIFS(Levels!$A$2:$A$30,"&lt;="&amp;F69,Levels!$A$2:$A$30,"&gt;"&amp;G69))</f>
        <v/>
      </c>
      <c r="J69" s="10">
        <f>IF(OR(B69="",TRIM('Find a child'!$B$3)=""),"",IF(ISNUMBER(SEARCH(TRIM('Find a child'!$B$3),B69&amp;" "&amp;C69)),COUNT(J$1:J68)+1,""))</f>
        <v/>
      </c>
    </row>
    <row r="70">
      <c r="A70" s="10" t="inlineStr">
        <is>
          <t>C0069</t>
        </is>
      </c>
      <c r="B70" s="6" t="n"/>
      <c r="C70" s="6" t="n"/>
      <c r="D70" s="6" t="n"/>
      <c r="E70" s="10">
        <f>IF(B70="","",IF(COUNTIFS($B$2:$B$600,B70,$C$2:$C$600,C70)&gt;1,B70&amp;" ("&amp;C70&amp;") "&amp;A70,B70&amp;" ("&amp;C70&amp;")"))</f>
        <v/>
      </c>
      <c r="F70" s="11">
        <f>IF(B70="","",SUMIFS(Entries!$J$2:$J$3000,Entries!$H$2:$H$3000,A70))</f>
        <v/>
      </c>
      <c r="G70" s="11">
        <f>IF(B70="","",_xlfn.MAXIFS(Prizes!$D$2:$D$3000,Prizes!$E$2:$E$3000,A70,Prizes!$G$2:$G$3000,""))</f>
        <v/>
      </c>
      <c r="H70" s="10">
        <f>IF(B70="","",IF(_xlfn.MAXIFS(Levels!$A$2:$A$30,Levels!$A$2:$A$30,"&lt;="&amp;F70)&gt;G70,INDEX(Levels!$B$2:$B$30,MATCH(_xlfn.MAXIFS(Levels!$A$2:$A$30,Levels!$A$2:$A$30,"&lt;="&amp;F70),Levels!$A$2:$A$30,0)),""))</f>
        <v/>
      </c>
      <c r="I70" s="10">
        <f>IF(B70="","",COUNTIFS(Levels!$A$2:$A$30,"&lt;="&amp;F70,Levels!$A$2:$A$30,"&gt;"&amp;G70))</f>
        <v/>
      </c>
      <c r="J70" s="10">
        <f>IF(OR(B70="",TRIM('Find a child'!$B$3)=""),"",IF(ISNUMBER(SEARCH(TRIM('Find a child'!$B$3),B70&amp;" "&amp;C70)),COUNT(J$1:J69)+1,""))</f>
        <v/>
      </c>
    </row>
    <row r="71">
      <c r="A71" s="10" t="inlineStr">
        <is>
          <t>C0070</t>
        </is>
      </c>
      <c r="B71" s="6" t="n"/>
      <c r="C71" s="6" t="n"/>
      <c r="D71" s="6" t="n"/>
      <c r="E71" s="10">
        <f>IF(B71="","",IF(COUNTIFS($B$2:$B$600,B71,$C$2:$C$600,C71)&gt;1,B71&amp;" ("&amp;C71&amp;") "&amp;A71,B71&amp;" ("&amp;C71&amp;")"))</f>
        <v/>
      </c>
      <c r="F71" s="11">
        <f>IF(B71="","",SUMIFS(Entries!$J$2:$J$3000,Entries!$H$2:$H$3000,A71))</f>
        <v/>
      </c>
      <c r="G71" s="11">
        <f>IF(B71="","",_xlfn.MAXIFS(Prizes!$D$2:$D$3000,Prizes!$E$2:$E$3000,A71,Prizes!$G$2:$G$3000,""))</f>
        <v/>
      </c>
      <c r="H71" s="10">
        <f>IF(B71="","",IF(_xlfn.MAXIFS(Levels!$A$2:$A$30,Levels!$A$2:$A$30,"&lt;="&amp;F71)&gt;G71,INDEX(Levels!$B$2:$B$30,MATCH(_xlfn.MAXIFS(Levels!$A$2:$A$30,Levels!$A$2:$A$30,"&lt;="&amp;F71),Levels!$A$2:$A$30,0)),""))</f>
        <v/>
      </c>
      <c r="I71" s="10">
        <f>IF(B71="","",COUNTIFS(Levels!$A$2:$A$30,"&lt;="&amp;F71,Levels!$A$2:$A$30,"&gt;"&amp;G71))</f>
        <v/>
      </c>
      <c r="J71" s="10">
        <f>IF(OR(B71="",TRIM('Find a child'!$B$3)=""),"",IF(ISNUMBER(SEARCH(TRIM('Find a child'!$B$3),B71&amp;" "&amp;C71)),COUNT(J$1:J70)+1,""))</f>
        <v/>
      </c>
    </row>
    <row r="72">
      <c r="A72" s="10" t="inlineStr">
        <is>
          <t>C0071</t>
        </is>
      </c>
      <c r="B72" s="6" t="n"/>
      <c r="C72" s="6" t="n"/>
      <c r="D72" s="6" t="n"/>
      <c r="E72" s="10">
        <f>IF(B72="","",IF(COUNTIFS($B$2:$B$600,B72,$C$2:$C$600,C72)&gt;1,B72&amp;" ("&amp;C72&amp;") "&amp;A72,B72&amp;" ("&amp;C72&amp;")"))</f>
        <v/>
      </c>
      <c r="F72" s="11">
        <f>IF(B72="","",SUMIFS(Entries!$J$2:$J$3000,Entries!$H$2:$H$3000,A72))</f>
        <v/>
      </c>
      <c r="G72" s="11">
        <f>IF(B72="","",_xlfn.MAXIFS(Prizes!$D$2:$D$3000,Prizes!$E$2:$E$3000,A72,Prizes!$G$2:$G$3000,""))</f>
        <v/>
      </c>
      <c r="H72" s="10">
        <f>IF(B72="","",IF(_xlfn.MAXIFS(Levels!$A$2:$A$30,Levels!$A$2:$A$30,"&lt;="&amp;F72)&gt;G72,INDEX(Levels!$B$2:$B$30,MATCH(_xlfn.MAXIFS(Levels!$A$2:$A$30,Levels!$A$2:$A$30,"&lt;="&amp;F72),Levels!$A$2:$A$30,0)),""))</f>
        <v/>
      </c>
      <c r="I72" s="10">
        <f>IF(B72="","",COUNTIFS(Levels!$A$2:$A$30,"&lt;="&amp;F72,Levels!$A$2:$A$30,"&gt;"&amp;G72))</f>
        <v/>
      </c>
      <c r="J72" s="10">
        <f>IF(OR(B72="",TRIM('Find a child'!$B$3)=""),"",IF(ISNUMBER(SEARCH(TRIM('Find a child'!$B$3),B72&amp;" "&amp;C72)),COUNT(J$1:J71)+1,""))</f>
        <v/>
      </c>
    </row>
    <row r="73">
      <c r="A73" s="10" t="inlineStr">
        <is>
          <t>C0072</t>
        </is>
      </c>
      <c r="B73" s="6" t="n"/>
      <c r="C73" s="6" t="n"/>
      <c r="D73" s="6" t="n"/>
      <c r="E73" s="10">
        <f>IF(B73="","",IF(COUNTIFS($B$2:$B$600,B73,$C$2:$C$600,C73)&gt;1,B73&amp;" ("&amp;C73&amp;") "&amp;A73,B73&amp;" ("&amp;C73&amp;")"))</f>
        <v/>
      </c>
      <c r="F73" s="11">
        <f>IF(B73="","",SUMIFS(Entries!$J$2:$J$3000,Entries!$H$2:$H$3000,A73))</f>
        <v/>
      </c>
      <c r="G73" s="11">
        <f>IF(B73="","",_xlfn.MAXIFS(Prizes!$D$2:$D$3000,Prizes!$E$2:$E$3000,A73,Prizes!$G$2:$G$3000,""))</f>
        <v/>
      </c>
      <c r="H73" s="10">
        <f>IF(B73="","",IF(_xlfn.MAXIFS(Levels!$A$2:$A$30,Levels!$A$2:$A$30,"&lt;="&amp;F73)&gt;G73,INDEX(Levels!$B$2:$B$30,MATCH(_xlfn.MAXIFS(Levels!$A$2:$A$30,Levels!$A$2:$A$30,"&lt;="&amp;F73),Levels!$A$2:$A$30,0)),""))</f>
        <v/>
      </c>
      <c r="I73" s="10">
        <f>IF(B73="","",COUNTIFS(Levels!$A$2:$A$30,"&lt;="&amp;F73,Levels!$A$2:$A$30,"&gt;"&amp;G73))</f>
        <v/>
      </c>
      <c r="J73" s="10">
        <f>IF(OR(B73="",TRIM('Find a child'!$B$3)=""),"",IF(ISNUMBER(SEARCH(TRIM('Find a child'!$B$3),B73&amp;" "&amp;C73)),COUNT(J$1:J72)+1,""))</f>
        <v/>
      </c>
    </row>
    <row r="74">
      <c r="A74" s="10" t="inlineStr">
        <is>
          <t>C0073</t>
        </is>
      </c>
      <c r="B74" s="6" t="n"/>
      <c r="C74" s="6" t="n"/>
      <c r="D74" s="6" t="n"/>
      <c r="E74" s="10">
        <f>IF(B74="","",IF(COUNTIFS($B$2:$B$600,B74,$C$2:$C$600,C74)&gt;1,B74&amp;" ("&amp;C74&amp;") "&amp;A74,B74&amp;" ("&amp;C74&amp;")"))</f>
        <v/>
      </c>
      <c r="F74" s="11">
        <f>IF(B74="","",SUMIFS(Entries!$J$2:$J$3000,Entries!$H$2:$H$3000,A74))</f>
        <v/>
      </c>
      <c r="G74" s="11">
        <f>IF(B74="","",_xlfn.MAXIFS(Prizes!$D$2:$D$3000,Prizes!$E$2:$E$3000,A74,Prizes!$G$2:$G$3000,""))</f>
        <v/>
      </c>
      <c r="H74" s="10">
        <f>IF(B74="","",IF(_xlfn.MAXIFS(Levels!$A$2:$A$30,Levels!$A$2:$A$30,"&lt;="&amp;F74)&gt;G74,INDEX(Levels!$B$2:$B$30,MATCH(_xlfn.MAXIFS(Levels!$A$2:$A$30,Levels!$A$2:$A$30,"&lt;="&amp;F74),Levels!$A$2:$A$30,0)),""))</f>
        <v/>
      </c>
      <c r="I74" s="10">
        <f>IF(B74="","",COUNTIFS(Levels!$A$2:$A$30,"&lt;="&amp;F74,Levels!$A$2:$A$30,"&gt;"&amp;G74))</f>
        <v/>
      </c>
      <c r="J74" s="10">
        <f>IF(OR(B74="",TRIM('Find a child'!$B$3)=""),"",IF(ISNUMBER(SEARCH(TRIM('Find a child'!$B$3),B74&amp;" "&amp;C74)),COUNT(J$1:J73)+1,""))</f>
        <v/>
      </c>
    </row>
    <row r="75">
      <c r="A75" s="10" t="inlineStr">
        <is>
          <t>C0074</t>
        </is>
      </c>
      <c r="B75" s="6" t="n"/>
      <c r="C75" s="6" t="n"/>
      <c r="D75" s="6" t="n"/>
      <c r="E75" s="10">
        <f>IF(B75="","",IF(COUNTIFS($B$2:$B$600,B75,$C$2:$C$600,C75)&gt;1,B75&amp;" ("&amp;C75&amp;") "&amp;A75,B75&amp;" ("&amp;C75&amp;")"))</f>
        <v/>
      </c>
      <c r="F75" s="11">
        <f>IF(B75="","",SUMIFS(Entries!$J$2:$J$3000,Entries!$H$2:$H$3000,A75))</f>
        <v/>
      </c>
      <c r="G75" s="11">
        <f>IF(B75="","",_xlfn.MAXIFS(Prizes!$D$2:$D$3000,Prizes!$E$2:$E$3000,A75,Prizes!$G$2:$G$3000,""))</f>
        <v/>
      </c>
      <c r="H75" s="10">
        <f>IF(B75="","",IF(_xlfn.MAXIFS(Levels!$A$2:$A$30,Levels!$A$2:$A$30,"&lt;="&amp;F75)&gt;G75,INDEX(Levels!$B$2:$B$30,MATCH(_xlfn.MAXIFS(Levels!$A$2:$A$30,Levels!$A$2:$A$30,"&lt;="&amp;F75),Levels!$A$2:$A$30,0)),""))</f>
        <v/>
      </c>
      <c r="I75" s="10">
        <f>IF(B75="","",COUNTIFS(Levels!$A$2:$A$30,"&lt;="&amp;F75,Levels!$A$2:$A$30,"&gt;"&amp;G75))</f>
        <v/>
      </c>
      <c r="J75" s="10">
        <f>IF(OR(B75="",TRIM('Find a child'!$B$3)=""),"",IF(ISNUMBER(SEARCH(TRIM('Find a child'!$B$3),B75&amp;" "&amp;C75)),COUNT(J$1:J74)+1,""))</f>
        <v/>
      </c>
    </row>
    <row r="76">
      <c r="A76" s="10" t="inlineStr">
        <is>
          <t>C0075</t>
        </is>
      </c>
      <c r="B76" s="6" t="n"/>
      <c r="C76" s="6" t="n"/>
      <c r="D76" s="6" t="n"/>
      <c r="E76" s="10">
        <f>IF(B76="","",IF(COUNTIFS($B$2:$B$600,B76,$C$2:$C$600,C76)&gt;1,B76&amp;" ("&amp;C76&amp;") "&amp;A76,B76&amp;" ("&amp;C76&amp;")"))</f>
        <v/>
      </c>
      <c r="F76" s="11">
        <f>IF(B76="","",SUMIFS(Entries!$J$2:$J$3000,Entries!$H$2:$H$3000,A76))</f>
        <v/>
      </c>
      <c r="G76" s="11">
        <f>IF(B76="","",_xlfn.MAXIFS(Prizes!$D$2:$D$3000,Prizes!$E$2:$E$3000,A76,Prizes!$G$2:$G$3000,""))</f>
        <v/>
      </c>
      <c r="H76" s="10">
        <f>IF(B76="","",IF(_xlfn.MAXIFS(Levels!$A$2:$A$30,Levels!$A$2:$A$30,"&lt;="&amp;F76)&gt;G76,INDEX(Levels!$B$2:$B$30,MATCH(_xlfn.MAXIFS(Levels!$A$2:$A$30,Levels!$A$2:$A$30,"&lt;="&amp;F76),Levels!$A$2:$A$30,0)),""))</f>
        <v/>
      </c>
      <c r="I76" s="10">
        <f>IF(B76="","",COUNTIFS(Levels!$A$2:$A$30,"&lt;="&amp;F76,Levels!$A$2:$A$30,"&gt;"&amp;G76))</f>
        <v/>
      </c>
      <c r="J76" s="10">
        <f>IF(OR(B76="",TRIM('Find a child'!$B$3)=""),"",IF(ISNUMBER(SEARCH(TRIM('Find a child'!$B$3),B76&amp;" "&amp;C76)),COUNT(J$1:J75)+1,""))</f>
        <v/>
      </c>
    </row>
    <row r="77">
      <c r="A77" s="10" t="inlineStr">
        <is>
          <t>C0076</t>
        </is>
      </c>
      <c r="B77" s="6" t="n"/>
      <c r="C77" s="6" t="n"/>
      <c r="D77" s="6" t="n"/>
      <c r="E77" s="10">
        <f>IF(B77="","",IF(COUNTIFS($B$2:$B$600,B77,$C$2:$C$600,C77)&gt;1,B77&amp;" ("&amp;C77&amp;") "&amp;A77,B77&amp;" ("&amp;C77&amp;")"))</f>
        <v/>
      </c>
      <c r="F77" s="11">
        <f>IF(B77="","",SUMIFS(Entries!$J$2:$J$3000,Entries!$H$2:$H$3000,A77))</f>
        <v/>
      </c>
      <c r="G77" s="11">
        <f>IF(B77="","",_xlfn.MAXIFS(Prizes!$D$2:$D$3000,Prizes!$E$2:$E$3000,A77,Prizes!$G$2:$G$3000,""))</f>
        <v/>
      </c>
      <c r="H77" s="10">
        <f>IF(B77="","",IF(_xlfn.MAXIFS(Levels!$A$2:$A$30,Levels!$A$2:$A$30,"&lt;="&amp;F77)&gt;G77,INDEX(Levels!$B$2:$B$30,MATCH(_xlfn.MAXIFS(Levels!$A$2:$A$30,Levels!$A$2:$A$30,"&lt;="&amp;F77),Levels!$A$2:$A$30,0)),""))</f>
        <v/>
      </c>
      <c r="I77" s="10">
        <f>IF(B77="","",COUNTIFS(Levels!$A$2:$A$30,"&lt;="&amp;F77,Levels!$A$2:$A$30,"&gt;"&amp;G77))</f>
        <v/>
      </c>
      <c r="J77" s="10">
        <f>IF(OR(B77="",TRIM('Find a child'!$B$3)=""),"",IF(ISNUMBER(SEARCH(TRIM('Find a child'!$B$3),B77&amp;" "&amp;C77)),COUNT(J$1:J76)+1,""))</f>
        <v/>
      </c>
    </row>
    <row r="78">
      <c r="A78" s="10" t="inlineStr">
        <is>
          <t>C0077</t>
        </is>
      </c>
      <c r="B78" s="6" t="n"/>
      <c r="C78" s="6" t="n"/>
      <c r="D78" s="6" t="n"/>
      <c r="E78" s="10">
        <f>IF(B78="","",IF(COUNTIFS($B$2:$B$600,B78,$C$2:$C$600,C78)&gt;1,B78&amp;" ("&amp;C78&amp;") "&amp;A78,B78&amp;" ("&amp;C78&amp;")"))</f>
        <v/>
      </c>
      <c r="F78" s="11">
        <f>IF(B78="","",SUMIFS(Entries!$J$2:$J$3000,Entries!$H$2:$H$3000,A78))</f>
        <v/>
      </c>
      <c r="G78" s="11">
        <f>IF(B78="","",_xlfn.MAXIFS(Prizes!$D$2:$D$3000,Prizes!$E$2:$E$3000,A78,Prizes!$G$2:$G$3000,""))</f>
        <v/>
      </c>
      <c r="H78" s="10">
        <f>IF(B78="","",IF(_xlfn.MAXIFS(Levels!$A$2:$A$30,Levels!$A$2:$A$30,"&lt;="&amp;F78)&gt;G78,INDEX(Levels!$B$2:$B$30,MATCH(_xlfn.MAXIFS(Levels!$A$2:$A$30,Levels!$A$2:$A$30,"&lt;="&amp;F78),Levels!$A$2:$A$30,0)),""))</f>
        <v/>
      </c>
      <c r="I78" s="10">
        <f>IF(B78="","",COUNTIFS(Levels!$A$2:$A$30,"&lt;="&amp;F78,Levels!$A$2:$A$30,"&gt;"&amp;G78))</f>
        <v/>
      </c>
      <c r="J78" s="10">
        <f>IF(OR(B78="",TRIM('Find a child'!$B$3)=""),"",IF(ISNUMBER(SEARCH(TRIM('Find a child'!$B$3),B78&amp;" "&amp;C78)),COUNT(J$1:J77)+1,""))</f>
        <v/>
      </c>
    </row>
    <row r="79">
      <c r="A79" s="10" t="inlineStr">
        <is>
          <t>C0078</t>
        </is>
      </c>
      <c r="B79" s="6" t="n"/>
      <c r="C79" s="6" t="n"/>
      <c r="D79" s="6" t="n"/>
      <c r="E79" s="10">
        <f>IF(B79="","",IF(COUNTIFS($B$2:$B$600,B79,$C$2:$C$600,C79)&gt;1,B79&amp;" ("&amp;C79&amp;") "&amp;A79,B79&amp;" ("&amp;C79&amp;")"))</f>
        <v/>
      </c>
      <c r="F79" s="11">
        <f>IF(B79="","",SUMIFS(Entries!$J$2:$J$3000,Entries!$H$2:$H$3000,A79))</f>
        <v/>
      </c>
      <c r="G79" s="11">
        <f>IF(B79="","",_xlfn.MAXIFS(Prizes!$D$2:$D$3000,Prizes!$E$2:$E$3000,A79,Prizes!$G$2:$G$3000,""))</f>
        <v/>
      </c>
      <c r="H79" s="10">
        <f>IF(B79="","",IF(_xlfn.MAXIFS(Levels!$A$2:$A$30,Levels!$A$2:$A$30,"&lt;="&amp;F79)&gt;G79,INDEX(Levels!$B$2:$B$30,MATCH(_xlfn.MAXIFS(Levels!$A$2:$A$30,Levels!$A$2:$A$30,"&lt;="&amp;F79),Levels!$A$2:$A$30,0)),""))</f>
        <v/>
      </c>
      <c r="I79" s="10">
        <f>IF(B79="","",COUNTIFS(Levels!$A$2:$A$30,"&lt;="&amp;F79,Levels!$A$2:$A$30,"&gt;"&amp;G79))</f>
        <v/>
      </c>
      <c r="J79" s="10">
        <f>IF(OR(B79="",TRIM('Find a child'!$B$3)=""),"",IF(ISNUMBER(SEARCH(TRIM('Find a child'!$B$3),B79&amp;" "&amp;C79)),COUNT(J$1:J78)+1,""))</f>
        <v/>
      </c>
    </row>
    <row r="80">
      <c r="A80" s="10" t="inlineStr">
        <is>
          <t>C0079</t>
        </is>
      </c>
      <c r="B80" s="6" t="n"/>
      <c r="C80" s="6" t="n"/>
      <c r="D80" s="6" t="n"/>
      <c r="E80" s="10">
        <f>IF(B80="","",IF(COUNTIFS($B$2:$B$600,B80,$C$2:$C$600,C80)&gt;1,B80&amp;" ("&amp;C80&amp;") "&amp;A80,B80&amp;" ("&amp;C80&amp;")"))</f>
        <v/>
      </c>
      <c r="F80" s="11">
        <f>IF(B80="","",SUMIFS(Entries!$J$2:$J$3000,Entries!$H$2:$H$3000,A80))</f>
        <v/>
      </c>
      <c r="G80" s="11">
        <f>IF(B80="","",_xlfn.MAXIFS(Prizes!$D$2:$D$3000,Prizes!$E$2:$E$3000,A80,Prizes!$G$2:$G$3000,""))</f>
        <v/>
      </c>
      <c r="H80" s="10">
        <f>IF(B80="","",IF(_xlfn.MAXIFS(Levels!$A$2:$A$30,Levels!$A$2:$A$30,"&lt;="&amp;F80)&gt;G80,INDEX(Levels!$B$2:$B$30,MATCH(_xlfn.MAXIFS(Levels!$A$2:$A$30,Levels!$A$2:$A$30,"&lt;="&amp;F80),Levels!$A$2:$A$30,0)),""))</f>
        <v/>
      </c>
      <c r="I80" s="10">
        <f>IF(B80="","",COUNTIFS(Levels!$A$2:$A$30,"&lt;="&amp;F80,Levels!$A$2:$A$30,"&gt;"&amp;G80))</f>
        <v/>
      </c>
      <c r="J80" s="10">
        <f>IF(OR(B80="",TRIM('Find a child'!$B$3)=""),"",IF(ISNUMBER(SEARCH(TRIM('Find a child'!$B$3),B80&amp;" "&amp;C80)),COUNT(J$1:J79)+1,""))</f>
        <v/>
      </c>
    </row>
    <row r="81">
      <c r="A81" s="10" t="inlineStr">
        <is>
          <t>C0080</t>
        </is>
      </c>
      <c r="B81" s="6" t="n"/>
      <c r="C81" s="6" t="n"/>
      <c r="D81" s="6" t="n"/>
      <c r="E81" s="10">
        <f>IF(B81="","",IF(COUNTIFS($B$2:$B$600,B81,$C$2:$C$600,C81)&gt;1,B81&amp;" ("&amp;C81&amp;") "&amp;A81,B81&amp;" ("&amp;C81&amp;")"))</f>
        <v/>
      </c>
      <c r="F81" s="11">
        <f>IF(B81="","",SUMIFS(Entries!$J$2:$J$3000,Entries!$H$2:$H$3000,A81))</f>
        <v/>
      </c>
      <c r="G81" s="11">
        <f>IF(B81="","",_xlfn.MAXIFS(Prizes!$D$2:$D$3000,Prizes!$E$2:$E$3000,A81,Prizes!$G$2:$G$3000,""))</f>
        <v/>
      </c>
      <c r="H81" s="10">
        <f>IF(B81="","",IF(_xlfn.MAXIFS(Levels!$A$2:$A$30,Levels!$A$2:$A$30,"&lt;="&amp;F81)&gt;G81,INDEX(Levels!$B$2:$B$30,MATCH(_xlfn.MAXIFS(Levels!$A$2:$A$30,Levels!$A$2:$A$30,"&lt;="&amp;F81),Levels!$A$2:$A$30,0)),""))</f>
        <v/>
      </c>
      <c r="I81" s="10">
        <f>IF(B81="","",COUNTIFS(Levels!$A$2:$A$30,"&lt;="&amp;F81,Levels!$A$2:$A$30,"&gt;"&amp;G81))</f>
        <v/>
      </c>
      <c r="J81" s="10">
        <f>IF(OR(B81="",TRIM('Find a child'!$B$3)=""),"",IF(ISNUMBER(SEARCH(TRIM('Find a child'!$B$3),B81&amp;" "&amp;C81)),COUNT(J$1:J80)+1,""))</f>
        <v/>
      </c>
    </row>
    <row r="82">
      <c r="A82" s="10" t="inlineStr">
        <is>
          <t>C0081</t>
        </is>
      </c>
      <c r="B82" s="6" t="n"/>
      <c r="C82" s="6" t="n"/>
      <c r="D82" s="6" t="n"/>
      <c r="E82" s="10">
        <f>IF(B82="","",IF(COUNTIFS($B$2:$B$600,B82,$C$2:$C$600,C82)&gt;1,B82&amp;" ("&amp;C82&amp;") "&amp;A82,B82&amp;" ("&amp;C82&amp;")"))</f>
        <v/>
      </c>
      <c r="F82" s="11">
        <f>IF(B82="","",SUMIFS(Entries!$J$2:$J$3000,Entries!$H$2:$H$3000,A82))</f>
        <v/>
      </c>
      <c r="G82" s="11">
        <f>IF(B82="","",_xlfn.MAXIFS(Prizes!$D$2:$D$3000,Prizes!$E$2:$E$3000,A82,Prizes!$G$2:$G$3000,""))</f>
        <v/>
      </c>
      <c r="H82" s="10">
        <f>IF(B82="","",IF(_xlfn.MAXIFS(Levels!$A$2:$A$30,Levels!$A$2:$A$30,"&lt;="&amp;F82)&gt;G82,INDEX(Levels!$B$2:$B$30,MATCH(_xlfn.MAXIFS(Levels!$A$2:$A$30,Levels!$A$2:$A$30,"&lt;="&amp;F82),Levels!$A$2:$A$30,0)),""))</f>
        <v/>
      </c>
      <c r="I82" s="10">
        <f>IF(B82="","",COUNTIFS(Levels!$A$2:$A$30,"&lt;="&amp;F82,Levels!$A$2:$A$30,"&gt;"&amp;G82))</f>
        <v/>
      </c>
      <c r="J82" s="10">
        <f>IF(OR(B82="",TRIM('Find a child'!$B$3)=""),"",IF(ISNUMBER(SEARCH(TRIM('Find a child'!$B$3),B82&amp;" "&amp;C82)),COUNT(J$1:J81)+1,""))</f>
        <v/>
      </c>
    </row>
    <row r="83">
      <c r="A83" s="10" t="inlineStr">
        <is>
          <t>C0082</t>
        </is>
      </c>
      <c r="B83" s="6" t="n"/>
      <c r="C83" s="6" t="n"/>
      <c r="D83" s="6" t="n"/>
      <c r="E83" s="10">
        <f>IF(B83="","",IF(COUNTIFS($B$2:$B$600,B83,$C$2:$C$600,C83)&gt;1,B83&amp;" ("&amp;C83&amp;") "&amp;A83,B83&amp;" ("&amp;C83&amp;")"))</f>
        <v/>
      </c>
      <c r="F83" s="11">
        <f>IF(B83="","",SUMIFS(Entries!$J$2:$J$3000,Entries!$H$2:$H$3000,A83))</f>
        <v/>
      </c>
      <c r="G83" s="11">
        <f>IF(B83="","",_xlfn.MAXIFS(Prizes!$D$2:$D$3000,Prizes!$E$2:$E$3000,A83,Prizes!$G$2:$G$3000,""))</f>
        <v/>
      </c>
      <c r="H83" s="10">
        <f>IF(B83="","",IF(_xlfn.MAXIFS(Levels!$A$2:$A$30,Levels!$A$2:$A$30,"&lt;="&amp;F83)&gt;G83,INDEX(Levels!$B$2:$B$30,MATCH(_xlfn.MAXIFS(Levels!$A$2:$A$30,Levels!$A$2:$A$30,"&lt;="&amp;F83),Levels!$A$2:$A$30,0)),""))</f>
        <v/>
      </c>
      <c r="I83" s="10">
        <f>IF(B83="","",COUNTIFS(Levels!$A$2:$A$30,"&lt;="&amp;F83,Levels!$A$2:$A$30,"&gt;"&amp;G83))</f>
        <v/>
      </c>
      <c r="J83" s="10">
        <f>IF(OR(B83="",TRIM('Find a child'!$B$3)=""),"",IF(ISNUMBER(SEARCH(TRIM('Find a child'!$B$3),B83&amp;" "&amp;C83)),COUNT(J$1:J82)+1,""))</f>
        <v/>
      </c>
    </row>
    <row r="84">
      <c r="A84" s="10" t="inlineStr">
        <is>
          <t>C0083</t>
        </is>
      </c>
      <c r="B84" s="6" t="n"/>
      <c r="C84" s="6" t="n"/>
      <c r="D84" s="6" t="n"/>
      <c r="E84" s="10">
        <f>IF(B84="","",IF(COUNTIFS($B$2:$B$600,B84,$C$2:$C$600,C84)&gt;1,B84&amp;" ("&amp;C84&amp;") "&amp;A84,B84&amp;" ("&amp;C84&amp;")"))</f>
        <v/>
      </c>
      <c r="F84" s="11">
        <f>IF(B84="","",SUMIFS(Entries!$J$2:$J$3000,Entries!$H$2:$H$3000,A84))</f>
        <v/>
      </c>
      <c r="G84" s="11">
        <f>IF(B84="","",_xlfn.MAXIFS(Prizes!$D$2:$D$3000,Prizes!$E$2:$E$3000,A84,Prizes!$G$2:$G$3000,""))</f>
        <v/>
      </c>
      <c r="H84" s="10">
        <f>IF(B84="","",IF(_xlfn.MAXIFS(Levels!$A$2:$A$30,Levels!$A$2:$A$30,"&lt;="&amp;F84)&gt;G84,INDEX(Levels!$B$2:$B$30,MATCH(_xlfn.MAXIFS(Levels!$A$2:$A$30,Levels!$A$2:$A$30,"&lt;="&amp;F84),Levels!$A$2:$A$30,0)),""))</f>
        <v/>
      </c>
      <c r="I84" s="10">
        <f>IF(B84="","",COUNTIFS(Levels!$A$2:$A$30,"&lt;="&amp;F84,Levels!$A$2:$A$30,"&gt;"&amp;G84))</f>
        <v/>
      </c>
      <c r="J84" s="10">
        <f>IF(OR(B84="",TRIM('Find a child'!$B$3)=""),"",IF(ISNUMBER(SEARCH(TRIM('Find a child'!$B$3),B84&amp;" "&amp;C84)),COUNT(J$1:J83)+1,""))</f>
        <v/>
      </c>
    </row>
    <row r="85">
      <c r="A85" s="10" t="inlineStr">
        <is>
          <t>C0084</t>
        </is>
      </c>
      <c r="B85" s="6" t="n"/>
      <c r="C85" s="6" t="n"/>
      <c r="D85" s="6" t="n"/>
      <c r="E85" s="10">
        <f>IF(B85="","",IF(COUNTIFS($B$2:$B$600,B85,$C$2:$C$600,C85)&gt;1,B85&amp;" ("&amp;C85&amp;") "&amp;A85,B85&amp;" ("&amp;C85&amp;")"))</f>
        <v/>
      </c>
      <c r="F85" s="11">
        <f>IF(B85="","",SUMIFS(Entries!$J$2:$J$3000,Entries!$H$2:$H$3000,A85))</f>
        <v/>
      </c>
      <c r="G85" s="11">
        <f>IF(B85="","",_xlfn.MAXIFS(Prizes!$D$2:$D$3000,Prizes!$E$2:$E$3000,A85,Prizes!$G$2:$G$3000,""))</f>
        <v/>
      </c>
      <c r="H85" s="10">
        <f>IF(B85="","",IF(_xlfn.MAXIFS(Levels!$A$2:$A$30,Levels!$A$2:$A$30,"&lt;="&amp;F85)&gt;G85,INDEX(Levels!$B$2:$B$30,MATCH(_xlfn.MAXIFS(Levels!$A$2:$A$30,Levels!$A$2:$A$30,"&lt;="&amp;F85),Levels!$A$2:$A$30,0)),""))</f>
        <v/>
      </c>
      <c r="I85" s="10">
        <f>IF(B85="","",COUNTIFS(Levels!$A$2:$A$30,"&lt;="&amp;F85,Levels!$A$2:$A$30,"&gt;"&amp;G85))</f>
        <v/>
      </c>
      <c r="J85" s="10">
        <f>IF(OR(B85="",TRIM('Find a child'!$B$3)=""),"",IF(ISNUMBER(SEARCH(TRIM('Find a child'!$B$3),B85&amp;" "&amp;C85)),COUNT(J$1:J84)+1,""))</f>
        <v/>
      </c>
    </row>
    <row r="86">
      <c r="A86" s="10" t="inlineStr">
        <is>
          <t>C0085</t>
        </is>
      </c>
      <c r="B86" s="6" t="n"/>
      <c r="C86" s="6" t="n"/>
      <c r="D86" s="6" t="n"/>
      <c r="E86" s="10">
        <f>IF(B86="","",IF(COUNTIFS($B$2:$B$600,B86,$C$2:$C$600,C86)&gt;1,B86&amp;" ("&amp;C86&amp;") "&amp;A86,B86&amp;" ("&amp;C86&amp;")"))</f>
        <v/>
      </c>
      <c r="F86" s="11">
        <f>IF(B86="","",SUMIFS(Entries!$J$2:$J$3000,Entries!$H$2:$H$3000,A86))</f>
        <v/>
      </c>
      <c r="G86" s="11">
        <f>IF(B86="","",_xlfn.MAXIFS(Prizes!$D$2:$D$3000,Prizes!$E$2:$E$3000,A86,Prizes!$G$2:$G$3000,""))</f>
        <v/>
      </c>
      <c r="H86" s="10">
        <f>IF(B86="","",IF(_xlfn.MAXIFS(Levels!$A$2:$A$30,Levels!$A$2:$A$30,"&lt;="&amp;F86)&gt;G86,INDEX(Levels!$B$2:$B$30,MATCH(_xlfn.MAXIFS(Levels!$A$2:$A$30,Levels!$A$2:$A$30,"&lt;="&amp;F86),Levels!$A$2:$A$30,0)),""))</f>
        <v/>
      </c>
      <c r="I86" s="10">
        <f>IF(B86="","",COUNTIFS(Levels!$A$2:$A$30,"&lt;="&amp;F86,Levels!$A$2:$A$30,"&gt;"&amp;G86))</f>
        <v/>
      </c>
      <c r="J86" s="10">
        <f>IF(OR(B86="",TRIM('Find a child'!$B$3)=""),"",IF(ISNUMBER(SEARCH(TRIM('Find a child'!$B$3),B86&amp;" "&amp;C86)),COUNT(J$1:J85)+1,""))</f>
        <v/>
      </c>
    </row>
    <row r="87">
      <c r="A87" s="10" t="inlineStr">
        <is>
          <t>C0086</t>
        </is>
      </c>
      <c r="B87" s="6" t="n"/>
      <c r="C87" s="6" t="n"/>
      <c r="D87" s="6" t="n"/>
      <c r="E87" s="10">
        <f>IF(B87="","",IF(COUNTIFS($B$2:$B$600,B87,$C$2:$C$600,C87)&gt;1,B87&amp;" ("&amp;C87&amp;") "&amp;A87,B87&amp;" ("&amp;C87&amp;")"))</f>
        <v/>
      </c>
      <c r="F87" s="11">
        <f>IF(B87="","",SUMIFS(Entries!$J$2:$J$3000,Entries!$H$2:$H$3000,A87))</f>
        <v/>
      </c>
      <c r="G87" s="11">
        <f>IF(B87="","",_xlfn.MAXIFS(Prizes!$D$2:$D$3000,Prizes!$E$2:$E$3000,A87,Prizes!$G$2:$G$3000,""))</f>
        <v/>
      </c>
      <c r="H87" s="10">
        <f>IF(B87="","",IF(_xlfn.MAXIFS(Levels!$A$2:$A$30,Levels!$A$2:$A$30,"&lt;="&amp;F87)&gt;G87,INDEX(Levels!$B$2:$B$30,MATCH(_xlfn.MAXIFS(Levels!$A$2:$A$30,Levels!$A$2:$A$30,"&lt;="&amp;F87),Levels!$A$2:$A$30,0)),""))</f>
        <v/>
      </c>
      <c r="I87" s="10">
        <f>IF(B87="","",COUNTIFS(Levels!$A$2:$A$30,"&lt;="&amp;F87,Levels!$A$2:$A$30,"&gt;"&amp;G87))</f>
        <v/>
      </c>
      <c r="J87" s="10">
        <f>IF(OR(B87="",TRIM('Find a child'!$B$3)=""),"",IF(ISNUMBER(SEARCH(TRIM('Find a child'!$B$3),B87&amp;" "&amp;C87)),COUNT(J$1:J86)+1,""))</f>
        <v/>
      </c>
    </row>
    <row r="88">
      <c r="A88" s="10" t="inlineStr">
        <is>
          <t>C0087</t>
        </is>
      </c>
      <c r="B88" s="6" t="n"/>
      <c r="C88" s="6" t="n"/>
      <c r="D88" s="6" t="n"/>
      <c r="E88" s="10">
        <f>IF(B88="","",IF(COUNTIFS($B$2:$B$600,B88,$C$2:$C$600,C88)&gt;1,B88&amp;" ("&amp;C88&amp;") "&amp;A88,B88&amp;" ("&amp;C88&amp;")"))</f>
        <v/>
      </c>
      <c r="F88" s="11">
        <f>IF(B88="","",SUMIFS(Entries!$J$2:$J$3000,Entries!$H$2:$H$3000,A88))</f>
        <v/>
      </c>
      <c r="G88" s="11">
        <f>IF(B88="","",_xlfn.MAXIFS(Prizes!$D$2:$D$3000,Prizes!$E$2:$E$3000,A88,Prizes!$G$2:$G$3000,""))</f>
        <v/>
      </c>
      <c r="H88" s="10">
        <f>IF(B88="","",IF(_xlfn.MAXIFS(Levels!$A$2:$A$30,Levels!$A$2:$A$30,"&lt;="&amp;F88)&gt;G88,INDEX(Levels!$B$2:$B$30,MATCH(_xlfn.MAXIFS(Levels!$A$2:$A$30,Levels!$A$2:$A$30,"&lt;="&amp;F88),Levels!$A$2:$A$30,0)),""))</f>
        <v/>
      </c>
      <c r="I88" s="10">
        <f>IF(B88="","",COUNTIFS(Levels!$A$2:$A$30,"&lt;="&amp;F88,Levels!$A$2:$A$30,"&gt;"&amp;G88))</f>
        <v/>
      </c>
      <c r="J88" s="10">
        <f>IF(OR(B88="",TRIM('Find a child'!$B$3)=""),"",IF(ISNUMBER(SEARCH(TRIM('Find a child'!$B$3),B88&amp;" "&amp;C88)),COUNT(J$1:J87)+1,""))</f>
        <v/>
      </c>
    </row>
    <row r="89">
      <c r="A89" s="10" t="inlineStr">
        <is>
          <t>C0088</t>
        </is>
      </c>
      <c r="B89" s="6" t="n"/>
      <c r="C89" s="6" t="n"/>
      <c r="D89" s="6" t="n"/>
      <c r="E89" s="10">
        <f>IF(B89="","",IF(COUNTIFS($B$2:$B$600,B89,$C$2:$C$600,C89)&gt;1,B89&amp;" ("&amp;C89&amp;") "&amp;A89,B89&amp;" ("&amp;C89&amp;")"))</f>
        <v/>
      </c>
      <c r="F89" s="11">
        <f>IF(B89="","",SUMIFS(Entries!$J$2:$J$3000,Entries!$H$2:$H$3000,A89))</f>
        <v/>
      </c>
      <c r="G89" s="11">
        <f>IF(B89="","",_xlfn.MAXIFS(Prizes!$D$2:$D$3000,Prizes!$E$2:$E$3000,A89,Prizes!$G$2:$G$3000,""))</f>
        <v/>
      </c>
      <c r="H89" s="10">
        <f>IF(B89="","",IF(_xlfn.MAXIFS(Levels!$A$2:$A$30,Levels!$A$2:$A$30,"&lt;="&amp;F89)&gt;G89,INDEX(Levels!$B$2:$B$30,MATCH(_xlfn.MAXIFS(Levels!$A$2:$A$30,Levels!$A$2:$A$30,"&lt;="&amp;F89),Levels!$A$2:$A$30,0)),""))</f>
        <v/>
      </c>
      <c r="I89" s="10">
        <f>IF(B89="","",COUNTIFS(Levels!$A$2:$A$30,"&lt;="&amp;F89,Levels!$A$2:$A$30,"&gt;"&amp;G89))</f>
        <v/>
      </c>
      <c r="J89" s="10">
        <f>IF(OR(B89="",TRIM('Find a child'!$B$3)=""),"",IF(ISNUMBER(SEARCH(TRIM('Find a child'!$B$3),B89&amp;" "&amp;C89)),COUNT(J$1:J88)+1,""))</f>
        <v/>
      </c>
    </row>
    <row r="90">
      <c r="A90" s="10" t="inlineStr">
        <is>
          <t>C0089</t>
        </is>
      </c>
      <c r="B90" s="6" t="n"/>
      <c r="C90" s="6" t="n"/>
      <c r="D90" s="6" t="n"/>
      <c r="E90" s="10">
        <f>IF(B90="","",IF(COUNTIFS($B$2:$B$600,B90,$C$2:$C$600,C90)&gt;1,B90&amp;" ("&amp;C90&amp;") "&amp;A90,B90&amp;" ("&amp;C90&amp;")"))</f>
        <v/>
      </c>
      <c r="F90" s="11">
        <f>IF(B90="","",SUMIFS(Entries!$J$2:$J$3000,Entries!$H$2:$H$3000,A90))</f>
        <v/>
      </c>
      <c r="G90" s="11">
        <f>IF(B90="","",_xlfn.MAXIFS(Prizes!$D$2:$D$3000,Prizes!$E$2:$E$3000,A90,Prizes!$G$2:$G$3000,""))</f>
        <v/>
      </c>
      <c r="H90" s="10">
        <f>IF(B90="","",IF(_xlfn.MAXIFS(Levels!$A$2:$A$30,Levels!$A$2:$A$30,"&lt;="&amp;F90)&gt;G90,INDEX(Levels!$B$2:$B$30,MATCH(_xlfn.MAXIFS(Levels!$A$2:$A$30,Levels!$A$2:$A$30,"&lt;="&amp;F90),Levels!$A$2:$A$30,0)),""))</f>
        <v/>
      </c>
      <c r="I90" s="10">
        <f>IF(B90="","",COUNTIFS(Levels!$A$2:$A$30,"&lt;="&amp;F90,Levels!$A$2:$A$30,"&gt;"&amp;G90))</f>
        <v/>
      </c>
      <c r="J90" s="10">
        <f>IF(OR(B90="",TRIM('Find a child'!$B$3)=""),"",IF(ISNUMBER(SEARCH(TRIM('Find a child'!$B$3),B90&amp;" "&amp;C90)),COUNT(J$1:J89)+1,""))</f>
        <v/>
      </c>
    </row>
    <row r="91">
      <c r="A91" s="10" t="inlineStr">
        <is>
          <t>C0090</t>
        </is>
      </c>
      <c r="B91" s="6" t="n"/>
      <c r="C91" s="6" t="n"/>
      <c r="D91" s="6" t="n"/>
      <c r="E91" s="10">
        <f>IF(B91="","",IF(COUNTIFS($B$2:$B$600,B91,$C$2:$C$600,C91)&gt;1,B91&amp;" ("&amp;C91&amp;") "&amp;A91,B91&amp;" ("&amp;C91&amp;")"))</f>
        <v/>
      </c>
      <c r="F91" s="11">
        <f>IF(B91="","",SUMIFS(Entries!$J$2:$J$3000,Entries!$H$2:$H$3000,A91))</f>
        <v/>
      </c>
      <c r="G91" s="11">
        <f>IF(B91="","",_xlfn.MAXIFS(Prizes!$D$2:$D$3000,Prizes!$E$2:$E$3000,A91,Prizes!$G$2:$G$3000,""))</f>
        <v/>
      </c>
      <c r="H91" s="10">
        <f>IF(B91="","",IF(_xlfn.MAXIFS(Levels!$A$2:$A$30,Levels!$A$2:$A$30,"&lt;="&amp;F91)&gt;G91,INDEX(Levels!$B$2:$B$30,MATCH(_xlfn.MAXIFS(Levels!$A$2:$A$30,Levels!$A$2:$A$30,"&lt;="&amp;F91),Levels!$A$2:$A$30,0)),""))</f>
        <v/>
      </c>
      <c r="I91" s="10">
        <f>IF(B91="","",COUNTIFS(Levels!$A$2:$A$30,"&lt;="&amp;F91,Levels!$A$2:$A$30,"&gt;"&amp;G91))</f>
        <v/>
      </c>
      <c r="J91" s="10">
        <f>IF(OR(B91="",TRIM('Find a child'!$B$3)=""),"",IF(ISNUMBER(SEARCH(TRIM('Find a child'!$B$3),B91&amp;" "&amp;C91)),COUNT(J$1:J90)+1,""))</f>
        <v/>
      </c>
    </row>
    <row r="92">
      <c r="A92" s="10" t="inlineStr">
        <is>
          <t>C0091</t>
        </is>
      </c>
      <c r="B92" s="6" t="n"/>
      <c r="C92" s="6" t="n"/>
      <c r="D92" s="6" t="n"/>
      <c r="E92" s="10">
        <f>IF(B92="","",IF(COUNTIFS($B$2:$B$600,B92,$C$2:$C$600,C92)&gt;1,B92&amp;" ("&amp;C92&amp;") "&amp;A92,B92&amp;" ("&amp;C92&amp;")"))</f>
        <v/>
      </c>
      <c r="F92" s="11">
        <f>IF(B92="","",SUMIFS(Entries!$J$2:$J$3000,Entries!$H$2:$H$3000,A92))</f>
        <v/>
      </c>
      <c r="G92" s="11">
        <f>IF(B92="","",_xlfn.MAXIFS(Prizes!$D$2:$D$3000,Prizes!$E$2:$E$3000,A92,Prizes!$G$2:$G$3000,""))</f>
        <v/>
      </c>
      <c r="H92" s="10">
        <f>IF(B92="","",IF(_xlfn.MAXIFS(Levels!$A$2:$A$30,Levels!$A$2:$A$30,"&lt;="&amp;F92)&gt;G92,INDEX(Levels!$B$2:$B$30,MATCH(_xlfn.MAXIFS(Levels!$A$2:$A$30,Levels!$A$2:$A$30,"&lt;="&amp;F92),Levels!$A$2:$A$30,0)),""))</f>
        <v/>
      </c>
      <c r="I92" s="10">
        <f>IF(B92="","",COUNTIFS(Levels!$A$2:$A$30,"&lt;="&amp;F92,Levels!$A$2:$A$30,"&gt;"&amp;G92))</f>
        <v/>
      </c>
      <c r="J92" s="10">
        <f>IF(OR(B92="",TRIM('Find a child'!$B$3)=""),"",IF(ISNUMBER(SEARCH(TRIM('Find a child'!$B$3),B92&amp;" "&amp;C92)),COUNT(J$1:J91)+1,""))</f>
        <v/>
      </c>
    </row>
    <row r="93">
      <c r="A93" s="10" t="inlineStr">
        <is>
          <t>C0092</t>
        </is>
      </c>
      <c r="B93" s="6" t="n"/>
      <c r="C93" s="6" t="n"/>
      <c r="D93" s="6" t="n"/>
      <c r="E93" s="10">
        <f>IF(B93="","",IF(COUNTIFS($B$2:$B$600,B93,$C$2:$C$600,C93)&gt;1,B93&amp;" ("&amp;C93&amp;") "&amp;A93,B93&amp;" ("&amp;C93&amp;")"))</f>
        <v/>
      </c>
      <c r="F93" s="11">
        <f>IF(B93="","",SUMIFS(Entries!$J$2:$J$3000,Entries!$H$2:$H$3000,A93))</f>
        <v/>
      </c>
      <c r="G93" s="11">
        <f>IF(B93="","",_xlfn.MAXIFS(Prizes!$D$2:$D$3000,Prizes!$E$2:$E$3000,A93,Prizes!$G$2:$G$3000,""))</f>
        <v/>
      </c>
      <c r="H93" s="10">
        <f>IF(B93="","",IF(_xlfn.MAXIFS(Levels!$A$2:$A$30,Levels!$A$2:$A$30,"&lt;="&amp;F93)&gt;G93,INDEX(Levels!$B$2:$B$30,MATCH(_xlfn.MAXIFS(Levels!$A$2:$A$30,Levels!$A$2:$A$30,"&lt;="&amp;F93),Levels!$A$2:$A$30,0)),""))</f>
        <v/>
      </c>
      <c r="I93" s="10">
        <f>IF(B93="","",COUNTIFS(Levels!$A$2:$A$30,"&lt;="&amp;F93,Levels!$A$2:$A$30,"&gt;"&amp;G93))</f>
        <v/>
      </c>
      <c r="J93" s="10">
        <f>IF(OR(B93="",TRIM('Find a child'!$B$3)=""),"",IF(ISNUMBER(SEARCH(TRIM('Find a child'!$B$3),B93&amp;" "&amp;C93)),COUNT(J$1:J92)+1,""))</f>
        <v/>
      </c>
    </row>
    <row r="94">
      <c r="A94" s="10" t="inlineStr">
        <is>
          <t>C0093</t>
        </is>
      </c>
      <c r="B94" s="6" t="n"/>
      <c r="C94" s="6" t="n"/>
      <c r="D94" s="6" t="n"/>
      <c r="E94" s="10">
        <f>IF(B94="","",IF(COUNTIFS($B$2:$B$600,B94,$C$2:$C$600,C94)&gt;1,B94&amp;" ("&amp;C94&amp;") "&amp;A94,B94&amp;" ("&amp;C94&amp;")"))</f>
        <v/>
      </c>
      <c r="F94" s="11">
        <f>IF(B94="","",SUMIFS(Entries!$J$2:$J$3000,Entries!$H$2:$H$3000,A94))</f>
        <v/>
      </c>
      <c r="G94" s="11">
        <f>IF(B94="","",_xlfn.MAXIFS(Prizes!$D$2:$D$3000,Prizes!$E$2:$E$3000,A94,Prizes!$G$2:$G$3000,""))</f>
        <v/>
      </c>
      <c r="H94" s="10">
        <f>IF(B94="","",IF(_xlfn.MAXIFS(Levels!$A$2:$A$30,Levels!$A$2:$A$30,"&lt;="&amp;F94)&gt;G94,INDEX(Levels!$B$2:$B$30,MATCH(_xlfn.MAXIFS(Levels!$A$2:$A$30,Levels!$A$2:$A$30,"&lt;="&amp;F94),Levels!$A$2:$A$30,0)),""))</f>
        <v/>
      </c>
      <c r="I94" s="10">
        <f>IF(B94="","",COUNTIFS(Levels!$A$2:$A$30,"&lt;="&amp;F94,Levels!$A$2:$A$30,"&gt;"&amp;G94))</f>
        <v/>
      </c>
      <c r="J94" s="10">
        <f>IF(OR(B94="",TRIM('Find a child'!$B$3)=""),"",IF(ISNUMBER(SEARCH(TRIM('Find a child'!$B$3),B94&amp;" "&amp;C94)),COUNT(J$1:J93)+1,""))</f>
        <v/>
      </c>
    </row>
    <row r="95">
      <c r="A95" s="10" t="inlineStr">
        <is>
          <t>C0094</t>
        </is>
      </c>
      <c r="B95" s="6" t="n"/>
      <c r="C95" s="6" t="n"/>
      <c r="D95" s="6" t="n"/>
      <c r="E95" s="10">
        <f>IF(B95="","",IF(COUNTIFS($B$2:$B$600,B95,$C$2:$C$600,C95)&gt;1,B95&amp;" ("&amp;C95&amp;") "&amp;A95,B95&amp;" ("&amp;C95&amp;")"))</f>
        <v/>
      </c>
      <c r="F95" s="11">
        <f>IF(B95="","",SUMIFS(Entries!$J$2:$J$3000,Entries!$H$2:$H$3000,A95))</f>
        <v/>
      </c>
      <c r="G95" s="11">
        <f>IF(B95="","",_xlfn.MAXIFS(Prizes!$D$2:$D$3000,Prizes!$E$2:$E$3000,A95,Prizes!$G$2:$G$3000,""))</f>
        <v/>
      </c>
      <c r="H95" s="10">
        <f>IF(B95="","",IF(_xlfn.MAXIFS(Levels!$A$2:$A$30,Levels!$A$2:$A$30,"&lt;="&amp;F95)&gt;G95,INDEX(Levels!$B$2:$B$30,MATCH(_xlfn.MAXIFS(Levels!$A$2:$A$30,Levels!$A$2:$A$30,"&lt;="&amp;F95),Levels!$A$2:$A$30,0)),""))</f>
        <v/>
      </c>
      <c r="I95" s="10">
        <f>IF(B95="","",COUNTIFS(Levels!$A$2:$A$30,"&lt;="&amp;F95,Levels!$A$2:$A$30,"&gt;"&amp;G95))</f>
        <v/>
      </c>
      <c r="J95" s="10">
        <f>IF(OR(B95="",TRIM('Find a child'!$B$3)=""),"",IF(ISNUMBER(SEARCH(TRIM('Find a child'!$B$3),B95&amp;" "&amp;C95)),COUNT(J$1:J94)+1,""))</f>
        <v/>
      </c>
    </row>
    <row r="96">
      <c r="A96" s="10" t="inlineStr">
        <is>
          <t>C0095</t>
        </is>
      </c>
      <c r="B96" s="6" t="n"/>
      <c r="C96" s="6" t="n"/>
      <c r="D96" s="6" t="n"/>
      <c r="E96" s="10">
        <f>IF(B96="","",IF(COUNTIFS($B$2:$B$600,B96,$C$2:$C$600,C96)&gt;1,B96&amp;" ("&amp;C96&amp;") "&amp;A96,B96&amp;" ("&amp;C96&amp;")"))</f>
        <v/>
      </c>
      <c r="F96" s="11">
        <f>IF(B96="","",SUMIFS(Entries!$J$2:$J$3000,Entries!$H$2:$H$3000,A96))</f>
        <v/>
      </c>
      <c r="G96" s="11">
        <f>IF(B96="","",_xlfn.MAXIFS(Prizes!$D$2:$D$3000,Prizes!$E$2:$E$3000,A96,Prizes!$G$2:$G$3000,""))</f>
        <v/>
      </c>
      <c r="H96" s="10">
        <f>IF(B96="","",IF(_xlfn.MAXIFS(Levels!$A$2:$A$30,Levels!$A$2:$A$30,"&lt;="&amp;F96)&gt;G96,INDEX(Levels!$B$2:$B$30,MATCH(_xlfn.MAXIFS(Levels!$A$2:$A$30,Levels!$A$2:$A$30,"&lt;="&amp;F96),Levels!$A$2:$A$30,0)),""))</f>
        <v/>
      </c>
      <c r="I96" s="10">
        <f>IF(B96="","",COUNTIFS(Levels!$A$2:$A$30,"&lt;="&amp;F96,Levels!$A$2:$A$30,"&gt;"&amp;G96))</f>
        <v/>
      </c>
      <c r="J96" s="10">
        <f>IF(OR(B96="",TRIM('Find a child'!$B$3)=""),"",IF(ISNUMBER(SEARCH(TRIM('Find a child'!$B$3),B96&amp;" "&amp;C96)),COUNT(J$1:J95)+1,""))</f>
        <v/>
      </c>
    </row>
    <row r="97">
      <c r="A97" s="10" t="inlineStr">
        <is>
          <t>C0096</t>
        </is>
      </c>
      <c r="B97" s="6" t="n"/>
      <c r="C97" s="6" t="n"/>
      <c r="D97" s="6" t="n"/>
      <c r="E97" s="10">
        <f>IF(B97="","",IF(COUNTIFS($B$2:$B$600,B97,$C$2:$C$600,C97)&gt;1,B97&amp;" ("&amp;C97&amp;") "&amp;A97,B97&amp;" ("&amp;C97&amp;")"))</f>
        <v/>
      </c>
      <c r="F97" s="11">
        <f>IF(B97="","",SUMIFS(Entries!$J$2:$J$3000,Entries!$H$2:$H$3000,A97))</f>
        <v/>
      </c>
      <c r="G97" s="11">
        <f>IF(B97="","",_xlfn.MAXIFS(Prizes!$D$2:$D$3000,Prizes!$E$2:$E$3000,A97,Prizes!$G$2:$G$3000,""))</f>
        <v/>
      </c>
      <c r="H97" s="10">
        <f>IF(B97="","",IF(_xlfn.MAXIFS(Levels!$A$2:$A$30,Levels!$A$2:$A$30,"&lt;="&amp;F97)&gt;G97,INDEX(Levels!$B$2:$B$30,MATCH(_xlfn.MAXIFS(Levels!$A$2:$A$30,Levels!$A$2:$A$30,"&lt;="&amp;F97),Levels!$A$2:$A$30,0)),""))</f>
        <v/>
      </c>
      <c r="I97" s="10">
        <f>IF(B97="","",COUNTIFS(Levels!$A$2:$A$30,"&lt;="&amp;F97,Levels!$A$2:$A$30,"&gt;"&amp;G97))</f>
        <v/>
      </c>
      <c r="J97" s="10">
        <f>IF(OR(B97="",TRIM('Find a child'!$B$3)=""),"",IF(ISNUMBER(SEARCH(TRIM('Find a child'!$B$3),B97&amp;" "&amp;C97)),COUNT(J$1:J96)+1,""))</f>
        <v/>
      </c>
    </row>
    <row r="98">
      <c r="A98" s="10" t="inlineStr">
        <is>
          <t>C0097</t>
        </is>
      </c>
      <c r="B98" s="6" t="n"/>
      <c r="C98" s="6" t="n"/>
      <c r="D98" s="6" t="n"/>
      <c r="E98" s="10">
        <f>IF(B98="","",IF(COUNTIFS($B$2:$B$600,B98,$C$2:$C$600,C98)&gt;1,B98&amp;" ("&amp;C98&amp;") "&amp;A98,B98&amp;" ("&amp;C98&amp;")"))</f>
        <v/>
      </c>
      <c r="F98" s="11">
        <f>IF(B98="","",SUMIFS(Entries!$J$2:$J$3000,Entries!$H$2:$H$3000,A98))</f>
        <v/>
      </c>
      <c r="G98" s="11">
        <f>IF(B98="","",_xlfn.MAXIFS(Prizes!$D$2:$D$3000,Prizes!$E$2:$E$3000,A98,Prizes!$G$2:$G$3000,""))</f>
        <v/>
      </c>
      <c r="H98" s="10">
        <f>IF(B98="","",IF(_xlfn.MAXIFS(Levels!$A$2:$A$30,Levels!$A$2:$A$30,"&lt;="&amp;F98)&gt;G98,INDEX(Levels!$B$2:$B$30,MATCH(_xlfn.MAXIFS(Levels!$A$2:$A$30,Levels!$A$2:$A$30,"&lt;="&amp;F98),Levels!$A$2:$A$30,0)),""))</f>
        <v/>
      </c>
      <c r="I98" s="10">
        <f>IF(B98="","",COUNTIFS(Levels!$A$2:$A$30,"&lt;="&amp;F98,Levels!$A$2:$A$30,"&gt;"&amp;G98))</f>
        <v/>
      </c>
      <c r="J98" s="10">
        <f>IF(OR(B98="",TRIM('Find a child'!$B$3)=""),"",IF(ISNUMBER(SEARCH(TRIM('Find a child'!$B$3),B98&amp;" "&amp;C98)),COUNT(J$1:J97)+1,""))</f>
        <v/>
      </c>
    </row>
    <row r="99">
      <c r="A99" s="10" t="inlineStr">
        <is>
          <t>C0098</t>
        </is>
      </c>
      <c r="B99" s="6" t="n"/>
      <c r="C99" s="6" t="n"/>
      <c r="D99" s="6" t="n"/>
      <c r="E99" s="10">
        <f>IF(B99="","",IF(COUNTIFS($B$2:$B$600,B99,$C$2:$C$600,C99)&gt;1,B99&amp;" ("&amp;C99&amp;") "&amp;A99,B99&amp;" ("&amp;C99&amp;")"))</f>
        <v/>
      </c>
      <c r="F99" s="11">
        <f>IF(B99="","",SUMIFS(Entries!$J$2:$J$3000,Entries!$H$2:$H$3000,A99))</f>
        <v/>
      </c>
      <c r="G99" s="11">
        <f>IF(B99="","",_xlfn.MAXIFS(Prizes!$D$2:$D$3000,Prizes!$E$2:$E$3000,A99,Prizes!$G$2:$G$3000,""))</f>
        <v/>
      </c>
      <c r="H99" s="10">
        <f>IF(B99="","",IF(_xlfn.MAXIFS(Levels!$A$2:$A$30,Levels!$A$2:$A$30,"&lt;="&amp;F99)&gt;G99,INDEX(Levels!$B$2:$B$30,MATCH(_xlfn.MAXIFS(Levels!$A$2:$A$30,Levels!$A$2:$A$30,"&lt;="&amp;F99),Levels!$A$2:$A$30,0)),""))</f>
        <v/>
      </c>
      <c r="I99" s="10">
        <f>IF(B99="","",COUNTIFS(Levels!$A$2:$A$30,"&lt;="&amp;F99,Levels!$A$2:$A$30,"&gt;"&amp;G99))</f>
        <v/>
      </c>
      <c r="J99" s="10">
        <f>IF(OR(B99="",TRIM('Find a child'!$B$3)=""),"",IF(ISNUMBER(SEARCH(TRIM('Find a child'!$B$3),B99&amp;" "&amp;C99)),COUNT(J$1:J98)+1,""))</f>
        <v/>
      </c>
    </row>
    <row r="100">
      <c r="A100" s="10" t="inlineStr">
        <is>
          <t>C0099</t>
        </is>
      </c>
      <c r="B100" s="6" t="n"/>
      <c r="C100" s="6" t="n"/>
      <c r="D100" s="6" t="n"/>
      <c r="E100" s="10">
        <f>IF(B100="","",IF(COUNTIFS($B$2:$B$600,B100,$C$2:$C$600,C100)&gt;1,B100&amp;" ("&amp;C100&amp;") "&amp;A100,B100&amp;" ("&amp;C100&amp;")"))</f>
        <v/>
      </c>
      <c r="F100" s="11">
        <f>IF(B100="","",SUMIFS(Entries!$J$2:$J$3000,Entries!$H$2:$H$3000,A100))</f>
        <v/>
      </c>
      <c r="G100" s="11">
        <f>IF(B100="","",_xlfn.MAXIFS(Prizes!$D$2:$D$3000,Prizes!$E$2:$E$3000,A100,Prizes!$G$2:$G$3000,""))</f>
        <v/>
      </c>
      <c r="H100" s="10">
        <f>IF(B100="","",IF(_xlfn.MAXIFS(Levels!$A$2:$A$30,Levels!$A$2:$A$30,"&lt;="&amp;F100)&gt;G100,INDEX(Levels!$B$2:$B$30,MATCH(_xlfn.MAXIFS(Levels!$A$2:$A$30,Levels!$A$2:$A$30,"&lt;="&amp;F100),Levels!$A$2:$A$30,0)),""))</f>
        <v/>
      </c>
      <c r="I100" s="10">
        <f>IF(B100="","",COUNTIFS(Levels!$A$2:$A$30,"&lt;="&amp;F100,Levels!$A$2:$A$30,"&gt;"&amp;G100))</f>
        <v/>
      </c>
      <c r="J100" s="10">
        <f>IF(OR(B100="",TRIM('Find a child'!$B$3)=""),"",IF(ISNUMBER(SEARCH(TRIM('Find a child'!$B$3),B100&amp;" "&amp;C100)),COUNT(J$1:J99)+1,""))</f>
        <v/>
      </c>
    </row>
    <row r="101">
      <c r="A101" s="10" t="inlineStr">
        <is>
          <t>C0100</t>
        </is>
      </c>
      <c r="B101" s="6" t="n"/>
      <c r="C101" s="6" t="n"/>
      <c r="D101" s="6" t="n"/>
      <c r="E101" s="10">
        <f>IF(B101="","",IF(COUNTIFS($B$2:$B$600,B101,$C$2:$C$600,C101)&gt;1,B101&amp;" ("&amp;C101&amp;") "&amp;A101,B101&amp;" ("&amp;C101&amp;")"))</f>
        <v/>
      </c>
      <c r="F101" s="11">
        <f>IF(B101="","",SUMIFS(Entries!$J$2:$J$3000,Entries!$H$2:$H$3000,A101))</f>
        <v/>
      </c>
      <c r="G101" s="11">
        <f>IF(B101="","",_xlfn.MAXIFS(Prizes!$D$2:$D$3000,Prizes!$E$2:$E$3000,A101,Prizes!$G$2:$G$3000,""))</f>
        <v/>
      </c>
      <c r="H101" s="10">
        <f>IF(B101="","",IF(_xlfn.MAXIFS(Levels!$A$2:$A$30,Levels!$A$2:$A$30,"&lt;="&amp;F101)&gt;G101,INDEX(Levels!$B$2:$B$30,MATCH(_xlfn.MAXIFS(Levels!$A$2:$A$30,Levels!$A$2:$A$30,"&lt;="&amp;F101),Levels!$A$2:$A$30,0)),""))</f>
        <v/>
      </c>
      <c r="I101" s="10">
        <f>IF(B101="","",COUNTIFS(Levels!$A$2:$A$30,"&lt;="&amp;F101,Levels!$A$2:$A$30,"&gt;"&amp;G101))</f>
        <v/>
      </c>
      <c r="J101" s="10">
        <f>IF(OR(B101="",TRIM('Find a child'!$B$3)=""),"",IF(ISNUMBER(SEARCH(TRIM('Find a child'!$B$3),B101&amp;" "&amp;C101)),COUNT(J$1:J100)+1,""))</f>
        <v/>
      </c>
    </row>
    <row r="102">
      <c r="A102" s="10" t="inlineStr">
        <is>
          <t>C0101</t>
        </is>
      </c>
      <c r="B102" s="6" t="n"/>
      <c r="C102" s="6" t="n"/>
      <c r="D102" s="6" t="n"/>
      <c r="E102" s="10">
        <f>IF(B102="","",IF(COUNTIFS($B$2:$B$600,B102,$C$2:$C$600,C102)&gt;1,B102&amp;" ("&amp;C102&amp;") "&amp;A102,B102&amp;" ("&amp;C102&amp;")"))</f>
        <v/>
      </c>
      <c r="F102" s="11">
        <f>IF(B102="","",SUMIFS(Entries!$J$2:$J$3000,Entries!$H$2:$H$3000,A102))</f>
        <v/>
      </c>
      <c r="G102" s="11">
        <f>IF(B102="","",_xlfn.MAXIFS(Prizes!$D$2:$D$3000,Prizes!$E$2:$E$3000,A102,Prizes!$G$2:$G$3000,""))</f>
        <v/>
      </c>
      <c r="H102" s="10">
        <f>IF(B102="","",IF(_xlfn.MAXIFS(Levels!$A$2:$A$30,Levels!$A$2:$A$30,"&lt;="&amp;F102)&gt;G102,INDEX(Levels!$B$2:$B$30,MATCH(_xlfn.MAXIFS(Levels!$A$2:$A$30,Levels!$A$2:$A$30,"&lt;="&amp;F102),Levels!$A$2:$A$30,0)),""))</f>
        <v/>
      </c>
      <c r="I102" s="10">
        <f>IF(B102="","",COUNTIFS(Levels!$A$2:$A$30,"&lt;="&amp;F102,Levels!$A$2:$A$30,"&gt;"&amp;G102))</f>
        <v/>
      </c>
      <c r="J102" s="10">
        <f>IF(OR(B102="",TRIM('Find a child'!$B$3)=""),"",IF(ISNUMBER(SEARCH(TRIM('Find a child'!$B$3),B102&amp;" "&amp;C102)),COUNT(J$1:J101)+1,""))</f>
        <v/>
      </c>
    </row>
    <row r="103">
      <c r="A103" s="10" t="inlineStr">
        <is>
          <t>C0102</t>
        </is>
      </c>
      <c r="B103" s="6" t="n"/>
      <c r="C103" s="6" t="n"/>
      <c r="D103" s="6" t="n"/>
      <c r="E103" s="10">
        <f>IF(B103="","",IF(COUNTIFS($B$2:$B$600,B103,$C$2:$C$600,C103)&gt;1,B103&amp;" ("&amp;C103&amp;") "&amp;A103,B103&amp;" ("&amp;C103&amp;")"))</f>
        <v/>
      </c>
      <c r="F103" s="11">
        <f>IF(B103="","",SUMIFS(Entries!$J$2:$J$3000,Entries!$H$2:$H$3000,A103))</f>
        <v/>
      </c>
      <c r="G103" s="11">
        <f>IF(B103="","",_xlfn.MAXIFS(Prizes!$D$2:$D$3000,Prizes!$E$2:$E$3000,A103,Prizes!$G$2:$G$3000,""))</f>
        <v/>
      </c>
      <c r="H103" s="10">
        <f>IF(B103="","",IF(_xlfn.MAXIFS(Levels!$A$2:$A$30,Levels!$A$2:$A$30,"&lt;="&amp;F103)&gt;G103,INDEX(Levels!$B$2:$B$30,MATCH(_xlfn.MAXIFS(Levels!$A$2:$A$30,Levels!$A$2:$A$30,"&lt;="&amp;F103),Levels!$A$2:$A$30,0)),""))</f>
        <v/>
      </c>
      <c r="I103" s="10">
        <f>IF(B103="","",COUNTIFS(Levels!$A$2:$A$30,"&lt;="&amp;F103,Levels!$A$2:$A$30,"&gt;"&amp;G103))</f>
        <v/>
      </c>
      <c r="J103" s="10">
        <f>IF(OR(B103="",TRIM('Find a child'!$B$3)=""),"",IF(ISNUMBER(SEARCH(TRIM('Find a child'!$B$3),B103&amp;" "&amp;C103)),COUNT(J$1:J102)+1,""))</f>
        <v/>
      </c>
    </row>
    <row r="104">
      <c r="A104" s="10" t="inlineStr">
        <is>
          <t>C0103</t>
        </is>
      </c>
      <c r="B104" s="6" t="n"/>
      <c r="C104" s="6" t="n"/>
      <c r="D104" s="6" t="n"/>
      <c r="E104" s="10">
        <f>IF(B104="","",IF(COUNTIFS($B$2:$B$600,B104,$C$2:$C$600,C104)&gt;1,B104&amp;" ("&amp;C104&amp;") "&amp;A104,B104&amp;" ("&amp;C104&amp;")"))</f>
        <v/>
      </c>
      <c r="F104" s="11">
        <f>IF(B104="","",SUMIFS(Entries!$J$2:$J$3000,Entries!$H$2:$H$3000,A104))</f>
        <v/>
      </c>
      <c r="G104" s="11">
        <f>IF(B104="","",_xlfn.MAXIFS(Prizes!$D$2:$D$3000,Prizes!$E$2:$E$3000,A104,Prizes!$G$2:$G$3000,""))</f>
        <v/>
      </c>
      <c r="H104" s="10">
        <f>IF(B104="","",IF(_xlfn.MAXIFS(Levels!$A$2:$A$30,Levels!$A$2:$A$30,"&lt;="&amp;F104)&gt;G104,INDEX(Levels!$B$2:$B$30,MATCH(_xlfn.MAXIFS(Levels!$A$2:$A$30,Levels!$A$2:$A$30,"&lt;="&amp;F104),Levels!$A$2:$A$30,0)),""))</f>
        <v/>
      </c>
      <c r="I104" s="10">
        <f>IF(B104="","",COUNTIFS(Levels!$A$2:$A$30,"&lt;="&amp;F104,Levels!$A$2:$A$30,"&gt;"&amp;G104))</f>
        <v/>
      </c>
      <c r="J104" s="10">
        <f>IF(OR(B104="",TRIM('Find a child'!$B$3)=""),"",IF(ISNUMBER(SEARCH(TRIM('Find a child'!$B$3),B104&amp;" "&amp;C104)),COUNT(J$1:J103)+1,""))</f>
        <v/>
      </c>
    </row>
    <row r="105">
      <c r="A105" s="10" t="inlineStr">
        <is>
          <t>C0104</t>
        </is>
      </c>
      <c r="B105" s="6" t="n"/>
      <c r="C105" s="6" t="n"/>
      <c r="D105" s="6" t="n"/>
      <c r="E105" s="10">
        <f>IF(B105="","",IF(COUNTIFS($B$2:$B$600,B105,$C$2:$C$600,C105)&gt;1,B105&amp;" ("&amp;C105&amp;") "&amp;A105,B105&amp;" ("&amp;C105&amp;")"))</f>
        <v/>
      </c>
      <c r="F105" s="11">
        <f>IF(B105="","",SUMIFS(Entries!$J$2:$J$3000,Entries!$H$2:$H$3000,A105))</f>
        <v/>
      </c>
      <c r="G105" s="11">
        <f>IF(B105="","",_xlfn.MAXIFS(Prizes!$D$2:$D$3000,Prizes!$E$2:$E$3000,A105,Prizes!$G$2:$G$3000,""))</f>
        <v/>
      </c>
      <c r="H105" s="10">
        <f>IF(B105="","",IF(_xlfn.MAXIFS(Levels!$A$2:$A$30,Levels!$A$2:$A$30,"&lt;="&amp;F105)&gt;G105,INDEX(Levels!$B$2:$B$30,MATCH(_xlfn.MAXIFS(Levels!$A$2:$A$30,Levels!$A$2:$A$30,"&lt;="&amp;F105),Levels!$A$2:$A$30,0)),""))</f>
        <v/>
      </c>
      <c r="I105" s="10">
        <f>IF(B105="","",COUNTIFS(Levels!$A$2:$A$30,"&lt;="&amp;F105,Levels!$A$2:$A$30,"&gt;"&amp;G105))</f>
        <v/>
      </c>
      <c r="J105" s="10">
        <f>IF(OR(B105="",TRIM('Find a child'!$B$3)=""),"",IF(ISNUMBER(SEARCH(TRIM('Find a child'!$B$3),B105&amp;" "&amp;C105)),COUNT(J$1:J104)+1,""))</f>
        <v/>
      </c>
    </row>
    <row r="106">
      <c r="A106" s="10" t="inlineStr">
        <is>
          <t>C0105</t>
        </is>
      </c>
      <c r="B106" s="6" t="n"/>
      <c r="C106" s="6" t="n"/>
      <c r="D106" s="6" t="n"/>
      <c r="E106" s="10">
        <f>IF(B106="","",IF(COUNTIFS($B$2:$B$600,B106,$C$2:$C$600,C106)&gt;1,B106&amp;" ("&amp;C106&amp;") "&amp;A106,B106&amp;" ("&amp;C106&amp;")"))</f>
        <v/>
      </c>
      <c r="F106" s="11">
        <f>IF(B106="","",SUMIFS(Entries!$J$2:$J$3000,Entries!$H$2:$H$3000,A106))</f>
        <v/>
      </c>
      <c r="G106" s="11">
        <f>IF(B106="","",_xlfn.MAXIFS(Prizes!$D$2:$D$3000,Prizes!$E$2:$E$3000,A106,Prizes!$G$2:$G$3000,""))</f>
        <v/>
      </c>
      <c r="H106" s="10">
        <f>IF(B106="","",IF(_xlfn.MAXIFS(Levels!$A$2:$A$30,Levels!$A$2:$A$30,"&lt;="&amp;F106)&gt;G106,INDEX(Levels!$B$2:$B$30,MATCH(_xlfn.MAXIFS(Levels!$A$2:$A$30,Levels!$A$2:$A$30,"&lt;="&amp;F106),Levels!$A$2:$A$30,0)),""))</f>
        <v/>
      </c>
      <c r="I106" s="10">
        <f>IF(B106="","",COUNTIFS(Levels!$A$2:$A$30,"&lt;="&amp;F106,Levels!$A$2:$A$30,"&gt;"&amp;G106))</f>
        <v/>
      </c>
      <c r="J106" s="10">
        <f>IF(OR(B106="",TRIM('Find a child'!$B$3)=""),"",IF(ISNUMBER(SEARCH(TRIM('Find a child'!$B$3),B106&amp;" "&amp;C106)),COUNT(J$1:J105)+1,""))</f>
        <v/>
      </c>
    </row>
    <row r="107">
      <c r="A107" s="10" t="inlineStr">
        <is>
          <t>C0106</t>
        </is>
      </c>
      <c r="B107" s="6" t="n"/>
      <c r="C107" s="6" t="n"/>
      <c r="D107" s="6" t="n"/>
      <c r="E107" s="10">
        <f>IF(B107="","",IF(COUNTIFS($B$2:$B$600,B107,$C$2:$C$600,C107)&gt;1,B107&amp;" ("&amp;C107&amp;") "&amp;A107,B107&amp;" ("&amp;C107&amp;")"))</f>
        <v/>
      </c>
      <c r="F107" s="11">
        <f>IF(B107="","",SUMIFS(Entries!$J$2:$J$3000,Entries!$H$2:$H$3000,A107))</f>
        <v/>
      </c>
      <c r="G107" s="11">
        <f>IF(B107="","",_xlfn.MAXIFS(Prizes!$D$2:$D$3000,Prizes!$E$2:$E$3000,A107,Prizes!$G$2:$G$3000,""))</f>
        <v/>
      </c>
      <c r="H107" s="10">
        <f>IF(B107="","",IF(_xlfn.MAXIFS(Levels!$A$2:$A$30,Levels!$A$2:$A$30,"&lt;="&amp;F107)&gt;G107,INDEX(Levels!$B$2:$B$30,MATCH(_xlfn.MAXIFS(Levels!$A$2:$A$30,Levels!$A$2:$A$30,"&lt;="&amp;F107),Levels!$A$2:$A$30,0)),""))</f>
        <v/>
      </c>
      <c r="I107" s="10">
        <f>IF(B107="","",COUNTIFS(Levels!$A$2:$A$30,"&lt;="&amp;F107,Levels!$A$2:$A$30,"&gt;"&amp;G107))</f>
        <v/>
      </c>
      <c r="J107" s="10">
        <f>IF(OR(B107="",TRIM('Find a child'!$B$3)=""),"",IF(ISNUMBER(SEARCH(TRIM('Find a child'!$B$3),B107&amp;" "&amp;C107)),COUNT(J$1:J106)+1,""))</f>
        <v/>
      </c>
    </row>
    <row r="108">
      <c r="A108" s="10" t="inlineStr">
        <is>
          <t>C0107</t>
        </is>
      </c>
      <c r="B108" s="6" t="n"/>
      <c r="C108" s="6" t="n"/>
      <c r="D108" s="6" t="n"/>
      <c r="E108" s="10">
        <f>IF(B108="","",IF(COUNTIFS($B$2:$B$600,B108,$C$2:$C$600,C108)&gt;1,B108&amp;" ("&amp;C108&amp;") "&amp;A108,B108&amp;" ("&amp;C108&amp;")"))</f>
        <v/>
      </c>
      <c r="F108" s="11">
        <f>IF(B108="","",SUMIFS(Entries!$J$2:$J$3000,Entries!$H$2:$H$3000,A108))</f>
        <v/>
      </c>
      <c r="G108" s="11">
        <f>IF(B108="","",_xlfn.MAXIFS(Prizes!$D$2:$D$3000,Prizes!$E$2:$E$3000,A108,Prizes!$G$2:$G$3000,""))</f>
        <v/>
      </c>
      <c r="H108" s="10">
        <f>IF(B108="","",IF(_xlfn.MAXIFS(Levels!$A$2:$A$30,Levels!$A$2:$A$30,"&lt;="&amp;F108)&gt;G108,INDEX(Levels!$B$2:$B$30,MATCH(_xlfn.MAXIFS(Levels!$A$2:$A$30,Levels!$A$2:$A$30,"&lt;="&amp;F108),Levels!$A$2:$A$30,0)),""))</f>
        <v/>
      </c>
      <c r="I108" s="10">
        <f>IF(B108="","",COUNTIFS(Levels!$A$2:$A$30,"&lt;="&amp;F108,Levels!$A$2:$A$30,"&gt;"&amp;G108))</f>
        <v/>
      </c>
      <c r="J108" s="10">
        <f>IF(OR(B108="",TRIM('Find a child'!$B$3)=""),"",IF(ISNUMBER(SEARCH(TRIM('Find a child'!$B$3),B108&amp;" "&amp;C108)),COUNT(J$1:J107)+1,""))</f>
        <v/>
      </c>
    </row>
    <row r="109">
      <c r="A109" s="10" t="inlineStr">
        <is>
          <t>C0108</t>
        </is>
      </c>
      <c r="B109" s="6" t="n"/>
      <c r="C109" s="6" t="n"/>
      <c r="D109" s="6" t="n"/>
      <c r="E109" s="10">
        <f>IF(B109="","",IF(COUNTIFS($B$2:$B$600,B109,$C$2:$C$600,C109)&gt;1,B109&amp;" ("&amp;C109&amp;") "&amp;A109,B109&amp;" ("&amp;C109&amp;")"))</f>
        <v/>
      </c>
      <c r="F109" s="11">
        <f>IF(B109="","",SUMIFS(Entries!$J$2:$J$3000,Entries!$H$2:$H$3000,A109))</f>
        <v/>
      </c>
      <c r="G109" s="11">
        <f>IF(B109="","",_xlfn.MAXIFS(Prizes!$D$2:$D$3000,Prizes!$E$2:$E$3000,A109,Prizes!$G$2:$G$3000,""))</f>
        <v/>
      </c>
      <c r="H109" s="10">
        <f>IF(B109="","",IF(_xlfn.MAXIFS(Levels!$A$2:$A$30,Levels!$A$2:$A$30,"&lt;="&amp;F109)&gt;G109,INDEX(Levels!$B$2:$B$30,MATCH(_xlfn.MAXIFS(Levels!$A$2:$A$30,Levels!$A$2:$A$30,"&lt;="&amp;F109),Levels!$A$2:$A$30,0)),""))</f>
        <v/>
      </c>
      <c r="I109" s="10">
        <f>IF(B109="","",COUNTIFS(Levels!$A$2:$A$30,"&lt;="&amp;F109,Levels!$A$2:$A$30,"&gt;"&amp;G109))</f>
        <v/>
      </c>
      <c r="J109" s="10">
        <f>IF(OR(B109="",TRIM('Find a child'!$B$3)=""),"",IF(ISNUMBER(SEARCH(TRIM('Find a child'!$B$3),B109&amp;" "&amp;C109)),COUNT(J$1:J108)+1,""))</f>
        <v/>
      </c>
    </row>
    <row r="110">
      <c r="A110" s="10" t="inlineStr">
        <is>
          <t>C0109</t>
        </is>
      </c>
      <c r="B110" s="6" t="n"/>
      <c r="C110" s="6" t="n"/>
      <c r="D110" s="6" t="n"/>
      <c r="E110" s="10">
        <f>IF(B110="","",IF(COUNTIFS($B$2:$B$600,B110,$C$2:$C$600,C110)&gt;1,B110&amp;" ("&amp;C110&amp;") "&amp;A110,B110&amp;" ("&amp;C110&amp;")"))</f>
        <v/>
      </c>
      <c r="F110" s="11">
        <f>IF(B110="","",SUMIFS(Entries!$J$2:$J$3000,Entries!$H$2:$H$3000,A110))</f>
        <v/>
      </c>
      <c r="G110" s="11">
        <f>IF(B110="","",_xlfn.MAXIFS(Prizes!$D$2:$D$3000,Prizes!$E$2:$E$3000,A110,Prizes!$G$2:$G$3000,""))</f>
        <v/>
      </c>
      <c r="H110" s="10">
        <f>IF(B110="","",IF(_xlfn.MAXIFS(Levels!$A$2:$A$30,Levels!$A$2:$A$30,"&lt;="&amp;F110)&gt;G110,INDEX(Levels!$B$2:$B$30,MATCH(_xlfn.MAXIFS(Levels!$A$2:$A$30,Levels!$A$2:$A$30,"&lt;="&amp;F110),Levels!$A$2:$A$30,0)),""))</f>
        <v/>
      </c>
      <c r="I110" s="10">
        <f>IF(B110="","",COUNTIFS(Levels!$A$2:$A$30,"&lt;="&amp;F110,Levels!$A$2:$A$30,"&gt;"&amp;G110))</f>
        <v/>
      </c>
      <c r="J110" s="10">
        <f>IF(OR(B110="",TRIM('Find a child'!$B$3)=""),"",IF(ISNUMBER(SEARCH(TRIM('Find a child'!$B$3),B110&amp;" "&amp;C110)),COUNT(J$1:J109)+1,""))</f>
        <v/>
      </c>
    </row>
    <row r="111">
      <c r="A111" s="10" t="inlineStr">
        <is>
          <t>C0110</t>
        </is>
      </c>
      <c r="B111" s="6" t="n"/>
      <c r="C111" s="6" t="n"/>
      <c r="D111" s="6" t="n"/>
      <c r="E111" s="10">
        <f>IF(B111="","",IF(COUNTIFS($B$2:$B$600,B111,$C$2:$C$600,C111)&gt;1,B111&amp;" ("&amp;C111&amp;") "&amp;A111,B111&amp;" ("&amp;C111&amp;")"))</f>
        <v/>
      </c>
      <c r="F111" s="11">
        <f>IF(B111="","",SUMIFS(Entries!$J$2:$J$3000,Entries!$H$2:$H$3000,A111))</f>
        <v/>
      </c>
      <c r="G111" s="11">
        <f>IF(B111="","",_xlfn.MAXIFS(Prizes!$D$2:$D$3000,Prizes!$E$2:$E$3000,A111,Prizes!$G$2:$G$3000,""))</f>
        <v/>
      </c>
      <c r="H111" s="10">
        <f>IF(B111="","",IF(_xlfn.MAXIFS(Levels!$A$2:$A$30,Levels!$A$2:$A$30,"&lt;="&amp;F111)&gt;G111,INDEX(Levels!$B$2:$B$30,MATCH(_xlfn.MAXIFS(Levels!$A$2:$A$30,Levels!$A$2:$A$30,"&lt;="&amp;F111),Levels!$A$2:$A$30,0)),""))</f>
        <v/>
      </c>
      <c r="I111" s="10">
        <f>IF(B111="","",COUNTIFS(Levels!$A$2:$A$30,"&lt;="&amp;F111,Levels!$A$2:$A$30,"&gt;"&amp;G111))</f>
        <v/>
      </c>
      <c r="J111" s="10">
        <f>IF(OR(B111="",TRIM('Find a child'!$B$3)=""),"",IF(ISNUMBER(SEARCH(TRIM('Find a child'!$B$3),B111&amp;" "&amp;C111)),COUNT(J$1:J110)+1,""))</f>
        <v/>
      </c>
    </row>
    <row r="112">
      <c r="A112" s="10" t="inlineStr">
        <is>
          <t>C0111</t>
        </is>
      </c>
      <c r="B112" s="6" t="n"/>
      <c r="C112" s="6" t="n"/>
      <c r="D112" s="6" t="n"/>
      <c r="E112" s="10">
        <f>IF(B112="","",IF(COUNTIFS($B$2:$B$600,B112,$C$2:$C$600,C112)&gt;1,B112&amp;" ("&amp;C112&amp;") "&amp;A112,B112&amp;" ("&amp;C112&amp;")"))</f>
        <v/>
      </c>
      <c r="F112" s="11">
        <f>IF(B112="","",SUMIFS(Entries!$J$2:$J$3000,Entries!$H$2:$H$3000,A112))</f>
        <v/>
      </c>
      <c r="G112" s="11">
        <f>IF(B112="","",_xlfn.MAXIFS(Prizes!$D$2:$D$3000,Prizes!$E$2:$E$3000,A112,Prizes!$G$2:$G$3000,""))</f>
        <v/>
      </c>
      <c r="H112" s="10">
        <f>IF(B112="","",IF(_xlfn.MAXIFS(Levels!$A$2:$A$30,Levels!$A$2:$A$30,"&lt;="&amp;F112)&gt;G112,INDEX(Levels!$B$2:$B$30,MATCH(_xlfn.MAXIFS(Levels!$A$2:$A$30,Levels!$A$2:$A$30,"&lt;="&amp;F112),Levels!$A$2:$A$30,0)),""))</f>
        <v/>
      </c>
      <c r="I112" s="10">
        <f>IF(B112="","",COUNTIFS(Levels!$A$2:$A$30,"&lt;="&amp;F112,Levels!$A$2:$A$30,"&gt;"&amp;G112))</f>
        <v/>
      </c>
      <c r="J112" s="10">
        <f>IF(OR(B112="",TRIM('Find a child'!$B$3)=""),"",IF(ISNUMBER(SEARCH(TRIM('Find a child'!$B$3),B112&amp;" "&amp;C112)),COUNT(J$1:J111)+1,""))</f>
        <v/>
      </c>
    </row>
    <row r="113">
      <c r="A113" s="10" t="inlineStr">
        <is>
          <t>C0112</t>
        </is>
      </c>
      <c r="B113" s="6" t="n"/>
      <c r="C113" s="6" t="n"/>
      <c r="D113" s="6" t="n"/>
      <c r="E113" s="10">
        <f>IF(B113="","",IF(COUNTIFS($B$2:$B$600,B113,$C$2:$C$600,C113)&gt;1,B113&amp;" ("&amp;C113&amp;") "&amp;A113,B113&amp;" ("&amp;C113&amp;")"))</f>
        <v/>
      </c>
      <c r="F113" s="11">
        <f>IF(B113="","",SUMIFS(Entries!$J$2:$J$3000,Entries!$H$2:$H$3000,A113))</f>
        <v/>
      </c>
      <c r="G113" s="11">
        <f>IF(B113="","",_xlfn.MAXIFS(Prizes!$D$2:$D$3000,Prizes!$E$2:$E$3000,A113,Prizes!$G$2:$G$3000,""))</f>
        <v/>
      </c>
      <c r="H113" s="10">
        <f>IF(B113="","",IF(_xlfn.MAXIFS(Levels!$A$2:$A$30,Levels!$A$2:$A$30,"&lt;="&amp;F113)&gt;G113,INDEX(Levels!$B$2:$B$30,MATCH(_xlfn.MAXIFS(Levels!$A$2:$A$30,Levels!$A$2:$A$30,"&lt;="&amp;F113),Levels!$A$2:$A$30,0)),""))</f>
        <v/>
      </c>
      <c r="I113" s="10">
        <f>IF(B113="","",COUNTIFS(Levels!$A$2:$A$30,"&lt;="&amp;F113,Levels!$A$2:$A$30,"&gt;"&amp;G113))</f>
        <v/>
      </c>
      <c r="J113" s="10">
        <f>IF(OR(B113="",TRIM('Find a child'!$B$3)=""),"",IF(ISNUMBER(SEARCH(TRIM('Find a child'!$B$3),B113&amp;" "&amp;C113)),COUNT(J$1:J112)+1,""))</f>
        <v/>
      </c>
    </row>
    <row r="114">
      <c r="A114" s="10" t="inlineStr">
        <is>
          <t>C0113</t>
        </is>
      </c>
      <c r="B114" s="6" t="n"/>
      <c r="C114" s="6" t="n"/>
      <c r="D114" s="6" t="n"/>
      <c r="E114" s="10">
        <f>IF(B114="","",IF(COUNTIFS($B$2:$B$600,B114,$C$2:$C$600,C114)&gt;1,B114&amp;" ("&amp;C114&amp;") "&amp;A114,B114&amp;" ("&amp;C114&amp;")"))</f>
        <v/>
      </c>
      <c r="F114" s="11">
        <f>IF(B114="","",SUMIFS(Entries!$J$2:$J$3000,Entries!$H$2:$H$3000,A114))</f>
        <v/>
      </c>
      <c r="G114" s="11">
        <f>IF(B114="","",_xlfn.MAXIFS(Prizes!$D$2:$D$3000,Prizes!$E$2:$E$3000,A114,Prizes!$G$2:$G$3000,""))</f>
        <v/>
      </c>
      <c r="H114" s="10">
        <f>IF(B114="","",IF(_xlfn.MAXIFS(Levels!$A$2:$A$30,Levels!$A$2:$A$30,"&lt;="&amp;F114)&gt;G114,INDEX(Levels!$B$2:$B$30,MATCH(_xlfn.MAXIFS(Levels!$A$2:$A$30,Levels!$A$2:$A$30,"&lt;="&amp;F114),Levels!$A$2:$A$30,0)),""))</f>
        <v/>
      </c>
      <c r="I114" s="10">
        <f>IF(B114="","",COUNTIFS(Levels!$A$2:$A$30,"&lt;="&amp;F114,Levels!$A$2:$A$30,"&gt;"&amp;G114))</f>
        <v/>
      </c>
      <c r="J114" s="10">
        <f>IF(OR(B114="",TRIM('Find a child'!$B$3)=""),"",IF(ISNUMBER(SEARCH(TRIM('Find a child'!$B$3),B114&amp;" "&amp;C114)),COUNT(J$1:J113)+1,""))</f>
        <v/>
      </c>
    </row>
    <row r="115">
      <c r="A115" s="10" t="inlineStr">
        <is>
          <t>C0114</t>
        </is>
      </c>
      <c r="B115" s="6" t="n"/>
      <c r="C115" s="6" t="n"/>
      <c r="D115" s="6" t="n"/>
      <c r="E115" s="10">
        <f>IF(B115="","",IF(COUNTIFS($B$2:$B$600,B115,$C$2:$C$600,C115)&gt;1,B115&amp;" ("&amp;C115&amp;") "&amp;A115,B115&amp;" ("&amp;C115&amp;")"))</f>
        <v/>
      </c>
      <c r="F115" s="11">
        <f>IF(B115="","",SUMIFS(Entries!$J$2:$J$3000,Entries!$H$2:$H$3000,A115))</f>
        <v/>
      </c>
      <c r="G115" s="11">
        <f>IF(B115="","",_xlfn.MAXIFS(Prizes!$D$2:$D$3000,Prizes!$E$2:$E$3000,A115,Prizes!$G$2:$G$3000,""))</f>
        <v/>
      </c>
      <c r="H115" s="10">
        <f>IF(B115="","",IF(_xlfn.MAXIFS(Levels!$A$2:$A$30,Levels!$A$2:$A$30,"&lt;="&amp;F115)&gt;G115,INDEX(Levels!$B$2:$B$30,MATCH(_xlfn.MAXIFS(Levels!$A$2:$A$30,Levels!$A$2:$A$30,"&lt;="&amp;F115),Levels!$A$2:$A$30,0)),""))</f>
        <v/>
      </c>
      <c r="I115" s="10">
        <f>IF(B115="","",COUNTIFS(Levels!$A$2:$A$30,"&lt;="&amp;F115,Levels!$A$2:$A$30,"&gt;"&amp;G115))</f>
        <v/>
      </c>
      <c r="J115" s="10">
        <f>IF(OR(B115="",TRIM('Find a child'!$B$3)=""),"",IF(ISNUMBER(SEARCH(TRIM('Find a child'!$B$3),B115&amp;" "&amp;C115)),COUNT(J$1:J114)+1,""))</f>
        <v/>
      </c>
    </row>
    <row r="116">
      <c r="A116" s="10" t="inlineStr">
        <is>
          <t>C0115</t>
        </is>
      </c>
      <c r="B116" s="6" t="n"/>
      <c r="C116" s="6" t="n"/>
      <c r="D116" s="6" t="n"/>
      <c r="E116" s="10">
        <f>IF(B116="","",IF(COUNTIFS($B$2:$B$600,B116,$C$2:$C$600,C116)&gt;1,B116&amp;" ("&amp;C116&amp;") "&amp;A116,B116&amp;" ("&amp;C116&amp;")"))</f>
        <v/>
      </c>
      <c r="F116" s="11">
        <f>IF(B116="","",SUMIFS(Entries!$J$2:$J$3000,Entries!$H$2:$H$3000,A116))</f>
        <v/>
      </c>
      <c r="G116" s="11">
        <f>IF(B116="","",_xlfn.MAXIFS(Prizes!$D$2:$D$3000,Prizes!$E$2:$E$3000,A116,Prizes!$G$2:$G$3000,""))</f>
        <v/>
      </c>
      <c r="H116" s="10">
        <f>IF(B116="","",IF(_xlfn.MAXIFS(Levels!$A$2:$A$30,Levels!$A$2:$A$30,"&lt;="&amp;F116)&gt;G116,INDEX(Levels!$B$2:$B$30,MATCH(_xlfn.MAXIFS(Levels!$A$2:$A$30,Levels!$A$2:$A$30,"&lt;="&amp;F116),Levels!$A$2:$A$30,0)),""))</f>
        <v/>
      </c>
      <c r="I116" s="10">
        <f>IF(B116="","",COUNTIFS(Levels!$A$2:$A$30,"&lt;="&amp;F116,Levels!$A$2:$A$30,"&gt;"&amp;G116))</f>
        <v/>
      </c>
      <c r="J116" s="10">
        <f>IF(OR(B116="",TRIM('Find a child'!$B$3)=""),"",IF(ISNUMBER(SEARCH(TRIM('Find a child'!$B$3),B116&amp;" "&amp;C116)),COUNT(J$1:J115)+1,""))</f>
        <v/>
      </c>
    </row>
    <row r="117">
      <c r="A117" s="10" t="inlineStr">
        <is>
          <t>C0116</t>
        </is>
      </c>
      <c r="B117" s="6" t="n"/>
      <c r="C117" s="6" t="n"/>
      <c r="D117" s="6" t="n"/>
      <c r="E117" s="10">
        <f>IF(B117="","",IF(COUNTIFS($B$2:$B$600,B117,$C$2:$C$600,C117)&gt;1,B117&amp;" ("&amp;C117&amp;") "&amp;A117,B117&amp;" ("&amp;C117&amp;")"))</f>
        <v/>
      </c>
      <c r="F117" s="11">
        <f>IF(B117="","",SUMIFS(Entries!$J$2:$J$3000,Entries!$H$2:$H$3000,A117))</f>
        <v/>
      </c>
      <c r="G117" s="11">
        <f>IF(B117="","",_xlfn.MAXIFS(Prizes!$D$2:$D$3000,Prizes!$E$2:$E$3000,A117,Prizes!$G$2:$G$3000,""))</f>
        <v/>
      </c>
      <c r="H117" s="10">
        <f>IF(B117="","",IF(_xlfn.MAXIFS(Levels!$A$2:$A$30,Levels!$A$2:$A$30,"&lt;="&amp;F117)&gt;G117,INDEX(Levels!$B$2:$B$30,MATCH(_xlfn.MAXIFS(Levels!$A$2:$A$30,Levels!$A$2:$A$30,"&lt;="&amp;F117),Levels!$A$2:$A$30,0)),""))</f>
        <v/>
      </c>
      <c r="I117" s="10">
        <f>IF(B117="","",COUNTIFS(Levels!$A$2:$A$30,"&lt;="&amp;F117,Levels!$A$2:$A$30,"&gt;"&amp;G117))</f>
        <v/>
      </c>
      <c r="J117" s="10">
        <f>IF(OR(B117="",TRIM('Find a child'!$B$3)=""),"",IF(ISNUMBER(SEARCH(TRIM('Find a child'!$B$3),B117&amp;" "&amp;C117)),COUNT(J$1:J116)+1,""))</f>
        <v/>
      </c>
    </row>
    <row r="118">
      <c r="A118" s="10" t="inlineStr">
        <is>
          <t>C0117</t>
        </is>
      </c>
      <c r="B118" s="6" t="n"/>
      <c r="C118" s="6" t="n"/>
      <c r="D118" s="6" t="n"/>
      <c r="E118" s="10">
        <f>IF(B118="","",IF(COUNTIFS($B$2:$B$600,B118,$C$2:$C$600,C118)&gt;1,B118&amp;" ("&amp;C118&amp;") "&amp;A118,B118&amp;" ("&amp;C118&amp;")"))</f>
        <v/>
      </c>
      <c r="F118" s="11">
        <f>IF(B118="","",SUMIFS(Entries!$J$2:$J$3000,Entries!$H$2:$H$3000,A118))</f>
        <v/>
      </c>
      <c r="G118" s="11">
        <f>IF(B118="","",_xlfn.MAXIFS(Prizes!$D$2:$D$3000,Prizes!$E$2:$E$3000,A118,Prizes!$G$2:$G$3000,""))</f>
        <v/>
      </c>
      <c r="H118" s="10">
        <f>IF(B118="","",IF(_xlfn.MAXIFS(Levels!$A$2:$A$30,Levels!$A$2:$A$30,"&lt;="&amp;F118)&gt;G118,INDEX(Levels!$B$2:$B$30,MATCH(_xlfn.MAXIFS(Levels!$A$2:$A$30,Levels!$A$2:$A$30,"&lt;="&amp;F118),Levels!$A$2:$A$30,0)),""))</f>
        <v/>
      </c>
      <c r="I118" s="10">
        <f>IF(B118="","",COUNTIFS(Levels!$A$2:$A$30,"&lt;="&amp;F118,Levels!$A$2:$A$30,"&gt;"&amp;G118))</f>
        <v/>
      </c>
      <c r="J118" s="10">
        <f>IF(OR(B118="",TRIM('Find a child'!$B$3)=""),"",IF(ISNUMBER(SEARCH(TRIM('Find a child'!$B$3),B118&amp;" "&amp;C118)),COUNT(J$1:J117)+1,""))</f>
        <v/>
      </c>
    </row>
    <row r="119">
      <c r="A119" s="10" t="inlineStr">
        <is>
          <t>C0118</t>
        </is>
      </c>
      <c r="B119" s="6" t="n"/>
      <c r="C119" s="6" t="n"/>
      <c r="D119" s="6" t="n"/>
      <c r="E119" s="10">
        <f>IF(B119="","",IF(COUNTIFS($B$2:$B$600,B119,$C$2:$C$600,C119)&gt;1,B119&amp;" ("&amp;C119&amp;") "&amp;A119,B119&amp;" ("&amp;C119&amp;")"))</f>
        <v/>
      </c>
      <c r="F119" s="11">
        <f>IF(B119="","",SUMIFS(Entries!$J$2:$J$3000,Entries!$H$2:$H$3000,A119))</f>
        <v/>
      </c>
      <c r="G119" s="11">
        <f>IF(B119="","",_xlfn.MAXIFS(Prizes!$D$2:$D$3000,Prizes!$E$2:$E$3000,A119,Prizes!$G$2:$G$3000,""))</f>
        <v/>
      </c>
      <c r="H119" s="10">
        <f>IF(B119="","",IF(_xlfn.MAXIFS(Levels!$A$2:$A$30,Levels!$A$2:$A$30,"&lt;="&amp;F119)&gt;G119,INDEX(Levels!$B$2:$B$30,MATCH(_xlfn.MAXIFS(Levels!$A$2:$A$30,Levels!$A$2:$A$30,"&lt;="&amp;F119),Levels!$A$2:$A$30,0)),""))</f>
        <v/>
      </c>
      <c r="I119" s="10">
        <f>IF(B119="","",COUNTIFS(Levels!$A$2:$A$30,"&lt;="&amp;F119,Levels!$A$2:$A$30,"&gt;"&amp;G119))</f>
        <v/>
      </c>
      <c r="J119" s="10">
        <f>IF(OR(B119="",TRIM('Find a child'!$B$3)=""),"",IF(ISNUMBER(SEARCH(TRIM('Find a child'!$B$3),B119&amp;" "&amp;C119)),COUNT(J$1:J118)+1,""))</f>
        <v/>
      </c>
    </row>
    <row r="120">
      <c r="A120" s="10" t="inlineStr">
        <is>
          <t>C0119</t>
        </is>
      </c>
      <c r="B120" s="6" t="n"/>
      <c r="C120" s="6" t="n"/>
      <c r="D120" s="6" t="n"/>
      <c r="E120" s="10">
        <f>IF(B120="","",IF(COUNTIFS($B$2:$B$600,B120,$C$2:$C$600,C120)&gt;1,B120&amp;" ("&amp;C120&amp;") "&amp;A120,B120&amp;" ("&amp;C120&amp;")"))</f>
        <v/>
      </c>
      <c r="F120" s="11">
        <f>IF(B120="","",SUMIFS(Entries!$J$2:$J$3000,Entries!$H$2:$H$3000,A120))</f>
        <v/>
      </c>
      <c r="G120" s="11">
        <f>IF(B120="","",_xlfn.MAXIFS(Prizes!$D$2:$D$3000,Prizes!$E$2:$E$3000,A120,Prizes!$G$2:$G$3000,""))</f>
        <v/>
      </c>
      <c r="H120" s="10">
        <f>IF(B120="","",IF(_xlfn.MAXIFS(Levels!$A$2:$A$30,Levels!$A$2:$A$30,"&lt;="&amp;F120)&gt;G120,INDEX(Levels!$B$2:$B$30,MATCH(_xlfn.MAXIFS(Levels!$A$2:$A$30,Levels!$A$2:$A$30,"&lt;="&amp;F120),Levels!$A$2:$A$30,0)),""))</f>
        <v/>
      </c>
      <c r="I120" s="10">
        <f>IF(B120="","",COUNTIFS(Levels!$A$2:$A$30,"&lt;="&amp;F120,Levels!$A$2:$A$30,"&gt;"&amp;G120))</f>
        <v/>
      </c>
      <c r="J120" s="10">
        <f>IF(OR(B120="",TRIM('Find a child'!$B$3)=""),"",IF(ISNUMBER(SEARCH(TRIM('Find a child'!$B$3),B120&amp;" "&amp;C120)),COUNT(J$1:J119)+1,""))</f>
        <v/>
      </c>
    </row>
    <row r="121">
      <c r="A121" s="10" t="inlineStr">
        <is>
          <t>C0120</t>
        </is>
      </c>
      <c r="B121" s="6" t="n"/>
      <c r="C121" s="6" t="n"/>
      <c r="D121" s="6" t="n"/>
      <c r="E121" s="10">
        <f>IF(B121="","",IF(COUNTIFS($B$2:$B$600,B121,$C$2:$C$600,C121)&gt;1,B121&amp;" ("&amp;C121&amp;") "&amp;A121,B121&amp;" ("&amp;C121&amp;")"))</f>
        <v/>
      </c>
      <c r="F121" s="11">
        <f>IF(B121="","",SUMIFS(Entries!$J$2:$J$3000,Entries!$H$2:$H$3000,A121))</f>
        <v/>
      </c>
      <c r="G121" s="11">
        <f>IF(B121="","",_xlfn.MAXIFS(Prizes!$D$2:$D$3000,Prizes!$E$2:$E$3000,A121,Prizes!$G$2:$G$3000,""))</f>
        <v/>
      </c>
      <c r="H121" s="10">
        <f>IF(B121="","",IF(_xlfn.MAXIFS(Levels!$A$2:$A$30,Levels!$A$2:$A$30,"&lt;="&amp;F121)&gt;G121,INDEX(Levels!$B$2:$B$30,MATCH(_xlfn.MAXIFS(Levels!$A$2:$A$30,Levels!$A$2:$A$30,"&lt;="&amp;F121),Levels!$A$2:$A$30,0)),""))</f>
        <v/>
      </c>
      <c r="I121" s="10">
        <f>IF(B121="","",COUNTIFS(Levels!$A$2:$A$30,"&lt;="&amp;F121,Levels!$A$2:$A$30,"&gt;"&amp;G121))</f>
        <v/>
      </c>
      <c r="J121" s="10">
        <f>IF(OR(B121="",TRIM('Find a child'!$B$3)=""),"",IF(ISNUMBER(SEARCH(TRIM('Find a child'!$B$3),B121&amp;" "&amp;C121)),COUNT(J$1:J120)+1,""))</f>
        <v/>
      </c>
    </row>
    <row r="122">
      <c r="A122" s="10" t="inlineStr">
        <is>
          <t>C0121</t>
        </is>
      </c>
      <c r="B122" s="6" t="n"/>
      <c r="C122" s="6" t="n"/>
      <c r="D122" s="6" t="n"/>
      <c r="E122" s="10">
        <f>IF(B122="","",IF(COUNTIFS($B$2:$B$600,B122,$C$2:$C$600,C122)&gt;1,B122&amp;" ("&amp;C122&amp;") "&amp;A122,B122&amp;" ("&amp;C122&amp;")"))</f>
        <v/>
      </c>
      <c r="F122" s="11">
        <f>IF(B122="","",SUMIFS(Entries!$J$2:$J$3000,Entries!$H$2:$H$3000,A122))</f>
        <v/>
      </c>
      <c r="G122" s="11">
        <f>IF(B122="","",_xlfn.MAXIFS(Prizes!$D$2:$D$3000,Prizes!$E$2:$E$3000,A122,Prizes!$G$2:$G$3000,""))</f>
        <v/>
      </c>
      <c r="H122" s="10">
        <f>IF(B122="","",IF(_xlfn.MAXIFS(Levels!$A$2:$A$30,Levels!$A$2:$A$30,"&lt;="&amp;F122)&gt;G122,INDEX(Levels!$B$2:$B$30,MATCH(_xlfn.MAXIFS(Levels!$A$2:$A$30,Levels!$A$2:$A$30,"&lt;="&amp;F122),Levels!$A$2:$A$30,0)),""))</f>
        <v/>
      </c>
      <c r="I122" s="10">
        <f>IF(B122="","",COUNTIFS(Levels!$A$2:$A$30,"&lt;="&amp;F122,Levels!$A$2:$A$30,"&gt;"&amp;G122))</f>
        <v/>
      </c>
      <c r="J122" s="10">
        <f>IF(OR(B122="",TRIM('Find a child'!$B$3)=""),"",IF(ISNUMBER(SEARCH(TRIM('Find a child'!$B$3),B122&amp;" "&amp;C122)),COUNT(J$1:J121)+1,""))</f>
        <v/>
      </c>
    </row>
    <row r="123">
      <c r="A123" s="10" t="inlineStr">
        <is>
          <t>C0122</t>
        </is>
      </c>
      <c r="B123" s="6" t="n"/>
      <c r="C123" s="6" t="n"/>
      <c r="D123" s="6" t="n"/>
      <c r="E123" s="10">
        <f>IF(B123="","",IF(COUNTIFS($B$2:$B$600,B123,$C$2:$C$600,C123)&gt;1,B123&amp;" ("&amp;C123&amp;") "&amp;A123,B123&amp;" ("&amp;C123&amp;")"))</f>
        <v/>
      </c>
      <c r="F123" s="11">
        <f>IF(B123="","",SUMIFS(Entries!$J$2:$J$3000,Entries!$H$2:$H$3000,A123))</f>
        <v/>
      </c>
      <c r="G123" s="11">
        <f>IF(B123="","",_xlfn.MAXIFS(Prizes!$D$2:$D$3000,Prizes!$E$2:$E$3000,A123,Prizes!$G$2:$G$3000,""))</f>
        <v/>
      </c>
      <c r="H123" s="10">
        <f>IF(B123="","",IF(_xlfn.MAXIFS(Levels!$A$2:$A$30,Levels!$A$2:$A$30,"&lt;="&amp;F123)&gt;G123,INDEX(Levels!$B$2:$B$30,MATCH(_xlfn.MAXIFS(Levels!$A$2:$A$30,Levels!$A$2:$A$30,"&lt;="&amp;F123),Levels!$A$2:$A$30,0)),""))</f>
        <v/>
      </c>
      <c r="I123" s="10">
        <f>IF(B123="","",COUNTIFS(Levels!$A$2:$A$30,"&lt;="&amp;F123,Levels!$A$2:$A$30,"&gt;"&amp;G123))</f>
        <v/>
      </c>
      <c r="J123" s="10">
        <f>IF(OR(B123="",TRIM('Find a child'!$B$3)=""),"",IF(ISNUMBER(SEARCH(TRIM('Find a child'!$B$3),B123&amp;" "&amp;C123)),COUNT(J$1:J122)+1,""))</f>
        <v/>
      </c>
    </row>
    <row r="124">
      <c r="A124" s="10" t="inlineStr">
        <is>
          <t>C0123</t>
        </is>
      </c>
      <c r="B124" s="6" t="n"/>
      <c r="C124" s="6" t="n"/>
      <c r="D124" s="6" t="n"/>
      <c r="E124" s="10">
        <f>IF(B124="","",IF(COUNTIFS($B$2:$B$600,B124,$C$2:$C$600,C124)&gt;1,B124&amp;" ("&amp;C124&amp;") "&amp;A124,B124&amp;" ("&amp;C124&amp;")"))</f>
        <v/>
      </c>
      <c r="F124" s="11">
        <f>IF(B124="","",SUMIFS(Entries!$J$2:$J$3000,Entries!$H$2:$H$3000,A124))</f>
        <v/>
      </c>
      <c r="G124" s="11">
        <f>IF(B124="","",_xlfn.MAXIFS(Prizes!$D$2:$D$3000,Prizes!$E$2:$E$3000,A124,Prizes!$G$2:$G$3000,""))</f>
        <v/>
      </c>
      <c r="H124" s="10">
        <f>IF(B124="","",IF(_xlfn.MAXIFS(Levels!$A$2:$A$30,Levels!$A$2:$A$30,"&lt;="&amp;F124)&gt;G124,INDEX(Levels!$B$2:$B$30,MATCH(_xlfn.MAXIFS(Levels!$A$2:$A$30,Levels!$A$2:$A$30,"&lt;="&amp;F124),Levels!$A$2:$A$30,0)),""))</f>
        <v/>
      </c>
      <c r="I124" s="10">
        <f>IF(B124="","",COUNTIFS(Levels!$A$2:$A$30,"&lt;="&amp;F124,Levels!$A$2:$A$30,"&gt;"&amp;G124))</f>
        <v/>
      </c>
      <c r="J124" s="10">
        <f>IF(OR(B124="",TRIM('Find a child'!$B$3)=""),"",IF(ISNUMBER(SEARCH(TRIM('Find a child'!$B$3),B124&amp;" "&amp;C124)),COUNT(J$1:J123)+1,""))</f>
        <v/>
      </c>
    </row>
    <row r="125">
      <c r="A125" s="10" t="inlineStr">
        <is>
          <t>C0124</t>
        </is>
      </c>
      <c r="B125" s="6" t="n"/>
      <c r="C125" s="6" t="n"/>
      <c r="D125" s="6" t="n"/>
      <c r="E125" s="10">
        <f>IF(B125="","",IF(COUNTIFS($B$2:$B$600,B125,$C$2:$C$600,C125)&gt;1,B125&amp;" ("&amp;C125&amp;") "&amp;A125,B125&amp;" ("&amp;C125&amp;")"))</f>
        <v/>
      </c>
      <c r="F125" s="11">
        <f>IF(B125="","",SUMIFS(Entries!$J$2:$J$3000,Entries!$H$2:$H$3000,A125))</f>
        <v/>
      </c>
      <c r="G125" s="11">
        <f>IF(B125="","",_xlfn.MAXIFS(Prizes!$D$2:$D$3000,Prizes!$E$2:$E$3000,A125,Prizes!$G$2:$G$3000,""))</f>
        <v/>
      </c>
      <c r="H125" s="10">
        <f>IF(B125="","",IF(_xlfn.MAXIFS(Levels!$A$2:$A$30,Levels!$A$2:$A$30,"&lt;="&amp;F125)&gt;G125,INDEX(Levels!$B$2:$B$30,MATCH(_xlfn.MAXIFS(Levels!$A$2:$A$30,Levels!$A$2:$A$30,"&lt;="&amp;F125),Levels!$A$2:$A$30,0)),""))</f>
        <v/>
      </c>
      <c r="I125" s="10">
        <f>IF(B125="","",COUNTIFS(Levels!$A$2:$A$30,"&lt;="&amp;F125,Levels!$A$2:$A$30,"&gt;"&amp;G125))</f>
        <v/>
      </c>
      <c r="J125" s="10">
        <f>IF(OR(B125="",TRIM('Find a child'!$B$3)=""),"",IF(ISNUMBER(SEARCH(TRIM('Find a child'!$B$3),B125&amp;" "&amp;C125)),COUNT(J$1:J124)+1,""))</f>
        <v/>
      </c>
    </row>
    <row r="126">
      <c r="A126" s="10" t="inlineStr">
        <is>
          <t>C0125</t>
        </is>
      </c>
      <c r="B126" s="6" t="n"/>
      <c r="C126" s="6" t="n"/>
      <c r="D126" s="6" t="n"/>
      <c r="E126" s="10">
        <f>IF(B126="","",IF(COUNTIFS($B$2:$B$600,B126,$C$2:$C$600,C126)&gt;1,B126&amp;" ("&amp;C126&amp;") "&amp;A126,B126&amp;" ("&amp;C126&amp;")"))</f>
        <v/>
      </c>
      <c r="F126" s="11">
        <f>IF(B126="","",SUMIFS(Entries!$J$2:$J$3000,Entries!$H$2:$H$3000,A126))</f>
        <v/>
      </c>
      <c r="G126" s="11">
        <f>IF(B126="","",_xlfn.MAXIFS(Prizes!$D$2:$D$3000,Prizes!$E$2:$E$3000,A126,Prizes!$G$2:$G$3000,""))</f>
        <v/>
      </c>
      <c r="H126" s="10">
        <f>IF(B126="","",IF(_xlfn.MAXIFS(Levels!$A$2:$A$30,Levels!$A$2:$A$30,"&lt;="&amp;F126)&gt;G126,INDEX(Levels!$B$2:$B$30,MATCH(_xlfn.MAXIFS(Levels!$A$2:$A$30,Levels!$A$2:$A$30,"&lt;="&amp;F126),Levels!$A$2:$A$30,0)),""))</f>
        <v/>
      </c>
      <c r="I126" s="10">
        <f>IF(B126="","",COUNTIFS(Levels!$A$2:$A$30,"&lt;="&amp;F126,Levels!$A$2:$A$30,"&gt;"&amp;G126))</f>
        <v/>
      </c>
      <c r="J126" s="10">
        <f>IF(OR(B126="",TRIM('Find a child'!$B$3)=""),"",IF(ISNUMBER(SEARCH(TRIM('Find a child'!$B$3),B126&amp;" "&amp;C126)),COUNT(J$1:J125)+1,""))</f>
        <v/>
      </c>
    </row>
    <row r="127">
      <c r="A127" s="10" t="inlineStr">
        <is>
          <t>C0126</t>
        </is>
      </c>
      <c r="B127" s="6" t="n"/>
      <c r="C127" s="6" t="n"/>
      <c r="D127" s="6" t="n"/>
      <c r="E127" s="10">
        <f>IF(B127="","",IF(COUNTIFS($B$2:$B$600,B127,$C$2:$C$600,C127)&gt;1,B127&amp;" ("&amp;C127&amp;") "&amp;A127,B127&amp;" ("&amp;C127&amp;")"))</f>
        <v/>
      </c>
      <c r="F127" s="11">
        <f>IF(B127="","",SUMIFS(Entries!$J$2:$J$3000,Entries!$H$2:$H$3000,A127))</f>
        <v/>
      </c>
      <c r="G127" s="11">
        <f>IF(B127="","",_xlfn.MAXIFS(Prizes!$D$2:$D$3000,Prizes!$E$2:$E$3000,A127,Prizes!$G$2:$G$3000,""))</f>
        <v/>
      </c>
      <c r="H127" s="10">
        <f>IF(B127="","",IF(_xlfn.MAXIFS(Levels!$A$2:$A$30,Levels!$A$2:$A$30,"&lt;="&amp;F127)&gt;G127,INDEX(Levels!$B$2:$B$30,MATCH(_xlfn.MAXIFS(Levels!$A$2:$A$30,Levels!$A$2:$A$30,"&lt;="&amp;F127),Levels!$A$2:$A$30,0)),""))</f>
        <v/>
      </c>
      <c r="I127" s="10">
        <f>IF(B127="","",COUNTIFS(Levels!$A$2:$A$30,"&lt;="&amp;F127,Levels!$A$2:$A$30,"&gt;"&amp;G127))</f>
        <v/>
      </c>
      <c r="J127" s="10">
        <f>IF(OR(B127="",TRIM('Find a child'!$B$3)=""),"",IF(ISNUMBER(SEARCH(TRIM('Find a child'!$B$3),B127&amp;" "&amp;C127)),COUNT(J$1:J126)+1,""))</f>
        <v/>
      </c>
    </row>
    <row r="128">
      <c r="A128" s="10" t="inlineStr">
        <is>
          <t>C0127</t>
        </is>
      </c>
      <c r="B128" s="6" t="n"/>
      <c r="C128" s="6" t="n"/>
      <c r="D128" s="6" t="n"/>
      <c r="E128" s="10">
        <f>IF(B128="","",IF(COUNTIFS($B$2:$B$600,B128,$C$2:$C$600,C128)&gt;1,B128&amp;" ("&amp;C128&amp;") "&amp;A128,B128&amp;" ("&amp;C128&amp;")"))</f>
        <v/>
      </c>
      <c r="F128" s="11">
        <f>IF(B128="","",SUMIFS(Entries!$J$2:$J$3000,Entries!$H$2:$H$3000,A128))</f>
        <v/>
      </c>
      <c r="G128" s="11">
        <f>IF(B128="","",_xlfn.MAXIFS(Prizes!$D$2:$D$3000,Prizes!$E$2:$E$3000,A128,Prizes!$G$2:$G$3000,""))</f>
        <v/>
      </c>
      <c r="H128" s="10">
        <f>IF(B128="","",IF(_xlfn.MAXIFS(Levels!$A$2:$A$30,Levels!$A$2:$A$30,"&lt;="&amp;F128)&gt;G128,INDEX(Levels!$B$2:$B$30,MATCH(_xlfn.MAXIFS(Levels!$A$2:$A$30,Levels!$A$2:$A$30,"&lt;="&amp;F128),Levels!$A$2:$A$30,0)),""))</f>
        <v/>
      </c>
      <c r="I128" s="10">
        <f>IF(B128="","",COUNTIFS(Levels!$A$2:$A$30,"&lt;="&amp;F128,Levels!$A$2:$A$30,"&gt;"&amp;G128))</f>
        <v/>
      </c>
      <c r="J128" s="10">
        <f>IF(OR(B128="",TRIM('Find a child'!$B$3)=""),"",IF(ISNUMBER(SEARCH(TRIM('Find a child'!$B$3),B128&amp;" "&amp;C128)),COUNT(J$1:J127)+1,""))</f>
        <v/>
      </c>
    </row>
    <row r="129">
      <c r="A129" s="10" t="inlineStr">
        <is>
          <t>C0128</t>
        </is>
      </c>
      <c r="B129" s="6" t="n"/>
      <c r="C129" s="6" t="n"/>
      <c r="D129" s="6" t="n"/>
      <c r="E129" s="10">
        <f>IF(B129="","",IF(COUNTIFS($B$2:$B$600,B129,$C$2:$C$600,C129)&gt;1,B129&amp;" ("&amp;C129&amp;") "&amp;A129,B129&amp;" ("&amp;C129&amp;")"))</f>
        <v/>
      </c>
      <c r="F129" s="11">
        <f>IF(B129="","",SUMIFS(Entries!$J$2:$J$3000,Entries!$H$2:$H$3000,A129))</f>
        <v/>
      </c>
      <c r="G129" s="11">
        <f>IF(B129="","",_xlfn.MAXIFS(Prizes!$D$2:$D$3000,Prizes!$E$2:$E$3000,A129,Prizes!$G$2:$G$3000,""))</f>
        <v/>
      </c>
      <c r="H129" s="10">
        <f>IF(B129="","",IF(_xlfn.MAXIFS(Levels!$A$2:$A$30,Levels!$A$2:$A$30,"&lt;="&amp;F129)&gt;G129,INDEX(Levels!$B$2:$B$30,MATCH(_xlfn.MAXIFS(Levels!$A$2:$A$30,Levels!$A$2:$A$30,"&lt;="&amp;F129),Levels!$A$2:$A$30,0)),""))</f>
        <v/>
      </c>
      <c r="I129" s="10">
        <f>IF(B129="","",COUNTIFS(Levels!$A$2:$A$30,"&lt;="&amp;F129,Levels!$A$2:$A$30,"&gt;"&amp;G129))</f>
        <v/>
      </c>
      <c r="J129" s="10">
        <f>IF(OR(B129="",TRIM('Find a child'!$B$3)=""),"",IF(ISNUMBER(SEARCH(TRIM('Find a child'!$B$3),B129&amp;" "&amp;C129)),COUNT(J$1:J128)+1,""))</f>
        <v/>
      </c>
    </row>
    <row r="130">
      <c r="A130" s="10" t="inlineStr">
        <is>
          <t>C0129</t>
        </is>
      </c>
      <c r="B130" s="6" t="n"/>
      <c r="C130" s="6" t="n"/>
      <c r="D130" s="6" t="n"/>
      <c r="E130" s="10">
        <f>IF(B130="","",IF(COUNTIFS($B$2:$B$600,B130,$C$2:$C$600,C130)&gt;1,B130&amp;" ("&amp;C130&amp;") "&amp;A130,B130&amp;" ("&amp;C130&amp;")"))</f>
        <v/>
      </c>
      <c r="F130" s="11">
        <f>IF(B130="","",SUMIFS(Entries!$J$2:$J$3000,Entries!$H$2:$H$3000,A130))</f>
        <v/>
      </c>
      <c r="G130" s="11">
        <f>IF(B130="","",_xlfn.MAXIFS(Prizes!$D$2:$D$3000,Prizes!$E$2:$E$3000,A130,Prizes!$G$2:$G$3000,""))</f>
        <v/>
      </c>
      <c r="H130" s="10">
        <f>IF(B130="","",IF(_xlfn.MAXIFS(Levels!$A$2:$A$30,Levels!$A$2:$A$30,"&lt;="&amp;F130)&gt;G130,INDEX(Levels!$B$2:$B$30,MATCH(_xlfn.MAXIFS(Levels!$A$2:$A$30,Levels!$A$2:$A$30,"&lt;="&amp;F130),Levels!$A$2:$A$30,0)),""))</f>
        <v/>
      </c>
      <c r="I130" s="10">
        <f>IF(B130="","",COUNTIFS(Levels!$A$2:$A$30,"&lt;="&amp;F130,Levels!$A$2:$A$30,"&gt;"&amp;G130))</f>
        <v/>
      </c>
      <c r="J130" s="10">
        <f>IF(OR(B130="",TRIM('Find a child'!$B$3)=""),"",IF(ISNUMBER(SEARCH(TRIM('Find a child'!$B$3),B130&amp;" "&amp;C130)),COUNT(J$1:J129)+1,""))</f>
        <v/>
      </c>
    </row>
    <row r="131">
      <c r="A131" s="10" t="inlineStr">
        <is>
          <t>C0130</t>
        </is>
      </c>
      <c r="B131" s="6" t="n"/>
      <c r="C131" s="6" t="n"/>
      <c r="D131" s="6" t="n"/>
      <c r="E131" s="10">
        <f>IF(B131="","",IF(COUNTIFS($B$2:$B$600,B131,$C$2:$C$600,C131)&gt;1,B131&amp;" ("&amp;C131&amp;") "&amp;A131,B131&amp;" ("&amp;C131&amp;")"))</f>
        <v/>
      </c>
      <c r="F131" s="11">
        <f>IF(B131="","",SUMIFS(Entries!$J$2:$J$3000,Entries!$H$2:$H$3000,A131))</f>
        <v/>
      </c>
      <c r="G131" s="11">
        <f>IF(B131="","",_xlfn.MAXIFS(Prizes!$D$2:$D$3000,Prizes!$E$2:$E$3000,A131,Prizes!$G$2:$G$3000,""))</f>
        <v/>
      </c>
      <c r="H131" s="10">
        <f>IF(B131="","",IF(_xlfn.MAXIFS(Levels!$A$2:$A$30,Levels!$A$2:$A$30,"&lt;="&amp;F131)&gt;G131,INDEX(Levels!$B$2:$B$30,MATCH(_xlfn.MAXIFS(Levels!$A$2:$A$30,Levels!$A$2:$A$30,"&lt;="&amp;F131),Levels!$A$2:$A$30,0)),""))</f>
        <v/>
      </c>
      <c r="I131" s="10">
        <f>IF(B131="","",COUNTIFS(Levels!$A$2:$A$30,"&lt;="&amp;F131,Levels!$A$2:$A$30,"&gt;"&amp;G131))</f>
        <v/>
      </c>
      <c r="J131" s="10">
        <f>IF(OR(B131="",TRIM('Find a child'!$B$3)=""),"",IF(ISNUMBER(SEARCH(TRIM('Find a child'!$B$3),B131&amp;" "&amp;C131)),COUNT(J$1:J130)+1,""))</f>
        <v/>
      </c>
    </row>
    <row r="132">
      <c r="A132" s="10" t="inlineStr">
        <is>
          <t>C0131</t>
        </is>
      </c>
      <c r="B132" s="6" t="n"/>
      <c r="C132" s="6" t="n"/>
      <c r="D132" s="6" t="n"/>
      <c r="E132" s="10">
        <f>IF(B132="","",IF(COUNTIFS($B$2:$B$600,B132,$C$2:$C$600,C132)&gt;1,B132&amp;" ("&amp;C132&amp;") "&amp;A132,B132&amp;" ("&amp;C132&amp;")"))</f>
        <v/>
      </c>
      <c r="F132" s="11">
        <f>IF(B132="","",SUMIFS(Entries!$J$2:$J$3000,Entries!$H$2:$H$3000,A132))</f>
        <v/>
      </c>
      <c r="G132" s="11">
        <f>IF(B132="","",_xlfn.MAXIFS(Prizes!$D$2:$D$3000,Prizes!$E$2:$E$3000,A132,Prizes!$G$2:$G$3000,""))</f>
        <v/>
      </c>
      <c r="H132" s="10">
        <f>IF(B132="","",IF(_xlfn.MAXIFS(Levels!$A$2:$A$30,Levels!$A$2:$A$30,"&lt;="&amp;F132)&gt;G132,INDEX(Levels!$B$2:$B$30,MATCH(_xlfn.MAXIFS(Levels!$A$2:$A$30,Levels!$A$2:$A$30,"&lt;="&amp;F132),Levels!$A$2:$A$30,0)),""))</f>
        <v/>
      </c>
      <c r="I132" s="10">
        <f>IF(B132="","",COUNTIFS(Levels!$A$2:$A$30,"&lt;="&amp;F132,Levels!$A$2:$A$30,"&gt;"&amp;G132))</f>
        <v/>
      </c>
      <c r="J132" s="10">
        <f>IF(OR(B132="",TRIM('Find a child'!$B$3)=""),"",IF(ISNUMBER(SEARCH(TRIM('Find a child'!$B$3),B132&amp;" "&amp;C132)),COUNT(J$1:J131)+1,""))</f>
        <v/>
      </c>
    </row>
    <row r="133">
      <c r="A133" s="10" t="inlineStr">
        <is>
          <t>C0132</t>
        </is>
      </c>
      <c r="B133" s="6" t="n"/>
      <c r="C133" s="6" t="n"/>
      <c r="D133" s="6" t="n"/>
      <c r="E133" s="10">
        <f>IF(B133="","",IF(COUNTIFS($B$2:$B$600,B133,$C$2:$C$600,C133)&gt;1,B133&amp;" ("&amp;C133&amp;") "&amp;A133,B133&amp;" ("&amp;C133&amp;")"))</f>
        <v/>
      </c>
      <c r="F133" s="11">
        <f>IF(B133="","",SUMIFS(Entries!$J$2:$J$3000,Entries!$H$2:$H$3000,A133))</f>
        <v/>
      </c>
      <c r="G133" s="11">
        <f>IF(B133="","",_xlfn.MAXIFS(Prizes!$D$2:$D$3000,Prizes!$E$2:$E$3000,A133,Prizes!$G$2:$G$3000,""))</f>
        <v/>
      </c>
      <c r="H133" s="10">
        <f>IF(B133="","",IF(_xlfn.MAXIFS(Levels!$A$2:$A$30,Levels!$A$2:$A$30,"&lt;="&amp;F133)&gt;G133,INDEX(Levels!$B$2:$B$30,MATCH(_xlfn.MAXIFS(Levels!$A$2:$A$30,Levels!$A$2:$A$30,"&lt;="&amp;F133),Levels!$A$2:$A$30,0)),""))</f>
        <v/>
      </c>
      <c r="I133" s="10">
        <f>IF(B133="","",COUNTIFS(Levels!$A$2:$A$30,"&lt;="&amp;F133,Levels!$A$2:$A$30,"&gt;"&amp;G133))</f>
        <v/>
      </c>
      <c r="J133" s="10">
        <f>IF(OR(B133="",TRIM('Find a child'!$B$3)=""),"",IF(ISNUMBER(SEARCH(TRIM('Find a child'!$B$3),B133&amp;" "&amp;C133)),COUNT(J$1:J132)+1,""))</f>
        <v/>
      </c>
    </row>
    <row r="134">
      <c r="A134" s="10" t="inlineStr">
        <is>
          <t>C0133</t>
        </is>
      </c>
      <c r="B134" s="6" t="n"/>
      <c r="C134" s="6" t="n"/>
      <c r="D134" s="6" t="n"/>
      <c r="E134" s="10">
        <f>IF(B134="","",IF(COUNTIFS($B$2:$B$600,B134,$C$2:$C$600,C134)&gt;1,B134&amp;" ("&amp;C134&amp;") "&amp;A134,B134&amp;" ("&amp;C134&amp;")"))</f>
        <v/>
      </c>
      <c r="F134" s="11">
        <f>IF(B134="","",SUMIFS(Entries!$J$2:$J$3000,Entries!$H$2:$H$3000,A134))</f>
        <v/>
      </c>
      <c r="G134" s="11">
        <f>IF(B134="","",_xlfn.MAXIFS(Prizes!$D$2:$D$3000,Prizes!$E$2:$E$3000,A134,Prizes!$G$2:$G$3000,""))</f>
        <v/>
      </c>
      <c r="H134" s="10">
        <f>IF(B134="","",IF(_xlfn.MAXIFS(Levels!$A$2:$A$30,Levels!$A$2:$A$30,"&lt;="&amp;F134)&gt;G134,INDEX(Levels!$B$2:$B$30,MATCH(_xlfn.MAXIFS(Levels!$A$2:$A$30,Levels!$A$2:$A$30,"&lt;="&amp;F134),Levels!$A$2:$A$30,0)),""))</f>
        <v/>
      </c>
      <c r="I134" s="10">
        <f>IF(B134="","",COUNTIFS(Levels!$A$2:$A$30,"&lt;="&amp;F134,Levels!$A$2:$A$30,"&gt;"&amp;G134))</f>
        <v/>
      </c>
      <c r="J134" s="10">
        <f>IF(OR(B134="",TRIM('Find a child'!$B$3)=""),"",IF(ISNUMBER(SEARCH(TRIM('Find a child'!$B$3),B134&amp;" "&amp;C134)),COUNT(J$1:J133)+1,""))</f>
        <v/>
      </c>
    </row>
    <row r="135">
      <c r="A135" s="10" t="inlineStr">
        <is>
          <t>C0134</t>
        </is>
      </c>
      <c r="B135" s="6" t="n"/>
      <c r="C135" s="6" t="n"/>
      <c r="D135" s="6" t="n"/>
      <c r="E135" s="10">
        <f>IF(B135="","",IF(COUNTIFS($B$2:$B$600,B135,$C$2:$C$600,C135)&gt;1,B135&amp;" ("&amp;C135&amp;") "&amp;A135,B135&amp;" ("&amp;C135&amp;")"))</f>
        <v/>
      </c>
      <c r="F135" s="11">
        <f>IF(B135="","",SUMIFS(Entries!$J$2:$J$3000,Entries!$H$2:$H$3000,A135))</f>
        <v/>
      </c>
      <c r="G135" s="11">
        <f>IF(B135="","",_xlfn.MAXIFS(Prizes!$D$2:$D$3000,Prizes!$E$2:$E$3000,A135,Prizes!$G$2:$G$3000,""))</f>
        <v/>
      </c>
      <c r="H135" s="10">
        <f>IF(B135="","",IF(_xlfn.MAXIFS(Levels!$A$2:$A$30,Levels!$A$2:$A$30,"&lt;="&amp;F135)&gt;G135,INDEX(Levels!$B$2:$B$30,MATCH(_xlfn.MAXIFS(Levels!$A$2:$A$30,Levels!$A$2:$A$30,"&lt;="&amp;F135),Levels!$A$2:$A$30,0)),""))</f>
        <v/>
      </c>
      <c r="I135" s="10">
        <f>IF(B135="","",COUNTIFS(Levels!$A$2:$A$30,"&lt;="&amp;F135,Levels!$A$2:$A$30,"&gt;"&amp;G135))</f>
        <v/>
      </c>
      <c r="J135" s="10">
        <f>IF(OR(B135="",TRIM('Find a child'!$B$3)=""),"",IF(ISNUMBER(SEARCH(TRIM('Find a child'!$B$3),B135&amp;" "&amp;C135)),COUNT(J$1:J134)+1,""))</f>
        <v/>
      </c>
    </row>
    <row r="136">
      <c r="A136" s="10" t="inlineStr">
        <is>
          <t>C0135</t>
        </is>
      </c>
      <c r="B136" s="6" t="n"/>
      <c r="C136" s="6" t="n"/>
      <c r="D136" s="6" t="n"/>
      <c r="E136" s="10">
        <f>IF(B136="","",IF(COUNTIFS($B$2:$B$600,B136,$C$2:$C$600,C136)&gt;1,B136&amp;" ("&amp;C136&amp;") "&amp;A136,B136&amp;" ("&amp;C136&amp;")"))</f>
        <v/>
      </c>
      <c r="F136" s="11">
        <f>IF(B136="","",SUMIFS(Entries!$J$2:$J$3000,Entries!$H$2:$H$3000,A136))</f>
        <v/>
      </c>
      <c r="G136" s="11">
        <f>IF(B136="","",_xlfn.MAXIFS(Prizes!$D$2:$D$3000,Prizes!$E$2:$E$3000,A136,Prizes!$G$2:$G$3000,""))</f>
        <v/>
      </c>
      <c r="H136" s="10">
        <f>IF(B136="","",IF(_xlfn.MAXIFS(Levels!$A$2:$A$30,Levels!$A$2:$A$30,"&lt;="&amp;F136)&gt;G136,INDEX(Levels!$B$2:$B$30,MATCH(_xlfn.MAXIFS(Levels!$A$2:$A$30,Levels!$A$2:$A$30,"&lt;="&amp;F136),Levels!$A$2:$A$30,0)),""))</f>
        <v/>
      </c>
      <c r="I136" s="10">
        <f>IF(B136="","",COUNTIFS(Levels!$A$2:$A$30,"&lt;="&amp;F136,Levels!$A$2:$A$30,"&gt;"&amp;G136))</f>
        <v/>
      </c>
      <c r="J136" s="10">
        <f>IF(OR(B136="",TRIM('Find a child'!$B$3)=""),"",IF(ISNUMBER(SEARCH(TRIM('Find a child'!$B$3),B136&amp;" "&amp;C136)),COUNT(J$1:J135)+1,""))</f>
        <v/>
      </c>
    </row>
    <row r="137">
      <c r="A137" s="10" t="inlineStr">
        <is>
          <t>C0136</t>
        </is>
      </c>
      <c r="B137" s="6" t="n"/>
      <c r="C137" s="6" t="n"/>
      <c r="D137" s="6" t="n"/>
      <c r="E137" s="10">
        <f>IF(B137="","",IF(COUNTIFS($B$2:$B$600,B137,$C$2:$C$600,C137)&gt;1,B137&amp;" ("&amp;C137&amp;") "&amp;A137,B137&amp;" ("&amp;C137&amp;")"))</f>
        <v/>
      </c>
      <c r="F137" s="11">
        <f>IF(B137="","",SUMIFS(Entries!$J$2:$J$3000,Entries!$H$2:$H$3000,A137))</f>
        <v/>
      </c>
      <c r="G137" s="11">
        <f>IF(B137="","",_xlfn.MAXIFS(Prizes!$D$2:$D$3000,Prizes!$E$2:$E$3000,A137,Prizes!$G$2:$G$3000,""))</f>
        <v/>
      </c>
      <c r="H137" s="10">
        <f>IF(B137="","",IF(_xlfn.MAXIFS(Levels!$A$2:$A$30,Levels!$A$2:$A$30,"&lt;="&amp;F137)&gt;G137,INDEX(Levels!$B$2:$B$30,MATCH(_xlfn.MAXIFS(Levels!$A$2:$A$30,Levels!$A$2:$A$30,"&lt;="&amp;F137),Levels!$A$2:$A$30,0)),""))</f>
        <v/>
      </c>
      <c r="I137" s="10">
        <f>IF(B137="","",COUNTIFS(Levels!$A$2:$A$30,"&lt;="&amp;F137,Levels!$A$2:$A$30,"&gt;"&amp;G137))</f>
        <v/>
      </c>
      <c r="J137" s="10">
        <f>IF(OR(B137="",TRIM('Find a child'!$B$3)=""),"",IF(ISNUMBER(SEARCH(TRIM('Find a child'!$B$3),B137&amp;" "&amp;C137)),COUNT(J$1:J136)+1,""))</f>
        <v/>
      </c>
    </row>
    <row r="138">
      <c r="A138" s="10" t="inlineStr">
        <is>
          <t>C0137</t>
        </is>
      </c>
      <c r="B138" s="6" t="n"/>
      <c r="C138" s="6" t="n"/>
      <c r="D138" s="6" t="n"/>
      <c r="E138" s="10">
        <f>IF(B138="","",IF(COUNTIFS($B$2:$B$600,B138,$C$2:$C$600,C138)&gt;1,B138&amp;" ("&amp;C138&amp;") "&amp;A138,B138&amp;" ("&amp;C138&amp;")"))</f>
        <v/>
      </c>
      <c r="F138" s="11">
        <f>IF(B138="","",SUMIFS(Entries!$J$2:$J$3000,Entries!$H$2:$H$3000,A138))</f>
        <v/>
      </c>
      <c r="G138" s="11">
        <f>IF(B138="","",_xlfn.MAXIFS(Prizes!$D$2:$D$3000,Prizes!$E$2:$E$3000,A138,Prizes!$G$2:$G$3000,""))</f>
        <v/>
      </c>
      <c r="H138" s="10">
        <f>IF(B138="","",IF(_xlfn.MAXIFS(Levels!$A$2:$A$30,Levels!$A$2:$A$30,"&lt;="&amp;F138)&gt;G138,INDEX(Levels!$B$2:$B$30,MATCH(_xlfn.MAXIFS(Levels!$A$2:$A$30,Levels!$A$2:$A$30,"&lt;="&amp;F138),Levels!$A$2:$A$30,0)),""))</f>
        <v/>
      </c>
      <c r="I138" s="10">
        <f>IF(B138="","",COUNTIFS(Levels!$A$2:$A$30,"&lt;="&amp;F138,Levels!$A$2:$A$30,"&gt;"&amp;G138))</f>
        <v/>
      </c>
      <c r="J138" s="10">
        <f>IF(OR(B138="",TRIM('Find a child'!$B$3)=""),"",IF(ISNUMBER(SEARCH(TRIM('Find a child'!$B$3),B138&amp;" "&amp;C138)),COUNT(J$1:J137)+1,""))</f>
        <v/>
      </c>
    </row>
    <row r="139">
      <c r="A139" s="10" t="inlineStr">
        <is>
          <t>C0138</t>
        </is>
      </c>
      <c r="B139" s="6" t="n"/>
      <c r="C139" s="6" t="n"/>
      <c r="D139" s="6" t="n"/>
      <c r="E139" s="10">
        <f>IF(B139="","",IF(COUNTIFS($B$2:$B$600,B139,$C$2:$C$600,C139)&gt;1,B139&amp;" ("&amp;C139&amp;") "&amp;A139,B139&amp;" ("&amp;C139&amp;")"))</f>
        <v/>
      </c>
      <c r="F139" s="11">
        <f>IF(B139="","",SUMIFS(Entries!$J$2:$J$3000,Entries!$H$2:$H$3000,A139))</f>
        <v/>
      </c>
      <c r="G139" s="11">
        <f>IF(B139="","",_xlfn.MAXIFS(Prizes!$D$2:$D$3000,Prizes!$E$2:$E$3000,A139,Prizes!$G$2:$G$3000,""))</f>
        <v/>
      </c>
      <c r="H139" s="10">
        <f>IF(B139="","",IF(_xlfn.MAXIFS(Levels!$A$2:$A$30,Levels!$A$2:$A$30,"&lt;="&amp;F139)&gt;G139,INDEX(Levels!$B$2:$B$30,MATCH(_xlfn.MAXIFS(Levels!$A$2:$A$30,Levels!$A$2:$A$30,"&lt;="&amp;F139),Levels!$A$2:$A$30,0)),""))</f>
        <v/>
      </c>
      <c r="I139" s="10">
        <f>IF(B139="","",COUNTIFS(Levels!$A$2:$A$30,"&lt;="&amp;F139,Levels!$A$2:$A$30,"&gt;"&amp;G139))</f>
        <v/>
      </c>
      <c r="J139" s="10">
        <f>IF(OR(B139="",TRIM('Find a child'!$B$3)=""),"",IF(ISNUMBER(SEARCH(TRIM('Find a child'!$B$3),B139&amp;" "&amp;C139)),COUNT(J$1:J138)+1,""))</f>
        <v/>
      </c>
    </row>
    <row r="140">
      <c r="A140" s="10" t="inlineStr">
        <is>
          <t>C0139</t>
        </is>
      </c>
      <c r="B140" s="6" t="n"/>
      <c r="C140" s="6" t="n"/>
      <c r="D140" s="6" t="n"/>
      <c r="E140" s="10">
        <f>IF(B140="","",IF(COUNTIFS($B$2:$B$600,B140,$C$2:$C$600,C140)&gt;1,B140&amp;" ("&amp;C140&amp;") "&amp;A140,B140&amp;" ("&amp;C140&amp;")"))</f>
        <v/>
      </c>
      <c r="F140" s="11">
        <f>IF(B140="","",SUMIFS(Entries!$J$2:$J$3000,Entries!$H$2:$H$3000,A140))</f>
        <v/>
      </c>
      <c r="G140" s="11">
        <f>IF(B140="","",_xlfn.MAXIFS(Prizes!$D$2:$D$3000,Prizes!$E$2:$E$3000,A140,Prizes!$G$2:$G$3000,""))</f>
        <v/>
      </c>
      <c r="H140" s="10">
        <f>IF(B140="","",IF(_xlfn.MAXIFS(Levels!$A$2:$A$30,Levels!$A$2:$A$30,"&lt;="&amp;F140)&gt;G140,INDEX(Levels!$B$2:$B$30,MATCH(_xlfn.MAXIFS(Levels!$A$2:$A$30,Levels!$A$2:$A$30,"&lt;="&amp;F140),Levels!$A$2:$A$30,0)),""))</f>
        <v/>
      </c>
      <c r="I140" s="10">
        <f>IF(B140="","",COUNTIFS(Levels!$A$2:$A$30,"&lt;="&amp;F140,Levels!$A$2:$A$30,"&gt;"&amp;G140))</f>
        <v/>
      </c>
      <c r="J140" s="10">
        <f>IF(OR(B140="",TRIM('Find a child'!$B$3)=""),"",IF(ISNUMBER(SEARCH(TRIM('Find a child'!$B$3),B140&amp;" "&amp;C140)),COUNT(J$1:J139)+1,""))</f>
        <v/>
      </c>
    </row>
    <row r="141">
      <c r="A141" s="10" t="inlineStr">
        <is>
          <t>C0140</t>
        </is>
      </c>
      <c r="B141" s="6" t="n"/>
      <c r="C141" s="6" t="n"/>
      <c r="D141" s="6" t="n"/>
      <c r="E141" s="10">
        <f>IF(B141="","",IF(COUNTIFS($B$2:$B$600,B141,$C$2:$C$600,C141)&gt;1,B141&amp;" ("&amp;C141&amp;") "&amp;A141,B141&amp;" ("&amp;C141&amp;")"))</f>
        <v/>
      </c>
      <c r="F141" s="11">
        <f>IF(B141="","",SUMIFS(Entries!$J$2:$J$3000,Entries!$H$2:$H$3000,A141))</f>
        <v/>
      </c>
      <c r="G141" s="11">
        <f>IF(B141="","",_xlfn.MAXIFS(Prizes!$D$2:$D$3000,Prizes!$E$2:$E$3000,A141,Prizes!$G$2:$G$3000,""))</f>
        <v/>
      </c>
      <c r="H141" s="10">
        <f>IF(B141="","",IF(_xlfn.MAXIFS(Levels!$A$2:$A$30,Levels!$A$2:$A$30,"&lt;="&amp;F141)&gt;G141,INDEX(Levels!$B$2:$B$30,MATCH(_xlfn.MAXIFS(Levels!$A$2:$A$30,Levels!$A$2:$A$30,"&lt;="&amp;F141),Levels!$A$2:$A$30,0)),""))</f>
        <v/>
      </c>
      <c r="I141" s="10">
        <f>IF(B141="","",COUNTIFS(Levels!$A$2:$A$30,"&lt;="&amp;F141,Levels!$A$2:$A$30,"&gt;"&amp;G141))</f>
        <v/>
      </c>
      <c r="J141" s="10">
        <f>IF(OR(B141="",TRIM('Find a child'!$B$3)=""),"",IF(ISNUMBER(SEARCH(TRIM('Find a child'!$B$3),B141&amp;" "&amp;C141)),COUNT(J$1:J140)+1,""))</f>
        <v/>
      </c>
    </row>
    <row r="142">
      <c r="A142" s="10" t="inlineStr">
        <is>
          <t>C0141</t>
        </is>
      </c>
      <c r="B142" s="6" t="n"/>
      <c r="C142" s="6" t="n"/>
      <c r="D142" s="6" t="n"/>
      <c r="E142" s="10">
        <f>IF(B142="","",IF(COUNTIFS($B$2:$B$600,B142,$C$2:$C$600,C142)&gt;1,B142&amp;" ("&amp;C142&amp;") "&amp;A142,B142&amp;" ("&amp;C142&amp;")"))</f>
        <v/>
      </c>
      <c r="F142" s="11">
        <f>IF(B142="","",SUMIFS(Entries!$J$2:$J$3000,Entries!$H$2:$H$3000,A142))</f>
        <v/>
      </c>
      <c r="G142" s="11">
        <f>IF(B142="","",_xlfn.MAXIFS(Prizes!$D$2:$D$3000,Prizes!$E$2:$E$3000,A142,Prizes!$G$2:$G$3000,""))</f>
        <v/>
      </c>
      <c r="H142" s="10">
        <f>IF(B142="","",IF(_xlfn.MAXIFS(Levels!$A$2:$A$30,Levels!$A$2:$A$30,"&lt;="&amp;F142)&gt;G142,INDEX(Levels!$B$2:$B$30,MATCH(_xlfn.MAXIFS(Levels!$A$2:$A$30,Levels!$A$2:$A$30,"&lt;="&amp;F142),Levels!$A$2:$A$30,0)),""))</f>
        <v/>
      </c>
      <c r="I142" s="10">
        <f>IF(B142="","",COUNTIFS(Levels!$A$2:$A$30,"&lt;="&amp;F142,Levels!$A$2:$A$30,"&gt;"&amp;G142))</f>
        <v/>
      </c>
      <c r="J142" s="10">
        <f>IF(OR(B142="",TRIM('Find a child'!$B$3)=""),"",IF(ISNUMBER(SEARCH(TRIM('Find a child'!$B$3),B142&amp;" "&amp;C142)),COUNT(J$1:J141)+1,""))</f>
        <v/>
      </c>
    </row>
    <row r="143">
      <c r="A143" s="10" t="inlineStr">
        <is>
          <t>C0142</t>
        </is>
      </c>
      <c r="B143" s="6" t="n"/>
      <c r="C143" s="6" t="n"/>
      <c r="D143" s="6" t="n"/>
      <c r="E143" s="10">
        <f>IF(B143="","",IF(COUNTIFS($B$2:$B$600,B143,$C$2:$C$600,C143)&gt;1,B143&amp;" ("&amp;C143&amp;") "&amp;A143,B143&amp;" ("&amp;C143&amp;")"))</f>
        <v/>
      </c>
      <c r="F143" s="11">
        <f>IF(B143="","",SUMIFS(Entries!$J$2:$J$3000,Entries!$H$2:$H$3000,A143))</f>
        <v/>
      </c>
      <c r="G143" s="11">
        <f>IF(B143="","",_xlfn.MAXIFS(Prizes!$D$2:$D$3000,Prizes!$E$2:$E$3000,A143,Prizes!$G$2:$G$3000,""))</f>
        <v/>
      </c>
      <c r="H143" s="10">
        <f>IF(B143="","",IF(_xlfn.MAXIFS(Levels!$A$2:$A$30,Levels!$A$2:$A$30,"&lt;="&amp;F143)&gt;G143,INDEX(Levels!$B$2:$B$30,MATCH(_xlfn.MAXIFS(Levels!$A$2:$A$30,Levels!$A$2:$A$30,"&lt;="&amp;F143),Levels!$A$2:$A$30,0)),""))</f>
        <v/>
      </c>
      <c r="I143" s="10">
        <f>IF(B143="","",COUNTIFS(Levels!$A$2:$A$30,"&lt;="&amp;F143,Levels!$A$2:$A$30,"&gt;"&amp;G143))</f>
        <v/>
      </c>
      <c r="J143" s="10">
        <f>IF(OR(B143="",TRIM('Find a child'!$B$3)=""),"",IF(ISNUMBER(SEARCH(TRIM('Find a child'!$B$3),B143&amp;" "&amp;C143)),COUNT(J$1:J142)+1,""))</f>
        <v/>
      </c>
    </row>
    <row r="144">
      <c r="A144" s="10" t="inlineStr">
        <is>
          <t>C0143</t>
        </is>
      </c>
      <c r="B144" s="6" t="n"/>
      <c r="C144" s="6" t="n"/>
      <c r="D144" s="6" t="n"/>
      <c r="E144" s="10">
        <f>IF(B144="","",IF(COUNTIFS($B$2:$B$600,B144,$C$2:$C$600,C144)&gt;1,B144&amp;" ("&amp;C144&amp;") "&amp;A144,B144&amp;" ("&amp;C144&amp;")"))</f>
        <v/>
      </c>
      <c r="F144" s="11">
        <f>IF(B144="","",SUMIFS(Entries!$J$2:$J$3000,Entries!$H$2:$H$3000,A144))</f>
        <v/>
      </c>
      <c r="G144" s="11">
        <f>IF(B144="","",_xlfn.MAXIFS(Prizes!$D$2:$D$3000,Prizes!$E$2:$E$3000,A144,Prizes!$G$2:$G$3000,""))</f>
        <v/>
      </c>
      <c r="H144" s="10">
        <f>IF(B144="","",IF(_xlfn.MAXIFS(Levels!$A$2:$A$30,Levels!$A$2:$A$30,"&lt;="&amp;F144)&gt;G144,INDEX(Levels!$B$2:$B$30,MATCH(_xlfn.MAXIFS(Levels!$A$2:$A$30,Levels!$A$2:$A$30,"&lt;="&amp;F144),Levels!$A$2:$A$30,0)),""))</f>
        <v/>
      </c>
      <c r="I144" s="10">
        <f>IF(B144="","",COUNTIFS(Levels!$A$2:$A$30,"&lt;="&amp;F144,Levels!$A$2:$A$30,"&gt;"&amp;G144))</f>
        <v/>
      </c>
      <c r="J144" s="10">
        <f>IF(OR(B144="",TRIM('Find a child'!$B$3)=""),"",IF(ISNUMBER(SEARCH(TRIM('Find a child'!$B$3),B144&amp;" "&amp;C144)),COUNT(J$1:J143)+1,""))</f>
        <v/>
      </c>
    </row>
    <row r="145">
      <c r="A145" s="10" t="inlineStr">
        <is>
          <t>C0144</t>
        </is>
      </c>
      <c r="B145" s="6" t="n"/>
      <c r="C145" s="6" t="n"/>
      <c r="D145" s="6" t="n"/>
      <c r="E145" s="10">
        <f>IF(B145="","",IF(COUNTIFS($B$2:$B$600,B145,$C$2:$C$600,C145)&gt;1,B145&amp;" ("&amp;C145&amp;") "&amp;A145,B145&amp;" ("&amp;C145&amp;")"))</f>
        <v/>
      </c>
      <c r="F145" s="11">
        <f>IF(B145="","",SUMIFS(Entries!$J$2:$J$3000,Entries!$H$2:$H$3000,A145))</f>
        <v/>
      </c>
      <c r="G145" s="11">
        <f>IF(B145="","",_xlfn.MAXIFS(Prizes!$D$2:$D$3000,Prizes!$E$2:$E$3000,A145,Prizes!$G$2:$G$3000,""))</f>
        <v/>
      </c>
      <c r="H145" s="10">
        <f>IF(B145="","",IF(_xlfn.MAXIFS(Levels!$A$2:$A$30,Levels!$A$2:$A$30,"&lt;="&amp;F145)&gt;G145,INDEX(Levels!$B$2:$B$30,MATCH(_xlfn.MAXIFS(Levels!$A$2:$A$30,Levels!$A$2:$A$30,"&lt;="&amp;F145),Levels!$A$2:$A$30,0)),""))</f>
        <v/>
      </c>
      <c r="I145" s="10">
        <f>IF(B145="","",COUNTIFS(Levels!$A$2:$A$30,"&lt;="&amp;F145,Levels!$A$2:$A$30,"&gt;"&amp;G145))</f>
        <v/>
      </c>
      <c r="J145" s="10">
        <f>IF(OR(B145="",TRIM('Find a child'!$B$3)=""),"",IF(ISNUMBER(SEARCH(TRIM('Find a child'!$B$3),B145&amp;" "&amp;C145)),COUNT(J$1:J144)+1,""))</f>
        <v/>
      </c>
    </row>
    <row r="146">
      <c r="A146" s="10" t="inlineStr">
        <is>
          <t>C0145</t>
        </is>
      </c>
      <c r="B146" s="6" t="n"/>
      <c r="C146" s="6" t="n"/>
      <c r="D146" s="6" t="n"/>
      <c r="E146" s="10">
        <f>IF(B146="","",IF(COUNTIFS($B$2:$B$600,B146,$C$2:$C$600,C146)&gt;1,B146&amp;" ("&amp;C146&amp;") "&amp;A146,B146&amp;" ("&amp;C146&amp;")"))</f>
        <v/>
      </c>
      <c r="F146" s="11">
        <f>IF(B146="","",SUMIFS(Entries!$J$2:$J$3000,Entries!$H$2:$H$3000,A146))</f>
        <v/>
      </c>
      <c r="G146" s="11">
        <f>IF(B146="","",_xlfn.MAXIFS(Prizes!$D$2:$D$3000,Prizes!$E$2:$E$3000,A146,Prizes!$G$2:$G$3000,""))</f>
        <v/>
      </c>
      <c r="H146" s="10">
        <f>IF(B146="","",IF(_xlfn.MAXIFS(Levels!$A$2:$A$30,Levels!$A$2:$A$30,"&lt;="&amp;F146)&gt;G146,INDEX(Levels!$B$2:$B$30,MATCH(_xlfn.MAXIFS(Levels!$A$2:$A$30,Levels!$A$2:$A$30,"&lt;="&amp;F146),Levels!$A$2:$A$30,0)),""))</f>
        <v/>
      </c>
      <c r="I146" s="10">
        <f>IF(B146="","",COUNTIFS(Levels!$A$2:$A$30,"&lt;="&amp;F146,Levels!$A$2:$A$30,"&gt;"&amp;G146))</f>
        <v/>
      </c>
      <c r="J146" s="10">
        <f>IF(OR(B146="",TRIM('Find a child'!$B$3)=""),"",IF(ISNUMBER(SEARCH(TRIM('Find a child'!$B$3),B146&amp;" "&amp;C146)),COUNT(J$1:J145)+1,""))</f>
        <v/>
      </c>
    </row>
    <row r="147">
      <c r="A147" s="10" t="inlineStr">
        <is>
          <t>C0146</t>
        </is>
      </c>
      <c r="B147" s="6" t="n"/>
      <c r="C147" s="6" t="n"/>
      <c r="D147" s="6" t="n"/>
      <c r="E147" s="10">
        <f>IF(B147="","",IF(COUNTIFS($B$2:$B$600,B147,$C$2:$C$600,C147)&gt;1,B147&amp;" ("&amp;C147&amp;") "&amp;A147,B147&amp;" ("&amp;C147&amp;")"))</f>
        <v/>
      </c>
      <c r="F147" s="11">
        <f>IF(B147="","",SUMIFS(Entries!$J$2:$J$3000,Entries!$H$2:$H$3000,A147))</f>
        <v/>
      </c>
      <c r="G147" s="11">
        <f>IF(B147="","",_xlfn.MAXIFS(Prizes!$D$2:$D$3000,Prizes!$E$2:$E$3000,A147,Prizes!$G$2:$G$3000,""))</f>
        <v/>
      </c>
      <c r="H147" s="10">
        <f>IF(B147="","",IF(_xlfn.MAXIFS(Levels!$A$2:$A$30,Levels!$A$2:$A$30,"&lt;="&amp;F147)&gt;G147,INDEX(Levels!$B$2:$B$30,MATCH(_xlfn.MAXIFS(Levels!$A$2:$A$30,Levels!$A$2:$A$30,"&lt;="&amp;F147),Levels!$A$2:$A$30,0)),""))</f>
        <v/>
      </c>
      <c r="I147" s="10">
        <f>IF(B147="","",COUNTIFS(Levels!$A$2:$A$30,"&lt;="&amp;F147,Levels!$A$2:$A$30,"&gt;"&amp;G147))</f>
        <v/>
      </c>
      <c r="J147" s="10">
        <f>IF(OR(B147="",TRIM('Find a child'!$B$3)=""),"",IF(ISNUMBER(SEARCH(TRIM('Find a child'!$B$3),B147&amp;" "&amp;C147)),COUNT(J$1:J146)+1,""))</f>
        <v/>
      </c>
    </row>
    <row r="148">
      <c r="A148" s="10" t="inlineStr">
        <is>
          <t>C0147</t>
        </is>
      </c>
      <c r="B148" s="6" t="n"/>
      <c r="C148" s="6" t="n"/>
      <c r="D148" s="6" t="n"/>
      <c r="E148" s="10">
        <f>IF(B148="","",IF(COUNTIFS($B$2:$B$600,B148,$C$2:$C$600,C148)&gt;1,B148&amp;" ("&amp;C148&amp;") "&amp;A148,B148&amp;" ("&amp;C148&amp;")"))</f>
        <v/>
      </c>
      <c r="F148" s="11">
        <f>IF(B148="","",SUMIFS(Entries!$J$2:$J$3000,Entries!$H$2:$H$3000,A148))</f>
        <v/>
      </c>
      <c r="G148" s="11">
        <f>IF(B148="","",_xlfn.MAXIFS(Prizes!$D$2:$D$3000,Prizes!$E$2:$E$3000,A148,Prizes!$G$2:$G$3000,""))</f>
        <v/>
      </c>
      <c r="H148" s="10">
        <f>IF(B148="","",IF(_xlfn.MAXIFS(Levels!$A$2:$A$30,Levels!$A$2:$A$30,"&lt;="&amp;F148)&gt;G148,INDEX(Levels!$B$2:$B$30,MATCH(_xlfn.MAXIFS(Levels!$A$2:$A$30,Levels!$A$2:$A$30,"&lt;="&amp;F148),Levels!$A$2:$A$30,0)),""))</f>
        <v/>
      </c>
      <c r="I148" s="10">
        <f>IF(B148="","",COUNTIFS(Levels!$A$2:$A$30,"&lt;="&amp;F148,Levels!$A$2:$A$30,"&gt;"&amp;G148))</f>
        <v/>
      </c>
      <c r="J148" s="10">
        <f>IF(OR(B148="",TRIM('Find a child'!$B$3)=""),"",IF(ISNUMBER(SEARCH(TRIM('Find a child'!$B$3),B148&amp;" "&amp;C148)),COUNT(J$1:J147)+1,""))</f>
        <v/>
      </c>
    </row>
    <row r="149">
      <c r="A149" s="10" t="inlineStr">
        <is>
          <t>C0148</t>
        </is>
      </c>
      <c r="B149" s="6" t="n"/>
      <c r="C149" s="6" t="n"/>
      <c r="D149" s="6" t="n"/>
      <c r="E149" s="10">
        <f>IF(B149="","",IF(COUNTIFS($B$2:$B$600,B149,$C$2:$C$600,C149)&gt;1,B149&amp;" ("&amp;C149&amp;") "&amp;A149,B149&amp;" ("&amp;C149&amp;")"))</f>
        <v/>
      </c>
      <c r="F149" s="11">
        <f>IF(B149="","",SUMIFS(Entries!$J$2:$J$3000,Entries!$H$2:$H$3000,A149))</f>
        <v/>
      </c>
      <c r="G149" s="11">
        <f>IF(B149="","",_xlfn.MAXIFS(Prizes!$D$2:$D$3000,Prizes!$E$2:$E$3000,A149,Prizes!$G$2:$G$3000,""))</f>
        <v/>
      </c>
      <c r="H149" s="10">
        <f>IF(B149="","",IF(_xlfn.MAXIFS(Levels!$A$2:$A$30,Levels!$A$2:$A$30,"&lt;="&amp;F149)&gt;G149,INDEX(Levels!$B$2:$B$30,MATCH(_xlfn.MAXIFS(Levels!$A$2:$A$30,Levels!$A$2:$A$30,"&lt;="&amp;F149),Levels!$A$2:$A$30,0)),""))</f>
        <v/>
      </c>
      <c r="I149" s="10">
        <f>IF(B149="","",COUNTIFS(Levels!$A$2:$A$30,"&lt;="&amp;F149,Levels!$A$2:$A$30,"&gt;"&amp;G149))</f>
        <v/>
      </c>
      <c r="J149" s="10">
        <f>IF(OR(B149="",TRIM('Find a child'!$B$3)=""),"",IF(ISNUMBER(SEARCH(TRIM('Find a child'!$B$3),B149&amp;" "&amp;C149)),COUNT(J$1:J148)+1,""))</f>
        <v/>
      </c>
    </row>
    <row r="150">
      <c r="A150" s="10" t="inlineStr">
        <is>
          <t>C0149</t>
        </is>
      </c>
      <c r="B150" s="6" t="n"/>
      <c r="C150" s="6" t="n"/>
      <c r="D150" s="6" t="n"/>
      <c r="E150" s="10">
        <f>IF(B150="","",IF(COUNTIFS($B$2:$B$600,B150,$C$2:$C$600,C150)&gt;1,B150&amp;" ("&amp;C150&amp;") "&amp;A150,B150&amp;" ("&amp;C150&amp;")"))</f>
        <v/>
      </c>
      <c r="F150" s="11">
        <f>IF(B150="","",SUMIFS(Entries!$J$2:$J$3000,Entries!$H$2:$H$3000,A150))</f>
        <v/>
      </c>
      <c r="G150" s="11">
        <f>IF(B150="","",_xlfn.MAXIFS(Prizes!$D$2:$D$3000,Prizes!$E$2:$E$3000,A150,Prizes!$G$2:$G$3000,""))</f>
        <v/>
      </c>
      <c r="H150" s="10">
        <f>IF(B150="","",IF(_xlfn.MAXIFS(Levels!$A$2:$A$30,Levels!$A$2:$A$30,"&lt;="&amp;F150)&gt;G150,INDEX(Levels!$B$2:$B$30,MATCH(_xlfn.MAXIFS(Levels!$A$2:$A$30,Levels!$A$2:$A$30,"&lt;="&amp;F150),Levels!$A$2:$A$30,0)),""))</f>
        <v/>
      </c>
      <c r="I150" s="10">
        <f>IF(B150="","",COUNTIFS(Levels!$A$2:$A$30,"&lt;="&amp;F150,Levels!$A$2:$A$30,"&gt;"&amp;G150))</f>
        <v/>
      </c>
      <c r="J150" s="10">
        <f>IF(OR(B150="",TRIM('Find a child'!$B$3)=""),"",IF(ISNUMBER(SEARCH(TRIM('Find a child'!$B$3),B150&amp;" "&amp;C150)),COUNT(J$1:J149)+1,""))</f>
        <v/>
      </c>
    </row>
    <row r="151">
      <c r="A151" s="10" t="inlineStr">
        <is>
          <t>C0150</t>
        </is>
      </c>
      <c r="B151" s="6" t="n"/>
      <c r="C151" s="6" t="n"/>
      <c r="D151" s="6" t="n"/>
      <c r="E151" s="10">
        <f>IF(B151="","",IF(COUNTIFS($B$2:$B$600,B151,$C$2:$C$600,C151)&gt;1,B151&amp;" ("&amp;C151&amp;") "&amp;A151,B151&amp;" ("&amp;C151&amp;")"))</f>
        <v/>
      </c>
      <c r="F151" s="11">
        <f>IF(B151="","",SUMIFS(Entries!$J$2:$J$3000,Entries!$H$2:$H$3000,A151))</f>
        <v/>
      </c>
      <c r="G151" s="11">
        <f>IF(B151="","",_xlfn.MAXIFS(Prizes!$D$2:$D$3000,Prizes!$E$2:$E$3000,A151,Prizes!$G$2:$G$3000,""))</f>
        <v/>
      </c>
      <c r="H151" s="10">
        <f>IF(B151="","",IF(_xlfn.MAXIFS(Levels!$A$2:$A$30,Levels!$A$2:$A$30,"&lt;="&amp;F151)&gt;G151,INDEX(Levels!$B$2:$B$30,MATCH(_xlfn.MAXIFS(Levels!$A$2:$A$30,Levels!$A$2:$A$30,"&lt;="&amp;F151),Levels!$A$2:$A$30,0)),""))</f>
        <v/>
      </c>
      <c r="I151" s="10">
        <f>IF(B151="","",COUNTIFS(Levels!$A$2:$A$30,"&lt;="&amp;F151,Levels!$A$2:$A$30,"&gt;"&amp;G151))</f>
        <v/>
      </c>
      <c r="J151" s="10">
        <f>IF(OR(B151="",TRIM('Find a child'!$B$3)=""),"",IF(ISNUMBER(SEARCH(TRIM('Find a child'!$B$3),B151&amp;" "&amp;C151)),COUNT(J$1:J150)+1,""))</f>
        <v/>
      </c>
    </row>
    <row r="152">
      <c r="A152" s="10" t="inlineStr">
        <is>
          <t>C0151</t>
        </is>
      </c>
      <c r="B152" s="6" t="n"/>
      <c r="C152" s="6" t="n"/>
      <c r="D152" s="6" t="n"/>
      <c r="E152" s="10">
        <f>IF(B152="","",IF(COUNTIFS($B$2:$B$600,B152,$C$2:$C$600,C152)&gt;1,B152&amp;" ("&amp;C152&amp;") "&amp;A152,B152&amp;" ("&amp;C152&amp;")"))</f>
        <v/>
      </c>
      <c r="F152" s="11">
        <f>IF(B152="","",SUMIFS(Entries!$J$2:$J$3000,Entries!$H$2:$H$3000,A152))</f>
        <v/>
      </c>
      <c r="G152" s="11">
        <f>IF(B152="","",_xlfn.MAXIFS(Prizes!$D$2:$D$3000,Prizes!$E$2:$E$3000,A152,Prizes!$G$2:$G$3000,""))</f>
        <v/>
      </c>
      <c r="H152" s="10">
        <f>IF(B152="","",IF(_xlfn.MAXIFS(Levels!$A$2:$A$30,Levels!$A$2:$A$30,"&lt;="&amp;F152)&gt;G152,INDEX(Levels!$B$2:$B$30,MATCH(_xlfn.MAXIFS(Levels!$A$2:$A$30,Levels!$A$2:$A$30,"&lt;="&amp;F152),Levels!$A$2:$A$30,0)),""))</f>
        <v/>
      </c>
      <c r="I152" s="10">
        <f>IF(B152="","",COUNTIFS(Levels!$A$2:$A$30,"&lt;="&amp;F152,Levels!$A$2:$A$30,"&gt;"&amp;G152))</f>
        <v/>
      </c>
      <c r="J152" s="10">
        <f>IF(OR(B152="",TRIM('Find a child'!$B$3)=""),"",IF(ISNUMBER(SEARCH(TRIM('Find a child'!$B$3),B152&amp;" "&amp;C152)),COUNT(J$1:J151)+1,""))</f>
        <v/>
      </c>
    </row>
    <row r="153">
      <c r="A153" s="10" t="inlineStr">
        <is>
          <t>C0152</t>
        </is>
      </c>
      <c r="B153" s="6" t="n"/>
      <c r="C153" s="6" t="n"/>
      <c r="D153" s="6" t="n"/>
      <c r="E153" s="10">
        <f>IF(B153="","",IF(COUNTIFS($B$2:$B$600,B153,$C$2:$C$600,C153)&gt;1,B153&amp;" ("&amp;C153&amp;") "&amp;A153,B153&amp;" ("&amp;C153&amp;")"))</f>
        <v/>
      </c>
      <c r="F153" s="11">
        <f>IF(B153="","",SUMIFS(Entries!$J$2:$J$3000,Entries!$H$2:$H$3000,A153))</f>
        <v/>
      </c>
      <c r="G153" s="11">
        <f>IF(B153="","",_xlfn.MAXIFS(Prizes!$D$2:$D$3000,Prizes!$E$2:$E$3000,A153,Prizes!$G$2:$G$3000,""))</f>
        <v/>
      </c>
      <c r="H153" s="10">
        <f>IF(B153="","",IF(_xlfn.MAXIFS(Levels!$A$2:$A$30,Levels!$A$2:$A$30,"&lt;="&amp;F153)&gt;G153,INDEX(Levels!$B$2:$B$30,MATCH(_xlfn.MAXIFS(Levels!$A$2:$A$30,Levels!$A$2:$A$30,"&lt;="&amp;F153),Levels!$A$2:$A$30,0)),""))</f>
        <v/>
      </c>
      <c r="I153" s="10">
        <f>IF(B153="","",COUNTIFS(Levels!$A$2:$A$30,"&lt;="&amp;F153,Levels!$A$2:$A$30,"&gt;"&amp;G153))</f>
        <v/>
      </c>
      <c r="J153" s="10">
        <f>IF(OR(B153="",TRIM('Find a child'!$B$3)=""),"",IF(ISNUMBER(SEARCH(TRIM('Find a child'!$B$3),B153&amp;" "&amp;C153)),COUNT(J$1:J152)+1,""))</f>
        <v/>
      </c>
    </row>
    <row r="154">
      <c r="A154" s="10" t="inlineStr">
        <is>
          <t>C0153</t>
        </is>
      </c>
      <c r="B154" s="6" t="n"/>
      <c r="C154" s="6" t="n"/>
      <c r="D154" s="6" t="n"/>
      <c r="E154" s="10">
        <f>IF(B154="","",IF(COUNTIFS($B$2:$B$600,B154,$C$2:$C$600,C154)&gt;1,B154&amp;" ("&amp;C154&amp;") "&amp;A154,B154&amp;" ("&amp;C154&amp;")"))</f>
        <v/>
      </c>
      <c r="F154" s="11">
        <f>IF(B154="","",SUMIFS(Entries!$J$2:$J$3000,Entries!$H$2:$H$3000,A154))</f>
        <v/>
      </c>
      <c r="G154" s="11">
        <f>IF(B154="","",_xlfn.MAXIFS(Prizes!$D$2:$D$3000,Prizes!$E$2:$E$3000,A154,Prizes!$G$2:$G$3000,""))</f>
        <v/>
      </c>
      <c r="H154" s="10">
        <f>IF(B154="","",IF(_xlfn.MAXIFS(Levels!$A$2:$A$30,Levels!$A$2:$A$30,"&lt;="&amp;F154)&gt;G154,INDEX(Levels!$B$2:$B$30,MATCH(_xlfn.MAXIFS(Levels!$A$2:$A$30,Levels!$A$2:$A$30,"&lt;="&amp;F154),Levels!$A$2:$A$30,0)),""))</f>
        <v/>
      </c>
      <c r="I154" s="10">
        <f>IF(B154="","",COUNTIFS(Levels!$A$2:$A$30,"&lt;="&amp;F154,Levels!$A$2:$A$30,"&gt;"&amp;G154))</f>
        <v/>
      </c>
      <c r="J154" s="10">
        <f>IF(OR(B154="",TRIM('Find a child'!$B$3)=""),"",IF(ISNUMBER(SEARCH(TRIM('Find a child'!$B$3),B154&amp;" "&amp;C154)),COUNT(J$1:J153)+1,""))</f>
        <v/>
      </c>
    </row>
    <row r="155">
      <c r="A155" s="10" t="inlineStr">
        <is>
          <t>C0154</t>
        </is>
      </c>
      <c r="B155" s="6" t="n"/>
      <c r="C155" s="6" t="n"/>
      <c r="D155" s="6" t="n"/>
      <c r="E155" s="10">
        <f>IF(B155="","",IF(COUNTIFS($B$2:$B$600,B155,$C$2:$C$600,C155)&gt;1,B155&amp;" ("&amp;C155&amp;") "&amp;A155,B155&amp;" ("&amp;C155&amp;")"))</f>
        <v/>
      </c>
      <c r="F155" s="11">
        <f>IF(B155="","",SUMIFS(Entries!$J$2:$J$3000,Entries!$H$2:$H$3000,A155))</f>
        <v/>
      </c>
      <c r="G155" s="11">
        <f>IF(B155="","",_xlfn.MAXIFS(Prizes!$D$2:$D$3000,Prizes!$E$2:$E$3000,A155,Prizes!$G$2:$G$3000,""))</f>
        <v/>
      </c>
      <c r="H155" s="10">
        <f>IF(B155="","",IF(_xlfn.MAXIFS(Levels!$A$2:$A$30,Levels!$A$2:$A$30,"&lt;="&amp;F155)&gt;G155,INDEX(Levels!$B$2:$B$30,MATCH(_xlfn.MAXIFS(Levels!$A$2:$A$30,Levels!$A$2:$A$30,"&lt;="&amp;F155),Levels!$A$2:$A$30,0)),""))</f>
        <v/>
      </c>
      <c r="I155" s="10">
        <f>IF(B155="","",COUNTIFS(Levels!$A$2:$A$30,"&lt;="&amp;F155,Levels!$A$2:$A$30,"&gt;"&amp;G155))</f>
        <v/>
      </c>
      <c r="J155" s="10">
        <f>IF(OR(B155="",TRIM('Find a child'!$B$3)=""),"",IF(ISNUMBER(SEARCH(TRIM('Find a child'!$B$3),B155&amp;" "&amp;C155)),COUNT(J$1:J154)+1,""))</f>
        <v/>
      </c>
    </row>
    <row r="156">
      <c r="A156" s="10" t="inlineStr">
        <is>
          <t>C0155</t>
        </is>
      </c>
      <c r="B156" s="6" t="n"/>
      <c r="C156" s="6" t="n"/>
      <c r="D156" s="6" t="n"/>
      <c r="E156" s="10">
        <f>IF(B156="","",IF(COUNTIFS($B$2:$B$600,B156,$C$2:$C$600,C156)&gt;1,B156&amp;" ("&amp;C156&amp;") "&amp;A156,B156&amp;" ("&amp;C156&amp;")"))</f>
        <v/>
      </c>
      <c r="F156" s="11">
        <f>IF(B156="","",SUMIFS(Entries!$J$2:$J$3000,Entries!$H$2:$H$3000,A156))</f>
        <v/>
      </c>
      <c r="G156" s="11">
        <f>IF(B156="","",_xlfn.MAXIFS(Prizes!$D$2:$D$3000,Prizes!$E$2:$E$3000,A156,Prizes!$G$2:$G$3000,""))</f>
        <v/>
      </c>
      <c r="H156" s="10">
        <f>IF(B156="","",IF(_xlfn.MAXIFS(Levels!$A$2:$A$30,Levels!$A$2:$A$30,"&lt;="&amp;F156)&gt;G156,INDEX(Levels!$B$2:$B$30,MATCH(_xlfn.MAXIFS(Levels!$A$2:$A$30,Levels!$A$2:$A$30,"&lt;="&amp;F156),Levels!$A$2:$A$30,0)),""))</f>
        <v/>
      </c>
      <c r="I156" s="10">
        <f>IF(B156="","",COUNTIFS(Levels!$A$2:$A$30,"&lt;="&amp;F156,Levels!$A$2:$A$30,"&gt;"&amp;G156))</f>
        <v/>
      </c>
      <c r="J156" s="10">
        <f>IF(OR(B156="",TRIM('Find a child'!$B$3)=""),"",IF(ISNUMBER(SEARCH(TRIM('Find a child'!$B$3),B156&amp;" "&amp;C156)),COUNT(J$1:J155)+1,""))</f>
        <v/>
      </c>
    </row>
    <row r="157">
      <c r="A157" s="10" t="inlineStr">
        <is>
          <t>C0156</t>
        </is>
      </c>
      <c r="B157" s="6" t="n"/>
      <c r="C157" s="6" t="n"/>
      <c r="D157" s="6" t="n"/>
      <c r="E157" s="10">
        <f>IF(B157="","",IF(COUNTIFS($B$2:$B$600,B157,$C$2:$C$600,C157)&gt;1,B157&amp;" ("&amp;C157&amp;") "&amp;A157,B157&amp;" ("&amp;C157&amp;")"))</f>
        <v/>
      </c>
      <c r="F157" s="11">
        <f>IF(B157="","",SUMIFS(Entries!$J$2:$J$3000,Entries!$H$2:$H$3000,A157))</f>
        <v/>
      </c>
      <c r="G157" s="11">
        <f>IF(B157="","",_xlfn.MAXIFS(Prizes!$D$2:$D$3000,Prizes!$E$2:$E$3000,A157,Prizes!$G$2:$G$3000,""))</f>
        <v/>
      </c>
      <c r="H157" s="10">
        <f>IF(B157="","",IF(_xlfn.MAXIFS(Levels!$A$2:$A$30,Levels!$A$2:$A$30,"&lt;="&amp;F157)&gt;G157,INDEX(Levels!$B$2:$B$30,MATCH(_xlfn.MAXIFS(Levels!$A$2:$A$30,Levels!$A$2:$A$30,"&lt;="&amp;F157),Levels!$A$2:$A$30,0)),""))</f>
        <v/>
      </c>
      <c r="I157" s="10">
        <f>IF(B157="","",COUNTIFS(Levels!$A$2:$A$30,"&lt;="&amp;F157,Levels!$A$2:$A$30,"&gt;"&amp;G157))</f>
        <v/>
      </c>
      <c r="J157" s="10">
        <f>IF(OR(B157="",TRIM('Find a child'!$B$3)=""),"",IF(ISNUMBER(SEARCH(TRIM('Find a child'!$B$3),B157&amp;" "&amp;C157)),COUNT(J$1:J156)+1,""))</f>
        <v/>
      </c>
    </row>
    <row r="158">
      <c r="A158" s="10" t="inlineStr">
        <is>
          <t>C0157</t>
        </is>
      </c>
      <c r="B158" s="6" t="n"/>
      <c r="C158" s="6" t="n"/>
      <c r="D158" s="6" t="n"/>
      <c r="E158" s="10">
        <f>IF(B158="","",IF(COUNTIFS($B$2:$B$600,B158,$C$2:$C$600,C158)&gt;1,B158&amp;" ("&amp;C158&amp;") "&amp;A158,B158&amp;" ("&amp;C158&amp;")"))</f>
        <v/>
      </c>
      <c r="F158" s="11">
        <f>IF(B158="","",SUMIFS(Entries!$J$2:$J$3000,Entries!$H$2:$H$3000,A158))</f>
        <v/>
      </c>
      <c r="G158" s="11">
        <f>IF(B158="","",_xlfn.MAXIFS(Prizes!$D$2:$D$3000,Prizes!$E$2:$E$3000,A158,Prizes!$G$2:$G$3000,""))</f>
        <v/>
      </c>
      <c r="H158" s="10">
        <f>IF(B158="","",IF(_xlfn.MAXIFS(Levels!$A$2:$A$30,Levels!$A$2:$A$30,"&lt;="&amp;F158)&gt;G158,INDEX(Levels!$B$2:$B$30,MATCH(_xlfn.MAXIFS(Levels!$A$2:$A$30,Levels!$A$2:$A$30,"&lt;="&amp;F158),Levels!$A$2:$A$30,0)),""))</f>
        <v/>
      </c>
      <c r="I158" s="10">
        <f>IF(B158="","",COUNTIFS(Levels!$A$2:$A$30,"&lt;="&amp;F158,Levels!$A$2:$A$30,"&gt;"&amp;G158))</f>
        <v/>
      </c>
      <c r="J158" s="10">
        <f>IF(OR(B158="",TRIM('Find a child'!$B$3)=""),"",IF(ISNUMBER(SEARCH(TRIM('Find a child'!$B$3),B158&amp;" "&amp;C158)),COUNT(J$1:J157)+1,""))</f>
        <v/>
      </c>
    </row>
    <row r="159">
      <c r="A159" s="10" t="inlineStr">
        <is>
          <t>C0158</t>
        </is>
      </c>
      <c r="B159" s="6" t="n"/>
      <c r="C159" s="6" t="n"/>
      <c r="D159" s="6" t="n"/>
      <c r="E159" s="10">
        <f>IF(B159="","",IF(COUNTIFS($B$2:$B$600,B159,$C$2:$C$600,C159)&gt;1,B159&amp;" ("&amp;C159&amp;") "&amp;A159,B159&amp;" ("&amp;C159&amp;")"))</f>
        <v/>
      </c>
      <c r="F159" s="11">
        <f>IF(B159="","",SUMIFS(Entries!$J$2:$J$3000,Entries!$H$2:$H$3000,A159))</f>
        <v/>
      </c>
      <c r="G159" s="11">
        <f>IF(B159="","",_xlfn.MAXIFS(Prizes!$D$2:$D$3000,Prizes!$E$2:$E$3000,A159,Prizes!$G$2:$G$3000,""))</f>
        <v/>
      </c>
      <c r="H159" s="10">
        <f>IF(B159="","",IF(_xlfn.MAXIFS(Levels!$A$2:$A$30,Levels!$A$2:$A$30,"&lt;="&amp;F159)&gt;G159,INDEX(Levels!$B$2:$B$30,MATCH(_xlfn.MAXIFS(Levels!$A$2:$A$30,Levels!$A$2:$A$30,"&lt;="&amp;F159),Levels!$A$2:$A$30,0)),""))</f>
        <v/>
      </c>
      <c r="I159" s="10">
        <f>IF(B159="","",COUNTIFS(Levels!$A$2:$A$30,"&lt;="&amp;F159,Levels!$A$2:$A$30,"&gt;"&amp;G159))</f>
        <v/>
      </c>
      <c r="J159" s="10">
        <f>IF(OR(B159="",TRIM('Find a child'!$B$3)=""),"",IF(ISNUMBER(SEARCH(TRIM('Find a child'!$B$3),B159&amp;" "&amp;C159)),COUNT(J$1:J158)+1,""))</f>
        <v/>
      </c>
    </row>
    <row r="160">
      <c r="A160" s="10" t="inlineStr">
        <is>
          <t>C0159</t>
        </is>
      </c>
      <c r="B160" s="6" t="n"/>
      <c r="C160" s="6" t="n"/>
      <c r="D160" s="6" t="n"/>
      <c r="E160" s="10">
        <f>IF(B160="","",IF(COUNTIFS($B$2:$B$600,B160,$C$2:$C$600,C160)&gt;1,B160&amp;" ("&amp;C160&amp;") "&amp;A160,B160&amp;" ("&amp;C160&amp;")"))</f>
        <v/>
      </c>
      <c r="F160" s="11">
        <f>IF(B160="","",SUMIFS(Entries!$J$2:$J$3000,Entries!$H$2:$H$3000,A160))</f>
        <v/>
      </c>
      <c r="G160" s="11">
        <f>IF(B160="","",_xlfn.MAXIFS(Prizes!$D$2:$D$3000,Prizes!$E$2:$E$3000,A160,Prizes!$G$2:$G$3000,""))</f>
        <v/>
      </c>
      <c r="H160" s="10">
        <f>IF(B160="","",IF(_xlfn.MAXIFS(Levels!$A$2:$A$30,Levels!$A$2:$A$30,"&lt;="&amp;F160)&gt;G160,INDEX(Levels!$B$2:$B$30,MATCH(_xlfn.MAXIFS(Levels!$A$2:$A$30,Levels!$A$2:$A$30,"&lt;="&amp;F160),Levels!$A$2:$A$30,0)),""))</f>
        <v/>
      </c>
      <c r="I160" s="10">
        <f>IF(B160="","",COUNTIFS(Levels!$A$2:$A$30,"&lt;="&amp;F160,Levels!$A$2:$A$30,"&gt;"&amp;G160))</f>
        <v/>
      </c>
      <c r="J160" s="10">
        <f>IF(OR(B160="",TRIM('Find a child'!$B$3)=""),"",IF(ISNUMBER(SEARCH(TRIM('Find a child'!$B$3),B160&amp;" "&amp;C160)),COUNT(J$1:J159)+1,""))</f>
        <v/>
      </c>
    </row>
    <row r="161">
      <c r="A161" s="10" t="inlineStr">
        <is>
          <t>C0160</t>
        </is>
      </c>
      <c r="B161" s="6" t="n"/>
      <c r="C161" s="6" t="n"/>
      <c r="D161" s="6" t="n"/>
      <c r="E161" s="10">
        <f>IF(B161="","",IF(COUNTIFS($B$2:$B$600,B161,$C$2:$C$600,C161)&gt;1,B161&amp;" ("&amp;C161&amp;") "&amp;A161,B161&amp;" ("&amp;C161&amp;")"))</f>
        <v/>
      </c>
      <c r="F161" s="11">
        <f>IF(B161="","",SUMIFS(Entries!$J$2:$J$3000,Entries!$H$2:$H$3000,A161))</f>
        <v/>
      </c>
      <c r="G161" s="11">
        <f>IF(B161="","",_xlfn.MAXIFS(Prizes!$D$2:$D$3000,Prizes!$E$2:$E$3000,A161,Prizes!$G$2:$G$3000,""))</f>
        <v/>
      </c>
      <c r="H161" s="10">
        <f>IF(B161="","",IF(_xlfn.MAXIFS(Levels!$A$2:$A$30,Levels!$A$2:$A$30,"&lt;="&amp;F161)&gt;G161,INDEX(Levels!$B$2:$B$30,MATCH(_xlfn.MAXIFS(Levels!$A$2:$A$30,Levels!$A$2:$A$30,"&lt;="&amp;F161),Levels!$A$2:$A$30,0)),""))</f>
        <v/>
      </c>
      <c r="I161" s="10">
        <f>IF(B161="","",COUNTIFS(Levels!$A$2:$A$30,"&lt;="&amp;F161,Levels!$A$2:$A$30,"&gt;"&amp;G161))</f>
        <v/>
      </c>
      <c r="J161" s="10">
        <f>IF(OR(B161="",TRIM('Find a child'!$B$3)=""),"",IF(ISNUMBER(SEARCH(TRIM('Find a child'!$B$3),B161&amp;" "&amp;C161)),COUNT(J$1:J160)+1,""))</f>
        <v/>
      </c>
    </row>
    <row r="162">
      <c r="A162" s="10" t="inlineStr">
        <is>
          <t>C0161</t>
        </is>
      </c>
      <c r="B162" s="6" t="n"/>
      <c r="C162" s="6" t="n"/>
      <c r="D162" s="6" t="n"/>
      <c r="E162" s="10">
        <f>IF(B162="","",IF(COUNTIFS($B$2:$B$600,B162,$C$2:$C$600,C162)&gt;1,B162&amp;" ("&amp;C162&amp;") "&amp;A162,B162&amp;" ("&amp;C162&amp;")"))</f>
        <v/>
      </c>
      <c r="F162" s="11">
        <f>IF(B162="","",SUMIFS(Entries!$J$2:$J$3000,Entries!$H$2:$H$3000,A162))</f>
        <v/>
      </c>
      <c r="G162" s="11">
        <f>IF(B162="","",_xlfn.MAXIFS(Prizes!$D$2:$D$3000,Prizes!$E$2:$E$3000,A162,Prizes!$G$2:$G$3000,""))</f>
        <v/>
      </c>
      <c r="H162" s="10">
        <f>IF(B162="","",IF(_xlfn.MAXIFS(Levels!$A$2:$A$30,Levels!$A$2:$A$30,"&lt;="&amp;F162)&gt;G162,INDEX(Levels!$B$2:$B$30,MATCH(_xlfn.MAXIFS(Levels!$A$2:$A$30,Levels!$A$2:$A$30,"&lt;="&amp;F162),Levels!$A$2:$A$30,0)),""))</f>
        <v/>
      </c>
      <c r="I162" s="10">
        <f>IF(B162="","",COUNTIFS(Levels!$A$2:$A$30,"&lt;="&amp;F162,Levels!$A$2:$A$30,"&gt;"&amp;G162))</f>
        <v/>
      </c>
      <c r="J162" s="10">
        <f>IF(OR(B162="",TRIM('Find a child'!$B$3)=""),"",IF(ISNUMBER(SEARCH(TRIM('Find a child'!$B$3),B162&amp;" "&amp;C162)),COUNT(J$1:J161)+1,""))</f>
        <v/>
      </c>
    </row>
    <row r="163">
      <c r="A163" s="10" t="inlineStr">
        <is>
          <t>C0162</t>
        </is>
      </c>
      <c r="B163" s="6" t="n"/>
      <c r="C163" s="6" t="n"/>
      <c r="D163" s="6" t="n"/>
      <c r="E163" s="10">
        <f>IF(B163="","",IF(COUNTIFS($B$2:$B$600,B163,$C$2:$C$600,C163)&gt;1,B163&amp;" ("&amp;C163&amp;") "&amp;A163,B163&amp;" ("&amp;C163&amp;")"))</f>
        <v/>
      </c>
      <c r="F163" s="11">
        <f>IF(B163="","",SUMIFS(Entries!$J$2:$J$3000,Entries!$H$2:$H$3000,A163))</f>
        <v/>
      </c>
      <c r="G163" s="11">
        <f>IF(B163="","",_xlfn.MAXIFS(Prizes!$D$2:$D$3000,Prizes!$E$2:$E$3000,A163,Prizes!$G$2:$G$3000,""))</f>
        <v/>
      </c>
      <c r="H163" s="10">
        <f>IF(B163="","",IF(_xlfn.MAXIFS(Levels!$A$2:$A$30,Levels!$A$2:$A$30,"&lt;="&amp;F163)&gt;G163,INDEX(Levels!$B$2:$B$30,MATCH(_xlfn.MAXIFS(Levels!$A$2:$A$30,Levels!$A$2:$A$30,"&lt;="&amp;F163),Levels!$A$2:$A$30,0)),""))</f>
        <v/>
      </c>
      <c r="I163" s="10">
        <f>IF(B163="","",COUNTIFS(Levels!$A$2:$A$30,"&lt;="&amp;F163,Levels!$A$2:$A$30,"&gt;"&amp;G163))</f>
        <v/>
      </c>
      <c r="J163" s="10">
        <f>IF(OR(B163="",TRIM('Find a child'!$B$3)=""),"",IF(ISNUMBER(SEARCH(TRIM('Find a child'!$B$3),B163&amp;" "&amp;C163)),COUNT(J$1:J162)+1,""))</f>
        <v/>
      </c>
    </row>
    <row r="164">
      <c r="A164" s="10" t="inlineStr">
        <is>
          <t>C0163</t>
        </is>
      </c>
      <c r="B164" s="6" t="n"/>
      <c r="C164" s="6" t="n"/>
      <c r="D164" s="6" t="n"/>
      <c r="E164" s="10">
        <f>IF(B164="","",IF(COUNTIFS($B$2:$B$600,B164,$C$2:$C$600,C164)&gt;1,B164&amp;" ("&amp;C164&amp;") "&amp;A164,B164&amp;" ("&amp;C164&amp;")"))</f>
        <v/>
      </c>
      <c r="F164" s="11">
        <f>IF(B164="","",SUMIFS(Entries!$J$2:$J$3000,Entries!$H$2:$H$3000,A164))</f>
        <v/>
      </c>
      <c r="G164" s="11">
        <f>IF(B164="","",_xlfn.MAXIFS(Prizes!$D$2:$D$3000,Prizes!$E$2:$E$3000,A164,Prizes!$G$2:$G$3000,""))</f>
        <v/>
      </c>
      <c r="H164" s="10">
        <f>IF(B164="","",IF(_xlfn.MAXIFS(Levels!$A$2:$A$30,Levels!$A$2:$A$30,"&lt;="&amp;F164)&gt;G164,INDEX(Levels!$B$2:$B$30,MATCH(_xlfn.MAXIFS(Levels!$A$2:$A$30,Levels!$A$2:$A$30,"&lt;="&amp;F164),Levels!$A$2:$A$30,0)),""))</f>
        <v/>
      </c>
      <c r="I164" s="10">
        <f>IF(B164="","",COUNTIFS(Levels!$A$2:$A$30,"&lt;="&amp;F164,Levels!$A$2:$A$30,"&gt;"&amp;G164))</f>
        <v/>
      </c>
      <c r="J164" s="10">
        <f>IF(OR(B164="",TRIM('Find a child'!$B$3)=""),"",IF(ISNUMBER(SEARCH(TRIM('Find a child'!$B$3),B164&amp;" "&amp;C164)),COUNT(J$1:J163)+1,""))</f>
        <v/>
      </c>
    </row>
    <row r="165">
      <c r="A165" s="10" t="inlineStr">
        <is>
          <t>C0164</t>
        </is>
      </c>
      <c r="B165" s="6" t="n"/>
      <c r="C165" s="6" t="n"/>
      <c r="D165" s="6" t="n"/>
      <c r="E165" s="10">
        <f>IF(B165="","",IF(COUNTIFS($B$2:$B$600,B165,$C$2:$C$600,C165)&gt;1,B165&amp;" ("&amp;C165&amp;") "&amp;A165,B165&amp;" ("&amp;C165&amp;")"))</f>
        <v/>
      </c>
      <c r="F165" s="11">
        <f>IF(B165="","",SUMIFS(Entries!$J$2:$J$3000,Entries!$H$2:$H$3000,A165))</f>
        <v/>
      </c>
      <c r="G165" s="11">
        <f>IF(B165="","",_xlfn.MAXIFS(Prizes!$D$2:$D$3000,Prizes!$E$2:$E$3000,A165,Prizes!$G$2:$G$3000,""))</f>
        <v/>
      </c>
      <c r="H165" s="10">
        <f>IF(B165="","",IF(_xlfn.MAXIFS(Levels!$A$2:$A$30,Levels!$A$2:$A$30,"&lt;="&amp;F165)&gt;G165,INDEX(Levels!$B$2:$B$30,MATCH(_xlfn.MAXIFS(Levels!$A$2:$A$30,Levels!$A$2:$A$30,"&lt;="&amp;F165),Levels!$A$2:$A$30,0)),""))</f>
        <v/>
      </c>
      <c r="I165" s="10">
        <f>IF(B165="","",COUNTIFS(Levels!$A$2:$A$30,"&lt;="&amp;F165,Levels!$A$2:$A$30,"&gt;"&amp;G165))</f>
        <v/>
      </c>
      <c r="J165" s="10">
        <f>IF(OR(B165="",TRIM('Find a child'!$B$3)=""),"",IF(ISNUMBER(SEARCH(TRIM('Find a child'!$B$3),B165&amp;" "&amp;C165)),COUNT(J$1:J164)+1,""))</f>
        <v/>
      </c>
    </row>
    <row r="166">
      <c r="A166" s="10" t="inlineStr">
        <is>
          <t>C0165</t>
        </is>
      </c>
      <c r="B166" s="6" t="n"/>
      <c r="C166" s="6" t="n"/>
      <c r="D166" s="6" t="n"/>
      <c r="E166" s="10">
        <f>IF(B166="","",IF(COUNTIFS($B$2:$B$600,B166,$C$2:$C$600,C166)&gt;1,B166&amp;" ("&amp;C166&amp;") "&amp;A166,B166&amp;" ("&amp;C166&amp;")"))</f>
        <v/>
      </c>
      <c r="F166" s="11">
        <f>IF(B166="","",SUMIFS(Entries!$J$2:$J$3000,Entries!$H$2:$H$3000,A166))</f>
        <v/>
      </c>
      <c r="G166" s="11">
        <f>IF(B166="","",_xlfn.MAXIFS(Prizes!$D$2:$D$3000,Prizes!$E$2:$E$3000,A166,Prizes!$G$2:$G$3000,""))</f>
        <v/>
      </c>
      <c r="H166" s="10">
        <f>IF(B166="","",IF(_xlfn.MAXIFS(Levels!$A$2:$A$30,Levels!$A$2:$A$30,"&lt;="&amp;F166)&gt;G166,INDEX(Levels!$B$2:$B$30,MATCH(_xlfn.MAXIFS(Levels!$A$2:$A$30,Levels!$A$2:$A$30,"&lt;="&amp;F166),Levels!$A$2:$A$30,0)),""))</f>
        <v/>
      </c>
      <c r="I166" s="10">
        <f>IF(B166="","",COUNTIFS(Levels!$A$2:$A$30,"&lt;="&amp;F166,Levels!$A$2:$A$30,"&gt;"&amp;G166))</f>
        <v/>
      </c>
      <c r="J166" s="10">
        <f>IF(OR(B166="",TRIM('Find a child'!$B$3)=""),"",IF(ISNUMBER(SEARCH(TRIM('Find a child'!$B$3),B166&amp;" "&amp;C166)),COUNT(J$1:J165)+1,""))</f>
        <v/>
      </c>
    </row>
    <row r="167">
      <c r="A167" s="10" t="inlineStr">
        <is>
          <t>C0166</t>
        </is>
      </c>
      <c r="B167" s="6" t="n"/>
      <c r="C167" s="6" t="n"/>
      <c r="D167" s="6" t="n"/>
      <c r="E167" s="10">
        <f>IF(B167="","",IF(COUNTIFS($B$2:$B$600,B167,$C$2:$C$600,C167)&gt;1,B167&amp;" ("&amp;C167&amp;") "&amp;A167,B167&amp;" ("&amp;C167&amp;")"))</f>
        <v/>
      </c>
      <c r="F167" s="11">
        <f>IF(B167="","",SUMIFS(Entries!$J$2:$J$3000,Entries!$H$2:$H$3000,A167))</f>
        <v/>
      </c>
      <c r="G167" s="11">
        <f>IF(B167="","",_xlfn.MAXIFS(Prizes!$D$2:$D$3000,Prizes!$E$2:$E$3000,A167,Prizes!$G$2:$G$3000,""))</f>
        <v/>
      </c>
      <c r="H167" s="10">
        <f>IF(B167="","",IF(_xlfn.MAXIFS(Levels!$A$2:$A$30,Levels!$A$2:$A$30,"&lt;="&amp;F167)&gt;G167,INDEX(Levels!$B$2:$B$30,MATCH(_xlfn.MAXIFS(Levels!$A$2:$A$30,Levels!$A$2:$A$30,"&lt;="&amp;F167),Levels!$A$2:$A$30,0)),""))</f>
        <v/>
      </c>
      <c r="I167" s="10">
        <f>IF(B167="","",COUNTIFS(Levels!$A$2:$A$30,"&lt;="&amp;F167,Levels!$A$2:$A$30,"&gt;"&amp;G167))</f>
        <v/>
      </c>
      <c r="J167" s="10">
        <f>IF(OR(B167="",TRIM('Find a child'!$B$3)=""),"",IF(ISNUMBER(SEARCH(TRIM('Find a child'!$B$3),B167&amp;" "&amp;C167)),COUNT(J$1:J166)+1,""))</f>
        <v/>
      </c>
    </row>
    <row r="168">
      <c r="A168" s="10" t="inlineStr">
        <is>
          <t>C0167</t>
        </is>
      </c>
      <c r="B168" s="6" t="n"/>
      <c r="C168" s="6" t="n"/>
      <c r="D168" s="6" t="n"/>
      <c r="E168" s="10">
        <f>IF(B168="","",IF(COUNTIFS($B$2:$B$600,B168,$C$2:$C$600,C168)&gt;1,B168&amp;" ("&amp;C168&amp;") "&amp;A168,B168&amp;" ("&amp;C168&amp;")"))</f>
        <v/>
      </c>
      <c r="F168" s="11">
        <f>IF(B168="","",SUMIFS(Entries!$J$2:$J$3000,Entries!$H$2:$H$3000,A168))</f>
        <v/>
      </c>
      <c r="G168" s="11">
        <f>IF(B168="","",_xlfn.MAXIFS(Prizes!$D$2:$D$3000,Prizes!$E$2:$E$3000,A168,Prizes!$G$2:$G$3000,""))</f>
        <v/>
      </c>
      <c r="H168" s="10">
        <f>IF(B168="","",IF(_xlfn.MAXIFS(Levels!$A$2:$A$30,Levels!$A$2:$A$30,"&lt;="&amp;F168)&gt;G168,INDEX(Levels!$B$2:$B$30,MATCH(_xlfn.MAXIFS(Levels!$A$2:$A$30,Levels!$A$2:$A$30,"&lt;="&amp;F168),Levels!$A$2:$A$30,0)),""))</f>
        <v/>
      </c>
      <c r="I168" s="10">
        <f>IF(B168="","",COUNTIFS(Levels!$A$2:$A$30,"&lt;="&amp;F168,Levels!$A$2:$A$30,"&gt;"&amp;G168))</f>
        <v/>
      </c>
      <c r="J168" s="10">
        <f>IF(OR(B168="",TRIM('Find a child'!$B$3)=""),"",IF(ISNUMBER(SEARCH(TRIM('Find a child'!$B$3),B168&amp;" "&amp;C168)),COUNT(J$1:J167)+1,""))</f>
        <v/>
      </c>
    </row>
    <row r="169">
      <c r="A169" s="10" t="inlineStr">
        <is>
          <t>C0168</t>
        </is>
      </c>
      <c r="B169" s="6" t="n"/>
      <c r="C169" s="6" t="n"/>
      <c r="D169" s="6" t="n"/>
      <c r="E169" s="10">
        <f>IF(B169="","",IF(COUNTIFS($B$2:$B$600,B169,$C$2:$C$600,C169)&gt;1,B169&amp;" ("&amp;C169&amp;") "&amp;A169,B169&amp;" ("&amp;C169&amp;")"))</f>
        <v/>
      </c>
      <c r="F169" s="11">
        <f>IF(B169="","",SUMIFS(Entries!$J$2:$J$3000,Entries!$H$2:$H$3000,A169))</f>
        <v/>
      </c>
      <c r="G169" s="11">
        <f>IF(B169="","",_xlfn.MAXIFS(Prizes!$D$2:$D$3000,Prizes!$E$2:$E$3000,A169,Prizes!$G$2:$G$3000,""))</f>
        <v/>
      </c>
      <c r="H169" s="10">
        <f>IF(B169="","",IF(_xlfn.MAXIFS(Levels!$A$2:$A$30,Levels!$A$2:$A$30,"&lt;="&amp;F169)&gt;G169,INDEX(Levels!$B$2:$B$30,MATCH(_xlfn.MAXIFS(Levels!$A$2:$A$30,Levels!$A$2:$A$30,"&lt;="&amp;F169),Levels!$A$2:$A$30,0)),""))</f>
        <v/>
      </c>
      <c r="I169" s="10">
        <f>IF(B169="","",COUNTIFS(Levels!$A$2:$A$30,"&lt;="&amp;F169,Levels!$A$2:$A$30,"&gt;"&amp;G169))</f>
        <v/>
      </c>
      <c r="J169" s="10">
        <f>IF(OR(B169="",TRIM('Find a child'!$B$3)=""),"",IF(ISNUMBER(SEARCH(TRIM('Find a child'!$B$3),B169&amp;" "&amp;C169)),COUNT(J$1:J168)+1,""))</f>
        <v/>
      </c>
    </row>
    <row r="170">
      <c r="A170" s="10" t="inlineStr">
        <is>
          <t>C0169</t>
        </is>
      </c>
      <c r="B170" s="6" t="n"/>
      <c r="C170" s="6" t="n"/>
      <c r="D170" s="6" t="n"/>
      <c r="E170" s="10">
        <f>IF(B170="","",IF(COUNTIFS($B$2:$B$600,B170,$C$2:$C$600,C170)&gt;1,B170&amp;" ("&amp;C170&amp;") "&amp;A170,B170&amp;" ("&amp;C170&amp;")"))</f>
        <v/>
      </c>
      <c r="F170" s="11">
        <f>IF(B170="","",SUMIFS(Entries!$J$2:$J$3000,Entries!$H$2:$H$3000,A170))</f>
        <v/>
      </c>
      <c r="G170" s="11">
        <f>IF(B170="","",_xlfn.MAXIFS(Prizes!$D$2:$D$3000,Prizes!$E$2:$E$3000,A170,Prizes!$G$2:$G$3000,""))</f>
        <v/>
      </c>
      <c r="H170" s="10">
        <f>IF(B170="","",IF(_xlfn.MAXIFS(Levels!$A$2:$A$30,Levels!$A$2:$A$30,"&lt;="&amp;F170)&gt;G170,INDEX(Levels!$B$2:$B$30,MATCH(_xlfn.MAXIFS(Levels!$A$2:$A$30,Levels!$A$2:$A$30,"&lt;="&amp;F170),Levels!$A$2:$A$30,0)),""))</f>
        <v/>
      </c>
      <c r="I170" s="10">
        <f>IF(B170="","",COUNTIFS(Levels!$A$2:$A$30,"&lt;="&amp;F170,Levels!$A$2:$A$30,"&gt;"&amp;G170))</f>
        <v/>
      </c>
      <c r="J170" s="10">
        <f>IF(OR(B170="",TRIM('Find a child'!$B$3)=""),"",IF(ISNUMBER(SEARCH(TRIM('Find a child'!$B$3),B170&amp;" "&amp;C170)),COUNT(J$1:J169)+1,""))</f>
        <v/>
      </c>
    </row>
    <row r="171">
      <c r="A171" s="10" t="inlineStr">
        <is>
          <t>C0170</t>
        </is>
      </c>
      <c r="B171" s="6" t="n"/>
      <c r="C171" s="6" t="n"/>
      <c r="D171" s="6" t="n"/>
      <c r="E171" s="10">
        <f>IF(B171="","",IF(COUNTIFS($B$2:$B$600,B171,$C$2:$C$600,C171)&gt;1,B171&amp;" ("&amp;C171&amp;") "&amp;A171,B171&amp;" ("&amp;C171&amp;")"))</f>
        <v/>
      </c>
      <c r="F171" s="11">
        <f>IF(B171="","",SUMIFS(Entries!$J$2:$J$3000,Entries!$H$2:$H$3000,A171))</f>
        <v/>
      </c>
      <c r="G171" s="11">
        <f>IF(B171="","",_xlfn.MAXIFS(Prizes!$D$2:$D$3000,Prizes!$E$2:$E$3000,A171,Prizes!$G$2:$G$3000,""))</f>
        <v/>
      </c>
      <c r="H171" s="10">
        <f>IF(B171="","",IF(_xlfn.MAXIFS(Levels!$A$2:$A$30,Levels!$A$2:$A$30,"&lt;="&amp;F171)&gt;G171,INDEX(Levels!$B$2:$B$30,MATCH(_xlfn.MAXIFS(Levels!$A$2:$A$30,Levels!$A$2:$A$30,"&lt;="&amp;F171),Levels!$A$2:$A$30,0)),""))</f>
        <v/>
      </c>
      <c r="I171" s="10">
        <f>IF(B171="","",COUNTIFS(Levels!$A$2:$A$30,"&lt;="&amp;F171,Levels!$A$2:$A$30,"&gt;"&amp;G171))</f>
        <v/>
      </c>
      <c r="J171" s="10">
        <f>IF(OR(B171="",TRIM('Find a child'!$B$3)=""),"",IF(ISNUMBER(SEARCH(TRIM('Find a child'!$B$3),B171&amp;" "&amp;C171)),COUNT(J$1:J170)+1,""))</f>
        <v/>
      </c>
    </row>
    <row r="172">
      <c r="A172" s="10" t="inlineStr">
        <is>
          <t>C0171</t>
        </is>
      </c>
      <c r="B172" s="6" t="n"/>
      <c r="C172" s="6" t="n"/>
      <c r="D172" s="6" t="n"/>
      <c r="E172" s="10">
        <f>IF(B172="","",IF(COUNTIFS($B$2:$B$600,B172,$C$2:$C$600,C172)&gt;1,B172&amp;" ("&amp;C172&amp;") "&amp;A172,B172&amp;" ("&amp;C172&amp;")"))</f>
        <v/>
      </c>
      <c r="F172" s="11">
        <f>IF(B172="","",SUMIFS(Entries!$J$2:$J$3000,Entries!$H$2:$H$3000,A172))</f>
        <v/>
      </c>
      <c r="G172" s="11">
        <f>IF(B172="","",_xlfn.MAXIFS(Prizes!$D$2:$D$3000,Prizes!$E$2:$E$3000,A172,Prizes!$G$2:$G$3000,""))</f>
        <v/>
      </c>
      <c r="H172" s="10">
        <f>IF(B172="","",IF(_xlfn.MAXIFS(Levels!$A$2:$A$30,Levels!$A$2:$A$30,"&lt;="&amp;F172)&gt;G172,INDEX(Levels!$B$2:$B$30,MATCH(_xlfn.MAXIFS(Levels!$A$2:$A$30,Levels!$A$2:$A$30,"&lt;="&amp;F172),Levels!$A$2:$A$30,0)),""))</f>
        <v/>
      </c>
      <c r="I172" s="10">
        <f>IF(B172="","",COUNTIFS(Levels!$A$2:$A$30,"&lt;="&amp;F172,Levels!$A$2:$A$30,"&gt;"&amp;G172))</f>
        <v/>
      </c>
      <c r="J172" s="10">
        <f>IF(OR(B172="",TRIM('Find a child'!$B$3)=""),"",IF(ISNUMBER(SEARCH(TRIM('Find a child'!$B$3),B172&amp;" "&amp;C172)),COUNT(J$1:J171)+1,""))</f>
        <v/>
      </c>
    </row>
    <row r="173">
      <c r="A173" s="10" t="inlineStr">
        <is>
          <t>C0172</t>
        </is>
      </c>
      <c r="B173" s="6" t="n"/>
      <c r="C173" s="6" t="n"/>
      <c r="D173" s="6" t="n"/>
      <c r="E173" s="10">
        <f>IF(B173="","",IF(COUNTIFS($B$2:$B$600,B173,$C$2:$C$600,C173)&gt;1,B173&amp;" ("&amp;C173&amp;") "&amp;A173,B173&amp;" ("&amp;C173&amp;")"))</f>
        <v/>
      </c>
      <c r="F173" s="11">
        <f>IF(B173="","",SUMIFS(Entries!$J$2:$J$3000,Entries!$H$2:$H$3000,A173))</f>
        <v/>
      </c>
      <c r="G173" s="11">
        <f>IF(B173="","",_xlfn.MAXIFS(Prizes!$D$2:$D$3000,Prizes!$E$2:$E$3000,A173,Prizes!$G$2:$G$3000,""))</f>
        <v/>
      </c>
      <c r="H173" s="10">
        <f>IF(B173="","",IF(_xlfn.MAXIFS(Levels!$A$2:$A$30,Levels!$A$2:$A$30,"&lt;="&amp;F173)&gt;G173,INDEX(Levels!$B$2:$B$30,MATCH(_xlfn.MAXIFS(Levels!$A$2:$A$30,Levels!$A$2:$A$30,"&lt;="&amp;F173),Levels!$A$2:$A$30,0)),""))</f>
        <v/>
      </c>
      <c r="I173" s="10">
        <f>IF(B173="","",COUNTIFS(Levels!$A$2:$A$30,"&lt;="&amp;F173,Levels!$A$2:$A$30,"&gt;"&amp;G173))</f>
        <v/>
      </c>
      <c r="J173" s="10">
        <f>IF(OR(B173="",TRIM('Find a child'!$B$3)=""),"",IF(ISNUMBER(SEARCH(TRIM('Find a child'!$B$3),B173&amp;" "&amp;C173)),COUNT(J$1:J172)+1,""))</f>
        <v/>
      </c>
    </row>
    <row r="174">
      <c r="A174" s="10" t="inlineStr">
        <is>
          <t>C0173</t>
        </is>
      </c>
      <c r="B174" s="6" t="n"/>
      <c r="C174" s="6" t="n"/>
      <c r="D174" s="6" t="n"/>
      <c r="E174" s="10">
        <f>IF(B174="","",IF(COUNTIFS($B$2:$B$600,B174,$C$2:$C$600,C174)&gt;1,B174&amp;" ("&amp;C174&amp;") "&amp;A174,B174&amp;" ("&amp;C174&amp;")"))</f>
        <v/>
      </c>
      <c r="F174" s="11">
        <f>IF(B174="","",SUMIFS(Entries!$J$2:$J$3000,Entries!$H$2:$H$3000,A174))</f>
        <v/>
      </c>
      <c r="G174" s="11">
        <f>IF(B174="","",_xlfn.MAXIFS(Prizes!$D$2:$D$3000,Prizes!$E$2:$E$3000,A174,Prizes!$G$2:$G$3000,""))</f>
        <v/>
      </c>
      <c r="H174" s="10">
        <f>IF(B174="","",IF(_xlfn.MAXIFS(Levels!$A$2:$A$30,Levels!$A$2:$A$30,"&lt;="&amp;F174)&gt;G174,INDEX(Levels!$B$2:$B$30,MATCH(_xlfn.MAXIFS(Levels!$A$2:$A$30,Levels!$A$2:$A$30,"&lt;="&amp;F174),Levels!$A$2:$A$30,0)),""))</f>
        <v/>
      </c>
      <c r="I174" s="10">
        <f>IF(B174="","",COUNTIFS(Levels!$A$2:$A$30,"&lt;="&amp;F174,Levels!$A$2:$A$30,"&gt;"&amp;G174))</f>
        <v/>
      </c>
      <c r="J174" s="10">
        <f>IF(OR(B174="",TRIM('Find a child'!$B$3)=""),"",IF(ISNUMBER(SEARCH(TRIM('Find a child'!$B$3),B174&amp;" "&amp;C174)),COUNT(J$1:J173)+1,""))</f>
        <v/>
      </c>
    </row>
    <row r="175">
      <c r="A175" s="10" t="inlineStr">
        <is>
          <t>C0174</t>
        </is>
      </c>
      <c r="B175" s="6" t="n"/>
      <c r="C175" s="6" t="n"/>
      <c r="D175" s="6" t="n"/>
      <c r="E175" s="10">
        <f>IF(B175="","",IF(COUNTIFS($B$2:$B$600,B175,$C$2:$C$600,C175)&gt;1,B175&amp;" ("&amp;C175&amp;") "&amp;A175,B175&amp;" ("&amp;C175&amp;")"))</f>
        <v/>
      </c>
      <c r="F175" s="11">
        <f>IF(B175="","",SUMIFS(Entries!$J$2:$J$3000,Entries!$H$2:$H$3000,A175))</f>
        <v/>
      </c>
      <c r="G175" s="11">
        <f>IF(B175="","",_xlfn.MAXIFS(Prizes!$D$2:$D$3000,Prizes!$E$2:$E$3000,A175,Prizes!$G$2:$G$3000,""))</f>
        <v/>
      </c>
      <c r="H175" s="10">
        <f>IF(B175="","",IF(_xlfn.MAXIFS(Levels!$A$2:$A$30,Levels!$A$2:$A$30,"&lt;="&amp;F175)&gt;G175,INDEX(Levels!$B$2:$B$30,MATCH(_xlfn.MAXIFS(Levels!$A$2:$A$30,Levels!$A$2:$A$30,"&lt;="&amp;F175),Levels!$A$2:$A$30,0)),""))</f>
        <v/>
      </c>
      <c r="I175" s="10">
        <f>IF(B175="","",COUNTIFS(Levels!$A$2:$A$30,"&lt;="&amp;F175,Levels!$A$2:$A$30,"&gt;"&amp;G175))</f>
        <v/>
      </c>
      <c r="J175" s="10">
        <f>IF(OR(B175="",TRIM('Find a child'!$B$3)=""),"",IF(ISNUMBER(SEARCH(TRIM('Find a child'!$B$3),B175&amp;" "&amp;C175)),COUNT(J$1:J174)+1,""))</f>
        <v/>
      </c>
    </row>
    <row r="176">
      <c r="A176" s="10" t="inlineStr">
        <is>
          <t>C0175</t>
        </is>
      </c>
      <c r="B176" s="6" t="n"/>
      <c r="C176" s="6" t="n"/>
      <c r="D176" s="6" t="n"/>
      <c r="E176" s="10">
        <f>IF(B176="","",IF(COUNTIFS($B$2:$B$600,B176,$C$2:$C$600,C176)&gt;1,B176&amp;" ("&amp;C176&amp;") "&amp;A176,B176&amp;" ("&amp;C176&amp;")"))</f>
        <v/>
      </c>
      <c r="F176" s="11">
        <f>IF(B176="","",SUMIFS(Entries!$J$2:$J$3000,Entries!$H$2:$H$3000,A176))</f>
        <v/>
      </c>
      <c r="G176" s="11">
        <f>IF(B176="","",_xlfn.MAXIFS(Prizes!$D$2:$D$3000,Prizes!$E$2:$E$3000,A176,Prizes!$G$2:$G$3000,""))</f>
        <v/>
      </c>
      <c r="H176" s="10">
        <f>IF(B176="","",IF(_xlfn.MAXIFS(Levels!$A$2:$A$30,Levels!$A$2:$A$30,"&lt;="&amp;F176)&gt;G176,INDEX(Levels!$B$2:$B$30,MATCH(_xlfn.MAXIFS(Levels!$A$2:$A$30,Levels!$A$2:$A$30,"&lt;="&amp;F176),Levels!$A$2:$A$30,0)),""))</f>
        <v/>
      </c>
      <c r="I176" s="10">
        <f>IF(B176="","",COUNTIFS(Levels!$A$2:$A$30,"&lt;="&amp;F176,Levels!$A$2:$A$30,"&gt;"&amp;G176))</f>
        <v/>
      </c>
      <c r="J176" s="10">
        <f>IF(OR(B176="",TRIM('Find a child'!$B$3)=""),"",IF(ISNUMBER(SEARCH(TRIM('Find a child'!$B$3),B176&amp;" "&amp;C176)),COUNT(J$1:J175)+1,""))</f>
        <v/>
      </c>
    </row>
    <row r="177">
      <c r="A177" s="10" t="inlineStr">
        <is>
          <t>C0176</t>
        </is>
      </c>
      <c r="B177" s="6" t="n"/>
      <c r="C177" s="6" t="n"/>
      <c r="D177" s="6" t="n"/>
      <c r="E177" s="10">
        <f>IF(B177="","",IF(COUNTIFS($B$2:$B$600,B177,$C$2:$C$600,C177)&gt;1,B177&amp;" ("&amp;C177&amp;") "&amp;A177,B177&amp;" ("&amp;C177&amp;")"))</f>
        <v/>
      </c>
      <c r="F177" s="11">
        <f>IF(B177="","",SUMIFS(Entries!$J$2:$J$3000,Entries!$H$2:$H$3000,A177))</f>
        <v/>
      </c>
      <c r="G177" s="11">
        <f>IF(B177="","",_xlfn.MAXIFS(Prizes!$D$2:$D$3000,Prizes!$E$2:$E$3000,A177,Prizes!$G$2:$G$3000,""))</f>
        <v/>
      </c>
      <c r="H177" s="10">
        <f>IF(B177="","",IF(_xlfn.MAXIFS(Levels!$A$2:$A$30,Levels!$A$2:$A$30,"&lt;="&amp;F177)&gt;G177,INDEX(Levels!$B$2:$B$30,MATCH(_xlfn.MAXIFS(Levels!$A$2:$A$30,Levels!$A$2:$A$30,"&lt;="&amp;F177),Levels!$A$2:$A$30,0)),""))</f>
        <v/>
      </c>
      <c r="I177" s="10">
        <f>IF(B177="","",COUNTIFS(Levels!$A$2:$A$30,"&lt;="&amp;F177,Levels!$A$2:$A$30,"&gt;"&amp;G177))</f>
        <v/>
      </c>
      <c r="J177" s="10">
        <f>IF(OR(B177="",TRIM('Find a child'!$B$3)=""),"",IF(ISNUMBER(SEARCH(TRIM('Find a child'!$B$3),B177&amp;" "&amp;C177)),COUNT(J$1:J176)+1,""))</f>
        <v/>
      </c>
    </row>
    <row r="178">
      <c r="A178" s="10" t="inlineStr">
        <is>
          <t>C0177</t>
        </is>
      </c>
      <c r="B178" s="6" t="n"/>
      <c r="C178" s="6" t="n"/>
      <c r="D178" s="6" t="n"/>
      <c r="E178" s="10">
        <f>IF(B178="","",IF(COUNTIFS($B$2:$B$600,B178,$C$2:$C$600,C178)&gt;1,B178&amp;" ("&amp;C178&amp;") "&amp;A178,B178&amp;" ("&amp;C178&amp;")"))</f>
        <v/>
      </c>
      <c r="F178" s="11">
        <f>IF(B178="","",SUMIFS(Entries!$J$2:$J$3000,Entries!$H$2:$H$3000,A178))</f>
        <v/>
      </c>
      <c r="G178" s="11">
        <f>IF(B178="","",_xlfn.MAXIFS(Prizes!$D$2:$D$3000,Prizes!$E$2:$E$3000,A178,Prizes!$G$2:$G$3000,""))</f>
        <v/>
      </c>
      <c r="H178" s="10">
        <f>IF(B178="","",IF(_xlfn.MAXIFS(Levels!$A$2:$A$30,Levels!$A$2:$A$30,"&lt;="&amp;F178)&gt;G178,INDEX(Levels!$B$2:$B$30,MATCH(_xlfn.MAXIFS(Levels!$A$2:$A$30,Levels!$A$2:$A$30,"&lt;="&amp;F178),Levels!$A$2:$A$30,0)),""))</f>
        <v/>
      </c>
      <c r="I178" s="10">
        <f>IF(B178="","",COUNTIFS(Levels!$A$2:$A$30,"&lt;="&amp;F178,Levels!$A$2:$A$30,"&gt;"&amp;G178))</f>
        <v/>
      </c>
      <c r="J178" s="10">
        <f>IF(OR(B178="",TRIM('Find a child'!$B$3)=""),"",IF(ISNUMBER(SEARCH(TRIM('Find a child'!$B$3),B178&amp;" "&amp;C178)),COUNT(J$1:J177)+1,""))</f>
        <v/>
      </c>
    </row>
    <row r="179">
      <c r="A179" s="10" t="inlineStr">
        <is>
          <t>C0178</t>
        </is>
      </c>
      <c r="B179" s="6" t="n"/>
      <c r="C179" s="6" t="n"/>
      <c r="D179" s="6" t="n"/>
      <c r="E179" s="10">
        <f>IF(B179="","",IF(COUNTIFS($B$2:$B$600,B179,$C$2:$C$600,C179)&gt;1,B179&amp;" ("&amp;C179&amp;") "&amp;A179,B179&amp;" ("&amp;C179&amp;")"))</f>
        <v/>
      </c>
      <c r="F179" s="11">
        <f>IF(B179="","",SUMIFS(Entries!$J$2:$J$3000,Entries!$H$2:$H$3000,A179))</f>
        <v/>
      </c>
      <c r="G179" s="11">
        <f>IF(B179="","",_xlfn.MAXIFS(Prizes!$D$2:$D$3000,Prizes!$E$2:$E$3000,A179,Prizes!$G$2:$G$3000,""))</f>
        <v/>
      </c>
      <c r="H179" s="10">
        <f>IF(B179="","",IF(_xlfn.MAXIFS(Levels!$A$2:$A$30,Levels!$A$2:$A$30,"&lt;="&amp;F179)&gt;G179,INDEX(Levels!$B$2:$B$30,MATCH(_xlfn.MAXIFS(Levels!$A$2:$A$30,Levels!$A$2:$A$30,"&lt;="&amp;F179),Levels!$A$2:$A$30,0)),""))</f>
        <v/>
      </c>
      <c r="I179" s="10">
        <f>IF(B179="","",COUNTIFS(Levels!$A$2:$A$30,"&lt;="&amp;F179,Levels!$A$2:$A$30,"&gt;"&amp;G179))</f>
        <v/>
      </c>
      <c r="J179" s="10">
        <f>IF(OR(B179="",TRIM('Find a child'!$B$3)=""),"",IF(ISNUMBER(SEARCH(TRIM('Find a child'!$B$3),B179&amp;" "&amp;C179)),COUNT(J$1:J178)+1,""))</f>
        <v/>
      </c>
    </row>
    <row r="180">
      <c r="A180" s="10" t="inlineStr">
        <is>
          <t>C0179</t>
        </is>
      </c>
      <c r="B180" s="6" t="n"/>
      <c r="C180" s="6" t="n"/>
      <c r="D180" s="6" t="n"/>
      <c r="E180" s="10">
        <f>IF(B180="","",IF(COUNTIFS($B$2:$B$600,B180,$C$2:$C$600,C180)&gt;1,B180&amp;" ("&amp;C180&amp;") "&amp;A180,B180&amp;" ("&amp;C180&amp;")"))</f>
        <v/>
      </c>
      <c r="F180" s="11">
        <f>IF(B180="","",SUMIFS(Entries!$J$2:$J$3000,Entries!$H$2:$H$3000,A180))</f>
        <v/>
      </c>
      <c r="G180" s="11">
        <f>IF(B180="","",_xlfn.MAXIFS(Prizes!$D$2:$D$3000,Prizes!$E$2:$E$3000,A180,Prizes!$G$2:$G$3000,""))</f>
        <v/>
      </c>
      <c r="H180" s="10">
        <f>IF(B180="","",IF(_xlfn.MAXIFS(Levels!$A$2:$A$30,Levels!$A$2:$A$30,"&lt;="&amp;F180)&gt;G180,INDEX(Levels!$B$2:$B$30,MATCH(_xlfn.MAXIFS(Levels!$A$2:$A$30,Levels!$A$2:$A$30,"&lt;="&amp;F180),Levels!$A$2:$A$30,0)),""))</f>
        <v/>
      </c>
      <c r="I180" s="10">
        <f>IF(B180="","",COUNTIFS(Levels!$A$2:$A$30,"&lt;="&amp;F180,Levels!$A$2:$A$30,"&gt;"&amp;G180))</f>
        <v/>
      </c>
      <c r="J180" s="10">
        <f>IF(OR(B180="",TRIM('Find a child'!$B$3)=""),"",IF(ISNUMBER(SEARCH(TRIM('Find a child'!$B$3),B180&amp;" "&amp;C180)),COUNT(J$1:J179)+1,""))</f>
        <v/>
      </c>
    </row>
    <row r="181">
      <c r="A181" s="10" t="inlineStr">
        <is>
          <t>C0180</t>
        </is>
      </c>
      <c r="B181" s="6" t="n"/>
      <c r="C181" s="6" t="n"/>
      <c r="D181" s="6" t="n"/>
      <c r="E181" s="10">
        <f>IF(B181="","",IF(COUNTIFS($B$2:$B$600,B181,$C$2:$C$600,C181)&gt;1,B181&amp;" ("&amp;C181&amp;") "&amp;A181,B181&amp;" ("&amp;C181&amp;")"))</f>
        <v/>
      </c>
      <c r="F181" s="11">
        <f>IF(B181="","",SUMIFS(Entries!$J$2:$J$3000,Entries!$H$2:$H$3000,A181))</f>
        <v/>
      </c>
      <c r="G181" s="11">
        <f>IF(B181="","",_xlfn.MAXIFS(Prizes!$D$2:$D$3000,Prizes!$E$2:$E$3000,A181,Prizes!$G$2:$G$3000,""))</f>
        <v/>
      </c>
      <c r="H181" s="10">
        <f>IF(B181="","",IF(_xlfn.MAXIFS(Levels!$A$2:$A$30,Levels!$A$2:$A$30,"&lt;="&amp;F181)&gt;G181,INDEX(Levels!$B$2:$B$30,MATCH(_xlfn.MAXIFS(Levels!$A$2:$A$30,Levels!$A$2:$A$30,"&lt;="&amp;F181),Levels!$A$2:$A$30,0)),""))</f>
        <v/>
      </c>
      <c r="I181" s="10">
        <f>IF(B181="","",COUNTIFS(Levels!$A$2:$A$30,"&lt;="&amp;F181,Levels!$A$2:$A$30,"&gt;"&amp;G181))</f>
        <v/>
      </c>
      <c r="J181" s="10">
        <f>IF(OR(B181="",TRIM('Find a child'!$B$3)=""),"",IF(ISNUMBER(SEARCH(TRIM('Find a child'!$B$3),B181&amp;" "&amp;C181)),COUNT(J$1:J180)+1,""))</f>
        <v/>
      </c>
    </row>
    <row r="182">
      <c r="A182" s="10" t="inlineStr">
        <is>
          <t>C0181</t>
        </is>
      </c>
      <c r="B182" s="6" t="n"/>
      <c r="C182" s="6" t="n"/>
      <c r="D182" s="6" t="n"/>
      <c r="E182" s="10">
        <f>IF(B182="","",IF(COUNTIFS($B$2:$B$600,B182,$C$2:$C$600,C182)&gt;1,B182&amp;" ("&amp;C182&amp;") "&amp;A182,B182&amp;" ("&amp;C182&amp;")"))</f>
        <v/>
      </c>
      <c r="F182" s="11">
        <f>IF(B182="","",SUMIFS(Entries!$J$2:$J$3000,Entries!$H$2:$H$3000,A182))</f>
        <v/>
      </c>
      <c r="G182" s="11">
        <f>IF(B182="","",_xlfn.MAXIFS(Prizes!$D$2:$D$3000,Prizes!$E$2:$E$3000,A182,Prizes!$G$2:$G$3000,""))</f>
        <v/>
      </c>
      <c r="H182" s="10">
        <f>IF(B182="","",IF(_xlfn.MAXIFS(Levels!$A$2:$A$30,Levels!$A$2:$A$30,"&lt;="&amp;F182)&gt;G182,INDEX(Levels!$B$2:$B$30,MATCH(_xlfn.MAXIFS(Levels!$A$2:$A$30,Levels!$A$2:$A$30,"&lt;="&amp;F182),Levels!$A$2:$A$30,0)),""))</f>
        <v/>
      </c>
      <c r="I182" s="10">
        <f>IF(B182="","",COUNTIFS(Levels!$A$2:$A$30,"&lt;="&amp;F182,Levels!$A$2:$A$30,"&gt;"&amp;G182))</f>
        <v/>
      </c>
      <c r="J182" s="10">
        <f>IF(OR(B182="",TRIM('Find a child'!$B$3)=""),"",IF(ISNUMBER(SEARCH(TRIM('Find a child'!$B$3),B182&amp;" "&amp;C182)),COUNT(J$1:J181)+1,""))</f>
        <v/>
      </c>
    </row>
    <row r="183">
      <c r="A183" s="10" t="inlineStr">
        <is>
          <t>C0182</t>
        </is>
      </c>
      <c r="B183" s="6" t="n"/>
      <c r="C183" s="6" t="n"/>
      <c r="D183" s="6" t="n"/>
      <c r="E183" s="10">
        <f>IF(B183="","",IF(COUNTIFS($B$2:$B$600,B183,$C$2:$C$600,C183)&gt;1,B183&amp;" ("&amp;C183&amp;") "&amp;A183,B183&amp;" ("&amp;C183&amp;")"))</f>
        <v/>
      </c>
      <c r="F183" s="11">
        <f>IF(B183="","",SUMIFS(Entries!$J$2:$J$3000,Entries!$H$2:$H$3000,A183))</f>
        <v/>
      </c>
      <c r="G183" s="11">
        <f>IF(B183="","",_xlfn.MAXIFS(Prizes!$D$2:$D$3000,Prizes!$E$2:$E$3000,A183,Prizes!$G$2:$G$3000,""))</f>
        <v/>
      </c>
      <c r="H183" s="10">
        <f>IF(B183="","",IF(_xlfn.MAXIFS(Levels!$A$2:$A$30,Levels!$A$2:$A$30,"&lt;="&amp;F183)&gt;G183,INDEX(Levels!$B$2:$B$30,MATCH(_xlfn.MAXIFS(Levels!$A$2:$A$30,Levels!$A$2:$A$30,"&lt;="&amp;F183),Levels!$A$2:$A$30,0)),""))</f>
        <v/>
      </c>
      <c r="I183" s="10">
        <f>IF(B183="","",COUNTIFS(Levels!$A$2:$A$30,"&lt;="&amp;F183,Levels!$A$2:$A$30,"&gt;"&amp;G183))</f>
        <v/>
      </c>
      <c r="J183" s="10">
        <f>IF(OR(B183="",TRIM('Find a child'!$B$3)=""),"",IF(ISNUMBER(SEARCH(TRIM('Find a child'!$B$3),B183&amp;" "&amp;C183)),COUNT(J$1:J182)+1,""))</f>
        <v/>
      </c>
    </row>
    <row r="184">
      <c r="A184" s="10" t="inlineStr">
        <is>
          <t>C0183</t>
        </is>
      </c>
      <c r="B184" s="6" t="n"/>
      <c r="C184" s="6" t="n"/>
      <c r="D184" s="6" t="n"/>
      <c r="E184" s="10">
        <f>IF(B184="","",IF(COUNTIFS($B$2:$B$600,B184,$C$2:$C$600,C184)&gt;1,B184&amp;" ("&amp;C184&amp;") "&amp;A184,B184&amp;" ("&amp;C184&amp;")"))</f>
        <v/>
      </c>
      <c r="F184" s="11">
        <f>IF(B184="","",SUMIFS(Entries!$J$2:$J$3000,Entries!$H$2:$H$3000,A184))</f>
        <v/>
      </c>
      <c r="G184" s="11">
        <f>IF(B184="","",_xlfn.MAXIFS(Prizes!$D$2:$D$3000,Prizes!$E$2:$E$3000,A184,Prizes!$G$2:$G$3000,""))</f>
        <v/>
      </c>
      <c r="H184" s="10">
        <f>IF(B184="","",IF(_xlfn.MAXIFS(Levels!$A$2:$A$30,Levels!$A$2:$A$30,"&lt;="&amp;F184)&gt;G184,INDEX(Levels!$B$2:$B$30,MATCH(_xlfn.MAXIFS(Levels!$A$2:$A$30,Levels!$A$2:$A$30,"&lt;="&amp;F184),Levels!$A$2:$A$30,0)),""))</f>
        <v/>
      </c>
      <c r="I184" s="10">
        <f>IF(B184="","",COUNTIFS(Levels!$A$2:$A$30,"&lt;="&amp;F184,Levels!$A$2:$A$30,"&gt;"&amp;G184))</f>
        <v/>
      </c>
      <c r="J184" s="10">
        <f>IF(OR(B184="",TRIM('Find a child'!$B$3)=""),"",IF(ISNUMBER(SEARCH(TRIM('Find a child'!$B$3),B184&amp;" "&amp;C184)),COUNT(J$1:J183)+1,""))</f>
        <v/>
      </c>
    </row>
    <row r="185">
      <c r="A185" s="10" t="inlineStr">
        <is>
          <t>C0184</t>
        </is>
      </c>
      <c r="B185" s="6" t="n"/>
      <c r="C185" s="6" t="n"/>
      <c r="D185" s="6" t="n"/>
      <c r="E185" s="10">
        <f>IF(B185="","",IF(COUNTIFS($B$2:$B$600,B185,$C$2:$C$600,C185)&gt;1,B185&amp;" ("&amp;C185&amp;") "&amp;A185,B185&amp;" ("&amp;C185&amp;")"))</f>
        <v/>
      </c>
      <c r="F185" s="11">
        <f>IF(B185="","",SUMIFS(Entries!$J$2:$J$3000,Entries!$H$2:$H$3000,A185))</f>
        <v/>
      </c>
      <c r="G185" s="11">
        <f>IF(B185="","",_xlfn.MAXIFS(Prizes!$D$2:$D$3000,Prizes!$E$2:$E$3000,A185,Prizes!$G$2:$G$3000,""))</f>
        <v/>
      </c>
      <c r="H185" s="10">
        <f>IF(B185="","",IF(_xlfn.MAXIFS(Levels!$A$2:$A$30,Levels!$A$2:$A$30,"&lt;="&amp;F185)&gt;G185,INDEX(Levels!$B$2:$B$30,MATCH(_xlfn.MAXIFS(Levels!$A$2:$A$30,Levels!$A$2:$A$30,"&lt;="&amp;F185),Levels!$A$2:$A$30,0)),""))</f>
        <v/>
      </c>
      <c r="I185" s="10">
        <f>IF(B185="","",COUNTIFS(Levels!$A$2:$A$30,"&lt;="&amp;F185,Levels!$A$2:$A$30,"&gt;"&amp;G185))</f>
        <v/>
      </c>
      <c r="J185" s="10">
        <f>IF(OR(B185="",TRIM('Find a child'!$B$3)=""),"",IF(ISNUMBER(SEARCH(TRIM('Find a child'!$B$3),B185&amp;" "&amp;C185)),COUNT(J$1:J184)+1,""))</f>
        <v/>
      </c>
    </row>
    <row r="186">
      <c r="A186" s="10" t="inlineStr">
        <is>
          <t>C0185</t>
        </is>
      </c>
      <c r="B186" s="6" t="n"/>
      <c r="C186" s="6" t="n"/>
      <c r="D186" s="6" t="n"/>
      <c r="E186" s="10">
        <f>IF(B186="","",IF(COUNTIFS($B$2:$B$600,B186,$C$2:$C$600,C186)&gt;1,B186&amp;" ("&amp;C186&amp;") "&amp;A186,B186&amp;" ("&amp;C186&amp;")"))</f>
        <v/>
      </c>
      <c r="F186" s="11">
        <f>IF(B186="","",SUMIFS(Entries!$J$2:$J$3000,Entries!$H$2:$H$3000,A186))</f>
        <v/>
      </c>
      <c r="G186" s="11">
        <f>IF(B186="","",_xlfn.MAXIFS(Prizes!$D$2:$D$3000,Prizes!$E$2:$E$3000,A186,Prizes!$G$2:$G$3000,""))</f>
        <v/>
      </c>
      <c r="H186" s="10">
        <f>IF(B186="","",IF(_xlfn.MAXIFS(Levels!$A$2:$A$30,Levels!$A$2:$A$30,"&lt;="&amp;F186)&gt;G186,INDEX(Levels!$B$2:$B$30,MATCH(_xlfn.MAXIFS(Levels!$A$2:$A$30,Levels!$A$2:$A$30,"&lt;="&amp;F186),Levels!$A$2:$A$30,0)),""))</f>
        <v/>
      </c>
      <c r="I186" s="10">
        <f>IF(B186="","",COUNTIFS(Levels!$A$2:$A$30,"&lt;="&amp;F186,Levels!$A$2:$A$30,"&gt;"&amp;G186))</f>
        <v/>
      </c>
      <c r="J186" s="10">
        <f>IF(OR(B186="",TRIM('Find a child'!$B$3)=""),"",IF(ISNUMBER(SEARCH(TRIM('Find a child'!$B$3),B186&amp;" "&amp;C186)),COUNT(J$1:J185)+1,""))</f>
        <v/>
      </c>
    </row>
    <row r="187">
      <c r="A187" s="10" t="inlineStr">
        <is>
          <t>C0186</t>
        </is>
      </c>
      <c r="B187" s="6" t="n"/>
      <c r="C187" s="6" t="n"/>
      <c r="D187" s="6" t="n"/>
      <c r="E187" s="10">
        <f>IF(B187="","",IF(COUNTIFS($B$2:$B$600,B187,$C$2:$C$600,C187)&gt;1,B187&amp;" ("&amp;C187&amp;") "&amp;A187,B187&amp;" ("&amp;C187&amp;")"))</f>
        <v/>
      </c>
      <c r="F187" s="11">
        <f>IF(B187="","",SUMIFS(Entries!$J$2:$J$3000,Entries!$H$2:$H$3000,A187))</f>
        <v/>
      </c>
      <c r="G187" s="11">
        <f>IF(B187="","",_xlfn.MAXIFS(Prizes!$D$2:$D$3000,Prizes!$E$2:$E$3000,A187,Prizes!$G$2:$G$3000,""))</f>
        <v/>
      </c>
      <c r="H187" s="10">
        <f>IF(B187="","",IF(_xlfn.MAXIFS(Levels!$A$2:$A$30,Levels!$A$2:$A$30,"&lt;="&amp;F187)&gt;G187,INDEX(Levels!$B$2:$B$30,MATCH(_xlfn.MAXIFS(Levels!$A$2:$A$30,Levels!$A$2:$A$30,"&lt;="&amp;F187),Levels!$A$2:$A$30,0)),""))</f>
        <v/>
      </c>
      <c r="I187" s="10">
        <f>IF(B187="","",COUNTIFS(Levels!$A$2:$A$30,"&lt;="&amp;F187,Levels!$A$2:$A$30,"&gt;"&amp;G187))</f>
        <v/>
      </c>
      <c r="J187" s="10">
        <f>IF(OR(B187="",TRIM('Find a child'!$B$3)=""),"",IF(ISNUMBER(SEARCH(TRIM('Find a child'!$B$3),B187&amp;" "&amp;C187)),COUNT(J$1:J186)+1,""))</f>
        <v/>
      </c>
    </row>
    <row r="188">
      <c r="A188" s="10" t="inlineStr">
        <is>
          <t>C0187</t>
        </is>
      </c>
      <c r="B188" s="6" t="n"/>
      <c r="C188" s="6" t="n"/>
      <c r="D188" s="6" t="n"/>
      <c r="E188" s="10">
        <f>IF(B188="","",IF(COUNTIFS($B$2:$B$600,B188,$C$2:$C$600,C188)&gt;1,B188&amp;" ("&amp;C188&amp;") "&amp;A188,B188&amp;" ("&amp;C188&amp;")"))</f>
        <v/>
      </c>
      <c r="F188" s="11">
        <f>IF(B188="","",SUMIFS(Entries!$J$2:$J$3000,Entries!$H$2:$H$3000,A188))</f>
        <v/>
      </c>
      <c r="G188" s="11">
        <f>IF(B188="","",_xlfn.MAXIFS(Prizes!$D$2:$D$3000,Prizes!$E$2:$E$3000,A188,Prizes!$G$2:$G$3000,""))</f>
        <v/>
      </c>
      <c r="H188" s="10">
        <f>IF(B188="","",IF(_xlfn.MAXIFS(Levels!$A$2:$A$30,Levels!$A$2:$A$30,"&lt;="&amp;F188)&gt;G188,INDEX(Levels!$B$2:$B$30,MATCH(_xlfn.MAXIFS(Levels!$A$2:$A$30,Levels!$A$2:$A$30,"&lt;="&amp;F188),Levels!$A$2:$A$30,0)),""))</f>
        <v/>
      </c>
      <c r="I188" s="10">
        <f>IF(B188="","",COUNTIFS(Levels!$A$2:$A$30,"&lt;="&amp;F188,Levels!$A$2:$A$30,"&gt;"&amp;G188))</f>
        <v/>
      </c>
      <c r="J188" s="10">
        <f>IF(OR(B188="",TRIM('Find a child'!$B$3)=""),"",IF(ISNUMBER(SEARCH(TRIM('Find a child'!$B$3),B188&amp;" "&amp;C188)),COUNT(J$1:J187)+1,""))</f>
        <v/>
      </c>
    </row>
    <row r="189">
      <c r="A189" s="10" t="inlineStr">
        <is>
          <t>C0188</t>
        </is>
      </c>
      <c r="B189" s="6" t="n"/>
      <c r="C189" s="6" t="n"/>
      <c r="D189" s="6" t="n"/>
      <c r="E189" s="10">
        <f>IF(B189="","",IF(COUNTIFS($B$2:$B$600,B189,$C$2:$C$600,C189)&gt;1,B189&amp;" ("&amp;C189&amp;") "&amp;A189,B189&amp;" ("&amp;C189&amp;")"))</f>
        <v/>
      </c>
      <c r="F189" s="11">
        <f>IF(B189="","",SUMIFS(Entries!$J$2:$J$3000,Entries!$H$2:$H$3000,A189))</f>
        <v/>
      </c>
      <c r="G189" s="11">
        <f>IF(B189="","",_xlfn.MAXIFS(Prizes!$D$2:$D$3000,Prizes!$E$2:$E$3000,A189,Prizes!$G$2:$G$3000,""))</f>
        <v/>
      </c>
      <c r="H189" s="10">
        <f>IF(B189="","",IF(_xlfn.MAXIFS(Levels!$A$2:$A$30,Levels!$A$2:$A$30,"&lt;="&amp;F189)&gt;G189,INDEX(Levels!$B$2:$B$30,MATCH(_xlfn.MAXIFS(Levels!$A$2:$A$30,Levels!$A$2:$A$30,"&lt;="&amp;F189),Levels!$A$2:$A$30,0)),""))</f>
        <v/>
      </c>
      <c r="I189" s="10">
        <f>IF(B189="","",COUNTIFS(Levels!$A$2:$A$30,"&lt;="&amp;F189,Levels!$A$2:$A$30,"&gt;"&amp;G189))</f>
        <v/>
      </c>
      <c r="J189" s="10">
        <f>IF(OR(B189="",TRIM('Find a child'!$B$3)=""),"",IF(ISNUMBER(SEARCH(TRIM('Find a child'!$B$3),B189&amp;" "&amp;C189)),COUNT(J$1:J188)+1,""))</f>
        <v/>
      </c>
    </row>
    <row r="190">
      <c r="A190" s="10" t="inlineStr">
        <is>
          <t>C0189</t>
        </is>
      </c>
      <c r="B190" s="6" t="n"/>
      <c r="C190" s="6" t="n"/>
      <c r="D190" s="6" t="n"/>
      <c r="E190" s="10">
        <f>IF(B190="","",IF(COUNTIFS($B$2:$B$600,B190,$C$2:$C$600,C190)&gt;1,B190&amp;" ("&amp;C190&amp;") "&amp;A190,B190&amp;" ("&amp;C190&amp;")"))</f>
        <v/>
      </c>
      <c r="F190" s="11">
        <f>IF(B190="","",SUMIFS(Entries!$J$2:$J$3000,Entries!$H$2:$H$3000,A190))</f>
        <v/>
      </c>
      <c r="G190" s="11">
        <f>IF(B190="","",_xlfn.MAXIFS(Prizes!$D$2:$D$3000,Prizes!$E$2:$E$3000,A190,Prizes!$G$2:$G$3000,""))</f>
        <v/>
      </c>
      <c r="H190" s="10">
        <f>IF(B190="","",IF(_xlfn.MAXIFS(Levels!$A$2:$A$30,Levels!$A$2:$A$30,"&lt;="&amp;F190)&gt;G190,INDEX(Levels!$B$2:$B$30,MATCH(_xlfn.MAXIFS(Levels!$A$2:$A$30,Levels!$A$2:$A$30,"&lt;="&amp;F190),Levels!$A$2:$A$30,0)),""))</f>
        <v/>
      </c>
      <c r="I190" s="10">
        <f>IF(B190="","",COUNTIFS(Levels!$A$2:$A$30,"&lt;="&amp;F190,Levels!$A$2:$A$30,"&gt;"&amp;G190))</f>
        <v/>
      </c>
      <c r="J190" s="10">
        <f>IF(OR(B190="",TRIM('Find a child'!$B$3)=""),"",IF(ISNUMBER(SEARCH(TRIM('Find a child'!$B$3),B190&amp;" "&amp;C190)),COUNT(J$1:J189)+1,""))</f>
        <v/>
      </c>
    </row>
    <row r="191">
      <c r="A191" s="10" t="inlineStr">
        <is>
          <t>C0190</t>
        </is>
      </c>
      <c r="B191" s="6" t="n"/>
      <c r="C191" s="6" t="n"/>
      <c r="D191" s="6" t="n"/>
      <c r="E191" s="10">
        <f>IF(B191="","",IF(COUNTIFS($B$2:$B$600,B191,$C$2:$C$600,C191)&gt;1,B191&amp;" ("&amp;C191&amp;") "&amp;A191,B191&amp;" ("&amp;C191&amp;")"))</f>
        <v/>
      </c>
      <c r="F191" s="11">
        <f>IF(B191="","",SUMIFS(Entries!$J$2:$J$3000,Entries!$H$2:$H$3000,A191))</f>
        <v/>
      </c>
      <c r="G191" s="11">
        <f>IF(B191="","",_xlfn.MAXIFS(Prizes!$D$2:$D$3000,Prizes!$E$2:$E$3000,A191,Prizes!$G$2:$G$3000,""))</f>
        <v/>
      </c>
      <c r="H191" s="10">
        <f>IF(B191="","",IF(_xlfn.MAXIFS(Levels!$A$2:$A$30,Levels!$A$2:$A$30,"&lt;="&amp;F191)&gt;G191,INDEX(Levels!$B$2:$B$30,MATCH(_xlfn.MAXIFS(Levels!$A$2:$A$30,Levels!$A$2:$A$30,"&lt;="&amp;F191),Levels!$A$2:$A$30,0)),""))</f>
        <v/>
      </c>
      <c r="I191" s="10">
        <f>IF(B191="","",COUNTIFS(Levels!$A$2:$A$30,"&lt;="&amp;F191,Levels!$A$2:$A$30,"&gt;"&amp;G191))</f>
        <v/>
      </c>
      <c r="J191" s="10">
        <f>IF(OR(B191="",TRIM('Find a child'!$B$3)=""),"",IF(ISNUMBER(SEARCH(TRIM('Find a child'!$B$3),B191&amp;" "&amp;C191)),COUNT(J$1:J190)+1,""))</f>
        <v/>
      </c>
    </row>
    <row r="192">
      <c r="A192" s="10" t="inlineStr">
        <is>
          <t>C0191</t>
        </is>
      </c>
      <c r="B192" s="6" t="n"/>
      <c r="C192" s="6" t="n"/>
      <c r="D192" s="6" t="n"/>
      <c r="E192" s="10">
        <f>IF(B192="","",IF(COUNTIFS($B$2:$B$600,B192,$C$2:$C$600,C192)&gt;1,B192&amp;" ("&amp;C192&amp;") "&amp;A192,B192&amp;" ("&amp;C192&amp;")"))</f>
        <v/>
      </c>
      <c r="F192" s="11">
        <f>IF(B192="","",SUMIFS(Entries!$J$2:$J$3000,Entries!$H$2:$H$3000,A192))</f>
        <v/>
      </c>
      <c r="G192" s="11">
        <f>IF(B192="","",_xlfn.MAXIFS(Prizes!$D$2:$D$3000,Prizes!$E$2:$E$3000,A192,Prizes!$G$2:$G$3000,""))</f>
        <v/>
      </c>
      <c r="H192" s="10">
        <f>IF(B192="","",IF(_xlfn.MAXIFS(Levels!$A$2:$A$30,Levels!$A$2:$A$30,"&lt;="&amp;F192)&gt;G192,INDEX(Levels!$B$2:$B$30,MATCH(_xlfn.MAXIFS(Levels!$A$2:$A$30,Levels!$A$2:$A$30,"&lt;="&amp;F192),Levels!$A$2:$A$30,0)),""))</f>
        <v/>
      </c>
      <c r="I192" s="10">
        <f>IF(B192="","",COUNTIFS(Levels!$A$2:$A$30,"&lt;="&amp;F192,Levels!$A$2:$A$30,"&gt;"&amp;G192))</f>
        <v/>
      </c>
      <c r="J192" s="10">
        <f>IF(OR(B192="",TRIM('Find a child'!$B$3)=""),"",IF(ISNUMBER(SEARCH(TRIM('Find a child'!$B$3),B192&amp;" "&amp;C192)),COUNT(J$1:J191)+1,""))</f>
        <v/>
      </c>
    </row>
    <row r="193">
      <c r="A193" s="10" t="inlineStr">
        <is>
          <t>C0192</t>
        </is>
      </c>
      <c r="B193" s="6" t="n"/>
      <c r="C193" s="6" t="n"/>
      <c r="D193" s="6" t="n"/>
      <c r="E193" s="10">
        <f>IF(B193="","",IF(COUNTIFS($B$2:$B$600,B193,$C$2:$C$600,C193)&gt;1,B193&amp;" ("&amp;C193&amp;") "&amp;A193,B193&amp;" ("&amp;C193&amp;")"))</f>
        <v/>
      </c>
      <c r="F193" s="11">
        <f>IF(B193="","",SUMIFS(Entries!$J$2:$J$3000,Entries!$H$2:$H$3000,A193))</f>
        <v/>
      </c>
      <c r="G193" s="11">
        <f>IF(B193="","",_xlfn.MAXIFS(Prizes!$D$2:$D$3000,Prizes!$E$2:$E$3000,A193,Prizes!$G$2:$G$3000,""))</f>
        <v/>
      </c>
      <c r="H193" s="10">
        <f>IF(B193="","",IF(_xlfn.MAXIFS(Levels!$A$2:$A$30,Levels!$A$2:$A$30,"&lt;="&amp;F193)&gt;G193,INDEX(Levels!$B$2:$B$30,MATCH(_xlfn.MAXIFS(Levels!$A$2:$A$30,Levels!$A$2:$A$30,"&lt;="&amp;F193),Levels!$A$2:$A$30,0)),""))</f>
        <v/>
      </c>
      <c r="I193" s="10">
        <f>IF(B193="","",COUNTIFS(Levels!$A$2:$A$30,"&lt;="&amp;F193,Levels!$A$2:$A$30,"&gt;"&amp;G193))</f>
        <v/>
      </c>
      <c r="J193" s="10">
        <f>IF(OR(B193="",TRIM('Find a child'!$B$3)=""),"",IF(ISNUMBER(SEARCH(TRIM('Find a child'!$B$3),B193&amp;" "&amp;C193)),COUNT(J$1:J192)+1,""))</f>
        <v/>
      </c>
    </row>
    <row r="194">
      <c r="A194" s="10" t="inlineStr">
        <is>
          <t>C0193</t>
        </is>
      </c>
      <c r="B194" s="6" t="n"/>
      <c r="C194" s="6" t="n"/>
      <c r="D194" s="6" t="n"/>
      <c r="E194" s="10">
        <f>IF(B194="","",IF(COUNTIFS($B$2:$B$600,B194,$C$2:$C$600,C194)&gt;1,B194&amp;" ("&amp;C194&amp;") "&amp;A194,B194&amp;" ("&amp;C194&amp;")"))</f>
        <v/>
      </c>
      <c r="F194" s="11">
        <f>IF(B194="","",SUMIFS(Entries!$J$2:$J$3000,Entries!$H$2:$H$3000,A194))</f>
        <v/>
      </c>
      <c r="G194" s="11">
        <f>IF(B194="","",_xlfn.MAXIFS(Prizes!$D$2:$D$3000,Prizes!$E$2:$E$3000,A194,Prizes!$G$2:$G$3000,""))</f>
        <v/>
      </c>
      <c r="H194" s="10">
        <f>IF(B194="","",IF(_xlfn.MAXIFS(Levels!$A$2:$A$30,Levels!$A$2:$A$30,"&lt;="&amp;F194)&gt;G194,INDEX(Levels!$B$2:$B$30,MATCH(_xlfn.MAXIFS(Levels!$A$2:$A$30,Levels!$A$2:$A$30,"&lt;="&amp;F194),Levels!$A$2:$A$30,0)),""))</f>
        <v/>
      </c>
      <c r="I194" s="10">
        <f>IF(B194="","",COUNTIFS(Levels!$A$2:$A$30,"&lt;="&amp;F194,Levels!$A$2:$A$30,"&gt;"&amp;G194))</f>
        <v/>
      </c>
      <c r="J194" s="10">
        <f>IF(OR(B194="",TRIM('Find a child'!$B$3)=""),"",IF(ISNUMBER(SEARCH(TRIM('Find a child'!$B$3),B194&amp;" "&amp;C194)),COUNT(J$1:J193)+1,""))</f>
        <v/>
      </c>
    </row>
    <row r="195">
      <c r="A195" s="10" t="inlineStr">
        <is>
          <t>C0194</t>
        </is>
      </c>
      <c r="B195" s="6" t="n"/>
      <c r="C195" s="6" t="n"/>
      <c r="D195" s="6" t="n"/>
      <c r="E195" s="10">
        <f>IF(B195="","",IF(COUNTIFS($B$2:$B$600,B195,$C$2:$C$600,C195)&gt;1,B195&amp;" ("&amp;C195&amp;") "&amp;A195,B195&amp;" ("&amp;C195&amp;")"))</f>
        <v/>
      </c>
      <c r="F195" s="11">
        <f>IF(B195="","",SUMIFS(Entries!$J$2:$J$3000,Entries!$H$2:$H$3000,A195))</f>
        <v/>
      </c>
      <c r="G195" s="11">
        <f>IF(B195="","",_xlfn.MAXIFS(Prizes!$D$2:$D$3000,Prizes!$E$2:$E$3000,A195,Prizes!$G$2:$G$3000,""))</f>
        <v/>
      </c>
      <c r="H195" s="10">
        <f>IF(B195="","",IF(_xlfn.MAXIFS(Levels!$A$2:$A$30,Levels!$A$2:$A$30,"&lt;="&amp;F195)&gt;G195,INDEX(Levels!$B$2:$B$30,MATCH(_xlfn.MAXIFS(Levels!$A$2:$A$30,Levels!$A$2:$A$30,"&lt;="&amp;F195),Levels!$A$2:$A$30,0)),""))</f>
        <v/>
      </c>
      <c r="I195" s="10">
        <f>IF(B195="","",COUNTIFS(Levels!$A$2:$A$30,"&lt;="&amp;F195,Levels!$A$2:$A$30,"&gt;"&amp;G195))</f>
        <v/>
      </c>
      <c r="J195" s="10">
        <f>IF(OR(B195="",TRIM('Find a child'!$B$3)=""),"",IF(ISNUMBER(SEARCH(TRIM('Find a child'!$B$3),B195&amp;" "&amp;C195)),COUNT(J$1:J194)+1,""))</f>
        <v/>
      </c>
    </row>
    <row r="196">
      <c r="A196" s="10" t="inlineStr">
        <is>
          <t>C0195</t>
        </is>
      </c>
      <c r="B196" s="6" t="n"/>
      <c r="C196" s="6" t="n"/>
      <c r="D196" s="6" t="n"/>
      <c r="E196" s="10">
        <f>IF(B196="","",IF(COUNTIFS($B$2:$B$600,B196,$C$2:$C$600,C196)&gt;1,B196&amp;" ("&amp;C196&amp;") "&amp;A196,B196&amp;" ("&amp;C196&amp;")"))</f>
        <v/>
      </c>
      <c r="F196" s="11">
        <f>IF(B196="","",SUMIFS(Entries!$J$2:$J$3000,Entries!$H$2:$H$3000,A196))</f>
        <v/>
      </c>
      <c r="G196" s="11">
        <f>IF(B196="","",_xlfn.MAXIFS(Prizes!$D$2:$D$3000,Prizes!$E$2:$E$3000,A196,Prizes!$G$2:$G$3000,""))</f>
        <v/>
      </c>
      <c r="H196" s="10">
        <f>IF(B196="","",IF(_xlfn.MAXIFS(Levels!$A$2:$A$30,Levels!$A$2:$A$30,"&lt;="&amp;F196)&gt;G196,INDEX(Levels!$B$2:$B$30,MATCH(_xlfn.MAXIFS(Levels!$A$2:$A$30,Levels!$A$2:$A$30,"&lt;="&amp;F196),Levels!$A$2:$A$30,0)),""))</f>
        <v/>
      </c>
      <c r="I196" s="10">
        <f>IF(B196="","",COUNTIFS(Levels!$A$2:$A$30,"&lt;="&amp;F196,Levels!$A$2:$A$30,"&gt;"&amp;G196))</f>
        <v/>
      </c>
      <c r="J196" s="10">
        <f>IF(OR(B196="",TRIM('Find a child'!$B$3)=""),"",IF(ISNUMBER(SEARCH(TRIM('Find a child'!$B$3),B196&amp;" "&amp;C196)),COUNT(J$1:J195)+1,""))</f>
        <v/>
      </c>
    </row>
    <row r="197">
      <c r="A197" s="10" t="inlineStr">
        <is>
          <t>C0196</t>
        </is>
      </c>
      <c r="B197" s="6" t="n"/>
      <c r="C197" s="6" t="n"/>
      <c r="D197" s="6" t="n"/>
      <c r="E197" s="10">
        <f>IF(B197="","",IF(COUNTIFS($B$2:$B$600,B197,$C$2:$C$600,C197)&gt;1,B197&amp;" ("&amp;C197&amp;") "&amp;A197,B197&amp;" ("&amp;C197&amp;")"))</f>
        <v/>
      </c>
      <c r="F197" s="11">
        <f>IF(B197="","",SUMIFS(Entries!$J$2:$J$3000,Entries!$H$2:$H$3000,A197))</f>
        <v/>
      </c>
      <c r="G197" s="11">
        <f>IF(B197="","",_xlfn.MAXIFS(Prizes!$D$2:$D$3000,Prizes!$E$2:$E$3000,A197,Prizes!$G$2:$G$3000,""))</f>
        <v/>
      </c>
      <c r="H197" s="10">
        <f>IF(B197="","",IF(_xlfn.MAXIFS(Levels!$A$2:$A$30,Levels!$A$2:$A$30,"&lt;="&amp;F197)&gt;G197,INDEX(Levels!$B$2:$B$30,MATCH(_xlfn.MAXIFS(Levels!$A$2:$A$30,Levels!$A$2:$A$30,"&lt;="&amp;F197),Levels!$A$2:$A$30,0)),""))</f>
        <v/>
      </c>
      <c r="I197" s="10">
        <f>IF(B197="","",COUNTIFS(Levels!$A$2:$A$30,"&lt;="&amp;F197,Levels!$A$2:$A$30,"&gt;"&amp;G197))</f>
        <v/>
      </c>
      <c r="J197" s="10">
        <f>IF(OR(B197="",TRIM('Find a child'!$B$3)=""),"",IF(ISNUMBER(SEARCH(TRIM('Find a child'!$B$3),B197&amp;" "&amp;C197)),COUNT(J$1:J196)+1,""))</f>
        <v/>
      </c>
    </row>
    <row r="198">
      <c r="A198" s="10" t="inlineStr">
        <is>
          <t>C0197</t>
        </is>
      </c>
      <c r="B198" s="6" t="n"/>
      <c r="C198" s="6" t="n"/>
      <c r="D198" s="6" t="n"/>
      <c r="E198" s="10">
        <f>IF(B198="","",IF(COUNTIFS($B$2:$B$600,B198,$C$2:$C$600,C198)&gt;1,B198&amp;" ("&amp;C198&amp;") "&amp;A198,B198&amp;" ("&amp;C198&amp;")"))</f>
        <v/>
      </c>
      <c r="F198" s="11">
        <f>IF(B198="","",SUMIFS(Entries!$J$2:$J$3000,Entries!$H$2:$H$3000,A198))</f>
        <v/>
      </c>
      <c r="G198" s="11">
        <f>IF(B198="","",_xlfn.MAXIFS(Prizes!$D$2:$D$3000,Prizes!$E$2:$E$3000,A198,Prizes!$G$2:$G$3000,""))</f>
        <v/>
      </c>
      <c r="H198" s="10">
        <f>IF(B198="","",IF(_xlfn.MAXIFS(Levels!$A$2:$A$30,Levels!$A$2:$A$30,"&lt;="&amp;F198)&gt;G198,INDEX(Levels!$B$2:$B$30,MATCH(_xlfn.MAXIFS(Levels!$A$2:$A$30,Levels!$A$2:$A$30,"&lt;="&amp;F198),Levels!$A$2:$A$30,0)),""))</f>
        <v/>
      </c>
      <c r="I198" s="10">
        <f>IF(B198="","",COUNTIFS(Levels!$A$2:$A$30,"&lt;="&amp;F198,Levels!$A$2:$A$30,"&gt;"&amp;G198))</f>
        <v/>
      </c>
      <c r="J198" s="10">
        <f>IF(OR(B198="",TRIM('Find a child'!$B$3)=""),"",IF(ISNUMBER(SEARCH(TRIM('Find a child'!$B$3),B198&amp;" "&amp;C198)),COUNT(J$1:J197)+1,""))</f>
        <v/>
      </c>
    </row>
    <row r="199">
      <c r="A199" s="10" t="inlineStr">
        <is>
          <t>C0198</t>
        </is>
      </c>
      <c r="B199" s="6" t="n"/>
      <c r="C199" s="6" t="n"/>
      <c r="D199" s="6" t="n"/>
      <c r="E199" s="10">
        <f>IF(B199="","",IF(COUNTIFS($B$2:$B$600,B199,$C$2:$C$600,C199)&gt;1,B199&amp;" ("&amp;C199&amp;") "&amp;A199,B199&amp;" ("&amp;C199&amp;")"))</f>
        <v/>
      </c>
      <c r="F199" s="11">
        <f>IF(B199="","",SUMIFS(Entries!$J$2:$J$3000,Entries!$H$2:$H$3000,A199))</f>
        <v/>
      </c>
      <c r="G199" s="11">
        <f>IF(B199="","",_xlfn.MAXIFS(Prizes!$D$2:$D$3000,Prizes!$E$2:$E$3000,A199,Prizes!$G$2:$G$3000,""))</f>
        <v/>
      </c>
      <c r="H199" s="10">
        <f>IF(B199="","",IF(_xlfn.MAXIFS(Levels!$A$2:$A$30,Levels!$A$2:$A$30,"&lt;="&amp;F199)&gt;G199,INDEX(Levels!$B$2:$B$30,MATCH(_xlfn.MAXIFS(Levels!$A$2:$A$30,Levels!$A$2:$A$30,"&lt;="&amp;F199),Levels!$A$2:$A$30,0)),""))</f>
        <v/>
      </c>
      <c r="I199" s="10">
        <f>IF(B199="","",COUNTIFS(Levels!$A$2:$A$30,"&lt;="&amp;F199,Levels!$A$2:$A$30,"&gt;"&amp;G199))</f>
        <v/>
      </c>
      <c r="J199" s="10">
        <f>IF(OR(B199="",TRIM('Find a child'!$B$3)=""),"",IF(ISNUMBER(SEARCH(TRIM('Find a child'!$B$3),B199&amp;" "&amp;C199)),COUNT(J$1:J198)+1,""))</f>
        <v/>
      </c>
    </row>
    <row r="200">
      <c r="A200" s="10" t="inlineStr">
        <is>
          <t>C0199</t>
        </is>
      </c>
      <c r="B200" s="6" t="n"/>
      <c r="C200" s="6" t="n"/>
      <c r="D200" s="6" t="n"/>
      <c r="E200" s="10">
        <f>IF(B200="","",IF(COUNTIFS($B$2:$B$600,B200,$C$2:$C$600,C200)&gt;1,B200&amp;" ("&amp;C200&amp;") "&amp;A200,B200&amp;" ("&amp;C200&amp;")"))</f>
        <v/>
      </c>
      <c r="F200" s="11">
        <f>IF(B200="","",SUMIFS(Entries!$J$2:$J$3000,Entries!$H$2:$H$3000,A200))</f>
        <v/>
      </c>
      <c r="G200" s="11">
        <f>IF(B200="","",_xlfn.MAXIFS(Prizes!$D$2:$D$3000,Prizes!$E$2:$E$3000,A200,Prizes!$G$2:$G$3000,""))</f>
        <v/>
      </c>
      <c r="H200" s="10">
        <f>IF(B200="","",IF(_xlfn.MAXIFS(Levels!$A$2:$A$30,Levels!$A$2:$A$30,"&lt;="&amp;F200)&gt;G200,INDEX(Levels!$B$2:$B$30,MATCH(_xlfn.MAXIFS(Levels!$A$2:$A$30,Levels!$A$2:$A$30,"&lt;="&amp;F200),Levels!$A$2:$A$30,0)),""))</f>
        <v/>
      </c>
      <c r="I200" s="10">
        <f>IF(B200="","",COUNTIFS(Levels!$A$2:$A$30,"&lt;="&amp;F200,Levels!$A$2:$A$30,"&gt;"&amp;G200))</f>
        <v/>
      </c>
      <c r="J200" s="10">
        <f>IF(OR(B200="",TRIM('Find a child'!$B$3)=""),"",IF(ISNUMBER(SEARCH(TRIM('Find a child'!$B$3),B200&amp;" "&amp;C200)),COUNT(J$1:J199)+1,""))</f>
        <v/>
      </c>
    </row>
    <row r="201">
      <c r="A201" s="10" t="inlineStr">
        <is>
          <t>C0200</t>
        </is>
      </c>
      <c r="B201" s="6" t="n"/>
      <c r="C201" s="6" t="n"/>
      <c r="D201" s="6" t="n"/>
      <c r="E201" s="10">
        <f>IF(B201="","",IF(COUNTIFS($B$2:$B$600,B201,$C$2:$C$600,C201)&gt;1,B201&amp;" ("&amp;C201&amp;") "&amp;A201,B201&amp;" ("&amp;C201&amp;")"))</f>
        <v/>
      </c>
      <c r="F201" s="11">
        <f>IF(B201="","",SUMIFS(Entries!$J$2:$J$3000,Entries!$H$2:$H$3000,A201))</f>
        <v/>
      </c>
      <c r="G201" s="11">
        <f>IF(B201="","",_xlfn.MAXIFS(Prizes!$D$2:$D$3000,Prizes!$E$2:$E$3000,A201,Prizes!$G$2:$G$3000,""))</f>
        <v/>
      </c>
      <c r="H201" s="10">
        <f>IF(B201="","",IF(_xlfn.MAXIFS(Levels!$A$2:$A$30,Levels!$A$2:$A$30,"&lt;="&amp;F201)&gt;G201,INDEX(Levels!$B$2:$B$30,MATCH(_xlfn.MAXIFS(Levels!$A$2:$A$30,Levels!$A$2:$A$30,"&lt;="&amp;F201),Levels!$A$2:$A$30,0)),""))</f>
        <v/>
      </c>
      <c r="I201" s="10">
        <f>IF(B201="","",COUNTIFS(Levels!$A$2:$A$30,"&lt;="&amp;F201,Levels!$A$2:$A$30,"&gt;"&amp;G201))</f>
        <v/>
      </c>
      <c r="J201" s="10">
        <f>IF(OR(B201="",TRIM('Find a child'!$B$3)=""),"",IF(ISNUMBER(SEARCH(TRIM('Find a child'!$B$3),B201&amp;" "&amp;C201)),COUNT(J$1:J200)+1,""))</f>
        <v/>
      </c>
    </row>
    <row r="202">
      <c r="A202" s="10" t="inlineStr">
        <is>
          <t>C0201</t>
        </is>
      </c>
      <c r="B202" s="6" t="n"/>
      <c r="C202" s="6" t="n"/>
      <c r="D202" s="6" t="n"/>
      <c r="E202" s="10">
        <f>IF(B202="","",IF(COUNTIFS($B$2:$B$600,B202,$C$2:$C$600,C202)&gt;1,B202&amp;" ("&amp;C202&amp;") "&amp;A202,B202&amp;" ("&amp;C202&amp;")"))</f>
        <v/>
      </c>
      <c r="F202" s="11">
        <f>IF(B202="","",SUMIFS(Entries!$J$2:$J$3000,Entries!$H$2:$H$3000,A202))</f>
        <v/>
      </c>
      <c r="G202" s="11">
        <f>IF(B202="","",_xlfn.MAXIFS(Prizes!$D$2:$D$3000,Prizes!$E$2:$E$3000,A202,Prizes!$G$2:$G$3000,""))</f>
        <v/>
      </c>
      <c r="H202" s="10">
        <f>IF(B202="","",IF(_xlfn.MAXIFS(Levels!$A$2:$A$30,Levels!$A$2:$A$30,"&lt;="&amp;F202)&gt;G202,INDEX(Levels!$B$2:$B$30,MATCH(_xlfn.MAXIFS(Levels!$A$2:$A$30,Levels!$A$2:$A$30,"&lt;="&amp;F202),Levels!$A$2:$A$30,0)),""))</f>
        <v/>
      </c>
      <c r="I202" s="10">
        <f>IF(B202="","",COUNTIFS(Levels!$A$2:$A$30,"&lt;="&amp;F202,Levels!$A$2:$A$30,"&gt;"&amp;G202))</f>
        <v/>
      </c>
      <c r="J202" s="10">
        <f>IF(OR(B202="",TRIM('Find a child'!$B$3)=""),"",IF(ISNUMBER(SEARCH(TRIM('Find a child'!$B$3),B202&amp;" "&amp;C202)),COUNT(J$1:J201)+1,""))</f>
        <v/>
      </c>
    </row>
    <row r="203">
      <c r="A203" s="10" t="inlineStr">
        <is>
          <t>C0202</t>
        </is>
      </c>
      <c r="B203" s="6" t="n"/>
      <c r="C203" s="6" t="n"/>
      <c r="D203" s="6" t="n"/>
      <c r="E203" s="10">
        <f>IF(B203="","",IF(COUNTIFS($B$2:$B$600,B203,$C$2:$C$600,C203)&gt;1,B203&amp;" ("&amp;C203&amp;") "&amp;A203,B203&amp;" ("&amp;C203&amp;")"))</f>
        <v/>
      </c>
      <c r="F203" s="11">
        <f>IF(B203="","",SUMIFS(Entries!$J$2:$J$3000,Entries!$H$2:$H$3000,A203))</f>
        <v/>
      </c>
      <c r="G203" s="11">
        <f>IF(B203="","",_xlfn.MAXIFS(Prizes!$D$2:$D$3000,Prizes!$E$2:$E$3000,A203,Prizes!$G$2:$G$3000,""))</f>
        <v/>
      </c>
      <c r="H203" s="10">
        <f>IF(B203="","",IF(_xlfn.MAXIFS(Levels!$A$2:$A$30,Levels!$A$2:$A$30,"&lt;="&amp;F203)&gt;G203,INDEX(Levels!$B$2:$B$30,MATCH(_xlfn.MAXIFS(Levels!$A$2:$A$30,Levels!$A$2:$A$30,"&lt;="&amp;F203),Levels!$A$2:$A$30,0)),""))</f>
        <v/>
      </c>
      <c r="I203" s="10">
        <f>IF(B203="","",COUNTIFS(Levels!$A$2:$A$30,"&lt;="&amp;F203,Levels!$A$2:$A$30,"&gt;"&amp;G203))</f>
        <v/>
      </c>
      <c r="J203" s="10">
        <f>IF(OR(B203="",TRIM('Find a child'!$B$3)=""),"",IF(ISNUMBER(SEARCH(TRIM('Find a child'!$B$3),B203&amp;" "&amp;C203)),COUNT(J$1:J202)+1,""))</f>
        <v/>
      </c>
    </row>
    <row r="204">
      <c r="A204" s="10" t="inlineStr">
        <is>
          <t>C0203</t>
        </is>
      </c>
      <c r="B204" s="6" t="n"/>
      <c r="C204" s="6" t="n"/>
      <c r="D204" s="6" t="n"/>
      <c r="E204" s="10">
        <f>IF(B204="","",IF(COUNTIFS($B$2:$B$600,B204,$C$2:$C$600,C204)&gt;1,B204&amp;" ("&amp;C204&amp;") "&amp;A204,B204&amp;" ("&amp;C204&amp;")"))</f>
        <v/>
      </c>
      <c r="F204" s="11">
        <f>IF(B204="","",SUMIFS(Entries!$J$2:$J$3000,Entries!$H$2:$H$3000,A204))</f>
        <v/>
      </c>
      <c r="G204" s="11">
        <f>IF(B204="","",_xlfn.MAXIFS(Prizes!$D$2:$D$3000,Prizes!$E$2:$E$3000,A204,Prizes!$G$2:$G$3000,""))</f>
        <v/>
      </c>
      <c r="H204" s="10">
        <f>IF(B204="","",IF(_xlfn.MAXIFS(Levels!$A$2:$A$30,Levels!$A$2:$A$30,"&lt;="&amp;F204)&gt;G204,INDEX(Levels!$B$2:$B$30,MATCH(_xlfn.MAXIFS(Levels!$A$2:$A$30,Levels!$A$2:$A$30,"&lt;="&amp;F204),Levels!$A$2:$A$30,0)),""))</f>
        <v/>
      </c>
      <c r="I204" s="10">
        <f>IF(B204="","",COUNTIFS(Levels!$A$2:$A$30,"&lt;="&amp;F204,Levels!$A$2:$A$30,"&gt;"&amp;G204))</f>
        <v/>
      </c>
      <c r="J204" s="10">
        <f>IF(OR(B204="",TRIM('Find a child'!$B$3)=""),"",IF(ISNUMBER(SEARCH(TRIM('Find a child'!$B$3),B204&amp;" "&amp;C204)),COUNT(J$1:J203)+1,""))</f>
        <v/>
      </c>
    </row>
    <row r="205">
      <c r="A205" s="10" t="inlineStr">
        <is>
          <t>C0204</t>
        </is>
      </c>
      <c r="B205" s="6" t="n"/>
      <c r="C205" s="6" t="n"/>
      <c r="D205" s="6" t="n"/>
      <c r="E205" s="10">
        <f>IF(B205="","",IF(COUNTIFS($B$2:$B$600,B205,$C$2:$C$600,C205)&gt;1,B205&amp;" ("&amp;C205&amp;") "&amp;A205,B205&amp;" ("&amp;C205&amp;")"))</f>
        <v/>
      </c>
      <c r="F205" s="11">
        <f>IF(B205="","",SUMIFS(Entries!$J$2:$J$3000,Entries!$H$2:$H$3000,A205))</f>
        <v/>
      </c>
      <c r="G205" s="11">
        <f>IF(B205="","",_xlfn.MAXIFS(Prizes!$D$2:$D$3000,Prizes!$E$2:$E$3000,A205,Prizes!$G$2:$G$3000,""))</f>
        <v/>
      </c>
      <c r="H205" s="10">
        <f>IF(B205="","",IF(_xlfn.MAXIFS(Levels!$A$2:$A$30,Levels!$A$2:$A$30,"&lt;="&amp;F205)&gt;G205,INDEX(Levels!$B$2:$B$30,MATCH(_xlfn.MAXIFS(Levels!$A$2:$A$30,Levels!$A$2:$A$30,"&lt;="&amp;F205),Levels!$A$2:$A$30,0)),""))</f>
        <v/>
      </c>
      <c r="I205" s="10">
        <f>IF(B205="","",COUNTIFS(Levels!$A$2:$A$30,"&lt;="&amp;F205,Levels!$A$2:$A$30,"&gt;"&amp;G205))</f>
        <v/>
      </c>
      <c r="J205" s="10">
        <f>IF(OR(B205="",TRIM('Find a child'!$B$3)=""),"",IF(ISNUMBER(SEARCH(TRIM('Find a child'!$B$3),B205&amp;" "&amp;C205)),COUNT(J$1:J204)+1,""))</f>
        <v/>
      </c>
    </row>
    <row r="206">
      <c r="A206" s="10" t="inlineStr">
        <is>
          <t>C0205</t>
        </is>
      </c>
      <c r="B206" s="6" t="n"/>
      <c r="C206" s="6" t="n"/>
      <c r="D206" s="6" t="n"/>
      <c r="E206" s="10">
        <f>IF(B206="","",IF(COUNTIFS($B$2:$B$600,B206,$C$2:$C$600,C206)&gt;1,B206&amp;" ("&amp;C206&amp;") "&amp;A206,B206&amp;" ("&amp;C206&amp;")"))</f>
        <v/>
      </c>
      <c r="F206" s="11">
        <f>IF(B206="","",SUMIFS(Entries!$J$2:$J$3000,Entries!$H$2:$H$3000,A206))</f>
        <v/>
      </c>
      <c r="G206" s="11">
        <f>IF(B206="","",_xlfn.MAXIFS(Prizes!$D$2:$D$3000,Prizes!$E$2:$E$3000,A206,Prizes!$G$2:$G$3000,""))</f>
        <v/>
      </c>
      <c r="H206" s="10">
        <f>IF(B206="","",IF(_xlfn.MAXIFS(Levels!$A$2:$A$30,Levels!$A$2:$A$30,"&lt;="&amp;F206)&gt;G206,INDEX(Levels!$B$2:$B$30,MATCH(_xlfn.MAXIFS(Levels!$A$2:$A$30,Levels!$A$2:$A$30,"&lt;="&amp;F206),Levels!$A$2:$A$30,0)),""))</f>
        <v/>
      </c>
      <c r="I206" s="10">
        <f>IF(B206="","",COUNTIFS(Levels!$A$2:$A$30,"&lt;="&amp;F206,Levels!$A$2:$A$30,"&gt;"&amp;G206))</f>
        <v/>
      </c>
      <c r="J206" s="10">
        <f>IF(OR(B206="",TRIM('Find a child'!$B$3)=""),"",IF(ISNUMBER(SEARCH(TRIM('Find a child'!$B$3),B206&amp;" "&amp;C206)),COUNT(J$1:J205)+1,""))</f>
        <v/>
      </c>
    </row>
    <row r="207">
      <c r="A207" s="10" t="inlineStr">
        <is>
          <t>C0206</t>
        </is>
      </c>
      <c r="B207" s="6" t="n"/>
      <c r="C207" s="6" t="n"/>
      <c r="D207" s="6" t="n"/>
      <c r="E207" s="10">
        <f>IF(B207="","",IF(COUNTIFS($B$2:$B$600,B207,$C$2:$C$600,C207)&gt;1,B207&amp;" ("&amp;C207&amp;") "&amp;A207,B207&amp;" ("&amp;C207&amp;")"))</f>
        <v/>
      </c>
      <c r="F207" s="11">
        <f>IF(B207="","",SUMIFS(Entries!$J$2:$J$3000,Entries!$H$2:$H$3000,A207))</f>
        <v/>
      </c>
      <c r="G207" s="11">
        <f>IF(B207="","",_xlfn.MAXIFS(Prizes!$D$2:$D$3000,Prizes!$E$2:$E$3000,A207,Prizes!$G$2:$G$3000,""))</f>
        <v/>
      </c>
      <c r="H207" s="10">
        <f>IF(B207="","",IF(_xlfn.MAXIFS(Levels!$A$2:$A$30,Levels!$A$2:$A$30,"&lt;="&amp;F207)&gt;G207,INDEX(Levels!$B$2:$B$30,MATCH(_xlfn.MAXIFS(Levels!$A$2:$A$30,Levels!$A$2:$A$30,"&lt;="&amp;F207),Levels!$A$2:$A$30,0)),""))</f>
        <v/>
      </c>
      <c r="I207" s="10">
        <f>IF(B207="","",COUNTIFS(Levels!$A$2:$A$30,"&lt;="&amp;F207,Levels!$A$2:$A$30,"&gt;"&amp;G207))</f>
        <v/>
      </c>
      <c r="J207" s="10">
        <f>IF(OR(B207="",TRIM('Find a child'!$B$3)=""),"",IF(ISNUMBER(SEARCH(TRIM('Find a child'!$B$3),B207&amp;" "&amp;C207)),COUNT(J$1:J206)+1,""))</f>
        <v/>
      </c>
    </row>
    <row r="208">
      <c r="A208" s="10" t="inlineStr">
        <is>
          <t>C0207</t>
        </is>
      </c>
      <c r="B208" s="6" t="n"/>
      <c r="C208" s="6" t="n"/>
      <c r="D208" s="6" t="n"/>
      <c r="E208" s="10">
        <f>IF(B208="","",IF(COUNTIFS($B$2:$B$600,B208,$C$2:$C$600,C208)&gt;1,B208&amp;" ("&amp;C208&amp;") "&amp;A208,B208&amp;" ("&amp;C208&amp;")"))</f>
        <v/>
      </c>
      <c r="F208" s="11">
        <f>IF(B208="","",SUMIFS(Entries!$J$2:$J$3000,Entries!$H$2:$H$3000,A208))</f>
        <v/>
      </c>
      <c r="G208" s="11">
        <f>IF(B208="","",_xlfn.MAXIFS(Prizes!$D$2:$D$3000,Prizes!$E$2:$E$3000,A208,Prizes!$G$2:$G$3000,""))</f>
        <v/>
      </c>
      <c r="H208" s="10">
        <f>IF(B208="","",IF(_xlfn.MAXIFS(Levels!$A$2:$A$30,Levels!$A$2:$A$30,"&lt;="&amp;F208)&gt;G208,INDEX(Levels!$B$2:$B$30,MATCH(_xlfn.MAXIFS(Levels!$A$2:$A$30,Levels!$A$2:$A$30,"&lt;="&amp;F208),Levels!$A$2:$A$30,0)),""))</f>
        <v/>
      </c>
      <c r="I208" s="10">
        <f>IF(B208="","",COUNTIFS(Levels!$A$2:$A$30,"&lt;="&amp;F208,Levels!$A$2:$A$30,"&gt;"&amp;G208))</f>
        <v/>
      </c>
      <c r="J208" s="10">
        <f>IF(OR(B208="",TRIM('Find a child'!$B$3)=""),"",IF(ISNUMBER(SEARCH(TRIM('Find a child'!$B$3),B208&amp;" "&amp;C208)),COUNT(J$1:J207)+1,""))</f>
        <v/>
      </c>
    </row>
    <row r="209">
      <c r="A209" s="10" t="inlineStr">
        <is>
          <t>C0208</t>
        </is>
      </c>
      <c r="B209" s="6" t="n"/>
      <c r="C209" s="6" t="n"/>
      <c r="D209" s="6" t="n"/>
      <c r="E209" s="10">
        <f>IF(B209="","",IF(COUNTIFS($B$2:$B$600,B209,$C$2:$C$600,C209)&gt;1,B209&amp;" ("&amp;C209&amp;") "&amp;A209,B209&amp;" ("&amp;C209&amp;")"))</f>
        <v/>
      </c>
      <c r="F209" s="11">
        <f>IF(B209="","",SUMIFS(Entries!$J$2:$J$3000,Entries!$H$2:$H$3000,A209))</f>
        <v/>
      </c>
      <c r="G209" s="11">
        <f>IF(B209="","",_xlfn.MAXIFS(Prizes!$D$2:$D$3000,Prizes!$E$2:$E$3000,A209,Prizes!$G$2:$G$3000,""))</f>
        <v/>
      </c>
      <c r="H209" s="10">
        <f>IF(B209="","",IF(_xlfn.MAXIFS(Levels!$A$2:$A$30,Levels!$A$2:$A$30,"&lt;="&amp;F209)&gt;G209,INDEX(Levels!$B$2:$B$30,MATCH(_xlfn.MAXIFS(Levels!$A$2:$A$30,Levels!$A$2:$A$30,"&lt;="&amp;F209),Levels!$A$2:$A$30,0)),""))</f>
        <v/>
      </c>
      <c r="I209" s="10">
        <f>IF(B209="","",COUNTIFS(Levels!$A$2:$A$30,"&lt;="&amp;F209,Levels!$A$2:$A$30,"&gt;"&amp;G209))</f>
        <v/>
      </c>
      <c r="J209" s="10">
        <f>IF(OR(B209="",TRIM('Find a child'!$B$3)=""),"",IF(ISNUMBER(SEARCH(TRIM('Find a child'!$B$3),B209&amp;" "&amp;C209)),COUNT(J$1:J208)+1,""))</f>
        <v/>
      </c>
    </row>
    <row r="210">
      <c r="A210" s="10" t="inlineStr">
        <is>
          <t>C0209</t>
        </is>
      </c>
      <c r="B210" s="6" t="n"/>
      <c r="C210" s="6" t="n"/>
      <c r="D210" s="6" t="n"/>
      <c r="E210" s="10">
        <f>IF(B210="","",IF(COUNTIFS($B$2:$B$600,B210,$C$2:$C$600,C210)&gt;1,B210&amp;" ("&amp;C210&amp;") "&amp;A210,B210&amp;" ("&amp;C210&amp;")"))</f>
        <v/>
      </c>
      <c r="F210" s="11">
        <f>IF(B210="","",SUMIFS(Entries!$J$2:$J$3000,Entries!$H$2:$H$3000,A210))</f>
        <v/>
      </c>
      <c r="G210" s="11">
        <f>IF(B210="","",_xlfn.MAXIFS(Prizes!$D$2:$D$3000,Prizes!$E$2:$E$3000,A210,Prizes!$G$2:$G$3000,""))</f>
        <v/>
      </c>
      <c r="H210" s="10">
        <f>IF(B210="","",IF(_xlfn.MAXIFS(Levels!$A$2:$A$30,Levels!$A$2:$A$30,"&lt;="&amp;F210)&gt;G210,INDEX(Levels!$B$2:$B$30,MATCH(_xlfn.MAXIFS(Levels!$A$2:$A$30,Levels!$A$2:$A$30,"&lt;="&amp;F210),Levels!$A$2:$A$30,0)),""))</f>
        <v/>
      </c>
      <c r="I210" s="10">
        <f>IF(B210="","",COUNTIFS(Levels!$A$2:$A$30,"&lt;="&amp;F210,Levels!$A$2:$A$30,"&gt;"&amp;G210))</f>
        <v/>
      </c>
      <c r="J210" s="10">
        <f>IF(OR(B210="",TRIM('Find a child'!$B$3)=""),"",IF(ISNUMBER(SEARCH(TRIM('Find a child'!$B$3),B210&amp;" "&amp;C210)),COUNT(J$1:J209)+1,""))</f>
        <v/>
      </c>
    </row>
    <row r="211">
      <c r="A211" s="10" t="inlineStr">
        <is>
          <t>C0210</t>
        </is>
      </c>
      <c r="B211" s="6" t="n"/>
      <c r="C211" s="6" t="n"/>
      <c r="D211" s="6" t="n"/>
      <c r="E211" s="10">
        <f>IF(B211="","",IF(COUNTIFS($B$2:$B$600,B211,$C$2:$C$600,C211)&gt;1,B211&amp;" ("&amp;C211&amp;") "&amp;A211,B211&amp;" ("&amp;C211&amp;")"))</f>
        <v/>
      </c>
      <c r="F211" s="11">
        <f>IF(B211="","",SUMIFS(Entries!$J$2:$J$3000,Entries!$H$2:$H$3000,A211))</f>
        <v/>
      </c>
      <c r="G211" s="11">
        <f>IF(B211="","",_xlfn.MAXIFS(Prizes!$D$2:$D$3000,Prizes!$E$2:$E$3000,A211,Prizes!$G$2:$G$3000,""))</f>
        <v/>
      </c>
      <c r="H211" s="10">
        <f>IF(B211="","",IF(_xlfn.MAXIFS(Levels!$A$2:$A$30,Levels!$A$2:$A$30,"&lt;="&amp;F211)&gt;G211,INDEX(Levels!$B$2:$B$30,MATCH(_xlfn.MAXIFS(Levels!$A$2:$A$30,Levels!$A$2:$A$30,"&lt;="&amp;F211),Levels!$A$2:$A$30,0)),""))</f>
        <v/>
      </c>
      <c r="I211" s="10">
        <f>IF(B211="","",COUNTIFS(Levels!$A$2:$A$30,"&lt;="&amp;F211,Levels!$A$2:$A$30,"&gt;"&amp;G211))</f>
        <v/>
      </c>
      <c r="J211" s="10">
        <f>IF(OR(B211="",TRIM('Find a child'!$B$3)=""),"",IF(ISNUMBER(SEARCH(TRIM('Find a child'!$B$3),B211&amp;" "&amp;C211)),COUNT(J$1:J210)+1,""))</f>
        <v/>
      </c>
    </row>
    <row r="212">
      <c r="A212" s="10" t="inlineStr">
        <is>
          <t>C0211</t>
        </is>
      </c>
      <c r="B212" s="6" t="n"/>
      <c r="C212" s="6" t="n"/>
      <c r="D212" s="6" t="n"/>
      <c r="E212" s="10">
        <f>IF(B212="","",IF(COUNTIFS($B$2:$B$600,B212,$C$2:$C$600,C212)&gt;1,B212&amp;" ("&amp;C212&amp;") "&amp;A212,B212&amp;" ("&amp;C212&amp;")"))</f>
        <v/>
      </c>
      <c r="F212" s="11">
        <f>IF(B212="","",SUMIFS(Entries!$J$2:$J$3000,Entries!$H$2:$H$3000,A212))</f>
        <v/>
      </c>
      <c r="G212" s="11">
        <f>IF(B212="","",_xlfn.MAXIFS(Prizes!$D$2:$D$3000,Prizes!$E$2:$E$3000,A212,Prizes!$G$2:$G$3000,""))</f>
        <v/>
      </c>
      <c r="H212" s="10">
        <f>IF(B212="","",IF(_xlfn.MAXIFS(Levels!$A$2:$A$30,Levels!$A$2:$A$30,"&lt;="&amp;F212)&gt;G212,INDEX(Levels!$B$2:$B$30,MATCH(_xlfn.MAXIFS(Levels!$A$2:$A$30,Levels!$A$2:$A$30,"&lt;="&amp;F212),Levels!$A$2:$A$30,0)),""))</f>
        <v/>
      </c>
      <c r="I212" s="10">
        <f>IF(B212="","",COUNTIFS(Levels!$A$2:$A$30,"&lt;="&amp;F212,Levels!$A$2:$A$30,"&gt;"&amp;G212))</f>
        <v/>
      </c>
      <c r="J212" s="10">
        <f>IF(OR(B212="",TRIM('Find a child'!$B$3)=""),"",IF(ISNUMBER(SEARCH(TRIM('Find a child'!$B$3),B212&amp;" "&amp;C212)),COUNT(J$1:J211)+1,""))</f>
        <v/>
      </c>
    </row>
    <row r="213">
      <c r="A213" s="10" t="inlineStr">
        <is>
          <t>C0212</t>
        </is>
      </c>
      <c r="B213" s="6" t="n"/>
      <c r="C213" s="6" t="n"/>
      <c r="D213" s="6" t="n"/>
      <c r="E213" s="10">
        <f>IF(B213="","",IF(COUNTIFS($B$2:$B$600,B213,$C$2:$C$600,C213)&gt;1,B213&amp;" ("&amp;C213&amp;") "&amp;A213,B213&amp;" ("&amp;C213&amp;")"))</f>
        <v/>
      </c>
      <c r="F213" s="11">
        <f>IF(B213="","",SUMIFS(Entries!$J$2:$J$3000,Entries!$H$2:$H$3000,A213))</f>
        <v/>
      </c>
      <c r="G213" s="11">
        <f>IF(B213="","",_xlfn.MAXIFS(Prizes!$D$2:$D$3000,Prizes!$E$2:$E$3000,A213,Prizes!$G$2:$G$3000,""))</f>
        <v/>
      </c>
      <c r="H213" s="10">
        <f>IF(B213="","",IF(_xlfn.MAXIFS(Levels!$A$2:$A$30,Levels!$A$2:$A$30,"&lt;="&amp;F213)&gt;G213,INDEX(Levels!$B$2:$B$30,MATCH(_xlfn.MAXIFS(Levels!$A$2:$A$30,Levels!$A$2:$A$30,"&lt;="&amp;F213),Levels!$A$2:$A$30,0)),""))</f>
        <v/>
      </c>
      <c r="I213" s="10">
        <f>IF(B213="","",COUNTIFS(Levels!$A$2:$A$30,"&lt;="&amp;F213,Levels!$A$2:$A$30,"&gt;"&amp;G213))</f>
        <v/>
      </c>
      <c r="J213" s="10">
        <f>IF(OR(B213="",TRIM('Find a child'!$B$3)=""),"",IF(ISNUMBER(SEARCH(TRIM('Find a child'!$B$3),B213&amp;" "&amp;C213)),COUNT(J$1:J212)+1,""))</f>
        <v/>
      </c>
    </row>
    <row r="214">
      <c r="A214" s="10" t="inlineStr">
        <is>
          <t>C0213</t>
        </is>
      </c>
      <c r="B214" s="6" t="n"/>
      <c r="C214" s="6" t="n"/>
      <c r="D214" s="6" t="n"/>
      <c r="E214" s="10">
        <f>IF(B214="","",IF(COUNTIFS($B$2:$B$600,B214,$C$2:$C$600,C214)&gt;1,B214&amp;" ("&amp;C214&amp;") "&amp;A214,B214&amp;" ("&amp;C214&amp;")"))</f>
        <v/>
      </c>
      <c r="F214" s="11">
        <f>IF(B214="","",SUMIFS(Entries!$J$2:$J$3000,Entries!$H$2:$H$3000,A214))</f>
        <v/>
      </c>
      <c r="G214" s="11">
        <f>IF(B214="","",_xlfn.MAXIFS(Prizes!$D$2:$D$3000,Prizes!$E$2:$E$3000,A214,Prizes!$G$2:$G$3000,""))</f>
        <v/>
      </c>
      <c r="H214" s="10">
        <f>IF(B214="","",IF(_xlfn.MAXIFS(Levels!$A$2:$A$30,Levels!$A$2:$A$30,"&lt;="&amp;F214)&gt;G214,INDEX(Levels!$B$2:$B$30,MATCH(_xlfn.MAXIFS(Levels!$A$2:$A$30,Levels!$A$2:$A$30,"&lt;="&amp;F214),Levels!$A$2:$A$30,0)),""))</f>
        <v/>
      </c>
      <c r="I214" s="10">
        <f>IF(B214="","",COUNTIFS(Levels!$A$2:$A$30,"&lt;="&amp;F214,Levels!$A$2:$A$30,"&gt;"&amp;G214))</f>
        <v/>
      </c>
      <c r="J214" s="10">
        <f>IF(OR(B214="",TRIM('Find a child'!$B$3)=""),"",IF(ISNUMBER(SEARCH(TRIM('Find a child'!$B$3),B214&amp;" "&amp;C214)),COUNT(J$1:J213)+1,""))</f>
        <v/>
      </c>
    </row>
    <row r="215">
      <c r="A215" s="10" t="inlineStr">
        <is>
          <t>C0214</t>
        </is>
      </c>
      <c r="B215" s="6" t="n"/>
      <c r="C215" s="6" t="n"/>
      <c r="D215" s="6" t="n"/>
      <c r="E215" s="10">
        <f>IF(B215="","",IF(COUNTIFS($B$2:$B$600,B215,$C$2:$C$600,C215)&gt;1,B215&amp;" ("&amp;C215&amp;") "&amp;A215,B215&amp;" ("&amp;C215&amp;")"))</f>
        <v/>
      </c>
      <c r="F215" s="11">
        <f>IF(B215="","",SUMIFS(Entries!$J$2:$J$3000,Entries!$H$2:$H$3000,A215))</f>
        <v/>
      </c>
      <c r="G215" s="11">
        <f>IF(B215="","",_xlfn.MAXIFS(Prizes!$D$2:$D$3000,Prizes!$E$2:$E$3000,A215,Prizes!$G$2:$G$3000,""))</f>
        <v/>
      </c>
      <c r="H215" s="10">
        <f>IF(B215="","",IF(_xlfn.MAXIFS(Levels!$A$2:$A$30,Levels!$A$2:$A$30,"&lt;="&amp;F215)&gt;G215,INDEX(Levels!$B$2:$B$30,MATCH(_xlfn.MAXIFS(Levels!$A$2:$A$30,Levels!$A$2:$A$30,"&lt;="&amp;F215),Levels!$A$2:$A$30,0)),""))</f>
        <v/>
      </c>
      <c r="I215" s="10">
        <f>IF(B215="","",COUNTIFS(Levels!$A$2:$A$30,"&lt;="&amp;F215,Levels!$A$2:$A$30,"&gt;"&amp;G215))</f>
        <v/>
      </c>
      <c r="J215" s="10">
        <f>IF(OR(B215="",TRIM('Find a child'!$B$3)=""),"",IF(ISNUMBER(SEARCH(TRIM('Find a child'!$B$3),B215&amp;" "&amp;C215)),COUNT(J$1:J214)+1,""))</f>
        <v/>
      </c>
    </row>
    <row r="216">
      <c r="A216" s="10" t="inlineStr">
        <is>
          <t>C0215</t>
        </is>
      </c>
      <c r="B216" s="6" t="n"/>
      <c r="C216" s="6" t="n"/>
      <c r="D216" s="6" t="n"/>
      <c r="E216" s="10">
        <f>IF(B216="","",IF(COUNTIFS($B$2:$B$600,B216,$C$2:$C$600,C216)&gt;1,B216&amp;" ("&amp;C216&amp;") "&amp;A216,B216&amp;" ("&amp;C216&amp;")"))</f>
        <v/>
      </c>
      <c r="F216" s="11">
        <f>IF(B216="","",SUMIFS(Entries!$J$2:$J$3000,Entries!$H$2:$H$3000,A216))</f>
        <v/>
      </c>
      <c r="G216" s="11">
        <f>IF(B216="","",_xlfn.MAXIFS(Prizes!$D$2:$D$3000,Prizes!$E$2:$E$3000,A216,Prizes!$G$2:$G$3000,""))</f>
        <v/>
      </c>
      <c r="H216" s="10">
        <f>IF(B216="","",IF(_xlfn.MAXIFS(Levels!$A$2:$A$30,Levels!$A$2:$A$30,"&lt;="&amp;F216)&gt;G216,INDEX(Levels!$B$2:$B$30,MATCH(_xlfn.MAXIFS(Levels!$A$2:$A$30,Levels!$A$2:$A$30,"&lt;="&amp;F216),Levels!$A$2:$A$30,0)),""))</f>
        <v/>
      </c>
      <c r="I216" s="10">
        <f>IF(B216="","",COUNTIFS(Levels!$A$2:$A$30,"&lt;="&amp;F216,Levels!$A$2:$A$30,"&gt;"&amp;G216))</f>
        <v/>
      </c>
      <c r="J216" s="10">
        <f>IF(OR(B216="",TRIM('Find a child'!$B$3)=""),"",IF(ISNUMBER(SEARCH(TRIM('Find a child'!$B$3),B216&amp;" "&amp;C216)),COUNT(J$1:J215)+1,""))</f>
        <v/>
      </c>
    </row>
    <row r="217">
      <c r="A217" s="10" t="inlineStr">
        <is>
          <t>C0216</t>
        </is>
      </c>
      <c r="B217" s="6" t="n"/>
      <c r="C217" s="6" t="n"/>
      <c r="D217" s="6" t="n"/>
      <c r="E217" s="10">
        <f>IF(B217="","",IF(COUNTIFS($B$2:$B$600,B217,$C$2:$C$600,C217)&gt;1,B217&amp;" ("&amp;C217&amp;") "&amp;A217,B217&amp;" ("&amp;C217&amp;")"))</f>
        <v/>
      </c>
      <c r="F217" s="11">
        <f>IF(B217="","",SUMIFS(Entries!$J$2:$J$3000,Entries!$H$2:$H$3000,A217))</f>
        <v/>
      </c>
      <c r="G217" s="11">
        <f>IF(B217="","",_xlfn.MAXIFS(Prizes!$D$2:$D$3000,Prizes!$E$2:$E$3000,A217,Prizes!$G$2:$G$3000,""))</f>
        <v/>
      </c>
      <c r="H217" s="10">
        <f>IF(B217="","",IF(_xlfn.MAXIFS(Levels!$A$2:$A$30,Levels!$A$2:$A$30,"&lt;="&amp;F217)&gt;G217,INDEX(Levels!$B$2:$B$30,MATCH(_xlfn.MAXIFS(Levels!$A$2:$A$30,Levels!$A$2:$A$30,"&lt;="&amp;F217),Levels!$A$2:$A$30,0)),""))</f>
        <v/>
      </c>
      <c r="I217" s="10">
        <f>IF(B217="","",COUNTIFS(Levels!$A$2:$A$30,"&lt;="&amp;F217,Levels!$A$2:$A$30,"&gt;"&amp;G217))</f>
        <v/>
      </c>
      <c r="J217" s="10">
        <f>IF(OR(B217="",TRIM('Find a child'!$B$3)=""),"",IF(ISNUMBER(SEARCH(TRIM('Find a child'!$B$3),B217&amp;" "&amp;C217)),COUNT(J$1:J216)+1,""))</f>
        <v/>
      </c>
    </row>
    <row r="218">
      <c r="A218" s="10" t="inlineStr">
        <is>
          <t>C0217</t>
        </is>
      </c>
      <c r="B218" s="6" t="n"/>
      <c r="C218" s="6" t="n"/>
      <c r="D218" s="6" t="n"/>
      <c r="E218" s="10">
        <f>IF(B218="","",IF(COUNTIFS($B$2:$B$600,B218,$C$2:$C$600,C218)&gt;1,B218&amp;" ("&amp;C218&amp;") "&amp;A218,B218&amp;" ("&amp;C218&amp;")"))</f>
        <v/>
      </c>
      <c r="F218" s="11">
        <f>IF(B218="","",SUMIFS(Entries!$J$2:$J$3000,Entries!$H$2:$H$3000,A218))</f>
        <v/>
      </c>
      <c r="G218" s="11">
        <f>IF(B218="","",_xlfn.MAXIFS(Prizes!$D$2:$D$3000,Prizes!$E$2:$E$3000,A218,Prizes!$G$2:$G$3000,""))</f>
        <v/>
      </c>
      <c r="H218" s="10">
        <f>IF(B218="","",IF(_xlfn.MAXIFS(Levels!$A$2:$A$30,Levels!$A$2:$A$30,"&lt;="&amp;F218)&gt;G218,INDEX(Levels!$B$2:$B$30,MATCH(_xlfn.MAXIFS(Levels!$A$2:$A$30,Levels!$A$2:$A$30,"&lt;="&amp;F218),Levels!$A$2:$A$30,0)),""))</f>
        <v/>
      </c>
      <c r="I218" s="10">
        <f>IF(B218="","",COUNTIFS(Levels!$A$2:$A$30,"&lt;="&amp;F218,Levels!$A$2:$A$30,"&gt;"&amp;G218))</f>
        <v/>
      </c>
      <c r="J218" s="10">
        <f>IF(OR(B218="",TRIM('Find a child'!$B$3)=""),"",IF(ISNUMBER(SEARCH(TRIM('Find a child'!$B$3),B218&amp;" "&amp;C218)),COUNT(J$1:J217)+1,""))</f>
        <v/>
      </c>
    </row>
    <row r="219">
      <c r="A219" s="10" t="inlineStr">
        <is>
          <t>C0218</t>
        </is>
      </c>
      <c r="B219" s="6" t="n"/>
      <c r="C219" s="6" t="n"/>
      <c r="D219" s="6" t="n"/>
      <c r="E219" s="10">
        <f>IF(B219="","",IF(COUNTIFS($B$2:$B$600,B219,$C$2:$C$600,C219)&gt;1,B219&amp;" ("&amp;C219&amp;") "&amp;A219,B219&amp;" ("&amp;C219&amp;")"))</f>
        <v/>
      </c>
      <c r="F219" s="11">
        <f>IF(B219="","",SUMIFS(Entries!$J$2:$J$3000,Entries!$H$2:$H$3000,A219))</f>
        <v/>
      </c>
      <c r="G219" s="11">
        <f>IF(B219="","",_xlfn.MAXIFS(Prizes!$D$2:$D$3000,Prizes!$E$2:$E$3000,A219,Prizes!$G$2:$G$3000,""))</f>
        <v/>
      </c>
      <c r="H219" s="10">
        <f>IF(B219="","",IF(_xlfn.MAXIFS(Levels!$A$2:$A$30,Levels!$A$2:$A$30,"&lt;="&amp;F219)&gt;G219,INDEX(Levels!$B$2:$B$30,MATCH(_xlfn.MAXIFS(Levels!$A$2:$A$30,Levels!$A$2:$A$30,"&lt;="&amp;F219),Levels!$A$2:$A$30,0)),""))</f>
        <v/>
      </c>
      <c r="I219" s="10">
        <f>IF(B219="","",COUNTIFS(Levels!$A$2:$A$30,"&lt;="&amp;F219,Levels!$A$2:$A$30,"&gt;"&amp;G219))</f>
        <v/>
      </c>
      <c r="J219" s="10">
        <f>IF(OR(B219="",TRIM('Find a child'!$B$3)=""),"",IF(ISNUMBER(SEARCH(TRIM('Find a child'!$B$3),B219&amp;" "&amp;C219)),COUNT(J$1:J218)+1,""))</f>
        <v/>
      </c>
    </row>
    <row r="220">
      <c r="A220" s="10" t="inlineStr">
        <is>
          <t>C0219</t>
        </is>
      </c>
      <c r="B220" s="6" t="n"/>
      <c r="C220" s="6" t="n"/>
      <c r="D220" s="6" t="n"/>
      <c r="E220" s="10">
        <f>IF(B220="","",IF(COUNTIFS($B$2:$B$600,B220,$C$2:$C$600,C220)&gt;1,B220&amp;" ("&amp;C220&amp;") "&amp;A220,B220&amp;" ("&amp;C220&amp;")"))</f>
        <v/>
      </c>
      <c r="F220" s="11">
        <f>IF(B220="","",SUMIFS(Entries!$J$2:$J$3000,Entries!$H$2:$H$3000,A220))</f>
        <v/>
      </c>
      <c r="G220" s="11">
        <f>IF(B220="","",_xlfn.MAXIFS(Prizes!$D$2:$D$3000,Prizes!$E$2:$E$3000,A220,Prizes!$G$2:$G$3000,""))</f>
        <v/>
      </c>
      <c r="H220" s="10">
        <f>IF(B220="","",IF(_xlfn.MAXIFS(Levels!$A$2:$A$30,Levels!$A$2:$A$30,"&lt;="&amp;F220)&gt;G220,INDEX(Levels!$B$2:$B$30,MATCH(_xlfn.MAXIFS(Levels!$A$2:$A$30,Levels!$A$2:$A$30,"&lt;="&amp;F220),Levels!$A$2:$A$30,0)),""))</f>
        <v/>
      </c>
      <c r="I220" s="10">
        <f>IF(B220="","",COUNTIFS(Levels!$A$2:$A$30,"&lt;="&amp;F220,Levels!$A$2:$A$30,"&gt;"&amp;G220))</f>
        <v/>
      </c>
      <c r="J220" s="10">
        <f>IF(OR(B220="",TRIM('Find a child'!$B$3)=""),"",IF(ISNUMBER(SEARCH(TRIM('Find a child'!$B$3),B220&amp;" "&amp;C220)),COUNT(J$1:J219)+1,""))</f>
        <v/>
      </c>
    </row>
    <row r="221">
      <c r="A221" s="10" t="inlineStr">
        <is>
          <t>C0220</t>
        </is>
      </c>
      <c r="B221" s="6" t="n"/>
      <c r="C221" s="6" t="n"/>
      <c r="D221" s="6" t="n"/>
      <c r="E221" s="10">
        <f>IF(B221="","",IF(COUNTIFS($B$2:$B$600,B221,$C$2:$C$600,C221)&gt;1,B221&amp;" ("&amp;C221&amp;") "&amp;A221,B221&amp;" ("&amp;C221&amp;")"))</f>
        <v/>
      </c>
      <c r="F221" s="11">
        <f>IF(B221="","",SUMIFS(Entries!$J$2:$J$3000,Entries!$H$2:$H$3000,A221))</f>
        <v/>
      </c>
      <c r="G221" s="11">
        <f>IF(B221="","",_xlfn.MAXIFS(Prizes!$D$2:$D$3000,Prizes!$E$2:$E$3000,A221,Prizes!$G$2:$G$3000,""))</f>
        <v/>
      </c>
      <c r="H221" s="10">
        <f>IF(B221="","",IF(_xlfn.MAXIFS(Levels!$A$2:$A$30,Levels!$A$2:$A$30,"&lt;="&amp;F221)&gt;G221,INDEX(Levels!$B$2:$B$30,MATCH(_xlfn.MAXIFS(Levels!$A$2:$A$30,Levels!$A$2:$A$30,"&lt;="&amp;F221),Levels!$A$2:$A$30,0)),""))</f>
        <v/>
      </c>
      <c r="I221" s="10">
        <f>IF(B221="","",COUNTIFS(Levels!$A$2:$A$30,"&lt;="&amp;F221,Levels!$A$2:$A$30,"&gt;"&amp;G221))</f>
        <v/>
      </c>
      <c r="J221" s="10">
        <f>IF(OR(B221="",TRIM('Find a child'!$B$3)=""),"",IF(ISNUMBER(SEARCH(TRIM('Find a child'!$B$3),B221&amp;" "&amp;C221)),COUNT(J$1:J220)+1,""))</f>
        <v/>
      </c>
    </row>
    <row r="222">
      <c r="A222" s="10" t="inlineStr">
        <is>
          <t>C0221</t>
        </is>
      </c>
      <c r="B222" s="6" t="n"/>
      <c r="C222" s="6" t="n"/>
      <c r="D222" s="6" t="n"/>
      <c r="E222" s="10">
        <f>IF(B222="","",IF(COUNTIFS($B$2:$B$600,B222,$C$2:$C$600,C222)&gt;1,B222&amp;" ("&amp;C222&amp;") "&amp;A222,B222&amp;" ("&amp;C222&amp;")"))</f>
        <v/>
      </c>
      <c r="F222" s="11">
        <f>IF(B222="","",SUMIFS(Entries!$J$2:$J$3000,Entries!$H$2:$H$3000,A222))</f>
        <v/>
      </c>
      <c r="G222" s="11">
        <f>IF(B222="","",_xlfn.MAXIFS(Prizes!$D$2:$D$3000,Prizes!$E$2:$E$3000,A222,Prizes!$G$2:$G$3000,""))</f>
        <v/>
      </c>
      <c r="H222" s="10">
        <f>IF(B222="","",IF(_xlfn.MAXIFS(Levels!$A$2:$A$30,Levels!$A$2:$A$30,"&lt;="&amp;F222)&gt;G222,INDEX(Levels!$B$2:$B$30,MATCH(_xlfn.MAXIFS(Levels!$A$2:$A$30,Levels!$A$2:$A$30,"&lt;="&amp;F222),Levels!$A$2:$A$30,0)),""))</f>
        <v/>
      </c>
      <c r="I222" s="10">
        <f>IF(B222="","",COUNTIFS(Levels!$A$2:$A$30,"&lt;="&amp;F222,Levels!$A$2:$A$30,"&gt;"&amp;G222))</f>
        <v/>
      </c>
      <c r="J222" s="10">
        <f>IF(OR(B222="",TRIM('Find a child'!$B$3)=""),"",IF(ISNUMBER(SEARCH(TRIM('Find a child'!$B$3),B222&amp;" "&amp;C222)),COUNT(J$1:J221)+1,""))</f>
        <v/>
      </c>
    </row>
    <row r="223">
      <c r="A223" s="10" t="inlineStr">
        <is>
          <t>C0222</t>
        </is>
      </c>
      <c r="B223" s="6" t="n"/>
      <c r="C223" s="6" t="n"/>
      <c r="D223" s="6" t="n"/>
      <c r="E223" s="10">
        <f>IF(B223="","",IF(COUNTIFS($B$2:$B$600,B223,$C$2:$C$600,C223)&gt;1,B223&amp;" ("&amp;C223&amp;") "&amp;A223,B223&amp;" ("&amp;C223&amp;")"))</f>
        <v/>
      </c>
      <c r="F223" s="11">
        <f>IF(B223="","",SUMIFS(Entries!$J$2:$J$3000,Entries!$H$2:$H$3000,A223))</f>
        <v/>
      </c>
      <c r="G223" s="11">
        <f>IF(B223="","",_xlfn.MAXIFS(Prizes!$D$2:$D$3000,Prizes!$E$2:$E$3000,A223,Prizes!$G$2:$G$3000,""))</f>
        <v/>
      </c>
      <c r="H223" s="10">
        <f>IF(B223="","",IF(_xlfn.MAXIFS(Levels!$A$2:$A$30,Levels!$A$2:$A$30,"&lt;="&amp;F223)&gt;G223,INDEX(Levels!$B$2:$B$30,MATCH(_xlfn.MAXIFS(Levels!$A$2:$A$30,Levels!$A$2:$A$30,"&lt;="&amp;F223),Levels!$A$2:$A$30,0)),""))</f>
        <v/>
      </c>
      <c r="I223" s="10">
        <f>IF(B223="","",COUNTIFS(Levels!$A$2:$A$30,"&lt;="&amp;F223,Levels!$A$2:$A$30,"&gt;"&amp;G223))</f>
        <v/>
      </c>
      <c r="J223" s="10">
        <f>IF(OR(B223="",TRIM('Find a child'!$B$3)=""),"",IF(ISNUMBER(SEARCH(TRIM('Find a child'!$B$3),B223&amp;" "&amp;C223)),COUNT(J$1:J222)+1,""))</f>
        <v/>
      </c>
    </row>
    <row r="224">
      <c r="A224" s="10" t="inlineStr">
        <is>
          <t>C0223</t>
        </is>
      </c>
      <c r="B224" s="6" t="n"/>
      <c r="C224" s="6" t="n"/>
      <c r="D224" s="6" t="n"/>
      <c r="E224" s="10">
        <f>IF(B224="","",IF(COUNTIFS($B$2:$B$600,B224,$C$2:$C$600,C224)&gt;1,B224&amp;" ("&amp;C224&amp;") "&amp;A224,B224&amp;" ("&amp;C224&amp;")"))</f>
        <v/>
      </c>
      <c r="F224" s="11">
        <f>IF(B224="","",SUMIFS(Entries!$J$2:$J$3000,Entries!$H$2:$H$3000,A224))</f>
        <v/>
      </c>
      <c r="G224" s="11">
        <f>IF(B224="","",_xlfn.MAXIFS(Prizes!$D$2:$D$3000,Prizes!$E$2:$E$3000,A224,Prizes!$G$2:$G$3000,""))</f>
        <v/>
      </c>
      <c r="H224" s="10">
        <f>IF(B224="","",IF(_xlfn.MAXIFS(Levels!$A$2:$A$30,Levels!$A$2:$A$30,"&lt;="&amp;F224)&gt;G224,INDEX(Levels!$B$2:$B$30,MATCH(_xlfn.MAXIFS(Levels!$A$2:$A$30,Levels!$A$2:$A$30,"&lt;="&amp;F224),Levels!$A$2:$A$30,0)),""))</f>
        <v/>
      </c>
      <c r="I224" s="10">
        <f>IF(B224="","",COUNTIFS(Levels!$A$2:$A$30,"&lt;="&amp;F224,Levels!$A$2:$A$30,"&gt;"&amp;G224))</f>
        <v/>
      </c>
      <c r="J224" s="10">
        <f>IF(OR(B224="",TRIM('Find a child'!$B$3)=""),"",IF(ISNUMBER(SEARCH(TRIM('Find a child'!$B$3),B224&amp;" "&amp;C224)),COUNT(J$1:J223)+1,""))</f>
        <v/>
      </c>
    </row>
    <row r="225">
      <c r="A225" s="10" t="inlineStr">
        <is>
          <t>C0224</t>
        </is>
      </c>
      <c r="B225" s="6" t="n"/>
      <c r="C225" s="6" t="n"/>
      <c r="D225" s="6" t="n"/>
      <c r="E225" s="10">
        <f>IF(B225="","",IF(COUNTIFS($B$2:$B$600,B225,$C$2:$C$600,C225)&gt;1,B225&amp;" ("&amp;C225&amp;") "&amp;A225,B225&amp;" ("&amp;C225&amp;")"))</f>
        <v/>
      </c>
      <c r="F225" s="11">
        <f>IF(B225="","",SUMIFS(Entries!$J$2:$J$3000,Entries!$H$2:$H$3000,A225))</f>
        <v/>
      </c>
      <c r="G225" s="11">
        <f>IF(B225="","",_xlfn.MAXIFS(Prizes!$D$2:$D$3000,Prizes!$E$2:$E$3000,A225,Prizes!$G$2:$G$3000,""))</f>
        <v/>
      </c>
      <c r="H225" s="10">
        <f>IF(B225="","",IF(_xlfn.MAXIFS(Levels!$A$2:$A$30,Levels!$A$2:$A$30,"&lt;="&amp;F225)&gt;G225,INDEX(Levels!$B$2:$B$30,MATCH(_xlfn.MAXIFS(Levels!$A$2:$A$30,Levels!$A$2:$A$30,"&lt;="&amp;F225),Levels!$A$2:$A$30,0)),""))</f>
        <v/>
      </c>
      <c r="I225" s="10">
        <f>IF(B225="","",COUNTIFS(Levels!$A$2:$A$30,"&lt;="&amp;F225,Levels!$A$2:$A$30,"&gt;"&amp;G225))</f>
        <v/>
      </c>
      <c r="J225" s="10">
        <f>IF(OR(B225="",TRIM('Find a child'!$B$3)=""),"",IF(ISNUMBER(SEARCH(TRIM('Find a child'!$B$3),B225&amp;" "&amp;C225)),COUNT(J$1:J224)+1,""))</f>
        <v/>
      </c>
    </row>
    <row r="226">
      <c r="A226" s="10" t="inlineStr">
        <is>
          <t>C0225</t>
        </is>
      </c>
      <c r="B226" s="6" t="n"/>
      <c r="C226" s="6" t="n"/>
      <c r="D226" s="6" t="n"/>
      <c r="E226" s="10">
        <f>IF(B226="","",IF(COUNTIFS($B$2:$B$600,B226,$C$2:$C$600,C226)&gt;1,B226&amp;" ("&amp;C226&amp;") "&amp;A226,B226&amp;" ("&amp;C226&amp;")"))</f>
        <v/>
      </c>
      <c r="F226" s="11">
        <f>IF(B226="","",SUMIFS(Entries!$J$2:$J$3000,Entries!$H$2:$H$3000,A226))</f>
        <v/>
      </c>
      <c r="G226" s="11">
        <f>IF(B226="","",_xlfn.MAXIFS(Prizes!$D$2:$D$3000,Prizes!$E$2:$E$3000,A226,Prizes!$G$2:$G$3000,""))</f>
        <v/>
      </c>
      <c r="H226" s="10">
        <f>IF(B226="","",IF(_xlfn.MAXIFS(Levels!$A$2:$A$30,Levels!$A$2:$A$30,"&lt;="&amp;F226)&gt;G226,INDEX(Levels!$B$2:$B$30,MATCH(_xlfn.MAXIFS(Levels!$A$2:$A$30,Levels!$A$2:$A$30,"&lt;="&amp;F226),Levels!$A$2:$A$30,0)),""))</f>
        <v/>
      </c>
      <c r="I226" s="10">
        <f>IF(B226="","",COUNTIFS(Levels!$A$2:$A$30,"&lt;="&amp;F226,Levels!$A$2:$A$30,"&gt;"&amp;G226))</f>
        <v/>
      </c>
      <c r="J226" s="10">
        <f>IF(OR(B226="",TRIM('Find a child'!$B$3)=""),"",IF(ISNUMBER(SEARCH(TRIM('Find a child'!$B$3),B226&amp;" "&amp;C226)),COUNT(J$1:J225)+1,""))</f>
        <v/>
      </c>
    </row>
    <row r="227">
      <c r="A227" s="10" t="inlineStr">
        <is>
          <t>C0226</t>
        </is>
      </c>
      <c r="B227" s="6" t="n"/>
      <c r="C227" s="6" t="n"/>
      <c r="D227" s="6" t="n"/>
      <c r="E227" s="10">
        <f>IF(B227="","",IF(COUNTIFS($B$2:$B$600,B227,$C$2:$C$600,C227)&gt;1,B227&amp;" ("&amp;C227&amp;") "&amp;A227,B227&amp;" ("&amp;C227&amp;")"))</f>
        <v/>
      </c>
      <c r="F227" s="11">
        <f>IF(B227="","",SUMIFS(Entries!$J$2:$J$3000,Entries!$H$2:$H$3000,A227))</f>
        <v/>
      </c>
      <c r="G227" s="11">
        <f>IF(B227="","",_xlfn.MAXIFS(Prizes!$D$2:$D$3000,Prizes!$E$2:$E$3000,A227,Prizes!$G$2:$G$3000,""))</f>
        <v/>
      </c>
      <c r="H227" s="10">
        <f>IF(B227="","",IF(_xlfn.MAXIFS(Levels!$A$2:$A$30,Levels!$A$2:$A$30,"&lt;="&amp;F227)&gt;G227,INDEX(Levels!$B$2:$B$30,MATCH(_xlfn.MAXIFS(Levels!$A$2:$A$30,Levels!$A$2:$A$30,"&lt;="&amp;F227),Levels!$A$2:$A$30,0)),""))</f>
        <v/>
      </c>
      <c r="I227" s="10">
        <f>IF(B227="","",COUNTIFS(Levels!$A$2:$A$30,"&lt;="&amp;F227,Levels!$A$2:$A$30,"&gt;"&amp;G227))</f>
        <v/>
      </c>
      <c r="J227" s="10">
        <f>IF(OR(B227="",TRIM('Find a child'!$B$3)=""),"",IF(ISNUMBER(SEARCH(TRIM('Find a child'!$B$3),B227&amp;" "&amp;C227)),COUNT(J$1:J226)+1,""))</f>
        <v/>
      </c>
    </row>
    <row r="228">
      <c r="A228" s="10" t="inlineStr">
        <is>
          <t>C0227</t>
        </is>
      </c>
      <c r="B228" s="6" t="n"/>
      <c r="C228" s="6" t="n"/>
      <c r="D228" s="6" t="n"/>
      <c r="E228" s="10">
        <f>IF(B228="","",IF(COUNTIFS($B$2:$B$600,B228,$C$2:$C$600,C228)&gt;1,B228&amp;" ("&amp;C228&amp;") "&amp;A228,B228&amp;" ("&amp;C228&amp;")"))</f>
        <v/>
      </c>
      <c r="F228" s="11">
        <f>IF(B228="","",SUMIFS(Entries!$J$2:$J$3000,Entries!$H$2:$H$3000,A228))</f>
        <v/>
      </c>
      <c r="G228" s="11">
        <f>IF(B228="","",_xlfn.MAXIFS(Prizes!$D$2:$D$3000,Prizes!$E$2:$E$3000,A228,Prizes!$G$2:$G$3000,""))</f>
        <v/>
      </c>
      <c r="H228" s="10">
        <f>IF(B228="","",IF(_xlfn.MAXIFS(Levels!$A$2:$A$30,Levels!$A$2:$A$30,"&lt;="&amp;F228)&gt;G228,INDEX(Levels!$B$2:$B$30,MATCH(_xlfn.MAXIFS(Levels!$A$2:$A$30,Levels!$A$2:$A$30,"&lt;="&amp;F228),Levels!$A$2:$A$30,0)),""))</f>
        <v/>
      </c>
      <c r="I228" s="10">
        <f>IF(B228="","",COUNTIFS(Levels!$A$2:$A$30,"&lt;="&amp;F228,Levels!$A$2:$A$30,"&gt;"&amp;G228))</f>
        <v/>
      </c>
      <c r="J228" s="10">
        <f>IF(OR(B228="",TRIM('Find a child'!$B$3)=""),"",IF(ISNUMBER(SEARCH(TRIM('Find a child'!$B$3),B228&amp;" "&amp;C228)),COUNT(J$1:J227)+1,""))</f>
        <v/>
      </c>
    </row>
    <row r="229">
      <c r="A229" s="10" t="inlineStr">
        <is>
          <t>C0228</t>
        </is>
      </c>
      <c r="B229" s="6" t="n"/>
      <c r="C229" s="6" t="n"/>
      <c r="D229" s="6" t="n"/>
      <c r="E229" s="10">
        <f>IF(B229="","",IF(COUNTIFS($B$2:$B$600,B229,$C$2:$C$600,C229)&gt;1,B229&amp;" ("&amp;C229&amp;") "&amp;A229,B229&amp;" ("&amp;C229&amp;")"))</f>
        <v/>
      </c>
      <c r="F229" s="11">
        <f>IF(B229="","",SUMIFS(Entries!$J$2:$J$3000,Entries!$H$2:$H$3000,A229))</f>
        <v/>
      </c>
      <c r="G229" s="11">
        <f>IF(B229="","",_xlfn.MAXIFS(Prizes!$D$2:$D$3000,Prizes!$E$2:$E$3000,A229,Prizes!$G$2:$G$3000,""))</f>
        <v/>
      </c>
      <c r="H229" s="10">
        <f>IF(B229="","",IF(_xlfn.MAXIFS(Levels!$A$2:$A$30,Levels!$A$2:$A$30,"&lt;="&amp;F229)&gt;G229,INDEX(Levels!$B$2:$B$30,MATCH(_xlfn.MAXIFS(Levels!$A$2:$A$30,Levels!$A$2:$A$30,"&lt;="&amp;F229),Levels!$A$2:$A$30,0)),""))</f>
        <v/>
      </c>
      <c r="I229" s="10">
        <f>IF(B229="","",COUNTIFS(Levels!$A$2:$A$30,"&lt;="&amp;F229,Levels!$A$2:$A$30,"&gt;"&amp;G229))</f>
        <v/>
      </c>
      <c r="J229" s="10">
        <f>IF(OR(B229="",TRIM('Find a child'!$B$3)=""),"",IF(ISNUMBER(SEARCH(TRIM('Find a child'!$B$3),B229&amp;" "&amp;C229)),COUNT(J$1:J228)+1,""))</f>
        <v/>
      </c>
    </row>
    <row r="230">
      <c r="A230" s="10" t="inlineStr">
        <is>
          <t>C0229</t>
        </is>
      </c>
      <c r="B230" s="6" t="n"/>
      <c r="C230" s="6" t="n"/>
      <c r="D230" s="6" t="n"/>
      <c r="E230" s="10">
        <f>IF(B230="","",IF(COUNTIFS($B$2:$B$600,B230,$C$2:$C$600,C230)&gt;1,B230&amp;" ("&amp;C230&amp;") "&amp;A230,B230&amp;" ("&amp;C230&amp;")"))</f>
        <v/>
      </c>
      <c r="F230" s="11">
        <f>IF(B230="","",SUMIFS(Entries!$J$2:$J$3000,Entries!$H$2:$H$3000,A230))</f>
        <v/>
      </c>
      <c r="G230" s="11">
        <f>IF(B230="","",_xlfn.MAXIFS(Prizes!$D$2:$D$3000,Prizes!$E$2:$E$3000,A230,Prizes!$G$2:$G$3000,""))</f>
        <v/>
      </c>
      <c r="H230" s="10">
        <f>IF(B230="","",IF(_xlfn.MAXIFS(Levels!$A$2:$A$30,Levels!$A$2:$A$30,"&lt;="&amp;F230)&gt;G230,INDEX(Levels!$B$2:$B$30,MATCH(_xlfn.MAXIFS(Levels!$A$2:$A$30,Levels!$A$2:$A$30,"&lt;="&amp;F230),Levels!$A$2:$A$30,0)),""))</f>
        <v/>
      </c>
      <c r="I230" s="10">
        <f>IF(B230="","",COUNTIFS(Levels!$A$2:$A$30,"&lt;="&amp;F230,Levels!$A$2:$A$30,"&gt;"&amp;G230))</f>
        <v/>
      </c>
      <c r="J230" s="10">
        <f>IF(OR(B230="",TRIM('Find a child'!$B$3)=""),"",IF(ISNUMBER(SEARCH(TRIM('Find a child'!$B$3),B230&amp;" "&amp;C230)),COUNT(J$1:J229)+1,""))</f>
        <v/>
      </c>
    </row>
    <row r="231">
      <c r="A231" s="10" t="inlineStr">
        <is>
          <t>C0230</t>
        </is>
      </c>
      <c r="B231" s="6" t="n"/>
      <c r="C231" s="6" t="n"/>
      <c r="D231" s="6" t="n"/>
      <c r="E231" s="10">
        <f>IF(B231="","",IF(COUNTIFS($B$2:$B$600,B231,$C$2:$C$600,C231)&gt;1,B231&amp;" ("&amp;C231&amp;") "&amp;A231,B231&amp;" ("&amp;C231&amp;")"))</f>
        <v/>
      </c>
      <c r="F231" s="11">
        <f>IF(B231="","",SUMIFS(Entries!$J$2:$J$3000,Entries!$H$2:$H$3000,A231))</f>
        <v/>
      </c>
      <c r="G231" s="11">
        <f>IF(B231="","",_xlfn.MAXIFS(Prizes!$D$2:$D$3000,Prizes!$E$2:$E$3000,A231,Prizes!$G$2:$G$3000,""))</f>
        <v/>
      </c>
      <c r="H231" s="10">
        <f>IF(B231="","",IF(_xlfn.MAXIFS(Levels!$A$2:$A$30,Levels!$A$2:$A$30,"&lt;="&amp;F231)&gt;G231,INDEX(Levels!$B$2:$B$30,MATCH(_xlfn.MAXIFS(Levels!$A$2:$A$30,Levels!$A$2:$A$30,"&lt;="&amp;F231),Levels!$A$2:$A$30,0)),""))</f>
        <v/>
      </c>
      <c r="I231" s="10">
        <f>IF(B231="","",COUNTIFS(Levels!$A$2:$A$30,"&lt;="&amp;F231,Levels!$A$2:$A$30,"&gt;"&amp;G231))</f>
        <v/>
      </c>
      <c r="J231" s="10">
        <f>IF(OR(B231="",TRIM('Find a child'!$B$3)=""),"",IF(ISNUMBER(SEARCH(TRIM('Find a child'!$B$3),B231&amp;" "&amp;C231)),COUNT(J$1:J230)+1,""))</f>
        <v/>
      </c>
    </row>
    <row r="232">
      <c r="A232" s="10" t="inlineStr">
        <is>
          <t>C0231</t>
        </is>
      </c>
      <c r="B232" s="6" t="n"/>
      <c r="C232" s="6" t="n"/>
      <c r="D232" s="6" t="n"/>
      <c r="E232" s="10">
        <f>IF(B232="","",IF(COUNTIFS($B$2:$B$600,B232,$C$2:$C$600,C232)&gt;1,B232&amp;" ("&amp;C232&amp;") "&amp;A232,B232&amp;" ("&amp;C232&amp;")"))</f>
        <v/>
      </c>
      <c r="F232" s="11">
        <f>IF(B232="","",SUMIFS(Entries!$J$2:$J$3000,Entries!$H$2:$H$3000,A232))</f>
        <v/>
      </c>
      <c r="G232" s="11">
        <f>IF(B232="","",_xlfn.MAXIFS(Prizes!$D$2:$D$3000,Prizes!$E$2:$E$3000,A232,Prizes!$G$2:$G$3000,""))</f>
        <v/>
      </c>
      <c r="H232" s="10">
        <f>IF(B232="","",IF(_xlfn.MAXIFS(Levels!$A$2:$A$30,Levels!$A$2:$A$30,"&lt;="&amp;F232)&gt;G232,INDEX(Levels!$B$2:$B$30,MATCH(_xlfn.MAXIFS(Levels!$A$2:$A$30,Levels!$A$2:$A$30,"&lt;="&amp;F232),Levels!$A$2:$A$30,0)),""))</f>
        <v/>
      </c>
      <c r="I232" s="10">
        <f>IF(B232="","",COUNTIFS(Levels!$A$2:$A$30,"&lt;="&amp;F232,Levels!$A$2:$A$30,"&gt;"&amp;G232))</f>
        <v/>
      </c>
      <c r="J232" s="10">
        <f>IF(OR(B232="",TRIM('Find a child'!$B$3)=""),"",IF(ISNUMBER(SEARCH(TRIM('Find a child'!$B$3),B232&amp;" "&amp;C232)),COUNT(J$1:J231)+1,""))</f>
        <v/>
      </c>
    </row>
    <row r="233">
      <c r="A233" s="10" t="inlineStr">
        <is>
          <t>C0232</t>
        </is>
      </c>
      <c r="B233" s="6" t="n"/>
      <c r="C233" s="6" t="n"/>
      <c r="D233" s="6" t="n"/>
      <c r="E233" s="10">
        <f>IF(B233="","",IF(COUNTIFS($B$2:$B$600,B233,$C$2:$C$600,C233)&gt;1,B233&amp;" ("&amp;C233&amp;") "&amp;A233,B233&amp;" ("&amp;C233&amp;")"))</f>
        <v/>
      </c>
      <c r="F233" s="11">
        <f>IF(B233="","",SUMIFS(Entries!$J$2:$J$3000,Entries!$H$2:$H$3000,A233))</f>
        <v/>
      </c>
      <c r="G233" s="11">
        <f>IF(B233="","",_xlfn.MAXIFS(Prizes!$D$2:$D$3000,Prizes!$E$2:$E$3000,A233,Prizes!$G$2:$G$3000,""))</f>
        <v/>
      </c>
      <c r="H233" s="10">
        <f>IF(B233="","",IF(_xlfn.MAXIFS(Levels!$A$2:$A$30,Levels!$A$2:$A$30,"&lt;="&amp;F233)&gt;G233,INDEX(Levels!$B$2:$B$30,MATCH(_xlfn.MAXIFS(Levels!$A$2:$A$30,Levels!$A$2:$A$30,"&lt;="&amp;F233),Levels!$A$2:$A$30,0)),""))</f>
        <v/>
      </c>
      <c r="I233" s="10">
        <f>IF(B233="","",COUNTIFS(Levels!$A$2:$A$30,"&lt;="&amp;F233,Levels!$A$2:$A$30,"&gt;"&amp;G233))</f>
        <v/>
      </c>
      <c r="J233" s="10">
        <f>IF(OR(B233="",TRIM('Find a child'!$B$3)=""),"",IF(ISNUMBER(SEARCH(TRIM('Find a child'!$B$3),B233&amp;" "&amp;C233)),COUNT(J$1:J232)+1,""))</f>
        <v/>
      </c>
    </row>
    <row r="234">
      <c r="A234" s="10" t="inlineStr">
        <is>
          <t>C0233</t>
        </is>
      </c>
      <c r="B234" s="6" t="n"/>
      <c r="C234" s="6" t="n"/>
      <c r="D234" s="6" t="n"/>
      <c r="E234" s="10">
        <f>IF(B234="","",IF(COUNTIFS($B$2:$B$600,B234,$C$2:$C$600,C234)&gt;1,B234&amp;" ("&amp;C234&amp;") "&amp;A234,B234&amp;" ("&amp;C234&amp;")"))</f>
        <v/>
      </c>
      <c r="F234" s="11">
        <f>IF(B234="","",SUMIFS(Entries!$J$2:$J$3000,Entries!$H$2:$H$3000,A234))</f>
        <v/>
      </c>
      <c r="G234" s="11">
        <f>IF(B234="","",_xlfn.MAXIFS(Prizes!$D$2:$D$3000,Prizes!$E$2:$E$3000,A234,Prizes!$G$2:$G$3000,""))</f>
        <v/>
      </c>
      <c r="H234" s="10">
        <f>IF(B234="","",IF(_xlfn.MAXIFS(Levels!$A$2:$A$30,Levels!$A$2:$A$30,"&lt;="&amp;F234)&gt;G234,INDEX(Levels!$B$2:$B$30,MATCH(_xlfn.MAXIFS(Levels!$A$2:$A$30,Levels!$A$2:$A$30,"&lt;="&amp;F234),Levels!$A$2:$A$30,0)),""))</f>
        <v/>
      </c>
      <c r="I234" s="10">
        <f>IF(B234="","",COUNTIFS(Levels!$A$2:$A$30,"&lt;="&amp;F234,Levels!$A$2:$A$30,"&gt;"&amp;G234))</f>
        <v/>
      </c>
      <c r="J234" s="10">
        <f>IF(OR(B234="",TRIM('Find a child'!$B$3)=""),"",IF(ISNUMBER(SEARCH(TRIM('Find a child'!$B$3),B234&amp;" "&amp;C234)),COUNT(J$1:J233)+1,""))</f>
        <v/>
      </c>
    </row>
    <row r="235">
      <c r="A235" s="10" t="inlineStr">
        <is>
          <t>C0234</t>
        </is>
      </c>
      <c r="B235" s="6" t="n"/>
      <c r="C235" s="6" t="n"/>
      <c r="D235" s="6" t="n"/>
      <c r="E235" s="10">
        <f>IF(B235="","",IF(COUNTIFS($B$2:$B$600,B235,$C$2:$C$600,C235)&gt;1,B235&amp;" ("&amp;C235&amp;") "&amp;A235,B235&amp;" ("&amp;C235&amp;")"))</f>
        <v/>
      </c>
      <c r="F235" s="11">
        <f>IF(B235="","",SUMIFS(Entries!$J$2:$J$3000,Entries!$H$2:$H$3000,A235))</f>
        <v/>
      </c>
      <c r="G235" s="11">
        <f>IF(B235="","",_xlfn.MAXIFS(Prizes!$D$2:$D$3000,Prizes!$E$2:$E$3000,A235,Prizes!$G$2:$G$3000,""))</f>
        <v/>
      </c>
      <c r="H235" s="10">
        <f>IF(B235="","",IF(_xlfn.MAXIFS(Levels!$A$2:$A$30,Levels!$A$2:$A$30,"&lt;="&amp;F235)&gt;G235,INDEX(Levels!$B$2:$B$30,MATCH(_xlfn.MAXIFS(Levels!$A$2:$A$30,Levels!$A$2:$A$30,"&lt;="&amp;F235),Levels!$A$2:$A$30,0)),""))</f>
        <v/>
      </c>
      <c r="I235" s="10">
        <f>IF(B235="","",COUNTIFS(Levels!$A$2:$A$30,"&lt;="&amp;F235,Levels!$A$2:$A$30,"&gt;"&amp;G235))</f>
        <v/>
      </c>
      <c r="J235" s="10">
        <f>IF(OR(B235="",TRIM('Find a child'!$B$3)=""),"",IF(ISNUMBER(SEARCH(TRIM('Find a child'!$B$3),B235&amp;" "&amp;C235)),COUNT(J$1:J234)+1,""))</f>
        <v/>
      </c>
    </row>
    <row r="236">
      <c r="A236" s="10" t="inlineStr">
        <is>
          <t>C0235</t>
        </is>
      </c>
      <c r="B236" s="6" t="n"/>
      <c r="C236" s="6" t="n"/>
      <c r="D236" s="6" t="n"/>
      <c r="E236" s="10">
        <f>IF(B236="","",IF(COUNTIFS($B$2:$B$600,B236,$C$2:$C$600,C236)&gt;1,B236&amp;" ("&amp;C236&amp;") "&amp;A236,B236&amp;" ("&amp;C236&amp;")"))</f>
        <v/>
      </c>
      <c r="F236" s="11">
        <f>IF(B236="","",SUMIFS(Entries!$J$2:$J$3000,Entries!$H$2:$H$3000,A236))</f>
        <v/>
      </c>
      <c r="G236" s="11">
        <f>IF(B236="","",_xlfn.MAXIFS(Prizes!$D$2:$D$3000,Prizes!$E$2:$E$3000,A236,Prizes!$G$2:$G$3000,""))</f>
        <v/>
      </c>
      <c r="H236" s="10">
        <f>IF(B236="","",IF(_xlfn.MAXIFS(Levels!$A$2:$A$30,Levels!$A$2:$A$30,"&lt;="&amp;F236)&gt;G236,INDEX(Levels!$B$2:$B$30,MATCH(_xlfn.MAXIFS(Levels!$A$2:$A$30,Levels!$A$2:$A$30,"&lt;="&amp;F236),Levels!$A$2:$A$30,0)),""))</f>
        <v/>
      </c>
      <c r="I236" s="10">
        <f>IF(B236="","",COUNTIFS(Levels!$A$2:$A$30,"&lt;="&amp;F236,Levels!$A$2:$A$30,"&gt;"&amp;G236))</f>
        <v/>
      </c>
      <c r="J236" s="10">
        <f>IF(OR(B236="",TRIM('Find a child'!$B$3)=""),"",IF(ISNUMBER(SEARCH(TRIM('Find a child'!$B$3),B236&amp;" "&amp;C236)),COUNT(J$1:J235)+1,""))</f>
        <v/>
      </c>
    </row>
    <row r="237">
      <c r="A237" s="10" t="inlineStr">
        <is>
          <t>C0236</t>
        </is>
      </c>
      <c r="B237" s="6" t="n"/>
      <c r="C237" s="6" t="n"/>
      <c r="D237" s="6" t="n"/>
      <c r="E237" s="10">
        <f>IF(B237="","",IF(COUNTIFS($B$2:$B$600,B237,$C$2:$C$600,C237)&gt;1,B237&amp;" ("&amp;C237&amp;") "&amp;A237,B237&amp;" ("&amp;C237&amp;")"))</f>
        <v/>
      </c>
      <c r="F237" s="11">
        <f>IF(B237="","",SUMIFS(Entries!$J$2:$J$3000,Entries!$H$2:$H$3000,A237))</f>
        <v/>
      </c>
      <c r="G237" s="11">
        <f>IF(B237="","",_xlfn.MAXIFS(Prizes!$D$2:$D$3000,Prizes!$E$2:$E$3000,A237,Prizes!$G$2:$G$3000,""))</f>
        <v/>
      </c>
      <c r="H237" s="10">
        <f>IF(B237="","",IF(_xlfn.MAXIFS(Levels!$A$2:$A$30,Levels!$A$2:$A$30,"&lt;="&amp;F237)&gt;G237,INDEX(Levels!$B$2:$B$30,MATCH(_xlfn.MAXIFS(Levels!$A$2:$A$30,Levels!$A$2:$A$30,"&lt;="&amp;F237),Levels!$A$2:$A$30,0)),""))</f>
        <v/>
      </c>
      <c r="I237" s="10">
        <f>IF(B237="","",COUNTIFS(Levels!$A$2:$A$30,"&lt;="&amp;F237,Levels!$A$2:$A$30,"&gt;"&amp;G237))</f>
        <v/>
      </c>
      <c r="J237" s="10">
        <f>IF(OR(B237="",TRIM('Find a child'!$B$3)=""),"",IF(ISNUMBER(SEARCH(TRIM('Find a child'!$B$3),B237&amp;" "&amp;C237)),COUNT(J$1:J236)+1,""))</f>
        <v/>
      </c>
    </row>
    <row r="238">
      <c r="A238" s="10" t="inlineStr">
        <is>
          <t>C0237</t>
        </is>
      </c>
      <c r="B238" s="6" t="n"/>
      <c r="C238" s="6" t="n"/>
      <c r="D238" s="6" t="n"/>
      <c r="E238" s="10">
        <f>IF(B238="","",IF(COUNTIFS($B$2:$B$600,B238,$C$2:$C$600,C238)&gt;1,B238&amp;" ("&amp;C238&amp;") "&amp;A238,B238&amp;" ("&amp;C238&amp;")"))</f>
        <v/>
      </c>
      <c r="F238" s="11">
        <f>IF(B238="","",SUMIFS(Entries!$J$2:$J$3000,Entries!$H$2:$H$3000,A238))</f>
        <v/>
      </c>
      <c r="G238" s="11">
        <f>IF(B238="","",_xlfn.MAXIFS(Prizes!$D$2:$D$3000,Prizes!$E$2:$E$3000,A238,Prizes!$G$2:$G$3000,""))</f>
        <v/>
      </c>
      <c r="H238" s="10">
        <f>IF(B238="","",IF(_xlfn.MAXIFS(Levels!$A$2:$A$30,Levels!$A$2:$A$30,"&lt;="&amp;F238)&gt;G238,INDEX(Levels!$B$2:$B$30,MATCH(_xlfn.MAXIFS(Levels!$A$2:$A$30,Levels!$A$2:$A$30,"&lt;="&amp;F238),Levels!$A$2:$A$30,0)),""))</f>
        <v/>
      </c>
      <c r="I238" s="10">
        <f>IF(B238="","",COUNTIFS(Levels!$A$2:$A$30,"&lt;="&amp;F238,Levels!$A$2:$A$30,"&gt;"&amp;G238))</f>
        <v/>
      </c>
      <c r="J238" s="10">
        <f>IF(OR(B238="",TRIM('Find a child'!$B$3)=""),"",IF(ISNUMBER(SEARCH(TRIM('Find a child'!$B$3),B238&amp;" "&amp;C238)),COUNT(J$1:J237)+1,""))</f>
        <v/>
      </c>
    </row>
    <row r="239">
      <c r="A239" s="10" t="inlineStr">
        <is>
          <t>C0238</t>
        </is>
      </c>
      <c r="B239" s="6" t="n"/>
      <c r="C239" s="6" t="n"/>
      <c r="D239" s="6" t="n"/>
      <c r="E239" s="10">
        <f>IF(B239="","",IF(COUNTIFS($B$2:$B$600,B239,$C$2:$C$600,C239)&gt;1,B239&amp;" ("&amp;C239&amp;") "&amp;A239,B239&amp;" ("&amp;C239&amp;")"))</f>
        <v/>
      </c>
      <c r="F239" s="11">
        <f>IF(B239="","",SUMIFS(Entries!$J$2:$J$3000,Entries!$H$2:$H$3000,A239))</f>
        <v/>
      </c>
      <c r="G239" s="11">
        <f>IF(B239="","",_xlfn.MAXIFS(Prizes!$D$2:$D$3000,Prizes!$E$2:$E$3000,A239,Prizes!$G$2:$G$3000,""))</f>
        <v/>
      </c>
      <c r="H239" s="10">
        <f>IF(B239="","",IF(_xlfn.MAXIFS(Levels!$A$2:$A$30,Levels!$A$2:$A$30,"&lt;="&amp;F239)&gt;G239,INDEX(Levels!$B$2:$B$30,MATCH(_xlfn.MAXIFS(Levels!$A$2:$A$30,Levels!$A$2:$A$30,"&lt;="&amp;F239),Levels!$A$2:$A$30,0)),""))</f>
        <v/>
      </c>
      <c r="I239" s="10">
        <f>IF(B239="","",COUNTIFS(Levels!$A$2:$A$30,"&lt;="&amp;F239,Levels!$A$2:$A$30,"&gt;"&amp;G239))</f>
        <v/>
      </c>
      <c r="J239" s="10">
        <f>IF(OR(B239="",TRIM('Find a child'!$B$3)=""),"",IF(ISNUMBER(SEARCH(TRIM('Find a child'!$B$3),B239&amp;" "&amp;C239)),COUNT(J$1:J238)+1,""))</f>
        <v/>
      </c>
    </row>
    <row r="240">
      <c r="A240" s="10" t="inlineStr">
        <is>
          <t>C0239</t>
        </is>
      </c>
      <c r="B240" s="6" t="n"/>
      <c r="C240" s="6" t="n"/>
      <c r="D240" s="6" t="n"/>
      <c r="E240" s="10">
        <f>IF(B240="","",IF(COUNTIFS($B$2:$B$600,B240,$C$2:$C$600,C240)&gt;1,B240&amp;" ("&amp;C240&amp;") "&amp;A240,B240&amp;" ("&amp;C240&amp;")"))</f>
        <v/>
      </c>
      <c r="F240" s="11">
        <f>IF(B240="","",SUMIFS(Entries!$J$2:$J$3000,Entries!$H$2:$H$3000,A240))</f>
        <v/>
      </c>
      <c r="G240" s="11">
        <f>IF(B240="","",_xlfn.MAXIFS(Prizes!$D$2:$D$3000,Prizes!$E$2:$E$3000,A240,Prizes!$G$2:$G$3000,""))</f>
        <v/>
      </c>
      <c r="H240" s="10">
        <f>IF(B240="","",IF(_xlfn.MAXIFS(Levels!$A$2:$A$30,Levels!$A$2:$A$30,"&lt;="&amp;F240)&gt;G240,INDEX(Levels!$B$2:$B$30,MATCH(_xlfn.MAXIFS(Levels!$A$2:$A$30,Levels!$A$2:$A$30,"&lt;="&amp;F240),Levels!$A$2:$A$30,0)),""))</f>
        <v/>
      </c>
      <c r="I240" s="10">
        <f>IF(B240="","",COUNTIFS(Levels!$A$2:$A$30,"&lt;="&amp;F240,Levels!$A$2:$A$30,"&gt;"&amp;G240))</f>
        <v/>
      </c>
      <c r="J240" s="10">
        <f>IF(OR(B240="",TRIM('Find a child'!$B$3)=""),"",IF(ISNUMBER(SEARCH(TRIM('Find a child'!$B$3),B240&amp;" "&amp;C240)),COUNT(J$1:J239)+1,""))</f>
        <v/>
      </c>
    </row>
    <row r="241">
      <c r="A241" s="10" t="inlineStr">
        <is>
          <t>C0240</t>
        </is>
      </c>
      <c r="B241" s="6" t="n"/>
      <c r="C241" s="6" t="n"/>
      <c r="D241" s="6" t="n"/>
      <c r="E241" s="10">
        <f>IF(B241="","",IF(COUNTIFS($B$2:$B$600,B241,$C$2:$C$600,C241)&gt;1,B241&amp;" ("&amp;C241&amp;") "&amp;A241,B241&amp;" ("&amp;C241&amp;")"))</f>
        <v/>
      </c>
      <c r="F241" s="11">
        <f>IF(B241="","",SUMIFS(Entries!$J$2:$J$3000,Entries!$H$2:$H$3000,A241))</f>
        <v/>
      </c>
      <c r="G241" s="11">
        <f>IF(B241="","",_xlfn.MAXIFS(Prizes!$D$2:$D$3000,Prizes!$E$2:$E$3000,A241,Prizes!$G$2:$G$3000,""))</f>
        <v/>
      </c>
      <c r="H241" s="10">
        <f>IF(B241="","",IF(_xlfn.MAXIFS(Levels!$A$2:$A$30,Levels!$A$2:$A$30,"&lt;="&amp;F241)&gt;G241,INDEX(Levels!$B$2:$B$30,MATCH(_xlfn.MAXIFS(Levels!$A$2:$A$30,Levels!$A$2:$A$30,"&lt;="&amp;F241),Levels!$A$2:$A$30,0)),""))</f>
        <v/>
      </c>
      <c r="I241" s="10">
        <f>IF(B241="","",COUNTIFS(Levels!$A$2:$A$30,"&lt;="&amp;F241,Levels!$A$2:$A$30,"&gt;"&amp;G241))</f>
        <v/>
      </c>
      <c r="J241" s="10">
        <f>IF(OR(B241="",TRIM('Find a child'!$B$3)=""),"",IF(ISNUMBER(SEARCH(TRIM('Find a child'!$B$3),B241&amp;" "&amp;C241)),COUNT(J$1:J240)+1,""))</f>
        <v/>
      </c>
    </row>
    <row r="242">
      <c r="A242" s="10" t="inlineStr">
        <is>
          <t>C0241</t>
        </is>
      </c>
      <c r="B242" s="6" t="n"/>
      <c r="C242" s="6" t="n"/>
      <c r="D242" s="6" t="n"/>
      <c r="E242" s="10">
        <f>IF(B242="","",IF(COUNTIFS($B$2:$B$600,B242,$C$2:$C$600,C242)&gt;1,B242&amp;" ("&amp;C242&amp;") "&amp;A242,B242&amp;" ("&amp;C242&amp;")"))</f>
        <v/>
      </c>
      <c r="F242" s="11">
        <f>IF(B242="","",SUMIFS(Entries!$J$2:$J$3000,Entries!$H$2:$H$3000,A242))</f>
        <v/>
      </c>
      <c r="G242" s="11">
        <f>IF(B242="","",_xlfn.MAXIFS(Prizes!$D$2:$D$3000,Prizes!$E$2:$E$3000,A242,Prizes!$G$2:$G$3000,""))</f>
        <v/>
      </c>
      <c r="H242" s="10">
        <f>IF(B242="","",IF(_xlfn.MAXIFS(Levels!$A$2:$A$30,Levels!$A$2:$A$30,"&lt;="&amp;F242)&gt;G242,INDEX(Levels!$B$2:$B$30,MATCH(_xlfn.MAXIFS(Levels!$A$2:$A$30,Levels!$A$2:$A$30,"&lt;="&amp;F242),Levels!$A$2:$A$30,0)),""))</f>
        <v/>
      </c>
      <c r="I242" s="10">
        <f>IF(B242="","",COUNTIFS(Levels!$A$2:$A$30,"&lt;="&amp;F242,Levels!$A$2:$A$30,"&gt;"&amp;G242))</f>
        <v/>
      </c>
      <c r="J242" s="10">
        <f>IF(OR(B242="",TRIM('Find a child'!$B$3)=""),"",IF(ISNUMBER(SEARCH(TRIM('Find a child'!$B$3),B242&amp;" "&amp;C242)),COUNT(J$1:J241)+1,""))</f>
        <v/>
      </c>
    </row>
    <row r="243">
      <c r="A243" s="10" t="inlineStr">
        <is>
          <t>C0242</t>
        </is>
      </c>
      <c r="B243" s="6" t="n"/>
      <c r="C243" s="6" t="n"/>
      <c r="D243" s="6" t="n"/>
      <c r="E243" s="10">
        <f>IF(B243="","",IF(COUNTIFS($B$2:$B$600,B243,$C$2:$C$600,C243)&gt;1,B243&amp;" ("&amp;C243&amp;") "&amp;A243,B243&amp;" ("&amp;C243&amp;")"))</f>
        <v/>
      </c>
      <c r="F243" s="11">
        <f>IF(B243="","",SUMIFS(Entries!$J$2:$J$3000,Entries!$H$2:$H$3000,A243))</f>
        <v/>
      </c>
      <c r="G243" s="11">
        <f>IF(B243="","",_xlfn.MAXIFS(Prizes!$D$2:$D$3000,Prizes!$E$2:$E$3000,A243,Prizes!$G$2:$G$3000,""))</f>
        <v/>
      </c>
      <c r="H243" s="10">
        <f>IF(B243="","",IF(_xlfn.MAXIFS(Levels!$A$2:$A$30,Levels!$A$2:$A$30,"&lt;="&amp;F243)&gt;G243,INDEX(Levels!$B$2:$B$30,MATCH(_xlfn.MAXIFS(Levels!$A$2:$A$30,Levels!$A$2:$A$30,"&lt;="&amp;F243),Levels!$A$2:$A$30,0)),""))</f>
        <v/>
      </c>
      <c r="I243" s="10">
        <f>IF(B243="","",COUNTIFS(Levels!$A$2:$A$30,"&lt;="&amp;F243,Levels!$A$2:$A$30,"&gt;"&amp;G243))</f>
        <v/>
      </c>
      <c r="J243" s="10">
        <f>IF(OR(B243="",TRIM('Find a child'!$B$3)=""),"",IF(ISNUMBER(SEARCH(TRIM('Find a child'!$B$3),B243&amp;" "&amp;C243)),COUNT(J$1:J242)+1,""))</f>
        <v/>
      </c>
    </row>
    <row r="244">
      <c r="A244" s="10" t="inlineStr">
        <is>
          <t>C0243</t>
        </is>
      </c>
      <c r="B244" s="6" t="n"/>
      <c r="C244" s="6" t="n"/>
      <c r="D244" s="6" t="n"/>
      <c r="E244" s="10">
        <f>IF(B244="","",IF(COUNTIFS($B$2:$B$600,B244,$C$2:$C$600,C244)&gt;1,B244&amp;" ("&amp;C244&amp;") "&amp;A244,B244&amp;" ("&amp;C244&amp;")"))</f>
        <v/>
      </c>
      <c r="F244" s="11">
        <f>IF(B244="","",SUMIFS(Entries!$J$2:$J$3000,Entries!$H$2:$H$3000,A244))</f>
        <v/>
      </c>
      <c r="G244" s="11">
        <f>IF(B244="","",_xlfn.MAXIFS(Prizes!$D$2:$D$3000,Prizes!$E$2:$E$3000,A244,Prizes!$G$2:$G$3000,""))</f>
        <v/>
      </c>
      <c r="H244" s="10">
        <f>IF(B244="","",IF(_xlfn.MAXIFS(Levels!$A$2:$A$30,Levels!$A$2:$A$30,"&lt;="&amp;F244)&gt;G244,INDEX(Levels!$B$2:$B$30,MATCH(_xlfn.MAXIFS(Levels!$A$2:$A$30,Levels!$A$2:$A$30,"&lt;="&amp;F244),Levels!$A$2:$A$30,0)),""))</f>
        <v/>
      </c>
      <c r="I244" s="10">
        <f>IF(B244="","",COUNTIFS(Levels!$A$2:$A$30,"&lt;="&amp;F244,Levels!$A$2:$A$30,"&gt;"&amp;G244))</f>
        <v/>
      </c>
      <c r="J244" s="10">
        <f>IF(OR(B244="",TRIM('Find a child'!$B$3)=""),"",IF(ISNUMBER(SEARCH(TRIM('Find a child'!$B$3),B244&amp;" "&amp;C244)),COUNT(J$1:J243)+1,""))</f>
        <v/>
      </c>
    </row>
    <row r="245">
      <c r="A245" s="10" t="inlineStr">
        <is>
          <t>C0244</t>
        </is>
      </c>
      <c r="B245" s="6" t="n"/>
      <c r="C245" s="6" t="n"/>
      <c r="D245" s="6" t="n"/>
      <c r="E245" s="10">
        <f>IF(B245="","",IF(COUNTIFS($B$2:$B$600,B245,$C$2:$C$600,C245)&gt;1,B245&amp;" ("&amp;C245&amp;") "&amp;A245,B245&amp;" ("&amp;C245&amp;")"))</f>
        <v/>
      </c>
      <c r="F245" s="11">
        <f>IF(B245="","",SUMIFS(Entries!$J$2:$J$3000,Entries!$H$2:$H$3000,A245))</f>
        <v/>
      </c>
      <c r="G245" s="11">
        <f>IF(B245="","",_xlfn.MAXIFS(Prizes!$D$2:$D$3000,Prizes!$E$2:$E$3000,A245,Prizes!$G$2:$G$3000,""))</f>
        <v/>
      </c>
      <c r="H245" s="10">
        <f>IF(B245="","",IF(_xlfn.MAXIFS(Levels!$A$2:$A$30,Levels!$A$2:$A$30,"&lt;="&amp;F245)&gt;G245,INDEX(Levels!$B$2:$B$30,MATCH(_xlfn.MAXIFS(Levels!$A$2:$A$30,Levels!$A$2:$A$30,"&lt;="&amp;F245),Levels!$A$2:$A$30,0)),""))</f>
        <v/>
      </c>
      <c r="I245" s="10">
        <f>IF(B245="","",COUNTIFS(Levels!$A$2:$A$30,"&lt;="&amp;F245,Levels!$A$2:$A$30,"&gt;"&amp;G245))</f>
        <v/>
      </c>
      <c r="J245" s="10">
        <f>IF(OR(B245="",TRIM('Find a child'!$B$3)=""),"",IF(ISNUMBER(SEARCH(TRIM('Find a child'!$B$3),B245&amp;" "&amp;C245)),COUNT(J$1:J244)+1,""))</f>
        <v/>
      </c>
    </row>
    <row r="246">
      <c r="A246" s="10" t="inlineStr">
        <is>
          <t>C0245</t>
        </is>
      </c>
      <c r="B246" s="6" t="n"/>
      <c r="C246" s="6" t="n"/>
      <c r="D246" s="6" t="n"/>
      <c r="E246" s="10">
        <f>IF(B246="","",IF(COUNTIFS($B$2:$B$600,B246,$C$2:$C$600,C246)&gt;1,B246&amp;" ("&amp;C246&amp;") "&amp;A246,B246&amp;" ("&amp;C246&amp;")"))</f>
        <v/>
      </c>
      <c r="F246" s="11">
        <f>IF(B246="","",SUMIFS(Entries!$J$2:$J$3000,Entries!$H$2:$H$3000,A246))</f>
        <v/>
      </c>
      <c r="G246" s="11">
        <f>IF(B246="","",_xlfn.MAXIFS(Prizes!$D$2:$D$3000,Prizes!$E$2:$E$3000,A246,Prizes!$G$2:$G$3000,""))</f>
        <v/>
      </c>
      <c r="H246" s="10">
        <f>IF(B246="","",IF(_xlfn.MAXIFS(Levels!$A$2:$A$30,Levels!$A$2:$A$30,"&lt;="&amp;F246)&gt;G246,INDEX(Levels!$B$2:$B$30,MATCH(_xlfn.MAXIFS(Levels!$A$2:$A$30,Levels!$A$2:$A$30,"&lt;="&amp;F246),Levels!$A$2:$A$30,0)),""))</f>
        <v/>
      </c>
      <c r="I246" s="10">
        <f>IF(B246="","",COUNTIFS(Levels!$A$2:$A$30,"&lt;="&amp;F246,Levels!$A$2:$A$30,"&gt;"&amp;G246))</f>
        <v/>
      </c>
      <c r="J246" s="10">
        <f>IF(OR(B246="",TRIM('Find a child'!$B$3)=""),"",IF(ISNUMBER(SEARCH(TRIM('Find a child'!$B$3),B246&amp;" "&amp;C246)),COUNT(J$1:J245)+1,""))</f>
        <v/>
      </c>
    </row>
    <row r="247">
      <c r="A247" s="10" t="inlineStr">
        <is>
          <t>C0246</t>
        </is>
      </c>
      <c r="B247" s="6" t="n"/>
      <c r="C247" s="6" t="n"/>
      <c r="D247" s="6" t="n"/>
      <c r="E247" s="10">
        <f>IF(B247="","",IF(COUNTIFS($B$2:$B$600,B247,$C$2:$C$600,C247)&gt;1,B247&amp;" ("&amp;C247&amp;") "&amp;A247,B247&amp;" ("&amp;C247&amp;")"))</f>
        <v/>
      </c>
      <c r="F247" s="11">
        <f>IF(B247="","",SUMIFS(Entries!$J$2:$J$3000,Entries!$H$2:$H$3000,A247))</f>
        <v/>
      </c>
      <c r="G247" s="11">
        <f>IF(B247="","",_xlfn.MAXIFS(Prizes!$D$2:$D$3000,Prizes!$E$2:$E$3000,A247,Prizes!$G$2:$G$3000,""))</f>
        <v/>
      </c>
      <c r="H247" s="10">
        <f>IF(B247="","",IF(_xlfn.MAXIFS(Levels!$A$2:$A$30,Levels!$A$2:$A$30,"&lt;="&amp;F247)&gt;G247,INDEX(Levels!$B$2:$B$30,MATCH(_xlfn.MAXIFS(Levels!$A$2:$A$30,Levels!$A$2:$A$30,"&lt;="&amp;F247),Levels!$A$2:$A$30,0)),""))</f>
        <v/>
      </c>
      <c r="I247" s="10">
        <f>IF(B247="","",COUNTIFS(Levels!$A$2:$A$30,"&lt;="&amp;F247,Levels!$A$2:$A$30,"&gt;"&amp;G247))</f>
        <v/>
      </c>
      <c r="J247" s="10">
        <f>IF(OR(B247="",TRIM('Find a child'!$B$3)=""),"",IF(ISNUMBER(SEARCH(TRIM('Find a child'!$B$3),B247&amp;" "&amp;C247)),COUNT(J$1:J246)+1,""))</f>
        <v/>
      </c>
    </row>
    <row r="248">
      <c r="A248" s="10" t="inlineStr">
        <is>
          <t>C0247</t>
        </is>
      </c>
      <c r="B248" s="6" t="n"/>
      <c r="C248" s="6" t="n"/>
      <c r="D248" s="6" t="n"/>
      <c r="E248" s="10">
        <f>IF(B248="","",IF(COUNTIFS($B$2:$B$600,B248,$C$2:$C$600,C248)&gt;1,B248&amp;" ("&amp;C248&amp;") "&amp;A248,B248&amp;" ("&amp;C248&amp;")"))</f>
        <v/>
      </c>
      <c r="F248" s="11">
        <f>IF(B248="","",SUMIFS(Entries!$J$2:$J$3000,Entries!$H$2:$H$3000,A248))</f>
        <v/>
      </c>
      <c r="G248" s="11">
        <f>IF(B248="","",_xlfn.MAXIFS(Prizes!$D$2:$D$3000,Prizes!$E$2:$E$3000,A248,Prizes!$G$2:$G$3000,""))</f>
        <v/>
      </c>
      <c r="H248" s="10">
        <f>IF(B248="","",IF(_xlfn.MAXIFS(Levels!$A$2:$A$30,Levels!$A$2:$A$30,"&lt;="&amp;F248)&gt;G248,INDEX(Levels!$B$2:$B$30,MATCH(_xlfn.MAXIFS(Levels!$A$2:$A$30,Levels!$A$2:$A$30,"&lt;="&amp;F248),Levels!$A$2:$A$30,0)),""))</f>
        <v/>
      </c>
      <c r="I248" s="10">
        <f>IF(B248="","",COUNTIFS(Levels!$A$2:$A$30,"&lt;="&amp;F248,Levels!$A$2:$A$30,"&gt;"&amp;G248))</f>
        <v/>
      </c>
      <c r="J248" s="10">
        <f>IF(OR(B248="",TRIM('Find a child'!$B$3)=""),"",IF(ISNUMBER(SEARCH(TRIM('Find a child'!$B$3),B248&amp;" "&amp;C248)),COUNT(J$1:J247)+1,""))</f>
        <v/>
      </c>
    </row>
    <row r="249">
      <c r="A249" s="10" t="inlineStr">
        <is>
          <t>C0248</t>
        </is>
      </c>
      <c r="B249" s="6" t="n"/>
      <c r="C249" s="6" t="n"/>
      <c r="D249" s="6" t="n"/>
      <c r="E249" s="10">
        <f>IF(B249="","",IF(COUNTIFS($B$2:$B$600,B249,$C$2:$C$600,C249)&gt;1,B249&amp;" ("&amp;C249&amp;") "&amp;A249,B249&amp;" ("&amp;C249&amp;")"))</f>
        <v/>
      </c>
      <c r="F249" s="11">
        <f>IF(B249="","",SUMIFS(Entries!$J$2:$J$3000,Entries!$H$2:$H$3000,A249))</f>
        <v/>
      </c>
      <c r="G249" s="11">
        <f>IF(B249="","",_xlfn.MAXIFS(Prizes!$D$2:$D$3000,Prizes!$E$2:$E$3000,A249,Prizes!$G$2:$G$3000,""))</f>
        <v/>
      </c>
      <c r="H249" s="10">
        <f>IF(B249="","",IF(_xlfn.MAXIFS(Levels!$A$2:$A$30,Levels!$A$2:$A$30,"&lt;="&amp;F249)&gt;G249,INDEX(Levels!$B$2:$B$30,MATCH(_xlfn.MAXIFS(Levels!$A$2:$A$30,Levels!$A$2:$A$30,"&lt;="&amp;F249),Levels!$A$2:$A$30,0)),""))</f>
        <v/>
      </c>
      <c r="I249" s="10">
        <f>IF(B249="","",COUNTIFS(Levels!$A$2:$A$30,"&lt;="&amp;F249,Levels!$A$2:$A$30,"&gt;"&amp;G249))</f>
        <v/>
      </c>
      <c r="J249" s="10">
        <f>IF(OR(B249="",TRIM('Find a child'!$B$3)=""),"",IF(ISNUMBER(SEARCH(TRIM('Find a child'!$B$3),B249&amp;" "&amp;C249)),COUNT(J$1:J248)+1,""))</f>
        <v/>
      </c>
    </row>
    <row r="250">
      <c r="A250" s="10" t="inlineStr">
        <is>
          <t>C0249</t>
        </is>
      </c>
      <c r="B250" s="6" t="n"/>
      <c r="C250" s="6" t="n"/>
      <c r="D250" s="6" t="n"/>
      <c r="E250" s="10">
        <f>IF(B250="","",IF(COUNTIFS($B$2:$B$600,B250,$C$2:$C$600,C250)&gt;1,B250&amp;" ("&amp;C250&amp;") "&amp;A250,B250&amp;" ("&amp;C250&amp;")"))</f>
        <v/>
      </c>
      <c r="F250" s="11">
        <f>IF(B250="","",SUMIFS(Entries!$J$2:$J$3000,Entries!$H$2:$H$3000,A250))</f>
        <v/>
      </c>
      <c r="G250" s="11">
        <f>IF(B250="","",_xlfn.MAXIFS(Prizes!$D$2:$D$3000,Prizes!$E$2:$E$3000,A250,Prizes!$G$2:$G$3000,""))</f>
        <v/>
      </c>
      <c r="H250" s="10">
        <f>IF(B250="","",IF(_xlfn.MAXIFS(Levels!$A$2:$A$30,Levels!$A$2:$A$30,"&lt;="&amp;F250)&gt;G250,INDEX(Levels!$B$2:$B$30,MATCH(_xlfn.MAXIFS(Levels!$A$2:$A$30,Levels!$A$2:$A$30,"&lt;="&amp;F250),Levels!$A$2:$A$30,0)),""))</f>
        <v/>
      </c>
      <c r="I250" s="10">
        <f>IF(B250="","",COUNTIFS(Levels!$A$2:$A$30,"&lt;="&amp;F250,Levels!$A$2:$A$30,"&gt;"&amp;G250))</f>
        <v/>
      </c>
      <c r="J250" s="10">
        <f>IF(OR(B250="",TRIM('Find a child'!$B$3)=""),"",IF(ISNUMBER(SEARCH(TRIM('Find a child'!$B$3),B250&amp;" "&amp;C250)),COUNT(J$1:J249)+1,""))</f>
        <v/>
      </c>
    </row>
    <row r="251">
      <c r="A251" s="10" t="inlineStr">
        <is>
          <t>C0250</t>
        </is>
      </c>
      <c r="B251" s="6" t="n"/>
      <c r="C251" s="6" t="n"/>
      <c r="D251" s="6" t="n"/>
      <c r="E251" s="10">
        <f>IF(B251="","",IF(COUNTIFS($B$2:$B$600,B251,$C$2:$C$600,C251)&gt;1,B251&amp;" ("&amp;C251&amp;") "&amp;A251,B251&amp;" ("&amp;C251&amp;")"))</f>
        <v/>
      </c>
      <c r="F251" s="11">
        <f>IF(B251="","",SUMIFS(Entries!$J$2:$J$3000,Entries!$H$2:$H$3000,A251))</f>
        <v/>
      </c>
      <c r="G251" s="11">
        <f>IF(B251="","",_xlfn.MAXIFS(Prizes!$D$2:$D$3000,Prizes!$E$2:$E$3000,A251,Prizes!$G$2:$G$3000,""))</f>
        <v/>
      </c>
      <c r="H251" s="10">
        <f>IF(B251="","",IF(_xlfn.MAXIFS(Levels!$A$2:$A$30,Levels!$A$2:$A$30,"&lt;="&amp;F251)&gt;G251,INDEX(Levels!$B$2:$B$30,MATCH(_xlfn.MAXIFS(Levels!$A$2:$A$30,Levels!$A$2:$A$30,"&lt;="&amp;F251),Levels!$A$2:$A$30,0)),""))</f>
        <v/>
      </c>
      <c r="I251" s="10">
        <f>IF(B251="","",COUNTIFS(Levels!$A$2:$A$30,"&lt;="&amp;F251,Levels!$A$2:$A$30,"&gt;"&amp;G251))</f>
        <v/>
      </c>
      <c r="J251" s="10">
        <f>IF(OR(B251="",TRIM('Find a child'!$B$3)=""),"",IF(ISNUMBER(SEARCH(TRIM('Find a child'!$B$3),B251&amp;" "&amp;C251)),COUNT(J$1:J250)+1,""))</f>
        <v/>
      </c>
    </row>
    <row r="252">
      <c r="A252" s="10" t="inlineStr">
        <is>
          <t>C0251</t>
        </is>
      </c>
      <c r="B252" s="6" t="n"/>
      <c r="C252" s="6" t="n"/>
      <c r="D252" s="6" t="n"/>
      <c r="E252" s="10">
        <f>IF(B252="","",IF(COUNTIFS($B$2:$B$600,B252,$C$2:$C$600,C252)&gt;1,B252&amp;" ("&amp;C252&amp;") "&amp;A252,B252&amp;" ("&amp;C252&amp;")"))</f>
        <v/>
      </c>
      <c r="F252" s="11">
        <f>IF(B252="","",SUMIFS(Entries!$J$2:$J$3000,Entries!$H$2:$H$3000,A252))</f>
        <v/>
      </c>
      <c r="G252" s="11">
        <f>IF(B252="","",_xlfn.MAXIFS(Prizes!$D$2:$D$3000,Prizes!$E$2:$E$3000,A252,Prizes!$G$2:$G$3000,""))</f>
        <v/>
      </c>
      <c r="H252" s="10">
        <f>IF(B252="","",IF(_xlfn.MAXIFS(Levels!$A$2:$A$30,Levels!$A$2:$A$30,"&lt;="&amp;F252)&gt;G252,INDEX(Levels!$B$2:$B$30,MATCH(_xlfn.MAXIFS(Levels!$A$2:$A$30,Levels!$A$2:$A$30,"&lt;="&amp;F252),Levels!$A$2:$A$30,0)),""))</f>
        <v/>
      </c>
      <c r="I252" s="10">
        <f>IF(B252="","",COUNTIFS(Levels!$A$2:$A$30,"&lt;="&amp;F252,Levels!$A$2:$A$30,"&gt;"&amp;G252))</f>
        <v/>
      </c>
      <c r="J252" s="10">
        <f>IF(OR(B252="",TRIM('Find a child'!$B$3)=""),"",IF(ISNUMBER(SEARCH(TRIM('Find a child'!$B$3),B252&amp;" "&amp;C252)),COUNT(J$1:J251)+1,""))</f>
        <v/>
      </c>
    </row>
    <row r="253">
      <c r="A253" s="10" t="inlineStr">
        <is>
          <t>C0252</t>
        </is>
      </c>
      <c r="B253" s="6" t="n"/>
      <c r="C253" s="6" t="n"/>
      <c r="D253" s="6" t="n"/>
      <c r="E253" s="10">
        <f>IF(B253="","",IF(COUNTIFS($B$2:$B$600,B253,$C$2:$C$600,C253)&gt;1,B253&amp;" ("&amp;C253&amp;") "&amp;A253,B253&amp;" ("&amp;C253&amp;")"))</f>
        <v/>
      </c>
      <c r="F253" s="11">
        <f>IF(B253="","",SUMIFS(Entries!$J$2:$J$3000,Entries!$H$2:$H$3000,A253))</f>
        <v/>
      </c>
      <c r="G253" s="11">
        <f>IF(B253="","",_xlfn.MAXIFS(Prizes!$D$2:$D$3000,Prizes!$E$2:$E$3000,A253,Prizes!$G$2:$G$3000,""))</f>
        <v/>
      </c>
      <c r="H253" s="10">
        <f>IF(B253="","",IF(_xlfn.MAXIFS(Levels!$A$2:$A$30,Levels!$A$2:$A$30,"&lt;="&amp;F253)&gt;G253,INDEX(Levels!$B$2:$B$30,MATCH(_xlfn.MAXIFS(Levels!$A$2:$A$30,Levels!$A$2:$A$30,"&lt;="&amp;F253),Levels!$A$2:$A$30,0)),""))</f>
        <v/>
      </c>
      <c r="I253" s="10">
        <f>IF(B253="","",COUNTIFS(Levels!$A$2:$A$30,"&lt;="&amp;F253,Levels!$A$2:$A$30,"&gt;"&amp;G253))</f>
        <v/>
      </c>
      <c r="J253" s="10">
        <f>IF(OR(B253="",TRIM('Find a child'!$B$3)=""),"",IF(ISNUMBER(SEARCH(TRIM('Find a child'!$B$3),B253&amp;" "&amp;C253)),COUNT(J$1:J252)+1,""))</f>
        <v/>
      </c>
    </row>
    <row r="254">
      <c r="A254" s="10" t="inlineStr">
        <is>
          <t>C0253</t>
        </is>
      </c>
      <c r="B254" s="6" t="n"/>
      <c r="C254" s="6" t="n"/>
      <c r="D254" s="6" t="n"/>
      <c r="E254" s="10">
        <f>IF(B254="","",IF(COUNTIFS($B$2:$B$600,B254,$C$2:$C$600,C254)&gt;1,B254&amp;" ("&amp;C254&amp;") "&amp;A254,B254&amp;" ("&amp;C254&amp;")"))</f>
        <v/>
      </c>
      <c r="F254" s="11">
        <f>IF(B254="","",SUMIFS(Entries!$J$2:$J$3000,Entries!$H$2:$H$3000,A254))</f>
        <v/>
      </c>
      <c r="G254" s="11">
        <f>IF(B254="","",_xlfn.MAXIFS(Prizes!$D$2:$D$3000,Prizes!$E$2:$E$3000,A254,Prizes!$G$2:$G$3000,""))</f>
        <v/>
      </c>
      <c r="H254" s="10">
        <f>IF(B254="","",IF(_xlfn.MAXIFS(Levels!$A$2:$A$30,Levels!$A$2:$A$30,"&lt;="&amp;F254)&gt;G254,INDEX(Levels!$B$2:$B$30,MATCH(_xlfn.MAXIFS(Levels!$A$2:$A$30,Levels!$A$2:$A$30,"&lt;="&amp;F254),Levels!$A$2:$A$30,0)),""))</f>
        <v/>
      </c>
      <c r="I254" s="10">
        <f>IF(B254="","",COUNTIFS(Levels!$A$2:$A$30,"&lt;="&amp;F254,Levels!$A$2:$A$30,"&gt;"&amp;G254))</f>
        <v/>
      </c>
      <c r="J254" s="10">
        <f>IF(OR(B254="",TRIM('Find a child'!$B$3)=""),"",IF(ISNUMBER(SEARCH(TRIM('Find a child'!$B$3),B254&amp;" "&amp;C254)),COUNT(J$1:J253)+1,""))</f>
        <v/>
      </c>
    </row>
    <row r="255">
      <c r="A255" s="10" t="inlineStr">
        <is>
          <t>C0254</t>
        </is>
      </c>
      <c r="B255" s="6" t="n"/>
      <c r="C255" s="6" t="n"/>
      <c r="D255" s="6" t="n"/>
      <c r="E255" s="10">
        <f>IF(B255="","",IF(COUNTIFS($B$2:$B$600,B255,$C$2:$C$600,C255)&gt;1,B255&amp;" ("&amp;C255&amp;") "&amp;A255,B255&amp;" ("&amp;C255&amp;")"))</f>
        <v/>
      </c>
      <c r="F255" s="11">
        <f>IF(B255="","",SUMIFS(Entries!$J$2:$J$3000,Entries!$H$2:$H$3000,A255))</f>
        <v/>
      </c>
      <c r="G255" s="11">
        <f>IF(B255="","",_xlfn.MAXIFS(Prizes!$D$2:$D$3000,Prizes!$E$2:$E$3000,A255,Prizes!$G$2:$G$3000,""))</f>
        <v/>
      </c>
      <c r="H255" s="10">
        <f>IF(B255="","",IF(_xlfn.MAXIFS(Levels!$A$2:$A$30,Levels!$A$2:$A$30,"&lt;="&amp;F255)&gt;G255,INDEX(Levels!$B$2:$B$30,MATCH(_xlfn.MAXIFS(Levels!$A$2:$A$30,Levels!$A$2:$A$30,"&lt;="&amp;F255),Levels!$A$2:$A$30,0)),""))</f>
        <v/>
      </c>
      <c r="I255" s="10">
        <f>IF(B255="","",COUNTIFS(Levels!$A$2:$A$30,"&lt;="&amp;F255,Levels!$A$2:$A$30,"&gt;"&amp;G255))</f>
        <v/>
      </c>
      <c r="J255" s="10">
        <f>IF(OR(B255="",TRIM('Find a child'!$B$3)=""),"",IF(ISNUMBER(SEARCH(TRIM('Find a child'!$B$3),B255&amp;" "&amp;C255)),COUNT(J$1:J254)+1,""))</f>
        <v/>
      </c>
    </row>
    <row r="256">
      <c r="A256" s="10" t="inlineStr">
        <is>
          <t>C0255</t>
        </is>
      </c>
      <c r="B256" s="6" t="n"/>
      <c r="C256" s="6" t="n"/>
      <c r="D256" s="6" t="n"/>
      <c r="E256" s="10">
        <f>IF(B256="","",IF(COUNTIFS($B$2:$B$600,B256,$C$2:$C$600,C256)&gt;1,B256&amp;" ("&amp;C256&amp;") "&amp;A256,B256&amp;" ("&amp;C256&amp;")"))</f>
        <v/>
      </c>
      <c r="F256" s="11">
        <f>IF(B256="","",SUMIFS(Entries!$J$2:$J$3000,Entries!$H$2:$H$3000,A256))</f>
        <v/>
      </c>
      <c r="G256" s="11">
        <f>IF(B256="","",_xlfn.MAXIFS(Prizes!$D$2:$D$3000,Prizes!$E$2:$E$3000,A256,Prizes!$G$2:$G$3000,""))</f>
        <v/>
      </c>
      <c r="H256" s="10">
        <f>IF(B256="","",IF(_xlfn.MAXIFS(Levels!$A$2:$A$30,Levels!$A$2:$A$30,"&lt;="&amp;F256)&gt;G256,INDEX(Levels!$B$2:$B$30,MATCH(_xlfn.MAXIFS(Levels!$A$2:$A$30,Levels!$A$2:$A$30,"&lt;="&amp;F256),Levels!$A$2:$A$30,0)),""))</f>
        <v/>
      </c>
      <c r="I256" s="10">
        <f>IF(B256="","",COUNTIFS(Levels!$A$2:$A$30,"&lt;="&amp;F256,Levels!$A$2:$A$30,"&gt;"&amp;G256))</f>
        <v/>
      </c>
      <c r="J256" s="10">
        <f>IF(OR(B256="",TRIM('Find a child'!$B$3)=""),"",IF(ISNUMBER(SEARCH(TRIM('Find a child'!$B$3),B256&amp;" "&amp;C256)),COUNT(J$1:J255)+1,""))</f>
        <v/>
      </c>
    </row>
    <row r="257">
      <c r="A257" s="10" t="inlineStr">
        <is>
          <t>C0256</t>
        </is>
      </c>
      <c r="B257" s="6" t="n"/>
      <c r="C257" s="6" t="n"/>
      <c r="D257" s="6" t="n"/>
      <c r="E257" s="10">
        <f>IF(B257="","",IF(COUNTIFS($B$2:$B$600,B257,$C$2:$C$600,C257)&gt;1,B257&amp;" ("&amp;C257&amp;") "&amp;A257,B257&amp;" ("&amp;C257&amp;")"))</f>
        <v/>
      </c>
      <c r="F257" s="11">
        <f>IF(B257="","",SUMIFS(Entries!$J$2:$J$3000,Entries!$H$2:$H$3000,A257))</f>
        <v/>
      </c>
      <c r="G257" s="11">
        <f>IF(B257="","",_xlfn.MAXIFS(Prizes!$D$2:$D$3000,Prizes!$E$2:$E$3000,A257,Prizes!$G$2:$G$3000,""))</f>
        <v/>
      </c>
      <c r="H257" s="10">
        <f>IF(B257="","",IF(_xlfn.MAXIFS(Levels!$A$2:$A$30,Levels!$A$2:$A$30,"&lt;="&amp;F257)&gt;G257,INDEX(Levels!$B$2:$B$30,MATCH(_xlfn.MAXIFS(Levels!$A$2:$A$30,Levels!$A$2:$A$30,"&lt;="&amp;F257),Levels!$A$2:$A$30,0)),""))</f>
        <v/>
      </c>
      <c r="I257" s="10">
        <f>IF(B257="","",COUNTIFS(Levels!$A$2:$A$30,"&lt;="&amp;F257,Levels!$A$2:$A$30,"&gt;"&amp;G257))</f>
        <v/>
      </c>
      <c r="J257" s="10">
        <f>IF(OR(B257="",TRIM('Find a child'!$B$3)=""),"",IF(ISNUMBER(SEARCH(TRIM('Find a child'!$B$3),B257&amp;" "&amp;C257)),COUNT(J$1:J256)+1,""))</f>
        <v/>
      </c>
    </row>
    <row r="258">
      <c r="A258" s="10" t="inlineStr">
        <is>
          <t>C0257</t>
        </is>
      </c>
      <c r="B258" s="6" t="n"/>
      <c r="C258" s="6" t="n"/>
      <c r="D258" s="6" t="n"/>
      <c r="E258" s="10">
        <f>IF(B258="","",IF(COUNTIFS($B$2:$B$600,B258,$C$2:$C$600,C258)&gt;1,B258&amp;" ("&amp;C258&amp;") "&amp;A258,B258&amp;" ("&amp;C258&amp;")"))</f>
        <v/>
      </c>
      <c r="F258" s="11">
        <f>IF(B258="","",SUMIFS(Entries!$J$2:$J$3000,Entries!$H$2:$H$3000,A258))</f>
        <v/>
      </c>
      <c r="G258" s="11">
        <f>IF(B258="","",_xlfn.MAXIFS(Prizes!$D$2:$D$3000,Prizes!$E$2:$E$3000,A258,Prizes!$G$2:$G$3000,""))</f>
        <v/>
      </c>
      <c r="H258" s="10">
        <f>IF(B258="","",IF(_xlfn.MAXIFS(Levels!$A$2:$A$30,Levels!$A$2:$A$30,"&lt;="&amp;F258)&gt;G258,INDEX(Levels!$B$2:$B$30,MATCH(_xlfn.MAXIFS(Levels!$A$2:$A$30,Levels!$A$2:$A$30,"&lt;="&amp;F258),Levels!$A$2:$A$30,0)),""))</f>
        <v/>
      </c>
      <c r="I258" s="10">
        <f>IF(B258="","",COUNTIFS(Levels!$A$2:$A$30,"&lt;="&amp;F258,Levels!$A$2:$A$30,"&gt;"&amp;G258))</f>
        <v/>
      </c>
      <c r="J258" s="10">
        <f>IF(OR(B258="",TRIM('Find a child'!$B$3)=""),"",IF(ISNUMBER(SEARCH(TRIM('Find a child'!$B$3),B258&amp;" "&amp;C258)),COUNT(J$1:J257)+1,""))</f>
        <v/>
      </c>
    </row>
    <row r="259">
      <c r="A259" s="10" t="inlineStr">
        <is>
          <t>C0258</t>
        </is>
      </c>
      <c r="B259" s="6" t="n"/>
      <c r="C259" s="6" t="n"/>
      <c r="D259" s="6" t="n"/>
      <c r="E259" s="10">
        <f>IF(B259="","",IF(COUNTIFS($B$2:$B$600,B259,$C$2:$C$600,C259)&gt;1,B259&amp;" ("&amp;C259&amp;") "&amp;A259,B259&amp;" ("&amp;C259&amp;")"))</f>
        <v/>
      </c>
      <c r="F259" s="11">
        <f>IF(B259="","",SUMIFS(Entries!$J$2:$J$3000,Entries!$H$2:$H$3000,A259))</f>
        <v/>
      </c>
      <c r="G259" s="11">
        <f>IF(B259="","",_xlfn.MAXIFS(Prizes!$D$2:$D$3000,Prizes!$E$2:$E$3000,A259,Prizes!$G$2:$G$3000,""))</f>
        <v/>
      </c>
      <c r="H259" s="10">
        <f>IF(B259="","",IF(_xlfn.MAXIFS(Levels!$A$2:$A$30,Levels!$A$2:$A$30,"&lt;="&amp;F259)&gt;G259,INDEX(Levels!$B$2:$B$30,MATCH(_xlfn.MAXIFS(Levels!$A$2:$A$30,Levels!$A$2:$A$30,"&lt;="&amp;F259),Levels!$A$2:$A$30,0)),""))</f>
        <v/>
      </c>
      <c r="I259" s="10">
        <f>IF(B259="","",COUNTIFS(Levels!$A$2:$A$30,"&lt;="&amp;F259,Levels!$A$2:$A$30,"&gt;"&amp;G259))</f>
        <v/>
      </c>
      <c r="J259" s="10">
        <f>IF(OR(B259="",TRIM('Find a child'!$B$3)=""),"",IF(ISNUMBER(SEARCH(TRIM('Find a child'!$B$3),B259&amp;" "&amp;C259)),COUNT(J$1:J258)+1,""))</f>
        <v/>
      </c>
    </row>
    <row r="260">
      <c r="A260" s="10" t="inlineStr">
        <is>
          <t>C0259</t>
        </is>
      </c>
      <c r="B260" s="6" t="n"/>
      <c r="C260" s="6" t="n"/>
      <c r="D260" s="6" t="n"/>
      <c r="E260" s="10">
        <f>IF(B260="","",IF(COUNTIFS($B$2:$B$600,B260,$C$2:$C$600,C260)&gt;1,B260&amp;" ("&amp;C260&amp;") "&amp;A260,B260&amp;" ("&amp;C260&amp;")"))</f>
        <v/>
      </c>
      <c r="F260" s="11">
        <f>IF(B260="","",SUMIFS(Entries!$J$2:$J$3000,Entries!$H$2:$H$3000,A260))</f>
        <v/>
      </c>
      <c r="G260" s="11">
        <f>IF(B260="","",_xlfn.MAXIFS(Prizes!$D$2:$D$3000,Prizes!$E$2:$E$3000,A260,Prizes!$G$2:$G$3000,""))</f>
        <v/>
      </c>
      <c r="H260" s="10">
        <f>IF(B260="","",IF(_xlfn.MAXIFS(Levels!$A$2:$A$30,Levels!$A$2:$A$30,"&lt;="&amp;F260)&gt;G260,INDEX(Levels!$B$2:$B$30,MATCH(_xlfn.MAXIFS(Levels!$A$2:$A$30,Levels!$A$2:$A$30,"&lt;="&amp;F260),Levels!$A$2:$A$30,0)),""))</f>
        <v/>
      </c>
      <c r="I260" s="10">
        <f>IF(B260="","",COUNTIFS(Levels!$A$2:$A$30,"&lt;="&amp;F260,Levels!$A$2:$A$30,"&gt;"&amp;G260))</f>
        <v/>
      </c>
      <c r="J260" s="10">
        <f>IF(OR(B260="",TRIM('Find a child'!$B$3)=""),"",IF(ISNUMBER(SEARCH(TRIM('Find a child'!$B$3),B260&amp;" "&amp;C260)),COUNT(J$1:J259)+1,""))</f>
        <v/>
      </c>
    </row>
    <row r="261">
      <c r="A261" s="10" t="inlineStr">
        <is>
          <t>C0260</t>
        </is>
      </c>
      <c r="B261" s="6" t="n"/>
      <c r="C261" s="6" t="n"/>
      <c r="D261" s="6" t="n"/>
      <c r="E261" s="10">
        <f>IF(B261="","",IF(COUNTIFS($B$2:$B$600,B261,$C$2:$C$600,C261)&gt;1,B261&amp;" ("&amp;C261&amp;") "&amp;A261,B261&amp;" ("&amp;C261&amp;")"))</f>
        <v/>
      </c>
      <c r="F261" s="11">
        <f>IF(B261="","",SUMIFS(Entries!$J$2:$J$3000,Entries!$H$2:$H$3000,A261))</f>
        <v/>
      </c>
      <c r="G261" s="11">
        <f>IF(B261="","",_xlfn.MAXIFS(Prizes!$D$2:$D$3000,Prizes!$E$2:$E$3000,A261,Prizes!$G$2:$G$3000,""))</f>
        <v/>
      </c>
      <c r="H261" s="10">
        <f>IF(B261="","",IF(_xlfn.MAXIFS(Levels!$A$2:$A$30,Levels!$A$2:$A$30,"&lt;="&amp;F261)&gt;G261,INDEX(Levels!$B$2:$B$30,MATCH(_xlfn.MAXIFS(Levels!$A$2:$A$30,Levels!$A$2:$A$30,"&lt;="&amp;F261),Levels!$A$2:$A$30,0)),""))</f>
        <v/>
      </c>
      <c r="I261" s="10">
        <f>IF(B261="","",COUNTIFS(Levels!$A$2:$A$30,"&lt;="&amp;F261,Levels!$A$2:$A$30,"&gt;"&amp;G261))</f>
        <v/>
      </c>
      <c r="J261" s="10">
        <f>IF(OR(B261="",TRIM('Find a child'!$B$3)=""),"",IF(ISNUMBER(SEARCH(TRIM('Find a child'!$B$3),B261&amp;" "&amp;C261)),COUNT(J$1:J260)+1,""))</f>
        <v/>
      </c>
    </row>
    <row r="262">
      <c r="A262" s="10" t="inlineStr">
        <is>
          <t>C0261</t>
        </is>
      </c>
      <c r="B262" s="6" t="n"/>
      <c r="C262" s="6" t="n"/>
      <c r="D262" s="6" t="n"/>
      <c r="E262" s="10">
        <f>IF(B262="","",IF(COUNTIFS($B$2:$B$600,B262,$C$2:$C$600,C262)&gt;1,B262&amp;" ("&amp;C262&amp;") "&amp;A262,B262&amp;" ("&amp;C262&amp;")"))</f>
        <v/>
      </c>
      <c r="F262" s="11">
        <f>IF(B262="","",SUMIFS(Entries!$J$2:$J$3000,Entries!$H$2:$H$3000,A262))</f>
        <v/>
      </c>
      <c r="G262" s="11">
        <f>IF(B262="","",_xlfn.MAXIFS(Prizes!$D$2:$D$3000,Prizes!$E$2:$E$3000,A262,Prizes!$G$2:$G$3000,""))</f>
        <v/>
      </c>
      <c r="H262" s="10">
        <f>IF(B262="","",IF(_xlfn.MAXIFS(Levels!$A$2:$A$30,Levels!$A$2:$A$30,"&lt;="&amp;F262)&gt;G262,INDEX(Levels!$B$2:$B$30,MATCH(_xlfn.MAXIFS(Levels!$A$2:$A$30,Levels!$A$2:$A$30,"&lt;="&amp;F262),Levels!$A$2:$A$30,0)),""))</f>
        <v/>
      </c>
      <c r="I262" s="10">
        <f>IF(B262="","",COUNTIFS(Levels!$A$2:$A$30,"&lt;="&amp;F262,Levels!$A$2:$A$30,"&gt;"&amp;G262))</f>
        <v/>
      </c>
      <c r="J262" s="10">
        <f>IF(OR(B262="",TRIM('Find a child'!$B$3)=""),"",IF(ISNUMBER(SEARCH(TRIM('Find a child'!$B$3),B262&amp;" "&amp;C262)),COUNT(J$1:J261)+1,""))</f>
        <v/>
      </c>
    </row>
    <row r="263">
      <c r="A263" s="10" t="inlineStr">
        <is>
          <t>C0262</t>
        </is>
      </c>
      <c r="B263" s="6" t="n"/>
      <c r="C263" s="6" t="n"/>
      <c r="D263" s="6" t="n"/>
      <c r="E263" s="10">
        <f>IF(B263="","",IF(COUNTIFS($B$2:$B$600,B263,$C$2:$C$600,C263)&gt;1,B263&amp;" ("&amp;C263&amp;") "&amp;A263,B263&amp;" ("&amp;C263&amp;")"))</f>
        <v/>
      </c>
      <c r="F263" s="11">
        <f>IF(B263="","",SUMIFS(Entries!$J$2:$J$3000,Entries!$H$2:$H$3000,A263))</f>
        <v/>
      </c>
      <c r="G263" s="11">
        <f>IF(B263="","",_xlfn.MAXIFS(Prizes!$D$2:$D$3000,Prizes!$E$2:$E$3000,A263,Prizes!$G$2:$G$3000,""))</f>
        <v/>
      </c>
      <c r="H263" s="10">
        <f>IF(B263="","",IF(_xlfn.MAXIFS(Levels!$A$2:$A$30,Levels!$A$2:$A$30,"&lt;="&amp;F263)&gt;G263,INDEX(Levels!$B$2:$B$30,MATCH(_xlfn.MAXIFS(Levels!$A$2:$A$30,Levels!$A$2:$A$30,"&lt;="&amp;F263),Levels!$A$2:$A$30,0)),""))</f>
        <v/>
      </c>
      <c r="I263" s="10">
        <f>IF(B263="","",COUNTIFS(Levels!$A$2:$A$30,"&lt;="&amp;F263,Levels!$A$2:$A$30,"&gt;"&amp;G263))</f>
        <v/>
      </c>
      <c r="J263" s="10">
        <f>IF(OR(B263="",TRIM('Find a child'!$B$3)=""),"",IF(ISNUMBER(SEARCH(TRIM('Find a child'!$B$3),B263&amp;" "&amp;C263)),COUNT(J$1:J262)+1,""))</f>
        <v/>
      </c>
    </row>
    <row r="264">
      <c r="A264" s="10" t="inlineStr">
        <is>
          <t>C0263</t>
        </is>
      </c>
      <c r="B264" s="6" t="n"/>
      <c r="C264" s="6" t="n"/>
      <c r="D264" s="6" t="n"/>
      <c r="E264" s="10">
        <f>IF(B264="","",IF(COUNTIFS($B$2:$B$600,B264,$C$2:$C$600,C264)&gt;1,B264&amp;" ("&amp;C264&amp;") "&amp;A264,B264&amp;" ("&amp;C264&amp;")"))</f>
        <v/>
      </c>
      <c r="F264" s="11">
        <f>IF(B264="","",SUMIFS(Entries!$J$2:$J$3000,Entries!$H$2:$H$3000,A264))</f>
        <v/>
      </c>
      <c r="G264" s="11">
        <f>IF(B264="","",_xlfn.MAXIFS(Prizes!$D$2:$D$3000,Prizes!$E$2:$E$3000,A264,Prizes!$G$2:$G$3000,""))</f>
        <v/>
      </c>
      <c r="H264" s="10">
        <f>IF(B264="","",IF(_xlfn.MAXIFS(Levels!$A$2:$A$30,Levels!$A$2:$A$30,"&lt;="&amp;F264)&gt;G264,INDEX(Levels!$B$2:$B$30,MATCH(_xlfn.MAXIFS(Levels!$A$2:$A$30,Levels!$A$2:$A$30,"&lt;="&amp;F264),Levels!$A$2:$A$30,0)),""))</f>
        <v/>
      </c>
      <c r="I264" s="10">
        <f>IF(B264="","",COUNTIFS(Levels!$A$2:$A$30,"&lt;="&amp;F264,Levels!$A$2:$A$30,"&gt;"&amp;G264))</f>
        <v/>
      </c>
      <c r="J264" s="10">
        <f>IF(OR(B264="",TRIM('Find a child'!$B$3)=""),"",IF(ISNUMBER(SEARCH(TRIM('Find a child'!$B$3),B264&amp;" "&amp;C264)),COUNT(J$1:J263)+1,""))</f>
        <v/>
      </c>
    </row>
    <row r="265">
      <c r="A265" s="10" t="inlineStr">
        <is>
          <t>C0264</t>
        </is>
      </c>
      <c r="B265" s="6" t="n"/>
      <c r="C265" s="6" t="n"/>
      <c r="D265" s="6" t="n"/>
      <c r="E265" s="10">
        <f>IF(B265="","",IF(COUNTIFS($B$2:$B$600,B265,$C$2:$C$600,C265)&gt;1,B265&amp;" ("&amp;C265&amp;") "&amp;A265,B265&amp;" ("&amp;C265&amp;")"))</f>
        <v/>
      </c>
      <c r="F265" s="11">
        <f>IF(B265="","",SUMIFS(Entries!$J$2:$J$3000,Entries!$H$2:$H$3000,A265))</f>
        <v/>
      </c>
      <c r="G265" s="11">
        <f>IF(B265="","",_xlfn.MAXIFS(Prizes!$D$2:$D$3000,Prizes!$E$2:$E$3000,A265,Prizes!$G$2:$G$3000,""))</f>
        <v/>
      </c>
      <c r="H265" s="10">
        <f>IF(B265="","",IF(_xlfn.MAXIFS(Levels!$A$2:$A$30,Levels!$A$2:$A$30,"&lt;="&amp;F265)&gt;G265,INDEX(Levels!$B$2:$B$30,MATCH(_xlfn.MAXIFS(Levels!$A$2:$A$30,Levels!$A$2:$A$30,"&lt;="&amp;F265),Levels!$A$2:$A$30,0)),""))</f>
        <v/>
      </c>
      <c r="I265" s="10">
        <f>IF(B265="","",COUNTIFS(Levels!$A$2:$A$30,"&lt;="&amp;F265,Levels!$A$2:$A$30,"&gt;"&amp;G265))</f>
        <v/>
      </c>
      <c r="J265" s="10">
        <f>IF(OR(B265="",TRIM('Find a child'!$B$3)=""),"",IF(ISNUMBER(SEARCH(TRIM('Find a child'!$B$3),B265&amp;" "&amp;C265)),COUNT(J$1:J264)+1,""))</f>
        <v/>
      </c>
    </row>
    <row r="266">
      <c r="A266" s="10" t="inlineStr">
        <is>
          <t>C0265</t>
        </is>
      </c>
      <c r="B266" s="6" t="n"/>
      <c r="C266" s="6" t="n"/>
      <c r="D266" s="6" t="n"/>
      <c r="E266" s="10">
        <f>IF(B266="","",IF(COUNTIFS($B$2:$B$600,B266,$C$2:$C$600,C266)&gt;1,B266&amp;" ("&amp;C266&amp;") "&amp;A266,B266&amp;" ("&amp;C266&amp;")"))</f>
        <v/>
      </c>
      <c r="F266" s="11">
        <f>IF(B266="","",SUMIFS(Entries!$J$2:$J$3000,Entries!$H$2:$H$3000,A266))</f>
        <v/>
      </c>
      <c r="G266" s="11">
        <f>IF(B266="","",_xlfn.MAXIFS(Prizes!$D$2:$D$3000,Prizes!$E$2:$E$3000,A266,Prizes!$G$2:$G$3000,""))</f>
        <v/>
      </c>
      <c r="H266" s="10">
        <f>IF(B266="","",IF(_xlfn.MAXIFS(Levels!$A$2:$A$30,Levels!$A$2:$A$30,"&lt;="&amp;F266)&gt;G266,INDEX(Levels!$B$2:$B$30,MATCH(_xlfn.MAXIFS(Levels!$A$2:$A$30,Levels!$A$2:$A$30,"&lt;="&amp;F266),Levels!$A$2:$A$30,0)),""))</f>
        <v/>
      </c>
      <c r="I266" s="10">
        <f>IF(B266="","",COUNTIFS(Levels!$A$2:$A$30,"&lt;="&amp;F266,Levels!$A$2:$A$30,"&gt;"&amp;G266))</f>
        <v/>
      </c>
      <c r="J266" s="10">
        <f>IF(OR(B266="",TRIM('Find a child'!$B$3)=""),"",IF(ISNUMBER(SEARCH(TRIM('Find a child'!$B$3),B266&amp;" "&amp;C266)),COUNT(J$1:J265)+1,""))</f>
        <v/>
      </c>
    </row>
    <row r="267">
      <c r="A267" s="10" t="inlineStr">
        <is>
          <t>C0266</t>
        </is>
      </c>
      <c r="B267" s="6" t="n"/>
      <c r="C267" s="6" t="n"/>
      <c r="D267" s="6" t="n"/>
      <c r="E267" s="10">
        <f>IF(B267="","",IF(COUNTIFS($B$2:$B$600,B267,$C$2:$C$600,C267)&gt;1,B267&amp;" ("&amp;C267&amp;") "&amp;A267,B267&amp;" ("&amp;C267&amp;")"))</f>
        <v/>
      </c>
      <c r="F267" s="11">
        <f>IF(B267="","",SUMIFS(Entries!$J$2:$J$3000,Entries!$H$2:$H$3000,A267))</f>
        <v/>
      </c>
      <c r="G267" s="11">
        <f>IF(B267="","",_xlfn.MAXIFS(Prizes!$D$2:$D$3000,Prizes!$E$2:$E$3000,A267,Prizes!$G$2:$G$3000,""))</f>
        <v/>
      </c>
      <c r="H267" s="10">
        <f>IF(B267="","",IF(_xlfn.MAXIFS(Levels!$A$2:$A$30,Levels!$A$2:$A$30,"&lt;="&amp;F267)&gt;G267,INDEX(Levels!$B$2:$B$30,MATCH(_xlfn.MAXIFS(Levels!$A$2:$A$30,Levels!$A$2:$A$30,"&lt;="&amp;F267),Levels!$A$2:$A$30,0)),""))</f>
        <v/>
      </c>
      <c r="I267" s="10">
        <f>IF(B267="","",COUNTIFS(Levels!$A$2:$A$30,"&lt;="&amp;F267,Levels!$A$2:$A$30,"&gt;"&amp;G267))</f>
        <v/>
      </c>
      <c r="J267" s="10">
        <f>IF(OR(B267="",TRIM('Find a child'!$B$3)=""),"",IF(ISNUMBER(SEARCH(TRIM('Find a child'!$B$3),B267&amp;" "&amp;C267)),COUNT(J$1:J266)+1,""))</f>
        <v/>
      </c>
    </row>
    <row r="268">
      <c r="A268" s="10" t="inlineStr">
        <is>
          <t>C0267</t>
        </is>
      </c>
      <c r="B268" s="6" t="n"/>
      <c r="C268" s="6" t="n"/>
      <c r="D268" s="6" t="n"/>
      <c r="E268" s="10">
        <f>IF(B268="","",IF(COUNTIFS($B$2:$B$600,B268,$C$2:$C$600,C268)&gt;1,B268&amp;" ("&amp;C268&amp;") "&amp;A268,B268&amp;" ("&amp;C268&amp;")"))</f>
        <v/>
      </c>
      <c r="F268" s="11">
        <f>IF(B268="","",SUMIFS(Entries!$J$2:$J$3000,Entries!$H$2:$H$3000,A268))</f>
        <v/>
      </c>
      <c r="G268" s="11">
        <f>IF(B268="","",_xlfn.MAXIFS(Prizes!$D$2:$D$3000,Prizes!$E$2:$E$3000,A268,Prizes!$G$2:$G$3000,""))</f>
        <v/>
      </c>
      <c r="H268" s="10">
        <f>IF(B268="","",IF(_xlfn.MAXIFS(Levels!$A$2:$A$30,Levels!$A$2:$A$30,"&lt;="&amp;F268)&gt;G268,INDEX(Levels!$B$2:$B$30,MATCH(_xlfn.MAXIFS(Levels!$A$2:$A$30,Levels!$A$2:$A$30,"&lt;="&amp;F268),Levels!$A$2:$A$30,0)),""))</f>
        <v/>
      </c>
      <c r="I268" s="10">
        <f>IF(B268="","",COUNTIFS(Levels!$A$2:$A$30,"&lt;="&amp;F268,Levels!$A$2:$A$30,"&gt;"&amp;G268))</f>
        <v/>
      </c>
      <c r="J268" s="10">
        <f>IF(OR(B268="",TRIM('Find a child'!$B$3)=""),"",IF(ISNUMBER(SEARCH(TRIM('Find a child'!$B$3),B268&amp;" "&amp;C268)),COUNT(J$1:J267)+1,""))</f>
        <v/>
      </c>
    </row>
    <row r="269">
      <c r="A269" s="10" t="inlineStr">
        <is>
          <t>C0268</t>
        </is>
      </c>
      <c r="B269" s="6" t="n"/>
      <c r="C269" s="6" t="n"/>
      <c r="D269" s="6" t="n"/>
      <c r="E269" s="10">
        <f>IF(B269="","",IF(COUNTIFS($B$2:$B$600,B269,$C$2:$C$600,C269)&gt;1,B269&amp;" ("&amp;C269&amp;") "&amp;A269,B269&amp;" ("&amp;C269&amp;")"))</f>
        <v/>
      </c>
      <c r="F269" s="11">
        <f>IF(B269="","",SUMIFS(Entries!$J$2:$J$3000,Entries!$H$2:$H$3000,A269))</f>
        <v/>
      </c>
      <c r="G269" s="11">
        <f>IF(B269="","",_xlfn.MAXIFS(Prizes!$D$2:$D$3000,Prizes!$E$2:$E$3000,A269,Prizes!$G$2:$G$3000,""))</f>
        <v/>
      </c>
      <c r="H269" s="10">
        <f>IF(B269="","",IF(_xlfn.MAXIFS(Levels!$A$2:$A$30,Levels!$A$2:$A$30,"&lt;="&amp;F269)&gt;G269,INDEX(Levels!$B$2:$B$30,MATCH(_xlfn.MAXIFS(Levels!$A$2:$A$30,Levels!$A$2:$A$30,"&lt;="&amp;F269),Levels!$A$2:$A$30,0)),""))</f>
        <v/>
      </c>
      <c r="I269" s="10">
        <f>IF(B269="","",COUNTIFS(Levels!$A$2:$A$30,"&lt;="&amp;F269,Levels!$A$2:$A$30,"&gt;"&amp;G269))</f>
        <v/>
      </c>
      <c r="J269" s="10">
        <f>IF(OR(B269="",TRIM('Find a child'!$B$3)=""),"",IF(ISNUMBER(SEARCH(TRIM('Find a child'!$B$3),B269&amp;" "&amp;C269)),COUNT(J$1:J268)+1,""))</f>
        <v/>
      </c>
    </row>
    <row r="270">
      <c r="A270" s="10" t="inlineStr">
        <is>
          <t>C0269</t>
        </is>
      </c>
      <c r="B270" s="6" t="n"/>
      <c r="C270" s="6" t="n"/>
      <c r="D270" s="6" t="n"/>
      <c r="E270" s="10">
        <f>IF(B270="","",IF(COUNTIFS($B$2:$B$600,B270,$C$2:$C$600,C270)&gt;1,B270&amp;" ("&amp;C270&amp;") "&amp;A270,B270&amp;" ("&amp;C270&amp;")"))</f>
        <v/>
      </c>
      <c r="F270" s="11">
        <f>IF(B270="","",SUMIFS(Entries!$J$2:$J$3000,Entries!$H$2:$H$3000,A270))</f>
        <v/>
      </c>
      <c r="G270" s="11">
        <f>IF(B270="","",_xlfn.MAXIFS(Prizes!$D$2:$D$3000,Prizes!$E$2:$E$3000,A270,Prizes!$G$2:$G$3000,""))</f>
        <v/>
      </c>
      <c r="H270" s="10">
        <f>IF(B270="","",IF(_xlfn.MAXIFS(Levels!$A$2:$A$30,Levels!$A$2:$A$30,"&lt;="&amp;F270)&gt;G270,INDEX(Levels!$B$2:$B$30,MATCH(_xlfn.MAXIFS(Levels!$A$2:$A$30,Levels!$A$2:$A$30,"&lt;="&amp;F270),Levels!$A$2:$A$30,0)),""))</f>
        <v/>
      </c>
      <c r="I270" s="10">
        <f>IF(B270="","",COUNTIFS(Levels!$A$2:$A$30,"&lt;="&amp;F270,Levels!$A$2:$A$30,"&gt;"&amp;G270))</f>
        <v/>
      </c>
      <c r="J270" s="10">
        <f>IF(OR(B270="",TRIM('Find a child'!$B$3)=""),"",IF(ISNUMBER(SEARCH(TRIM('Find a child'!$B$3),B270&amp;" "&amp;C270)),COUNT(J$1:J269)+1,""))</f>
        <v/>
      </c>
    </row>
    <row r="271">
      <c r="A271" s="10" t="inlineStr">
        <is>
          <t>C0270</t>
        </is>
      </c>
      <c r="B271" s="6" t="n"/>
      <c r="C271" s="6" t="n"/>
      <c r="D271" s="6" t="n"/>
      <c r="E271" s="10">
        <f>IF(B271="","",IF(COUNTIFS($B$2:$B$600,B271,$C$2:$C$600,C271)&gt;1,B271&amp;" ("&amp;C271&amp;") "&amp;A271,B271&amp;" ("&amp;C271&amp;")"))</f>
        <v/>
      </c>
      <c r="F271" s="11">
        <f>IF(B271="","",SUMIFS(Entries!$J$2:$J$3000,Entries!$H$2:$H$3000,A271))</f>
        <v/>
      </c>
      <c r="G271" s="11">
        <f>IF(B271="","",_xlfn.MAXIFS(Prizes!$D$2:$D$3000,Prizes!$E$2:$E$3000,A271,Prizes!$G$2:$G$3000,""))</f>
        <v/>
      </c>
      <c r="H271" s="10">
        <f>IF(B271="","",IF(_xlfn.MAXIFS(Levels!$A$2:$A$30,Levels!$A$2:$A$30,"&lt;="&amp;F271)&gt;G271,INDEX(Levels!$B$2:$B$30,MATCH(_xlfn.MAXIFS(Levels!$A$2:$A$30,Levels!$A$2:$A$30,"&lt;="&amp;F271),Levels!$A$2:$A$30,0)),""))</f>
        <v/>
      </c>
      <c r="I271" s="10">
        <f>IF(B271="","",COUNTIFS(Levels!$A$2:$A$30,"&lt;="&amp;F271,Levels!$A$2:$A$30,"&gt;"&amp;G271))</f>
        <v/>
      </c>
      <c r="J271" s="10">
        <f>IF(OR(B271="",TRIM('Find a child'!$B$3)=""),"",IF(ISNUMBER(SEARCH(TRIM('Find a child'!$B$3),B271&amp;" "&amp;C271)),COUNT(J$1:J270)+1,""))</f>
        <v/>
      </c>
    </row>
    <row r="272">
      <c r="A272" s="10" t="inlineStr">
        <is>
          <t>C0271</t>
        </is>
      </c>
      <c r="B272" s="6" t="n"/>
      <c r="C272" s="6" t="n"/>
      <c r="D272" s="6" t="n"/>
      <c r="E272" s="10">
        <f>IF(B272="","",IF(COUNTIFS($B$2:$B$600,B272,$C$2:$C$600,C272)&gt;1,B272&amp;" ("&amp;C272&amp;") "&amp;A272,B272&amp;" ("&amp;C272&amp;")"))</f>
        <v/>
      </c>
      <c r="F272" s="11">
        <f>IF(B272="","",SUMIFS(Entries!$J$2:$J$3000,Entries!$H$2:$H$3000,A272))</f>
        <v/>
      </c>
      <c r="G272" s="11">
        <f>IF(B272="","",_xlfn.MAXIFS(Prizes!$D$2:$D$3000,Prizes!$E$2:$E$3000,A272,Prizes!$G$2:$G$3000,""))</f>
        <v/>
      </c>
      <c r="H272" s="10">
        <f>IF(B272="","",IF(_xlfn.MAXIFS(Levels!$A$2:$A$30,Levels!$A$2:$A$30,"&lt;="&amp;F272)&gt;G272,INDEX(Levels!$B$2:$B$30,MATCH(_xlfn.MAXIFS(Levels!$A$2:$A$30,Levels!$A$2:$A$30,"&lt;="&amp;F272),Levels!$A$2:$A$30,0)),""))</f>
        <v/>
      </c>
      <c r="I272" s="10">
        <f>IF(B272="","",COUNTIFS(Levels!$A$2:$A$30,"&lt;="&amp;F272,Levels!$A$2:$A$30,"&gt;"&amp;G272))</f>
        <v/>
      </c>
      <c r="J272" s="10">
        <f>IF(OR(B272="",TRIM('Find a child'!$B$3)=""),"",IF(ISNUMBER(SEARCH(TRIM('Find a child'!$B$3),B272&amp;" "&amp;C272)),COUNT(J$1:J271)+1,""))</f>
        <v/>
      </c>
    </row>
    <row r="273">
      <c r="A273" s="10" t="inlineStr">
        <is>
          <t>C0272</t>
        </is>
      </c>
      <c r="B273" s="6" t="n"/>
      <c r="C273" s="6" t="n"/>
      <c r="D273" s="6" t="n"/>
      <c r="E273" s="10">
        <f>IF(B273="","",IF(COUNTIFS($B$2:$B$600,B273,$C$2:$C$600,C273)&gt;1,B273&amp;" ("&amp;C273&amp;") "&amp;A273,B273&amp;" ("&amp;C273&amp;")"))</f>
        <v/>
      </c>
      <c r="F273" s="11">
        <f>IF(B273="","",SUMIFS(Entries!$J$2:$J$3000,Entries!$H$2:$H$3000,A273))</f>
        <v/>
      </c>
      <c r="G273" s="11">
        <f>IF(B273="","",_xlfn.MAXIFS(Prizes!$D$2:$D$3000,Prizes!$E$2:$E$3000,A273,Prizes!$G$2:$G$3000,""))</f>
        <v/>
      </c>
      <c r="H273" s="10">
        <f>IF(B273="","",IF(_xlfn.MAXIFS(Levels!$A$2:$A$30,Levels!$A$2:$A$30,"&lt;="&amp;F273)&gt;G273,INDEX(Levels!$B$2:$B$30,MATCH(_xlfn.MAXIFS(Levels!$A$2:$A$30,Levels!$A$2:$A$30,"&lt;="&amp;F273),Levels!$A$2:$A$30,0)),""))</f>
        <v/>
      </c>
      <c r="I273" s="10">
        <f>IF(B273="","",COUNTIFS(Levels!$A$2:$A$30,"&lt;="&amp;F273,Levels!$A$2:$A$30,"&gt;"&amp;G273))</f>
        <v/>
      </c>
      <c r="J273" s="10">
        <f>IF(OR(B273="",TRIM('Find a child'!$B$3)=""),"",IF(ISNUMBER(SEARCH(TRIM('Find a child'!$B$3),B273&amp;" "&amp;C273)),COUNT(J$1:J272)+1,""))</f>
        <v/>
      </c>
    </row>
    <row r="274">
      <c r="A274" s="10" t="inlineStr">
        <is>
          <t>C0273</t>
        </is>
      </c>
      <c r="B274" s="6" t="n"/>
      <c r="C274" s="6" t="n"/>
      <c r="D274" s="6" t="n"/>
      <c r="E274" s="10">
        <f>IF(B274="","",IF(COUNTIFS($B$2:$B$600,B274,$C$2:$C$600,C274)&gt;1,B274&amp;" ("&amp;C274&amp;") "&amp;A274,B274&amp;" ("&amp;C274&amp;")"))</f>
        <v/>
      </c>
      <c r="F274" s="11">
        <f>IF(B274="","",SUMIFS(Entries!$J$2:$J$3000,Entries!$H$2:$H$3000,A274))</f>
        <v/>
      </c>
      <c r="G274" s="11">
        <f>IF(B274="","",_xlfn.MAXIFS(Prizes!$D$2:$D$3000,Prizes!$E$2:$E$3000,A274,Prizes!$G$2:$G$3000,""))</f>
        <v/>
      </c>
      <c r="H274" s="10">
        <f>IF(B274="","",IF(_xlfn.MAXIFS(Levels!$A$2:$A$30,Levels!$A$2:$A$30,"&lt;="&amp;F274)&gt;G274,INDEX(Levels!$B$2:$B$30,MATCH(_xlfn.MAXIFS(Levels!$A$2:$A$30,Levels!$A$2:$A$30,"&lt;="&amp;F274),Levels!$A$2:$A$30,0)),""))</f>
        <v/>
      </c>
      <c r="I274" s="10">
        <f>IF(B274="","",COUNTIFS(Levels!$A$2:$A$30,"&lt;="&amp;F274,Levels!$A$2:$A$30,"&gt;"&amp;G274))</f>
        <v/>
      </c>
      <c r="J274" s="10">
        <f>IF(OR(B274="",TRIM('Find a child'!$B$3)=""),"",IF(ISNUMBER(SEARCH(TRIM('Find a child'!$B$3),B274&amp;" "&amp;C274)),COUNT(J$1:J273)+1,""))</f>
        <v/>
      </c>
    </row>
    <row r="275">
      <c r="A275" s="10" t="inlineStr">
        <is>
          <t>C0274</t>
        </is>
      </c>
      <c r="B275" s="6" t="n"/>
      <c r="C275" s="6" t="n"/>
      <c r="D275" s="6" t="n"/>
      <c r="E275" s="10">
        <f>IF(B275="","",IF(COUNTIFS($B$2:$B$600,B275,$C$2:$C$600,C275)&gt;1,B275&amp;" ("&amp;C275&amp;") "&amp;A275,B275&amp;" ("&amp;C275&amp;")"))</f>
        <v/>
      </c>
      <c r="F275" s="11">
        <f>IF(B275="","",SUMIFS(Entries!$J$2:$J$3000,Entries!$H$2:$H$3000,A275))</f>
        <v/>
      </c>
      <c r="G275" s="11">
        <f>IF(B275="","",_xlfn.MAXIFS(Prizes!$D$2:$D$3000,Prizes!$E$2:$E$3000,A275,Prizes!$G$2:$G$3000,""))</f>
        <v/>
      </c>
      <c r="H275" s="10">
        <f>IF(B275="","",IF(_xlfn.MAXIFS(Levels!$A$2:$A$30,Levels!$A$2:$A$30,"&lt;="&amp;F275)&gt;G275,INDEX(Levels!$B$2:$B$30,MATCH(_xlfn.MAXIFS(Levels!$A$2:$A$30,Levels!$A$2:$A$30,"&lt;="&amp;F275),Levels!$A$2:$A$30,0)),""))</f>
        <v/>
      </c>
      <c r="I275" s="10">
        <f>IF(B275="","",COUNTIFS(Levels!$A$2:$A$30,"&lt;="&amp;F275,Levels!$A$2:$A$30,"&gt;"&amp;G275))</f>
        <v/>
      </c>
      <c r="J275" s="10">
        <f>IF(OR(B275="",TRIM('Find a child'!$B$3)=""),"",IF(ISNUMBER(SEARCH(TRIM('Find a child'!$B$3),B275&amp;" "&amp;C275)),COUNT(J$1:J274)+1,""))</f>
        <v/>
      </c>
    </row>
    <row r="276">
      <c r="A276" s="10" t="inlineStr">
        <is>
          <t>C0275</t>
        </is>
      </c>
      <c r="B276" s="6" t="n"/>
      <c r="C276" s="6" t="n"/>
      <c r="D276" s="6" t="n"/>
      <c r="E276" s="10">
        <f>IF(B276="","",IF(COUNTIFS($B$2:$B$600,B276,$C$2:$C$600,C276)&gt;1,B276&amp;" ("&amp;C276&amp;") "&amp;A276,B276&amp;" ("&amp;C276&amp;")"))</f>
        <v/>
      </c>
      <c r="F276" s="11">
        <f>IF(B276="","",SUMIFS(Entries!$J$2:$J$3000,Entries!$H$2:$H$3000,A276))</f>
        <v/>
      </c>
      <c r="G276" s="11">
        <f>IF(B276="","",_xlfn.MAXIFS(Prizes!$D$2:$D$3000,Prizes!$E$2:$E$3000,A276,Prizes!$G$2:$G$3000,""))</f>
        <v/>
      </c>
      <c r="H276" s="10">
        <f>IF(B276="","",IF(_xlfn.MAXIFS(Levels!$A$2:$A$30,Levels!$A$2:$A$30,"&lt;="&amp;F276)&gt;G276,INDEX(Levels!$B$2:$B$30,MATCH(_xlfn.MAXIFS(Levels!$A$2:$A$30,Levels!$A$2:$A$30,"&lt;="&amp;F276),Levels!$A$2:$A$30,0)),""))</f>
        <v/>
      </c>
      <c r="I276" s="10">
        <f>IF(B276="","",COUNTIFS(Levels!$A$2:$A$30,"&lt;="&amp;F276,Levels!$A$2:$A$30,"&gt;"&amp;G276))</f>
        <v/>
      </c>
      <c r="J276" s="10">
        <f>IF(OR(B276="",TRIM('Find a child'!$B$3)=""),"",IF(ISNUMBER(SEARCH(TRIM('Find a child'!$B$3),B276&amp;" "&amp;C276)),COUNT(J$1:J275)+1,""))</f>
        <v/>
      </c>
    </row>
    <row r="277">
      <c r="A277" s="10" t="inlineStr">
        <is>
          <t>C0276</t>
        </is>
      </c>
      <c r="B277" s="6" t="n"/>
      <c r="C277" s="6" t="n"/>
      <c r="D277" s="6" t="n"/>
      <c r="E277" s="10">
        <f>IF(B277="","",IF(COUNTIFS($B$2:$B$600,B277,$C$2:$C$600,C277)&gt;1,B277&amp;" ("&amp;C277&amp;") "&amp;A277,B277&amp;" ("&amp;C277&amp;")"))</f>
        <v/>
      </c>
      <c r="F277" s="11">
        <f>IF(B277="","",SUMIFS(Entries!$J$2:$J$3000,Entries!$H$2:$H$3000,A277))</f>
        <v/>
      </c>
      <c r="G277" s="11">
        <f>IF(B277="","",_xlfn.MAXIFS(Prizes!$D$2:$D$3000,Prizes!$E$2:$E$3000,A277,Prizes!$G$2:$G$3000,""))</f>
        <v/>
      </c>
      <c r="H277" s="10">
        <f>IF(B277="","",IF(_xlfn.MAXIFS(Levels!$A$2:$A$30,Levels!$A$2:$A$30,"&lt;="&amp;F277)&gt;G277,INDEX(Levels!$B$2:$B$30,MATCH(_xlfn.MAXIFS(Levels!$A$2:$A$30,Levels!$A$2:$A$30,"&lt;="&amp;F277),Levels!$A$2:$A$30,0)),""))</f>
        <v/>
      </c>
      <c r="I277" s="10">
        <f>IF(B277="","",COUNTIFS(Levels!$A$2:$A$30,"&lt;="&amp;F277,Levels!$A$2:$A$30,"&gt;"&amp;G277))</f>
        <v/>
      </c>
      <c r="J277" s="10">
        <f>IF(OR(B277="",TRIM('Find a child'!$B$3)=""),"",IF(ISNUMBER(SEARCH(TRIM('Find a child'!$B$3),B277&amp;" "&amp;C277)),COUNT(J$1:J276)+1,""))</f>
        <v/>
      </c>
    </row>
    <row r="278">
      <c r="A278" s="10" t="inlineStr">
        <is>
          <t>C0277</t>
        </is>
      </c>
      <c r="B278" s="6" t="n"/>
      <c r="C278" s="6" t="n"/>
      <c r="D278" s="6" t="n"/>
      <c r="E278" s="10">
        <f>IF(B278="","",IF(COUNTIFS($B$2:$B$600,B278,$C$2:$C$600,C278)&gt;1,B278&amp;" ("&amp;C278&amp;") "&amp;A278,B278&amp;" ("&amp;C278&amp;")"))</f>
        <v/>
      </c>
      <c r="F278" s="11">
        <f>IF(B278="","",SUMIFS(Entries!$J$2:$J$3000,Entries!$H$2:$H$3000,A278))</f>
        <v/>
      </c>
      <c r="G278" s="11">
        <f>IF(B278="","",_xlfn.MAXIFS(Prizes!$D$2:$D$3000,Prizes!$E$2:$E$3000,A278,Prizes!$G$2:$G$3000,""))</f>
        <v/>
      </c>
      <c r="H278" s="10">
        <f>IF(B278="","",IF(_xlfn.MAXIFS(Levels!$A$2:$A$30,Levels!$A$2:$A$30,"&lt;="&amp;F278)&gt;G278,INDEX(Levels!$B$2:$B$30,MATCH(_xlfn.MAXIFS(Levels!$A$2:$A$30,Levels!$A$2:$A$30,"&lt;="&amp;F278),Levels!$A$2:$A$30,0)),""))</f>
        <v/>
      </c>
      <c r="I278" s="10">
        <f>IF(B278="","",COUNTIFS(Levels!$A$2:$A$30,"&lt;="&amp;F278,Levels!$A$2:$A$30,"&gt;"&amp;G278))</f>
        <v/>
      </c>
      <c r="J278" s="10">
        <f>IF(OR(B278="",TRIM('Find a child'!$B$3)=""),"",IF(ISNUMBER(SEARCH(TRIM('Find a child'!$B$3),B278&amp;" "&amp;C278)),COUNT(J$1:J277)+1,""))</f>
        <v/>
      </c>
    </row>
    <row r="279">
      <c r="A279" s="10" t="inlineStr">
        <is>
          <t>C0278</t>
        </is>
      </c>
      <c r="B279" s="6" t="n"/>
      <c r="C279" s="6" t="n"/>
      <c r="D279" s="6" t="n"/>
      <c r="E279" s="10">
        <f>IF(B279="","",IF(COUNTIFS($B$2:$B$600,B279,$C$2:$C$600,C279)&gt;1,B279&amp;" ("&amp;C279&amp;") "&amp;A279,B279&amp;" ("&amp;C279&amp;")"))</f>
        <v/>
      </c>
      <c r="F279" s="11">
        <f>IF(B279="","",SUMIFS(Entries!$J$2:$J$3000,Entries!$H$2:$H$3000,A279))</f>
        <v/>
      </c>
      <c r="G279" s="11">
        <f>IF(B279="","",_xlfn.MAXIFS(Prizes!$D$2:$D$3000,Prizes!$E$2:$E$3000,A279,Prizes!$G$2:$G$3000,""))</f>
        <v/>
      </c>
      <c r="H279" s="10">
        <f>IF(B279="","",IF(_xlfn.MAXIFS(Levels!$A$2:$A$30,Levels!$A$2:$A$30,"&lt;="&amp;F279)&gt;G279,INDEX(Levels!$B$2:$B$30,MATCH(_xlfn.MAXIFS(Levels!$A$2:$A$30,Levels!$A$2:$A$30,"&lt;="&amp;F279),Levels!$A$2:$A$30,0)),""))</f>
        <v/>
      </c>
      <c r="I279" s="10">
        <f>IF(B279="","",COUNTIFS(Levels!$A$2:$A$30,"&lt;="&amp;F279,Levels!$A$2:$A$30,"&gt;"&amp;G279))</f>
        <v/>
      </c>
      <c r="J279" s="10">
        <f>IF(OR(B279="",TRIM('Find a child'!$B$3)=""),"",IF(ISNUMBER(SEARCH(TRIM('Find a child'!$B$3),B279&amp;" "&amp;C279)),COUNT(J$1:J278)+1,""))</f>
        <v/>
      </c>
    </row>
    <row r="280">
      <c r="A280" s="10" t="inlineStr">
        <is>
          <t>C0279</t>
        </is>
      </c>
      <c r="B280" s="6" t="n"/>
      <c r="C280" s="6" t="n"/>
      <c r="D280" s="6" t="n"/>
      <c r="E280" s="10">
        <f>IF(B280="","",IF(COUNTIFS($B$2:$B$600,B280,$C$2:$C$600,C280)&gt;1,B280&amp;" ("&amp;C280&amp;") "&amp;A280,B280&amp;" ("&amp;C280&amp;")"))</f>
        <v/>
      </c>
      <c r="F280" s="11">
        <f>IF(B280="","",SUMIFS(Entries!$J$2:$J$3000,Entries!$H$2:$H$3000,A280))</f>
        <v/>
      </c>
      <c r="G280" s="11">
        <f>IF(B280="","",_xlfn.MAXIFS(Prizes!$D$2:$D$3000,Prizes!$E$2:$E$3000,A280,Prizes!$G$2:$G$3000,""))</f>
        <v/>
      </c>
      <c r="H280" s="10">
        <f>IF(B280="","",IF(_xlfn.MAXIFS(Levels!$A$2:$A$30,Levels!$A$2:$A$30,"&lt;="&amp;F280)&gt;G280,INDEX(Levels!$B$2:$B$30,MATCH(_xlfn.MAXIFS(Levels!$A$2:$A$30,Levels!$A$2:$A$30,"&lt;="&amp;F280),Levels!$A$2:$A$30,0)),""))</f>
        <v/>
      </c>
      <c r="I280" s="10">
        <f>IF(B280="","",COUNTIFS(Levels!$A$2:$A$30,"&lt;="&amp;F280,Levels!$A$2:$A$30,"&gt;"&amp;G280))</f>
        <v/>
      </c>
      <c r="J280" s="10">
        <f>IF(OR(B280="",TRIM('Find a child'!$B$3)=""),"",IF(ISNUMBER(SEARCH(TRIM('Find a child'!$B$3),B280&amp;" "&amp;C280)),COUNT(J$1:J279)+1,""))</f>
        <v/>
      </c>
    </row>
    <row r="281">
      <c r="A281" s="10" t="inlineStr">
        <is>
          <t>C0280</t>
        </is>
      </c>
      <c r="B281" s="6" t="n"/>
      <c r="C281" s="6" t="n"/>
      <c r="D281" s="6" t="n"/>
      <c r="E281" s="10">
        <f>IF(B281="","",IF(COUNTIFS($B$2:$B$600,B281,$C$2:$C$600,C281)&gt;1,B281&amp;" ("&amp;C281&amp;") "&amp;A281,B281&amp;" ("&amp;C281&amp;")"))</f>
        <v/>
      </c>
      <c r="F281" s="11">
        <f>IF(B281="","",SUMIFS(Entries!$J$2:$J$3000,Entries!$H$2:$H$3000,A281))</f>
        <v/>
      </c>
      <c r="G281" s="11">
        <f>IF(B281="","",_xlfn.MAXIFS(Prizes!$D$2:$D$3000,Prizes!$E$2:$E$3000,A281,Prizes!$G$2:$G$3000,""))</f>
        <v/>
      </c>
      <c r="H281" s="10">
        <f>IF(B281="","",IF(_xlfn.MAXIFS(Levels!$A$2:$A$30,Levels!$A$2:$A$30,"&lt;="&amp;F281)&gt;G281,INDEX(Levels!$B$2:$B$30,MATCH(_xlfn.MAXIFS(Levels!$A$2:$A$30,Levels!$A$2:$A$30,"&lt;="&amp;F281),Levels!$A$2:$A$30,0)),""))</f>
        <v/>
      </c>
      <c r="I281" s="10">
        <f>IF(B281="","",COUNTIFS(Levels!$A$2:$A$30,"&lt;="&amp;F281,Levels!$A$2:$A$30,"&gt;"&amp;G281))</f>
        <v/>
      </c>
      <c r="J281" s="10">
        <f>IF(OR(B281="",TRIM('Find a child'!$B$3)=""),"",IF(ISNUMBER(SEARCH(TRIM('Find a child'!$B$3),B281&amp;" "&amp;C281)),COUNT(J$1:J280)+1,""))</f>
        <v/>
      </c>
    </row>
    <row r="282">
      <c r="A282" s="10" t="inlineStr">
        <is>
          <t>C0281</t>
        </is>
      </c>
      <c r="B282" s="6" t="n"/>
      <c r="C282" s="6" t="n"/>
      <c r="D282" s="6" t="n"/>
      <c r="E282" s="10">
        <f>IF(B282="","",IF(COUNTIFS($B$2:$B$600,B282,$C$2:$C$600,C282)&gt;1,B282&amp;" ("&amp;C282&amp;") "&amp;A282,B282&amp;" ("&amp;C282&amp;")"))</f>
        <v/>
      </c>
      <c r="F282" s="11">
        <f>IF(B282="","",SUMIFS(Entries!$J$2:$J$3000,Entries!$H$2:$H$3000,A282))</f>
        <v/>
      </c>
      <c r="G282" s="11">
        <f>IF(B282="","",_xlfn.MAXIFS(Prizes!$D$2:$D$3000,Prizes!$E$2:$E$3000,A282,Prizes!$G$2:$G$3000,""))</f>
        <v/>
      </c>
      <c r="H282" s="10">
        <f>IF(B282="","",IF(_xlfn.MAXIFS(Levels!$A$2:$A$30,Levels!$A$2:$A$30,"&lt;="&amp;F282)&gt;G282,INDEX(Levels!$B$2:$B$30,MATCH(_xlfn.MAXIFS(Levels!$A$2:$A$30,Levels!$A$2:$A$30,"&lt;="&amp;F282),Levels!$A$2:$A$30,0)),""))</f>
        <v/>
      </c>
      <c r="I282" s="10">
        <f>IF(B282="","",COUNTIFS(Levels!$A$2:$A$30,"&lt;="&amp;F282,Levels!$A$2:$A$30,"&gt;"&amp;G282))</f>
        <v/>
      </c>
      <c r="J282" s="10">
        <f>IF(OR(B282="",TRIM('Find a child'!$B$3)=""),"",IF(ISNUMBER(SEARCH(TRIM('Find a child'!$B$3),B282&amp;" "&amp;C282)),COUNT(J$1:J281)+1,""))</f>
        <v/>
      </c>
    </row>
    <row r="283">
      <c r="A283" s="10" t="inlineStr">
        <is>
          <t>C0282</t>
        </is>
      </c>
      <c r="B283" s="6" t="n"/>
      <c r="C283" s="6" t="n"/>
      <c r="D283" s="6" t="n"/>
      <c r="E283" s="10">
        <f>IF(B283="","",IF(COUNTIFS($B$2:$B$600,B283,$C$2:$C$600,C283)&gt;1,B283&amp;" ("&amp;C283&amp;") "&amp;A283,B283&amp;" ("&amp;C283&amp;")"))</f>
        <v/>
      </c>
      <c r="F283" s="11">
        <f>IF(B283="","",SUMIFS(Entries!$J$2:$J$3000,Entries!$H$2:$H$3000,A283))</f>
        <v/>
      </c>
      <c r="G283" s="11">
        <f>IF(B283="","",_xlfn.MAXIFS(Prizes!$D$2:$D$3000,Prizes!$E$2:$E$3000,A283,Prizes!$G$2:$G$3000,""))</f>
        <v/>
      </c>
      <c r="H283" s="10">
        <f>IF(B283="","",IF(_xlfn.MAXIFS(Levels!$A$2:$A$30,Levels!$A$2:$A$30,"&lt;="&amp;F283)&gt;G283,INDEX(Levels!$B$2:$B$30,MATCH(_xlfn.MAXIFS(Levels!$A$2:$A$30,Levels!$A$2:$A$30,"&lt;="&amp;F283),Levels!$A$2:$A$30,0)),""))</f>
        <v/>
      </c>
      <c r="I283" s="10">
        <f>IF(B283="","",COUNTIFS(Levels!$A$2:$A$30,"&lt;="&amp;F283,Levels!$A$2:$A$30,"&gt;"&amp;G283))</f>
        <v/>
      </c>
      <c r="J283" s="10">
        <f>IF(OR(B283="",TRIM('Find a child'!$B$3)=""),"",IF(ISNUMBER(SEARCH(TRIM('Find a child'!$B$3),B283&amp;" "&amp;C283)),COUNT(J$1:J282)+1,""))</f>
        <v/>
      </c>
    </row>
    <row r="284">
      <c r="A284" s="10" t="inlineStr">
        <is>
          <t>C0283</t>
        </is>
      </c>
      <c r="B284" s="6" t="n"/>
      <c r="C284" s="6" t="n"/>
      <c r="D284" s="6" t="n"/>
      <c r="E284" s="10">
        <f>IF(B284="","",IF(COUNTIFS($B$2:$B$600,B284,$C$2:$C$600,C284)&gt;1,B284&amp;" ("&amp;C284&amp;") "&amp;A284,B284&amp;" ("&amp;C284&amp;")"))</f>
        <v/>
      </c>
      <c r="F284" s="11">
        <f>IF(B284="","",SUMIFS(Entries!$J$2:$J$3000,Entries!$H$2:$H$3000,A284))</f>
        <v/>
      </c>
      <c r="G284" s="11">
        <f>IF(B284="","",_xlfn.MAXIFS(Prizes!$D$2:$D$3000,Prizes!$E$2:$E$3000,A284,Prizes!$G$2:$G$3000,""))</f>
        <v/>
      </c>
      <c r="H284" s="10">
        <f>IF(B284="","",IF(_xlfn.MAXIFS(Levels!$A$2:$A$30,Levels!$A$2:$A$30,"&lt;="&amp;F284)&gt;G284,INDEX(Levels!$B$2:$B$30,MATCH(_xlfn.MAXIFS(Levels!$A$2:$A$30,Levels!$A$2:$A$30,"&lt;="&amp;F284),Levels!$A$2:$A$30,0)),""))</f>
        <v/>
      </c>
      <c r="I284" s="10">
        <f>IF(B284="","",COUNTIFS(Levels!$A$2:$A$30,"&lt;="&amp;F284,Levels!$A$2:$A$30,"&gt;"&amp;G284))</f>
        <v/>
      </c>
      <c r="J284" s="10">
        <f>IF(OR(B284="",TRIM('Find a child'!$B$3)=""),"",IF(ISNUMBER(SEARCH(TRIM('Find a child'!$B$3),B284&amp;" "&amp;C284)),COUNT(J$1:J283)+1,""))</f>
        <v/>
      </c>
    </row>
    <row r="285">
      <c r="A285" s="10" t="inlineStr">
        <is>
          <t>C0284</t>
        </is>
      </c>
      <c r="B285" s="6" t="n"/>
      <c r="C285" s="6" t="n"/>
      <c r="D285" s="6" t="n"/>
      <c r="E285" s="10">
        <f>IF(B285="","",IF(COUNTIFS($B$2:$B$600,B285,$C$2:$C$600,C285)&gt;1,B285&amp;" ("&amp;C285&amp;") "&amp;A285,B285&amp;" ("&amp;C285&amp;")"))</f>
        <v/>
      </c>
      <c r="F285" s="11">
        <f>IF(B285="","",SUMIFS(Entries!$J$2:$J$3000,Entries!$H$2:$H$3000,A285))</f>
        <v/>
      </c>
      <c r="G285" s="11">
        <f>IF(B285="","",_xlfn.MAXIFS(Prizes!$D$2:$D$3000,Prizes!$E$2:$E$3000,A285,Prizes!$G$2:$G$3000,""))</f>
        <v/>
      </c>
      <c r="H285" s="10">
        <f>IF(B285="","",IF(_xlfn.MAXIFS(Levels!$A$2:$A$30,Levels!$A$2:$A$30,"&lt;="&amp;F285)&gt;G285,INDEX(Levels!$B$2:$B$30,MATCH(_xlfn.MAXIFS(Levels!$A$2:$A$30,Levels!$A$2:$A$30,"&lt;="&amp;F285),Levels!$A$2:$A$30,0)),""))</f>
        <v/>
      </c>
      <c r="I285" s="10">
        <f>IF(B285="","",COUNTIFS(Levels!$A$2:$A$30,"&lt;="&amp;F285,Levels!$A$2:$A$30,"&gt;"&amp;G285))</f>
        <v/>
      </c>
      <c r="J285" s="10">
        <f>IF(OR(B285="",TRIM('Find a child'!$B$3)=""),"",IF(ISNUMBER(SEARCH(TRIM('Find a child'!$B$3),B285&amp;" "&amp;C285)),COUNT(J$1:J284)+1,""))</f>
        <v/>
      </c>
    </row>
    <row r="286">
      <c r="A286" s="10" t="inlineStr">
        <is>
          <t>C0285</t>
        </is>
      </c>
      <c r="B286" s="6" t="n"/>
      <c r="C286" s="6" t="n"/>
      <c r="D286" s="6" t="n"/>
      <c r="E286" s="10">
        <f>IF(B286="","",IF(COUNTIFS($B$2:$B$600,B286,$C$2:$C$600,C286)&gt;1,B286&amp;" ("&amp;C286&amp;") "&amp;A286,B286&amp;" ("&amp;C286&amp;")"))</f>
        <v/>
      </c>
      <c r="F286" s="11">
        <f>IF(B286="","",SUMIFS(Entries!$J$2:$J$3000,Entries!$H$2:$H$3000,A286))</f>
        <v/>
      </c>
      <c r="G286" s="11">
        <f>IF(B286="","",_xlfn.MAXIFS(Prizes!$D$2:$D$3000,Prizes!$E$2:$E$3000,A286,Prizes!$G$2:$G$3000,""))</f>
        <v/>
      </c>
      <c r="H286" s="10">
        <f>IF(B286="","",IF(_xlfn.MAXIFS(Levels!$A$2:$A$30,Levels!$A$2:$A$30,"&lt;="&amp;F286)&gt;G286,INDEX(Levels!$B$2:$B$30,MATCH(_xlfn.MAXIFS(Levels!$A$2:$A$30,Levels!$A$2:$A$30,"&lt;="&amp;F286),Levels!$A$2:$A$30,0)),""))</f>
        <v/>
      </c>
      <c r="I286" s="10">
        <f>IF(B286="","",COUNTIFS(Levels!$A$2:$A$30,"&lt;="&amp;F286,Levels!$A$2:$A$30,"&gt;"&amp;G286))</f>
        <v/>
      </c>
      <c r="J286" s="10">
        <f>IF(OR(B286="",TRIM('Find a child'!$B$3)=""),"",IF(ISNUMBER(SEARCH(TRIM('Find a child'!$B$3),B286&amp;" "&amp;C286)),COUNT(J$1:J285)+1,""))</f>
        <v/>
      </c>
    </row>
    <row r="287">
      <c r="A287" s="10" t="inlineStr">
        <is>
          <t>C0286</t>
        </is>
      </c>
      <c r="B287" s="6" t="n"/>
      <c r="C287" s="6" t="n"/>
      <c r="D287" s="6" t="n"/>
      <c r="E287" s="10">
        <f>IF(B287="","",IF(COUNTIFS($B$2:$B$600,B287,$C$2:$C$600,C287)&gt;1,B287&amp;" ("&amp;C287&amp;") "&amp;A287,B287&amp;" ("&amp;C287&amp;")"))</f>
        <v/>
      </c>
      <c r="F287" s="11">
        <f>IF(B287="","",SUMIFS(Entries!$J$2:$J$3000,Entries!$H$2:$H$3000,A287))</f>
        <v/>
      </c>
      <c r="G287" s="11">
        <f>IF(B287="","",_xlfn.MAXIFS(Prizes!$D$2:$D$3000,Prizes!$E$2:$E$3000,A287,Prizes!$G$2:$G$3000,""))</f>
        <v/>
      </c>
      <c r="H287" s="10">
        <f>IF(B287="","",IF(_xlfn.MAXIFS(Levels!$A$2:$A$30,Levels!$A$2:$A$30,"&lt;="&amp;F287)&gt;G287,INDEX(Levels!$B$2:$B$30,MATCH(_xlfn.MAXIFS(Levels!$A$2:$A$30,Levels!$A$2:$A$30,"&lt;="&amp;F287),Levels!$A$2:$A$30,0)),""))</f>
        <v/>
      </c>
      <c r="I287" s="10">
        <f>IF(B287="","",COUNTIFS(Levels!$A$2:$A$30,"&lt;="&amp;F287,Levels!$A$2:$A$30,"&gt;"&amp;G287))</f>
        <v/>
      </c>
      <c r="J287" s="10">
        <f>IF(OR(B287="",TRIM('Find a child'!$B$3)=""),"",IF(ISNUMBER(SEARCH(TRIM('Find a child'!$B$3),B287&amp;" "&amp;C287)),COUNT(J$1:J286)+1,""))</f>
        <v/>
      </c>
    </row>
    <row r="288">
      <c r="A288" s="10" t="inlineStr">
        <is>
          <t>C0287</t>
        </is>
      </c>
      <c r="B288" s="6" t="n"/>
      <c r="C288" s="6" t="n"/>
      <c r="D288" s="6" t="n"/>
      <c r="E288" s="10">
        <f>IF(B288="","",IF(COUNTIFS($B$2:$B$600,B288,$C$2:$C$600,C288)&gt;1,B288&amp;" ("&amp;C288&amp;") "&amp;A288,B288&amp;" ("&amp;C288&amp;")"))</f>
        <v/>
      </c>
      <c r="F288" s="11">
        <f>IF(B288="","",SUMIFS(Entries!$J$2:$J$3000,Entries!$H$2:$H$3000,A288))</f>
        <v/>
      </c>
      <c r="G288" s="11">
        <f>IF(B288="","",_xlfn.MAXIFS(Prizes!$D$2:$D$3000,Prizes!$E$2:$E$3000,A288,Prizes!$G$2:$G$3000,""))</f>
        <v/>
      </c>
      <c r="H288" s="10">
        <f>IF(B288="","",IF(_xlfn.MAXIFS(Levels!$A$2:$A$30,Levels!$A$2:$A$30,"&lt;="&amp;F288)&gt;G288,INDEX(Levels!$B$2:$B$30,MATCH(_xlfn.MAXIFS(Levels!$A$2:$A$30,Levels!$A$2:$A$30,"&lt;="&amp;F288),Levels!$A$2:$A$30,0)),""))</f>
        <v/>
      </c>
      <c r="I288" s="10">
        <f>IF(B288="","",COUNTIFS(Levels!$A$2:$A$30,"&lt;="&amp;F288,Levels!$A$2:$A$30,"&gt;"&amp;G288))</f>
        <v/>
      </c>
      <c r="J288" s="10">
        <f>IF(OR(B288="",TRIM('Find a child'!$B$3)=""),"",IF(ISNUMBER(SEARCH(TRIM('Find a child'!$B$3),B288&amp;" "&amp;C288)),COUNT(J$1:J287)+1,""))</f>
        <v/>
      </c>
    </row>
    <row r="289">
      <c r="A289" s="10" t="inlineStr">
        <is>
          <t>C0288</t>
        </is>
      </c>
      <c r="B289" s="6" t="n"/>
      <c r="C289" s="6" t="n"/>
      <c r="D289" s="6" t="n"/>
      <c r="E289" s="10">
        <f>IF(B289="","",IF(COUNTIFS($B$2:$B$600,B289,$C$2:$C$600,C289)&gt;1,B289&amp;" ("&amp;C289&amp;") "&amp;A289,B289&amp;" ("&amp;C289&amp;")"))</f>
        <v/>
      </c>
      <c r="F289" s="11">
        <f>IF(B289="","",SUMIFS(Entries!$J$2:$J$3000,Entries!$H$2:$H$3000,A289))</f>
        <v/>
      </c>
      <c r="G289" s="11">
        <f>IF(B289="","",_xlfn.MAXIFS(Prizes!$D$2:$D$3000,Prizes!$E$2:$E$3000,A289,Prizes!$G$2:$G$3000,""))</f>
        <v/>
      </c>
      <c r="H289" s="10">
        <f>IF(B289="","",IF(_xlfn.MAXIFS(Levels!$A$2:$A$30,Levels!$A$2:$A$30,"&lt;="&amp;F289)&gt;G289,INDEX(Levels!$B$2:$B$30,MATCH(_xlfn.MAXIFS(Levels!$A$2:$A$30,Levels!$A$2:$A$30,"&lt;="&amp;F289),Levels!$A$2:$A$30,0)),""))</f>
        <v/>
      </c>
      <c r="I289" s="10">
        <f>IF(B289="","",COUNTIFS(Levels!$A$2:$A$30,"&lt;="&amp;F289,Levels!$A$2:$A$30,"&gt;"&amp;G289))</f>
        <v/>
      </c>
      <c r="J289" s="10">
        <f>IF(OR(B289="",TRIM('Find a child'!$B$3)=""),"",IF(ISNUMBER(SEARCH(TRIM('Find a child'!$B$3),B289&amp;" "&amp;C289)),COUNT(J$1:J288)+1,""))</f>
        <v/>
      </c>
    </row>
    <row r="290">
      <c r="A290" s="10" t="inlineStr">
        <is>
          <t>C0289</t>
        </is>
      </c>
      <c r="B290" s="6" t="n"/>
      <c r="C290" s="6" t="n"/>
      <c r="D290" s="6" t="n"/>
      <c r="E290" s="10">
        <f>IF(B290="","",IF(COUNTIFS($B$2:$B$600,B290,$C$2:$C$600,C290)&gt;1,B290&amp;" ("&amp;C290&amp;") "&amp;A290,B290&amp;" ("&amp;C290&amp;")"))</f>
        <v/>
      </c>
      <c r="F290" s="11">
        <f>IF(B290="","",SUMIFS(Entries!$J$2:$J$3000,Entries!$H$2:$H$3000,A290))</f>
        <v/>
      </c>
      <c r="G290" s="11">
        <f>IF(B290="","",_xlfn.MAXIFS(Prizes!$D$2:$D$3000,Prizes!$E$2:$E$3000,A290,Prizes!$G$2:$G$3000,""))</f>
        <v/>
      </c>
      <c r="H290" s="10">
        <f>IF(B290="","",IF(_xlfn.MAXIFS(Levels!$A$2:$A$30,Levels!$A$2:$A$30,"&lt;="&amp;F290)&gt;G290,INDEX(Levels!$B$2:$B$30,MATCH(_xlfn.MAXIFS(Levels!$A$2:$A$30,Levels!$A$2:$A$30,"&lt;="&amp;F290),Levels!$A$2:$A$30,0)),""))</f>
        <v/>
      </c>
      <c r="I290" s="10">
        <f>IF(B290="","",COUNTIFS(Levels!$A$2:$A$30,"&lt;="&amp;F290,Levels!$A$2:$A$30,"&gt;"&amp;G290))</f>
        <v/>
      </c>
      <c r="J290" s="10">
        <f>IF(OR(B290="",TRIM('Find a child'!$B$3)=""),"",IF(ISNUMBER(SEARCH(TRIM('Find a child'!$B$3),B290&amp;" "&amp;C290)),COUNT(J$1:J289)+1,""))</f>
        <v/>
      </c>
    </row>
    <row r="291">
      <c r="A291" s="10" t="inlineStr">
        <is>
          <t>C0290</t>
        </is>
      </c>
      <c r="B291" s="6" t="n"/>
      <c r="C291" s="6" t="n"/>
      <c r="D291" s="6" t="n"/>
      <c r="E291" s="10">
        <f>IF(B291="","",IF(COUNTIFS($B$2:$B$600,B291,$C$2:$C$600,C291)&gt;1,B291&amp;" ("&amp;C291&amp;") "&amp;A291,B291&amp;" ("&amp;C291&amp;")"))</f>
        <v/>
      </c>
      <c r="F291" s="11">
        <f>IF(B291="","",SUMIFS(Entries!$J$2:$J$3000,Entries!$H$2:$H$3000,A291))</f>
        <v/>
      </c>
      <c r="G291" s="11">
        <f>IF(B291="","",_xlfn.MAXIFS(Prizes!$D$2:$D$3000,Prizes!$E$2:$E$3000,A291,Prizes!$G$2:$G$3000,""))</f>
        <v/>
      </c>
      <c r="H291" s="10">
        <f>IF(B291="","",IF(_xlfn.MAXIFS(Levels!$A$2:$A$30,Levels!$A$2:$A$30,"&lt;="&amp;F291)&gt;G291,INDEX(Levels!$B$2:$B$30,MATCH(_xlfn.MAXIFS(Levels!$A$2:$A$30,Levels!$A$2:$A$30,"&lt;="&amp;F291),Levels!$A$2:$A$30,0)),""))</f>
        <v/>
      </c>
      <c r="I291" s="10">
        <f>IF(B291="","",COUNTIFS(Levels!$A$2:$A$30,"&lt;="&amp;F291,Levels!$A$2:$A$30,"&gt;"&amp;G291))</f>
        <v/>
      </c>
      <c r="J291" s="10">
        <f>IF(OR(B291="",TRIM('Find a child'!$B$3)=""),"",IF(ISNUMBER(SEARCH(TRIM('Find a child'!$B$3),B291&amp;" "&amp;C291)),COUNT(J$1:J290)+1,""))</f>
        <v/>
      </c>
    </row>
    <row r="292">
      <c r="A292" s="10" t="inlineStr">
        <is>
          <t>C0291</t>
        </is>
      </c>
      <c r="B292" s="6" t="n"/>
      <c r="C292" s="6" t="n"/>
      <c r="D292" s="6" t="n"/>
      <c r="E292" s="10">
        <f>IF(B292="","",IF(COUNTIFS($B$2:$B$600,B292,$C$2:$C$600,C292)&gt;1,B292&amp;" ("&amp;C292&amp;") "&amp;A292,B292&amp;" ("&amp;C292&amp;")"))</f>
        <v/>
      </c>
      <c r="F292" s="11">
        <f>IF(B292="","",SUMIFS(Entries!$J$2:$J$3000,Entries!$H$2:$H$3000,A292))</f>
        <v/>
      </c>
      <c r="G292" s="11">
        <f>IF(B292="","",_xlfn.MAXIFS(Prizes!$D$2:$D$3000,Prizes!$E$2:$E$3000,A292,Prizes!$G$2:$G$3000,""))</f>
        <v/>
      </c>
      <c r="H292" s="10">
        <f>IF(B292="","",IF(_xlfn.MAXIFS(Levels!$A$2:$A$30,Levels!$A$2:$A$30,"&lt;="&amp;F292)&gt;G292,INDEX(Levels!$B$2:$B$30,MATCH(_xlfn.MAXIFS(Levels!$A$2:$A$30,Levels!$A$2:$A$30,"&lt;="&amp;F292),Levels!$A$2:$A$30,0)),""))</f>
        <v/>
      </c>
      <c r="I292" s="10">
        <f>IF(B292="","",COUNTIFS(Levels!$A$2:$A$30,"&lt;="&amp;F292,Levels!$A$2:$A$30,"&gt;"&amp;G292))</f>
        <v/>
      </c>
      <c r="J292" s="10">
        <f>IF(OR(B292="",TRIM('Find a child'!$B$3)=""),"",IF(ISNUMBER(SEARCH(TRIM('Find a child'!$B$3),B292&amp;" "&amp;C292)),COUNT(J$1:J291)+1,""))</f>
        <v/>
      </c>
    </row>
    <row r="293">
      <c r="A293" s="10" t="inlineStr">
        <is>
          <t>C0292</t>
        </is>
      </c>
      <c r="B293" s="6" t="n"/>
      <c r="C293" s="6" t="n"/>
      <c r="D293" s="6" t="n"/>
      <c r="E293" s="10">
        <f>IF(B293="","",IF(COUNTIFS($B$2:$B$600,B293,$C$2:$C$600,C293)&gt;1,B293&amp;" ("&amp;C293&amp;") "&amp;A293,B293&amp;" ("&amp;C293&amp;")"))</f>
        <v/>
      </c>
      <c r="F293" s="11">
        <f>IF(B293="","",SUMIFS(Entries!$J$2:$J$3000,Entries!$H$2:$H$3000,A293))</f>
        <v/>
      </c>
      <c r="G293" s="11">
        <f>IF(B293="","",_xlfn.MAXIFS(Prizes!$D$2:$D$3000,Prizes!$E$2:$E$3000,A293,Prizes!$G$2:$G$3000,""))</f>
        <v/>
      </c>
      <c r="H293" s="10">
        <f>IF(B293="","",IF(_xlfn.MAXIFS(Levels!$A$2:$A$30,Levels!$A$2:$A$30,"&lt;="&amp;F293)&gt;G293,INDEX(Levels!$B$2:$B$30,MATCH(_xlfn.MAXIFS(Levels!$A$2:$A$30,Levels!$A$2:$A$30,"&lt;="&amp;F293),Levels!$A$2:$A$30,0)),""))</f>
        <v/>
      </c>
      <c r="I293" s="10">
        <f>IF(B293="","",COUNTIFS(Levels!$A$2:$A$30,"&lt;="&amp;F293,Levels!$A$2:$A$30,"&gt;"&amp;G293))</f>
        <v/>
      </c>
      <c r="J293" s="10">
        <f>IF(OR(B293="",TRIM('Find a child'!$B$3)=""),"",IF(ISNUMBER(SEARCH(TRIM('Find a child'!$B$3),B293&amp;" "&amp;C293)),COUNT(J$1:J292)+1,""))</f>
        <v/>
      </c>
    </row>
    <row r="294">
      <c r="A294" s="10" t="inlineStr">
        <is>
          <t>C0293</t>
        </is>
      </c>
      <c r="B294" s="6" t="n"/>
      <c r="C294" s="6" t="n"/>
      <c r="D294" s="6" t="n"/>
      <c r="E294" s="10">
        <f>IF(B294="","",IF(COUNTIFS($B$2:$B$600,B294,$C$2:$C$600,C294)&gt;1,B294&amp;" ("&amp;C294&amp;") "&amp;A294,B294&amp;" ("&amp;C294&amp;")"))</f>
        <v/>
      </c>
      <c r="F294" s="11">
        <f>IF(B294="","",SUMIFS(Entries!$J$2:$J$3000,Entries!$H$2:$H$3000,A294))</f>
        <v/>
      </c>
      <c r="G294" s="11">
        <f>IF(B294="","",_xlfn.MAXIFS(Prizes!$D$2:$D$3000,Prizes!$E$2:$E$3000,A294,Prizes!$G$2:$G$3000,""))</f>
        <v/>
      </c>
      <c r="H294" s="10">
        <f>IF(B294="","",IF(_xlfn.MAXIFS(Levels!$A$2:$A$30,Levels!$A$2:$A$30,"&lt;="&amp;F294)&gt;G294,INDEX(Levels!$B$2:$B$30,MATCH(_xlfn.MAXIFS(Levels!$A$2:$A$30,Levels!$A$2:$A$30,"&lt;="&amp;F294),Levels!$A$2:$A$30,0)),""))</f>
        <v/>
      </c>
      <c r="I294" s="10">
        <f>IF(B294="","",COUNTIFS(Levels!$A$2:$A$30,"&lt;="&amp;F294,Levels!$A$2:$A$30,"&gt;"&amp;G294))</f>
        <v/>
      </c>
      <c r="J294" s="10">
        <f>IF(OR(B294="",TRIM('Find a child'!$B$3)=""),"",IF(ISNUMBER(SEARCH(TRIM('Find a child'!$B$3),B294&amp;" "&amp;C294)),COUNT(J$1:J293)+1,""))</f>
        <v/>
      </c>
    </row>
    <row r="295">
      <c r="A295" s="10" t="inlineStr">
        <is>
          <t>C0294</t>
        </is>
      </c>
      <c r="B295" s="6" t="n"/>
      <c r="C295" s="6" t="n"/>
      <c r="D295" s="6" t="n"/>
      <c r="E295" s="10">
        <f>IF(B295="","",IF(COUNTIFS($B$2:$B$600,B295,$C$2:$C$600,C295)&gt;1,B295&amp;" ("&amp;C295&amp;") "&amp;A295,B295&amp;" ("&amp;C295&amp;")"))</f>
        <v/>
      </c>
      <c r="F295" s="11">
        <f>IF(B295="","",SUMIFS(Entries!$J$2:$J$3000,Entries!$H$2:$H$3000,A295))</f>
        <v/>
      </c>
      <c r="G295" s="11">
        <f>IF(B295="","",_xlfn.MAXIFS(Prizes!$D$2:$D$3000,Prizes!$E$2:$E$3000,A295,Prizes!$G$2:$G$3000,""))</f>
        <v/>
      </c>
      <c r="H295" s="10">
        <f>IF(B295="","",IF(_xlfn.MAXIFS(Levels!$A$2:$A$30,Levels!$A$2:$A$30,"&lt;="&amp;F295)&gt;G295,INDEX(Levels!$B$2:$B$30,MATCH(_xlfn.MAXIFS(Levels!$A$2:$A$30,Levels!$A$2:$A$30,"&lt;="&amp;F295),Levels!$A$2:$A$30,0)),""))</f>
        <v/>
      </c>
      <c r="I295" s="10">
        <f>IF(B295="","",COUNTIFS(Levels!$A$2:$A$30,"&lt;="&amp;F295,Levels!$A$2:$A$30,"&gt;"&amp;G295))</f>
        <v/>
      </c>
      <c r="J295" s="10">
        <f>IF(OR(B295="",TRIM('Find a child'!$B$3)=""),"",IF(ISNUMBER(SEARCH(TRIM('Find a child'!$B$3),B295&amp;" "&amp;C295)),COUNT(J$1:J294)+1,""))</f>
        <v/>
      </c>
    </row>
    <row r="296">
      <c r="A296" s="10" t="inlineStr">
        <is>
          <t>C0295</t>
        </is>
      </c>
      <c r="B296" s="6" t="n"/>
      <c r="C296" s="6" t="n"/>
      <c r="D296" s="6" t="n"/>
      <c r="E296" s="10">
        <f>IF(B296="","",IF(COUNTIFS($B$2:$B$600,B296,$C$2:$C$600,C296)&gt;1,B296&amp;" ("&amp;C296&amp;") "&amp;A296,B296&amp;" ("&amp;C296&amp;")"))</f>
        <v/>
      </c>
      <c r="F296" s="11">
        <f>IF(B296="","",SUMIFS(Entries!$J$2:$J$3000,Entries!$H$2:$H$3000,A296))</f>
        <v/>
      </c>
      <c r="G296" s="11">
        <f>IF(B296="","",_xlfn.MAXIFS(Prizes!$D$2:$D$3000,Prizes!$E$2:$E$3000,A296,Prizes!$G$2:$G$3000,""))</f>
        <v/>
      </c>
      <c r="H296" s="10">
        <f>IF(B296="","",IF(_xlfn.MAXIFS(Levels!$A$2:$A$30,Levels!$A$2:$A$30,"&lt;="&amp;F296)&gt;G296,INDEX(Levels!$B$2:$B$30,MATCH(_xlfn.MAXIFS(Levels!$A$2:$A$30,Levels!$A$2:$A$30,"&lt;="&amp;F296),Levels!$A$2:$A$30,0)),""))</f>
        <v/>
      </c>
      <c r="I296" s="10">
        <f>IF(B296="","",COUNTIFS(Levels!$A$2:$A$30,"&lt;="&amp;F296,Levels!$A$2:$A$30,"&gt;"&amp;G296))</f>
        <v/>
      </c>
      <c r="J296" s="10">
        <f>IF(OR(B296="",TRIM('Find a child'!$B$3)=""),"",IF(ISNUMBER(SEARCH(TRIM('Find a child'!$B$3),B296&amp;" "&amp;C296)),COUNT(J$1:J295)+1,""))</f>
        <v/>
      </c>
    </row>
    <row r="297">
      <c r="A297" s="10" t="inlineStr">
        <is>
          <t>C0296</t>
        </is>
      </c>
      <c r="B297" s="6" t="n"/>
      <c r="C297" s="6" t="n"/>
      <c r="D297" s="6" t="n"/>
      <c r="E297" s="10">
        <f>IF(B297="","",IF(COUNTIFS($B$2:$B$600,B297,$C$2:$C$600,C297)&gt;1,B297&amp;" ("&amp;C297&amp;") "&amp;A297,B297&amp;" ("&amp;C297&amp;")"))</f>
        <v/>
      </c>
      <c r="F297" s="11">
        <f>IF(B297="","",SUMIFS(Entries!$J$2:$J$3000,Entries!$H$2:$H$3000,A297))</f>
        <v/>
      </c>
      <c r="G297" s="11">
        <f>IF(B297="","",_xlfn.MAXIFS(Prizes!$D$2:$D$3000,Prizes!$E$2:$E$3000,A297,Prizes!$G$2:$G$3000,""))</f>
        <v/>
      </c>
      <c r="H297" s="10">
        <f>IF(B297="","",IF(_xlfn.MAXIFS(Levels!$A$2:$A$30,Levels!$A$2:$A$30,"&lt;="&amp;F297)&gt;G297,INDEX(Levels!$B$2:$B$30,MATCH(_xlfn.MAXIFS(Levels!$A$2:$A$30,Levels!$A$2:$A$30,"&lt;="&amp;F297),Levels!$A$2:$A$30,0)),""))</f>
        <v/>
      </c>
      <c r="I297" s="10">
        <f>IF(B297="","",COUNTIFS(Levels!$A$2:$A$30,"&lt;="&amp;F297,Levels!$A$2:$A$30,"&gt;"&amp;G297))</f>
        <v/>
      </c>
      <c r="J297" s="10">
        <f>IF(OR(B297="",TRIM('Find a child'!$B$3)=""),"",IF(ISNUMBER(SEARCH(TRIM('Find a child'!$B$3),B297&amp;" "&amp;C297)),COUNT(J$1:J296)+1,""))</f>
        <v/>
      </c>
    </row>
    <row r="298">
      <c r="A298" s="10" t="inlineStr">
        <is>
          <t>C0297</t>
        </is>
      </c>
      <c r="B298" s="6" t="n"/>
      <c r="C298" s="6" t="n"/>
      <c r="D298" s="6" t="n"/>
      <c r="E298" s="10">
        <f>IF(B298="","",IF(COUNTIFS($B$2:$B$600,B298,$C$2:$C$600,C298)&gt;1,B298&amp;" ("&amp;C298&amp;") "&amp;A298,B298&amp;" ("&amp;C298&amp;")"))</f>
        <v/>
      </c>
      <c r="F298" s="11">
        <f>IF(B298="","",SUMIFS(Entries!$J$2:$J$3000,Entries!$H$2:$H$3000,A298))</f>
        <v/>
      </c>
      <c r="G298" s="11">
        <f>IF(B298="","",_xlfn.MAXIFS(Prizes!$D$2:$D$3000,Prizes!$E$2:$E$3000,A298,Prizes!$G$2:$G$3000,""))</f>
        <v/>
      </c>
      <c r="H298" s="10">
        <f>IF(B298="","",IF(_xlfn.MAXIFS(Levels!$A$2:$A$30,Levels!$A$2:$A$30,"&lt;="&amp;F298)&gt;G298,INDEX(Levels!$B$2:$B$30,MATCH(_xlfn.MAXIFS(Levels!$A$2:$A$30,Levels!$A$2:$A$30,"&lt;="&amp;F298),Levels!$A$2:$A$30,0)),""))</f>
        <v/>
      </c>
      <c r="I298" s="10">
        <f>IF(B298="","",COUNTIFS(Levels!$A$2:$A$30,"&lt;="&amp;F298,Levels!$A$2:$A$30,"&gt;"&amp;G298))</f>
        <v/>
      </c>
      <c r="J298" s="10">
        <f>IF(OR(B298="",TRIM('Find a child'!$B$3)=""),"",IF(ISNUMBER(SEARCH(TRIM('Find a child'!$B$3),B298&amp;" "&amp;C298)),COUNT(J$1:J297)+1,""))</f>
        <v/>
      </c>
    </row>
    <row r="299">
      <c r="A299" s="10" t="inlineStr">
        <is>
          <t>C0298</t>
        </is>
      </c>
      <c r="B299" s="6" t="n"/>
      <c r="C299" s="6" t="n"/>
      <c r="D299" s="6" t="n"/>
      <c r="E299" s="10">
        <f>IF(B299="","",IF(COUNTIFS($B$2:$B$600,B299,$C$2:$C$600,C299)&gt;1,B299&amp;" ("&amp;C299&amp;") "&amp;A299,B299&amp;" ("&amp;C299&amp;")"))</f>
        <v/>
      </c>
      <c r="F299" s="11">
        <f>IF(B299="","",SUMIFS(Entries!$J$2:$J$3000,Entries!$H$2:$H$3000,A299))</f>
        <v/>
      </c>
      <c r="G299" s="11">
        <f>IF(B299="","",_xlfn.MAXIFS(Prizes!$D$2:$D$3000,Prizes!$E$2:$E$3000,A299,Prizes!$G$2:$G$3000,""))</f>
        <v/>
      </c>
      <c r="H299" s="10">
        <f>IF(B299="","",IF(_xlfn.MAXIFS(Levels!$A$2:$A$30,Levels!$A$2:$A$30,"&lt;="&amp;F299)&gt;G299,INDEX(Levels!$B$2:$B$30,MATCH(_xlfn.MAXIFS(Levels!$A$2:$A$30,Levels!$A$2:$A$30,"&lt;="&amp;F299),Levels!$A$2:$A$30,0)),""))</f>
        <v/>
      </c>
      <c r="I299" s="10">
        <f>IF(B299="","",COUNTIFS(Levels!$A$2:$A$30,"&lt;="&amp;F299,Levels!$A$2:$A$30,"&gt;"&amp;G299))</f>
        <v/>
      </c>
      <c r="J299" s="10">
        <f>IF(OR(B299="",TRIM('Find a child'!$B$3)=""),"",IF(ISNUMBER(SEARCH(TRIM('Find a child'!$B$3),B299&amp;" "&amp;C299)),COUNT(J$1:J298)+1,""))</f>
        <v/>
      </c>
    </row>
    <row r="300">
      <c r="A300" s="10" t="inlineStr">
        <is>
          <t>C0299</t>
        </is>
      </c>
      <c r="B300" s="6" t="n"/>
      <c r="C300" s="6" t="n"/>
      <c r="D300" s="6" t="n"/>
      <c r="E300" s="10">
        <f>IF(B300="","",IF(COUNTIFS($B$2:$B$600,B300,$C$2:$C$600,C300)&gt;1,B300&amp;" ("&amp;C300&amp;") "&amp;A300,B300&amp;" ("&amp;C300&amp;")"))</f>
        <v/>
      </c>
      <c r="F300" s="11">
        <f>IF(B300="","",SUMIFS(Entries!$J$2:$J$3000,Entries!$H$2:$H$3000,A300))</f>
        <v/>
      </c>
      <c r="G300" s="11">
        <f>IF(B300="","",_xlfn.MAXIFS(Prizes!$D$2:$D$3000,Prizes!$E$2:$E$3000,A300,Prizes!$G$2:$G$3000,""))</f>
        <v/>
      </c>
      <c r="H300" s="10">
        <f>IF(B300="","",IF(_xlfn.MAXIFS(Levels!$A$2:$A$30,Levels!$A$2:$A$30,"&lt;="&amp;F300)&gt;G300,INDEX(Levels!$B$2:$B$30,MATCH(_xlfn.MAXIFS(Levels!$A$2:$A$30,Levels!$A$2:$A$30,"&lt;="&amp;F300),Levels!$A$2:$A$30,0)),""))</f>
        <v/>
      </c>
      <c r="I300" s="10">
        <f>IF(B300="","",COUNTIFS(Levels!$A$2:$A$30,"&lt;="&amp;F300,Levels!$A$2:$A$30,"&gt;"&amp;G300))</f>
        <v/>
      </c>
      <c r="J300" s="10">
        <f>IF(OR(B300="",TRIM('Find a child'!$B$3)=""),"",IF(ISNUMBER(SEARCH(TRIM('Find a child'!$B$3),B300&amp;" "&amp;C300)),COUNT(J$1:J299)+1,""))</f>
        <v/>
      </c>
    </row>
    <row r="301">
      <c r="A301" s="10" t="inlineStr">
        <is>
          <t>C0300</t>
        </is>
      </c>
      <c r="B301" s="6" t="n"/>
      <c r="C301" s="6" t="n"/>
      <c r="D301" s="6" t="n"/>
      <c r="E301" s="10">
        <f>IF(B301="","",IF(COUNTIFS($B$2:$B$600,B301,$C$2:$C$600,C301)&gt;1,B301&amp;" ("&amp;C301&amp;") "&amp;A301,B301&amp;" ("&amp;C301&amp;")"))</f>
        <v/>
      </c>
      <c r="F301" s="11">
        <f>IF(B301="","",SUMIFS(Entries!$J$2:$J$3000,Entries!$H$2:$H$3000,A301))</f>
        <v/>
      </c>
      <c r="G301" s="11">
        <f>IF(B301="","",_xlfn.MAXIFS(Prizes!$D$2:$D$3000,Prizes!$E$2:$E$3000,A301,Prizes!$G$2:$G$3000,""))</f>
        <v/>
      </c>
      <c r="H301" s="10">
        <f>IF(B301="","",IF(_xlfn.MAXIFS(Levels!$A$2:$A$30,Levels!$A$2:$A$30,"&lt;="&amp;F301)&gt;G301,INDEX(Levels!$B$2:$B$30,MATCH(_xlfn.MAXIFS(Levels!$A$2:$A$30,Levels!$A$2:$A$30,"&lt;="&amp;F301),Levels!$A$2:$A$30,0)),""))</f>
        <v/>
      </c>
      <c r="I301" s="10">
        <f>IF(B301="","",COUNTIFS(Levels!$A$2:$A$30,"&lt;="&amp;F301,Levels!$A$2:$A$30,"&gt;"&amp;G301))</f>
        <v/>
      </c>
      <c r="J301" s="10">
        <f>IF(OR(B301="",TRIM('Find a child'!$B$3)=""),"",IF(ISNUMBER(SEARCH(TRIM('Find a child'!$B$3),B301&amp;" "&amp;C301)),COUNT(J$1:J300)+1,""))</f>
        <v/>
      </c>
    </row>
    <row r="302">
      <c r="A302" s="10" t="inlineStr">
        <is>
          <t>C0301</t>
        </is>
      </c>
      <c r="B302" s="6" t="n"/>
      <c r="C302" s="6" t="n"/>
      <c r="D302" s="6" t="n"/>
      <c r="E302" s="10">
        <f>IF(B302="","",IF(COUNTIFS($B$2:$B$600,B302,$C$2:$C$600,C302)&gt;1,B302&amp;" ("&amp;C302&amp;") "&amp;A302,B302&amp;" ("&amp;C302&amp;")"))</f>
        <v/>
      </c>
      <c r="F302" s="11">
        <f>IF(B302="","",SUMIFS(Entries!$J$2:$J$3000,Entries!$H$2:$H$3000,A302))</f>
        <v/>
      </c>
      <c r="G302" s="11">
        <f>IF(B302="","",_xlfn.MAXIFS(Prizes!$D$2:$D$3000,Prizes!$E$2:$E$3000,A302,Prizes!$G$2:$G$3000,""))</f>
        <v/>
      </c>
      <c r="H302" s="10">
        <f>IF(B302="","",IF(_xlfn.MAXIFS(Levels!$A$2:$A$30,Levels!$A$2:$A$30,"&lt;="&amp;F302)&gt;G302,INDEX(Levels!$B$2:$B$30,MATCH(_xlfn.MAXIFS(Levels!$A$2:$A$30,Levels!$A$2:$A$30,"&lt;="&amp;F302),Levels!$A$2:$A$30,0)),""))</f>
        <v/>
      </c>
      <c r="I302" s="10">
        <f>IF(B302="","",COUNTIFS(Levels!$A$2:$A$30,"&lt;="&amp;F302,Levels!$A$2:$A$30,"&gt;"&amp;G302))</f>
        <v/>
      </c>
      <c r="J302" s="10">
        <f>IF(OR(B302="",TRIM('Find a child'!$B$3)=""),"",IF(ISNUMBER(SEARCH(TRIM('Find a child'!$B$3),B302&amp;" "&amp;C302)),COUNT(J$1:J301)+1,""))</f>
        <v/>
      </c>
    </row>
    <row r="303">
      <c r="A303" s="10" t="inlineStr">
        <is>
          <t>C0302</t>
        </is>
      </c>
      <c r="B303" s="6" t="n"/>
      <c r="C303" s="6" t="n"/>
      <c r="D303" s="6" t="n"/>
      <c r="E303" s="10">
        <f>IF(B303="","",IF(COUNTIFS($B$2:$B$600,B303,$C$2:$C$600,C303)&gt;1,B303&amp;" ("&amp;C303&amp;") "&amp;A303,B303&amp;" ("&amp;C303&amp;")"))</f>
        <v/>
      </c>
      <c r="F303" s="11">
        <f>IF(B303="","",SUMIFS(Entries!$J$2:$J$3000,Entries!$H$2:$H$3000,A303))</f>
        <v/>
      </c>
      <c r="G303" s="11">
        <f>IF(B303="","",_xlfn.MAXIFS(Prizes!$D$2:$D$3000,Prizes!$E$2:$E$3000,A303,Prizes!$G$2:$G$3000,""))</f>
        <v/>
      </c>
      <c r="H303" s="10">
        <f>IF(B303="","",IF(_xlfn.MAXIFS(Levels!$A$2:$A$30,Levels!$A$2:$A$30,"&lt;="&amp;F303)&gt;G303,INDEX(Levels!$B$2:$B$30,MATCH(_xlfn.MAXIFS(Levels!$A$2:$A$30,Levels!$A$2:$A$30,"&lt;="&amp;F303),Levels!$A$2:$A$30,0)),""))</f>
        <v/>
      </c>
      <c r="I303" s="10">
        <f>IF(B303="","",COUNTIFS(Levels!$A$2:$A$30,"&lt;="&amp;F303,Levels!$A$2:$A$30,"&gt;"&amp;G303))</f>
        <v/>
      </c>
      <c r="J303" s="10">
        <f>IF(OR(B303="",TRIM('Find a child'!$B$3)=""),"",IF(ISNUMBER(SEARCH(TRIM('Find a child'!$B$3),B303&amp;" "&amp;C303)),COUNT(J$1:J302)+1,""))</f>
        <v/>
      </c>
    </row>
    <row r="304">
      <c r="A304" s="10" t="inlineStr">
        <is>
          <t>C0303</t>
        </is>
      </c>
      <c r="B304" s="6" t="n"/>
      <c r="C304" s="6" t="n"/>
      <c r="D304" s="6" t="n"/>
      <c r="E304" s="10">
        <f>IF(B304="","",IF(COUNTIFS($B$2:$B$600,B304,$C$2:$C$600,C304)&gt;1,B304&amp;" ("&amp;C304&amp;") "&amp;A304,B304&amp;" ("&amp;C304&amp;")"))</f>
        <v/>
      </c>
      <c r="F304" s="11">
        <f>IF(B304="","",SUMIFS(Entries!$J$2:$J$3000,Entries!$H$2:$H$3000,A304))</f>
        <v/>
      </c>
      <c r="G304" s="11">
        <f>IF(B304="","",_xlfn.MAXIFS(Prizes!$D$2:$D$3000,Prizes!$E$2:$E$3000,A304,Prizes!$G$2:$G$3000,""))</f>
        <v/>
      </c>
      <c r="H304" s="10">
        <f>IF(B304="","",IF(_xlfn.MAXIFS(Levels!$A$2:$A$30,Levels!$A$2:$A$30,"&lt;="&amp;F304)&gt;G304,INDEX(Levels!$B$2:$B$30,MATCH(_xlfn.MAXIFS(Levels!$A$2:$A$30,Levels!$A$2:$A$30,"&lt;="&amp;F304),Levels!$A$2:$A$30,0)),""))</f>
        <v/>
      </c>
      <c r="I304" s="10">
        <f>IF(B304="","",COUNTIFS(Levels!$A$2:$A$30,"&lt;="&amp;F304,Levels!$A$2:$A$30,"&gt;"&amp;G304))</f>
        <v/>
      </c>
      <c r="J304" s="10">
        <f>IF(OR(B304="",TRIM('Find a child'!$B$3)=""),"",IF(ISNUMBER(SEARCH(TRIM('Find a child'!$B$3),B304&amp;" "&amp;C304)),COUNT(J$1:J303)+1,""))</f>
        <v/>
      </c>
    </row>
    <row r="305">
      <c r="A305" s="10" t="inlineStr">
        <is>
          <t>C0304</t>
        </is>
      </c>
      <c r="B305" s="6" t="n"/>
      <c r="C305" s="6" t="n"/>
      <c r="D305" s="6" t="n"/>
      <c r="E305" s="10">
        <f>IF(B305="","",IF(COUNTIFS($B$2:$B$600,B305,$C$2:$C$600,C305)&gt;1,B305&amp;" ("&amp;C305&amp;") "&amp;A305,B305&amp;" ("&amp;C305&amp;")"))</f>
        <v/>
      </c>
      <c r="F305" s="11">
        <f>IF(B305="","",SUMIFS(Entries!$J$2:$J$3000,Entries!$H$2:$H$3000,A305))</f>
        <v/>
      </c>
      <c r="G305" s="11">
        <f>IF(B305="","",_xlfn.MAXIFS(Prizes!$D$2:$D$3000,Prizes!$E$2:$E$3000,A305,Prizes!$G$2:$G$3000,""))</f>
        <v/>
      </c>
      <c r="H305" s="10">
        <f>IF(B305="","",IF(_xlfn.MAXIFS(Levels!$A$2:$A$30,Levels!$A$2:$A$30,"&lt;="&amp;F305)&gt;G305,INDEX(Levels!$B$2:$B$30,MATCH(_xlfn.MAXIFS(Levels!$A$2:$A$30,Levels!$A$2:$A$30,"&lt;="&amp;F305),Levels!$A$2:$A$30,0)),""))</f>
        <v/>
      </c>
      <c r="I305" s="10">
        <f>IF(B305="","",COUNTIFS(Levels!$A$2:$A$30,"&lt;="&amp;F305,Levels!$A$2:$A$30,"&gt;"&amp;G305))</f>
        <v/>
      </c>
      <c r="J305" s="10">
        <f>IF(OR(B305="",TRIM('Find a child'!$B$3)=""),"",IF(ISNUMBER(SEARCH(TRIM('Find a child'!$B$3),B305&amp;" "&amp;C305)),COUNT(J$1:J304)+1,""))</f>
        <v/>
      </c>
    </row>
    <row r="306">
      <c r="A306" s="10" t="inlineStr">
        <is>
          <t>C0305</t>
        </is>
      </c>
      <c r="B306" s="6" t="n"/>
      <c r="C306" s="6" t="n"/>
      <c r="D306" s="6" t="n"/>
      <c r="E306" s="10">
        <f>IF(B306="","",IF(COUNTIFS($B$2:$B$600,B306,$C$2:$C$600,C306)&gt;1,B306&amp;" ("&amp;C306&amp;") "&amp;A306,B306&amp;" ("&amp;C306&amp;")"))</f>
        <v/>
      </c>
      <c r="F306" s="11">
        <f>IF(B306="","",SUMIFS(Entries!$J$2:$J$3000,Entries!$H$2:$H$3000,A306))</f>
        <v/>
      </c>
      <c r="G306" s="11">
        <f>IF(B306="","",_xlfn.MAXIFS(Prizes!$D$2:$D$3000,Prizes!$E$2:$E$3000,A306,Prizes!$G$2:$G$3000,""))</f>
        <v/>
      </c>
      <c r="H306" s="10">
        <f>IF(B306="","",IF(_xlfn.MAXIFS(Levels!$A$2:$A$30,Levels!$A$2:$A$30,"&lt;="&amp;F306)&gt;G306,INDEX(Levels!$B$2:$B$30,MATCH(_xlfn.MAXIFS(Levels!$A$2:$A$30,Levels!$A$2:$A$30,"&lt;="&amp;F306),Levels!$A$2:$A$30,0)),""))</f>
        <v/>
      </c>
      <c r="I306" s="10">
        <f>IF(B306="","",COUNTIFS(Levels!$A$2:$A$30,"&lt;="&amp;F306,Levels!$A$2:$A$30,"&gt;"&amp;G306))</f>
        <v/>
      </c>
      <c r="J306" s="10">
        <f>IF(OR(B306="",TRIM('Find a child'!$B$3)=""),"",IF(ISNUMBER(SEARCH(TRIM('Find a child'!$B$3),B306&amp;" "&amp;C306)),COUNT(J$1:J305)+1,""))</f>
        <v/>
      </c>
    </row>
    <row r="307">
      <c r="A307" s="10" t="inlineStr">
        <is>
          <t>C0306</t>
        </is>
      </c>
      <c r="B307" s="6" t="n"/>
      <c r="C307" s="6" t="n"/>
      <c r="D307" s="6" t="n"/>
      <c r="E307" s="10">
        <f>IF(B307="","",IF(COUNTIFS($B$2:$B$600,B307,$C$2:$C$600,C307)&gt;1,B307&amp;" ("&amp;C307&amp;") "&amp;A307,B307&amp;" ("&amp;C307&amp;")"))</f>
        <v/>
      </c>
      <c r="F307" s="11">
        <f>IF(B307="","",SUMIFS(Entries!$J$2:$J$3000,Entries!$H$2:$H$3000,A307))</f>
        <v/>
      </c>
      <c r="G307" s="11">
        <f>IF(B307="","",_xlfn.MAXIFS(Prizes!$D$2:$D$3000,Prizes!$E$2:$E$3000,A307,Prizes!$G$2:$G$3000,""))</f>
        <v/>
      </c>
      <c r="H307" s="10">
        <f>IF(B307="","",IF(_xlfn.MAXIFS(Levels!$A$2:$A$30,Levels!$A$2:$A$30,"&lt;="&amp;F307)&gt;G307,INDEX(Levels!$B$2:$B$30,MATCH(_xlfn.MAXIFS(Levels!$A$2:$A$30,Levels!$A$2:$A$30,"&lt;="&amp;F307),Levels!$A$2:$A$30,0)),""))</f>
        <v/>
      </c>
      <c r="I307" s="10">
        <f>IF(B307="","",COUNTIFS(Levels!$A$2:$A$30,"&lt;="&amp;F307,Levels!$A$2:$A$30,"&gt;"&amp;G307))</f>
        <v/>
      </c>
      <c r="J307" s="10">
        <f>IF(OR(B307="",TRIM('Find a child'!$B$3)=""),"",IF(ISNUMBER(SEARCH(TRIM('Find a child'!$B$3),B307&amp;" "&amp;C307)),COUNT(J$1:J306)+1,""))</f>
        <v/>
      </c>
    </row>
    <row r="308">
      <c r="A308" s="10" t="inlineStr">
        <is>
          <t>C0307</t>
        </is>
      </c>
      <c r="B308" s="6" t="n"/>
      <c r="C308" s="6" t="n"/>
      <c r="D308" s="6" t="n"/>
      <c r="E308" s="10">
        <f>IF(B308="","",IF(COUNTIFS($B$2:$B$600,B308,$C$2:$C$600,C308)&gt;1,B308&amp;" ("&amp;C308&amp;") "&amp;A308,B308&amp;" ("&amp;C308&amp;")"))</f>
        <v/>
      </c>
      <c r="F308" s="11">
        <f>IF(B308="","",SUMIFS(Entries!$J$2:$J$3000,Entries!$H$2:$H$3000,A308))</f>
        <v/>
      </c>
      <c r="G308" s="11">
        <f>IF(B308="","",_xlfn.MAXIFS(Prizes!$D$2:$D$3000,Prizes!$E$2:$E$3000,A308,Prizes!$G$2:$G$3000,""))</f>
        <v/>
      </c>
      <c r="H308" s="10">
        <f>IF(B308="","",IF(_xlfn.MAXIFS(Levels!$A$2:$A$30,Levels!$A$2:$A$30,"&lt;="&amp;F308)&gt;G308,INDEX(Levels!$B$2:$B$30,MATCH(_xlfn.MAXIFS(Levels!$A$2:$A$30,Levels!$A$2:$A$30,"&lt;="&amp;F308),Levels!$A$2:$A$30,0)),""))</f>
        <v/>
      </c>
      <c r="I308" s="10">
        <f>IF(B308="","",COUNTIFS(Levels!$A$2:$A$30,"&lt;="&amp;F308,Levels!$A$2:$A$30,"&gt;"&amp;G308))</f>
        <v/>
      </c>
      <c r="J308" s="10">
        <f>IF(OR(B308="",TRIM('Find a child'!$B$3)=""),"",IF(ISNUMBER(SEARCH(TRIM('Find a child'!$B$3),B308&amp;" "&amp;C308)),COUNT(J$1:J307)+1,""))</f>
        <v/>
      </c>
    </row>
    <row r="309">
      <c r="A309" s="10" t="inlineStr">
        <is>
          <t>C0308</t>
        </is>
      </c>
      <c r="B309" s="6" t="n"/>
      <c r="C309" s="6" t="n"/>
      <c r="D309" s="6" t="n"/>
      <c r="E309" s="10">
        <f>IF(B309="","",IF(COUNTIFS($B$2:$B$600,B309,$C$2:$C$600,C309)&gt;1,B309&amp;" ("&amp;C309&amp;") "&amp;A309,B309&amp;" ("&amp;C309&amp;")"))</f>
        <v/>
      </c>
      <c r="F309" s="11">
        <f>IF(B309="","",SUMIFS(Entries!$J$2:$J$3000,Entries!$H$2:$H$3000,A309))</f>
        <v/>
      </c>
      <c r="G309" s="11">
        <f>IF(B309="","",_xlfn.MAXIFS(Prizes!$D$2:$D$3000,Prizes!$E$2:$E$3000,A309,Prizes!$G$2:$G$3000,""))</f>
        <v/>
      </c>
      <c r="H309" s="10">
        <f>IF(B309="","",IF(_xlfn.MAXIFS(Levels!$A$2:$A$30,Levels!$A$2:$A$30,"&lt;="&amp;F309)&gt;G309,INDEX(Levels!$B$2:$B$30,MATCH(_xlfn.MAXIFS(Levels!$A$2:$A$30,Levels!$A$2:$A$30,"&lt;="&amp;F309),Levels!$A$2:$A$30,0)),""))</f>
        <v/>
      </c>
      <c r="I309" s="10">
        <f>IF(B309="","",COUNTIFS(Levels!$A$2:$A$30,"&lt;="&amp;F309,Levels!$A$2:$A$30,"&gt;"&amp;G309))</f>
        <v/>
      </c>
      <c r="J309" s="10">
        <f>IF(OR(B309="",TRIM('Find a child'!$B$3)=""),"",IF(ISNUMBER(SEARCH(TRIM('Find a child'!$B$3),B309&amp;" "&amp;C309)),COUNT(J$1:J308)+1,""))</f>
        <v/>
      </c>
    </row>
    <row r="310">
      <c r="A310" s="10" t="inlineStr">
        <is>
          <t>C0309</t>
        </is>
      </c>
      <c r="B310" s="6" t="n"/>
      <c r="C310" s="6" t="n"/>
      <c r="D310" s="6" t="n"/>
      <c r="E310" s="10">
        <f>IF(B310="","",IF(COUNTIFS($B$2:$B$600,B310,$C$2:$C$600,C310)&gt;1,B310&amp;" ("&amp;C310&amp;") "&amp;A310,B310&amp;" ("&amp;C310&amp;")"))</f>
        <v/>
      </c>
      <c r="F310" s="11">
        <f>IF(B310="","",SUMIFS(Entries!$J$2:$J$3000,Entries!$H$2:$H$3000,A310))</f>
        <v/>
      </c>
      <c r="G310" s="11">
        <f>IF(B310="","",_xlfn.MAXIFS(Prizes!$D$2:$D$3000,Prizes!$E$2:$E$3000,A310,Prizes!$G$2:$G$3000,""))</f>
        <v/>
      </c>
      <c r="H310" s="10">
        <f>IF(B310="","",IF(_xlfn.MAXIFS(Levels!$A$2:$A$30,Levels!$A$2:$A$30,"&lt;="&amp;F310)&gt;G310,INDEX(Levels!$B$2:$B$30,MATCH(_xlfn.MAXIFS(Levels!$A$2:$A$30,Levels!$A$2:$A$30,"&lt;="&amp;F310),Levels!$A$2:$A$30,0)),""))</f>
        <v/>
      </c>
      <c r="I310" s="10">
        <f>IF(B310="","",COUNTIFS(Levels!$A$2:$A$30,"&lt;="&amp;F310,Levels!$A$2:$A$30,"&gt;"&amp;G310))</f>
        <v/>
      </c>
      <c r="J310" s="10">
        <f>IF(OR(B310="",TRIM('Find a child'!$B$3)=""),"",IF(ISNUMBER(SEARCH(TRIM('Find a child'!$B$3),B310&amp;" "&amp;C310)),COUNT(J$1:J309)+1,""))</f>
        <v/>
      </c>
    </row>
    <row r="311">
      <c r="A311" s="10" t="inlineStr">
        <is>
          <t>C0310</t>
        </is>
      </c>
      <c r="B311" s="6" t="n"/>
      <c r="C311" s="6" t="n"/>
      <c r="D311" s="6" t="n"/>
      <c r="E311" s="10">
        <f>IF(B311="","",IF(COUNTIFS($B$2:$B$600,B311,$C$2:$C$600,C311)&gt;1,B311&amp;" ("&amp;C311&amp;") "&amp;A311,B311&amp;" ("&amp;C311&amp;")"))</f>
        <v/>
      </c>
      <c r="F311" s="11">
        <f>IF(B311="","",SUMIFS(Entries!$J$2:$J$3000,Entries!$H$2:$H$3000,A311))</f>
        <v/>
      </c>
      <c r="G311" s="11">
        <f>IF(B311="","",_xlfn.MAXIFS(Prizes!$D$2:$D$3000,Prizes!$E$2:$E$3000,A311,Prizes!$G$2:$G$3000,""))</f>
        <v/>
      </c>
      <c r="H311" s="10">
        <f>IF(B311="","",IF(_xlfn.MAXIFS(Levels!$A$2:$A$30,Levels!$A$2:$A$30,"&lt;="&amp;F311)&gt;G311,INDEX(Levels!$B$2:$B$30,MATCH(_xlfn.MAXIFS(Levels!$A$2:$A$30,Levels!$A$2:$A$30,"&lt;="&amp;F311),Levels!$A$2:$A$30,0)),""))</f>
        <v/>
      </c>
      <c r="I311" s="10">
        <f>IF(B311="","",COUNTIFS(Levels!$A$2:$A$30,"&lt;="&amp;F311,Levels!$A$2:$A$30,"&gt;"&amp;G311))</f>
        <v/>
      </c>
      <c r="J311" s="10">
        <f>IF(OR(B311="",TRIM('Find a child'!$B$3)=""),"",IF(ISNUMBER(SEARCH(TRIM('Find a child'!$B$3),B311&amp;" "&amp;C311)),COUNT(J$1:J310)+1,""))</f>
        <v/>
      </c>
    </row>
    <row r="312">
      <c r="A312" s="10" t="inlineStr">
        <is>
          <t>C0311</t>
        </is>
      </c>
      <c r="B312" s="6" t="n"/>
      <c r="C312" s="6" t="n"/>
      <c r="D312" s="6" t="n"/>
      <c r="E312" s="10">
        <f>IF(B312="","",IF(COUNTIFS($B$2:$B$600,B312,$C$2:$C$600,C312)&gt;1,B312&amp;" ("&amp;C312&amp;") "&amp;A312,B312&amp;" ("&amp;C312&amp;")"))</f>
        <v/>
      </c>
      <c r="F312" s="11">
        <f>IF(B312="","",SUMIFS(Entries!$J$2:$J$3000,Entries!$H$2:$H$3000,A312))</f>
        <v/>
      </c>
      <c r="G312" s="11">
        <f>IF(B312="","",_xlfn.MAXIFS(Prizes!$D$2:$D$3000,Prizes!$E$2:$E$3000,A312,Prizes!$G$2:$G$3000,""))</f>
        <v/>
      </c>
      <c r="H312" s="10">
        <f>IF(B312="","",IF(_xlfn.MAXIFS(Levels!$A$2:$A$30,Levels!$A$2:$A$30,"&lt;="&amp;F312)&gt;G312,INDEX(Levels!$B$2:$B$30,MATCH(_xlfn.MAXIFS(Levels!$A$2:$A$30,Levels!$A$2:$A$30,"&lt;="&amp;F312),Levels!$A$2:$A$30,0)),""))</f>
        <v/>
      </c>
      <c r="I312" s="10">
        <f>IF(B312="","",COUNTIFS(Levels!$A$2:$A$30,"&lt;="&amp;F312,Levels!$A$2:$A$30,"&gt;"&amp;G312))</f>
        <v/>
      </c>
      <c r="J312" s="10">
        <f>IF(OR(B312="",TRIM('Find a child'!$B$3)=""),"",IF(ISNUMBER(SEARCH(TRIM('Find a child'!$B$3),B312&amp;" "&amp;C312)),COUNT(J$1:J311)+1,""))</f>
        <v/>
      </c>
    </row>
    <row r="313">
      <c r="A313" s="10" t="inlineStr">
        <is>
          <t>C0312</t>
        </is>
      </c>
      <c r="B313" s="6" t="n"/>
      <c r="C313" s="6" t="n"/>
      <c r="D313" s="6" t="n"/>
      <c r="E313" s="10">
        <f>IF(B313="","",IF(COUNTIFS($B$2:$B$600,B313,$C$2:$C$600,C313)&gt;1,B313&amp;" ("&amp;C313&amp;") "&amp;A313,B313&amp;" ("&amp;C313&amp;")"))</f>
        <v/>
      </c>
      <c r="F313" s="11">
        <f>IF(B313="","",SUMIFS(Entries!$J$2:$J$3000,Entries!$H$2:$H$3000,A313))</f>
        <v/>
      </c>
      <c r="G313" s="11">
        <f>IF(B313="","",_xlfn.MAXIFS(Prizes!$D$2:$D$3000,Prizes!$E$2:$E$3000,A313,Prizes!$G$2:$G$3000,""))</f>
        <v/>
      </c>
      <c r="H313" s="10">
        <f>IF(B313="","",IF(_xlfn.MAXIFS(Levels!$A$2:$A$30,Levels!$A$2:$A$30,"&lt;="&amp;F313)&gt;G313,INDEX(Levels!$B$2:$B$30,MATCH(_xlfn.MAXIFS(Levels!$A$2:$A$30,Levels!$A$2:$A$30,"&lt;="&amp;F313),Levels!$A$2:$A$30,0)),""))</f>
        <v/>
      </c>
      <c r="I313" s="10">
        <f>IF(B313="","",COUNTIFS(Levels!$A$2:$A$30,"&lt;="&amp;F313,Levels!$A$2:$A$30,"&gt;"&amp;G313))</f>
        <v/>
      </c>
      <c r="J313" s="10">
        <f>IF(OR(B313="",TRIM('Find a child'!$B$3)=""),"",IF(ISNUMBER(SEARCH(TRIM('Find a child'!$B$3),B313&amp;" "&amp;C313)),COUNT(J$1:J312)+1,""))</f>
        <v/>
      </c>
    </row>
    <row r="314">
      <c r="A314" s="10" t="inlineStr">
        <is>
          <t>C0313</t>
        </is>
      </c>
      <c r="B314" s="6" t="n"/>
      <c r="C314" s="6" t="n"/>
      <c r="D314" s="6" t="n"/>
      <c r="E314" s="10">
        <f>IF(B314="","",IF(COUNTIFS($B$2:$B$600,B314,$C$2:$C$600,C314)&gt;1,B314&amp;" ("&amp;C314&amp;") "&amp;A314,B314&amp;" ("&amp;C314&amp;")"))</f>
        <v/>
      </c>
      <c r="F314" s="11">
        <f>IF(B314="","",SUMIFS(Entries!$J$2:$J$3000,Entries!$H$2:$H$3000,A314))</f>
        <v/>
      </c>
      <c r="G314" s="11">
        <f>IF(B314="","",_xlfn.MAXIFS(Prizes!$D$2:$D$3000,Prizes!$E$2:$E$3000,A314,Prizes!$G$2:$G$3000,""))</f>
        <v/>
      </c>
      <c r="H314" s="10">
        <f>IF(B314="","",IF(_xlfn.MAXIFS(Levels!$A$2:$A$30,Levels!$A$2:$A$30,"&lt;="&amp;F314)&gt;G314,INDEX(Levels!$B$2:$B$30,MATCH(_xlfn.MAXIFS(Levels!$A$2:$A$30,Levels!$A$2:$A$30,"&lt;="&amp;F314),Levels!$A$2:$A$30,0)),""))</f>
        <v/>
      </c>
      <c r="I314" s="10">
        <f>IF(B314="","",COUNTIFS(Levels!$A$2:$A$30,"&lt;="&amp;F314,Levels!$A$2:$A$30,"&gt;"&amp;G314))</f>
        <v/>
      </c>
      <c r="J314" s="10">
        <f>IF(OR(B314="",TRIM('Find a child'!$B$3)=""),"",IF(ISNUMBER(SEARCH(TRIM('Find a child'!$B$3),B314&amp;" "&amp;C314)),COUNT(J$1:J313)+1,""))</f>
        <v/>
      </c>
    </row>
    <row r="315">
      <c r="A315" s="10" t="inlineStr">
        <is>
          <t>C0314</t>
        </is>
      </c>
      <c r="B315" s="6" t="n"/>
      <c r="C315" s="6" t="n"/>
      <c r="D315" s="6" t="n"/>
      <c r="E315" s="10">
        <f>IF(B315="","",IF(COUNTIFS($B$2:$B$600,B315,$C$2:$C$600,C315)&gt;1,B315&amp;" ("&amp;C315&amp;") "&amp;A315,B315&amp;" ("&amp;C315&amp;")"))</f>
        <v/>
      </c>
      <c r="F315" s="11">
        <f>IF(B315="","",SUMIFS(Entries!$J$2:$J$3000,Entries!$H$2:$H$3000,A315))</f>
        <v/>
      </c>
      <c r="G315" s="11">
        <f>IF(B315="","",_xlfn.MAXIFS(Prizes!$D$2:$D$3000,Prizes!$E$2:$E$3000,A315,Prizes!$G$2:$G$3000,""))</f>
        <v/>
      </c>
      <c r="H315" s="10">
        <f>IF(B315="","",IF(_xlfn.MAXIFS(Levels!$A$2:$A$30,Levels!$A$2:$A$30,"&lt;="&amp;F315)&gt;G315,INDEX(Levels!$B$2:$B$30,MATCH(_xlfn.MAXIFS(Levels!$A$2:$A$30,Levels!$A$2:$A$30,"&lt;="&amp;F315),Levels!$A$2:$A$30,0)),""))</f>
        <v/>
      </c>
      <c r="I315" s="10">
        <f>IF(B315="","",COUNTIFS(Levels!$A$2:$A$30,"&lt;="&amp;F315,Levels!$A$2:$A$30,"&gt;"&amp;G315))</f>
        <v/>
      </c>
      <c r="J315" s="10">
        <f>IF(OR(B315="",TRIM('Find a child'!$B$3)=""),"",IF(ISNUMBER(SEARCH(TRIM('Find a child'!$B$3),B315&amp;" "&amp;C315)),COUNT(J$1:J314)+1,""))</f>
        <v/>
      </c>
    </row>
    <row r="316">
      <c r="A316" s="10" t="inlineStr">
        <is>
          <t>C0315</t>
        </is>
      </c>
      <c r="B316" s="6" t="n"/>
      <c r="C316" s="6" t="n"/>
      <c r="D316" s="6" t="n"/>
      <c r="E316" s="10">
        <f>IF(B316="","",IF(COUNTIFS($B$2:$B$600,B316,$C$2:$C$600,C316)&gt;1,B316&amp;" ("&amp;C316&amp;") "&amp;A316,B316&amp;" ("&amp;C316&amp;")"))</f>
        <v/>
      </c>
      <c r="F316" s="11">
        <f>IF(B316="","",SUMIFS(Entries!$J$2:$J$3000,Entries!$H$2:$H$3000,A316))</f>
        <v/>
      </c>
      <c r="G316" s="11">
        <f>IF(B316="","",_xlfn.MAXIFS(Prizes!$D$2:$D$3000,Prizes!$E$2:$E$3000,A316,Prizes!$G$2:$G$3000,""))</f>
        <v/>
      </c>
      <c r="H316" s="10">
        <f>IF(B316="","",IF(_xlfn.MAXIFS(Levels!$A$2:$A$30,Levels!$A$2:$A$30,"&lt;="&amp;F316)&gt;G316,INDEX(Levels!$B$2:$B$30,MATCH(_xlfn.MAXIFS(Levels!$A$2:$A$30,Levels!$A$2:$A$30,"&lt;="&amp;F316),Levels!$A$2:$A$30,0)),""))</f>
        <v/>
      </c>
      <c r="I316" s="10">
        <f>IF(B316="","",COUNTIFS(Levels!$A$2:$A$30,"&lt;="&amp;F316,Levels!$A$2:$A$30,"&gt;"&amp;G316))</f>
        <v/>
      </c>
      <c r="J316" s="10">
        <f>IF(OR(B316="",TRIM('Find a child'!$B$3)=""),"",IF(ISNUMBER(SEARCH(TRIM('Find a child'!$B$3),B316&amp;" "&amp;C316)),COUNT(J$1:J315)+1,""))</f>
        <v/>
      </c>
    </row>
    <row r="317">
      <c r="A317" s="10" t="inlineStr">
        <is>
          <t>C0316</t>
        </is>
      </c>
      <c r="B317" s="6" t="n"/>
      <c r="C317" s="6" t="n"/>
      <c r="D317" s="6" t="n"/>
      <c r="E317" s="10">
        <f>IF(B317="","",IF(COUNTIFS($B$2:$B$600,B317,$C$2:$C$600,C317)&gt;1,B317&amp;" ("&amp;C317&amp;") "&amp;A317,B317&amp;" ("&amp;C317&amp;")"))</f>
        <v/>
      </c>
      <c r="F317" s="11">
        <f>IF(B317="","",SUMIFS(Entries!$J$2:$J$3000,Entries!$H$2:$H$3000,A317))</f>
        <v/>
      </c>
      <c r="G317" s="11">
        <f>IF(B317="","",_xlfn.MAXIFS(Prizes!$D$2:$D$3000,Prizes!$E$2:$E$3000,A317,Prizes!$G$2:$G$3000,""))</f>
        <v/>
      </c>
      <c r="H317" s="10">
        <f>IF(B317="","",IF(_xlfn.MAXIFS(Levels!$A$2:$A$30,Levels!$A$2:$A$30,"&lt;="&amp;F317)&gt;G317,INDEX(Levels!$B$2:$B$30,MATCH(_xlfn.MAXIFS(Levels!$A$2:$A$30,Levels!$A$2:$A$30,"&lt;="&amp;F317),Levels!$A$2:$A$30,0)),""))</f>
        <v/>
      </c>
      <c r="I317" s="10">
        <f>IF(B317="","",COUNTIFS(Levels!$A$2:$A$30,"&lt;="&amp;F317,Levels!$A$2:$A$30,"&gt;"&amp;G317))</f>
        <v/>
      </c>
      <c r="J317" s="10">
        <f>IF(OR(B317="",TRIM('Find a child'!$B$3)=""),"",IF(ISNUMBER(SEARCH(TRIM('Find a child'!$B$3),B317&amp;" "&amp;C317)),COUNT(J$1:J316)+1,""))</f>
        <v/>
      </c>
    </row>
    <row r="318">
      <c r="A318" s="10" t="inlineStr">
        <is>
          <t>C0317</t>
        </is>
      </c>
      <c r="B318" s="6" t="n"/>
      <c r="C318" s="6" t="n"/>
      <c r="D318" s="6" t="n"/>
      <c r="E318" s="10">
        <f>IF(B318="","",IF(COUNTIFS($B$2:$B$600,B318,$C$2:$C$600,C318)&gt;1,B318&amp;" ("&amp;C318&amp;") "&amp;A318,B318&amp;" ("&amp;C318&amp;")"))</f>
        <v/>
      </c>
      <c r="F318" s="11">
        <f>IF(B318="","",SUMIFS(Entries!$J$2:$J$3000,Entries!$H$2:$H$3000,A318))</f>
        <v/>
      </c>
      <c r="G318" s="11">
        <f>IF(B318="","",_xlfn.MAXIFS(Prizes!$D$2:$D$3000,Prizes!$E$2:$E$3000,A318,Prizes!$G$2:$G$3000,""))</f>
        <v/>
      </c>
      <c r="H318" s="10">
        <f>IF(B318="","",IF(_xlfn.MAXIFS(Levels!$A$2:$A$30,Levels!$A$2:$A$30,"&lt;="&amp;F318)&gt;G318,INDEX(Levels!$B$2:$B$30,MATCH(_xlfn.MAXIFS(Levels!$A$2:$A$30,Levels!$A$2:$A$30,"&lt;="&amp;F318),Levels!$A$2:$A$30,0)),""))</f>
        <v/>
      </c>
      <c r="I318" s="10">
        <f>IF(B318="","",COUNTIFS(Levels!$A$2:$A$30,"&lt;="&amp;F318,Levels!$A$2:$A$30,"&gt;"&amp;G318))</f>
        <v/>
      </c>
      <c r="J318" s="10">
        <f>IF(OR(B318="",TRIM('Find a child'!$B$3)=""),"",IF(ISNUMBER(SEARCH(TRIM('Find a child'!$B$3),B318&amp;" "&amp;C318)),COUNT(J$1:J317)+1,""))</f>
        <v/>
      </c>
    </row>
    <row r="319">
      <c r="A319" s="10" t="inlineStr">
        <is>
          <t>C0318</t>
        </is>
      </c>
      <c r="B319" s="6" t="n"/>
      <c r="C319" s="6" t="n"/>
      <c r="D319" s="6" t="n"/>
      <c r="E319" s="10">
        <f>IF(B319="","",IF(COUNTIFS($B$2:$B$600,B319,$C$2:$C$600,C319)&gt;1,B319&amp;" ("&amp;C319&amp;") "&amp;A319,B319&amp;" ("&amp;C319&amp;")"))</f>
        <v/>
      </c>
      <c r="F319" s="11">
        <f>IF(B319="","",SUMIFS(Entries!$J$2:$J$3000,Entries!$H$2:$H$3000,A319))</f>
        <v/>
      </c>
      <c r="G319" s="11">
        <f>IF(B319="","",_xlfn.MAXIFS(Prizes!$D$2:$D$3000,Prizes!$E$2:$E$3000,A319,Prizes!$G$2:$G$3000,""))</f>
        <v/>
      </c>
      <c r="H319" s="10">
        <f>IF(B319="","",IF(_xlfn.MAXIFS(Levels!$A$2:$A$30,Levels!$A$2:$A$30,"&lt;="&amp;F319)&gt;G319,INDEX(Levels!$B$2:$B$30,MATCH(_xlfn.MAXIFS(Levels!$A$2:$A$30,Levels!$A$2:$A$30,"&lt;="&amp;F319),Levels!$A$2:$A$30,0)),""))</f>
        <v/>
      </c>
      <c r="I319" s="10">
        <f>IF(B319="","",COUNTIFS(Levels!$A$2:$A$30,"&lt;="&amp;F319,Levels!$A$2:$A$30,"&gt;"&amp;G319))</f>
        <v/>
      </c>
      <c r="J319" s="10">
        <f>IF(OR(B319="",TRIM('Find a child'!$B$3)=""),"",IF(ISNUMBER(SEARCH(TRIM('Find a child'!$B$3),B319&amp;" "&amp;C319)),COUNT(J$1:J318)+1,""))</f>
        <v/>
      </c>
    </row>
    <row r="320">
      <c r="A320" s="10" t="inlineStr">
        <is>
          <t>C0319</t>
        </is>
      </c>
      <c r="B320" s="6" t="n"/>
      <c r="C320" s="6" t="n"/>
      <c r="D320" s="6" t="n"/>
      <c r="E320" s="10">
        <f>IF(B320="","",IF(COUNTIFS($B$2:$B$600,B320,$C$2:$C$600,C320)&gt;1,B320&amp;" ("&amp;C320&amp;") "&amp;A320,B320&amp;" ("&amp;C320&amp;")"))</f>
        <v/>
      </c>
      <c r="F320" s="11">
        <f>IF(B320="","",SUMIFS(Entries!$J$2:$J$3000,Entries!$H$2:$H$3000,A320))</f>
        <v/>
      </c>
      <c r="G320" s="11">
        <f>IF(B320="","",_xlfn.MAXIFS(Prizes!$D$2:$D$3000,Prizes!$E$2:$E$3000,A320,Prizes!$G$2:$G$3000,""))</f>
        <v/>
      </c>
      <c r="H320" s="10">
        <f>IF(B320="","",IF(_xlfn.MAXIFS(Levels!$A$2:$A$30,Levels!$A$2:$A$30,"&lt;="&amp;F320)&gt;G320,INDEX(Levels!$B$2:$B$30,MATCH(_xlfn.MAXIFS(Levels!$A$2:$A$30,Levels!$A$2:$A$30,"&lt;="&amp;F320),Levels!$A$2:$A$30,0)),""))</f>
        <v/>
      </c>
      <c r="I320" s="10">
        <f>IF(B320="","",COUNTIFS(Levels!$A$2:$A$30,"&lt;="&amp;F320,Levels!$A$2:$A$30,"&gt;"&amp;G320))</f>
        <v/>
      </c>
      <c r="J320" s="10">
        <f>IF(OR(B320="",TRIM('Find a child'!$B$3)=""),"",IF(ISNUMBER(SEARCH(TRIM('Find a child'!$B$3),B320&amp;" "&amp;C320)),COUNT(J$1:J319)+1,""))</f>
        <v/>
      </c>
    </row>
    <row r="321">
      <c r="A321" s="10" t="inlineStr">
        <is>
          <t>C0320</t>
        </is>
      </c>
      <c r="B321" s="6" t="n"/>
      <c r="C321" s="6" t="n"/>
      <c r="D321" s="6" t="n"/>
      <c r="E321" s="10">
        <f>IF(B321="","",IF(COUNTIFS($B$2:$B$600,B321,$C$2:$C$600,C321)&gt;1,B321&amp;" ("&amp;C321&amp;") "&amp;A321,B321&amp;" ("&amp;C321&amp;")"))</f>
        <v/>
      </c>
      <c r="F321" s="11">
        <f>IF(B321="","",SUMIFS(Entries!$J$2:$J$3000,Entries!$H$2:$H$3000,A321))</f>
        <v/>
      </c>
      <c r="G321" s="11">
        <f>IF(B321="","",_xlfn.MAXIFS(Prizes!$D$2:$D$3000,Prizes!$E$2:$E$3000,A321,Prizes!$G$2:$G$3000,""))</f>
        <v/>
      </c>
      <c r="H321" s="10">
        <f>IF(B321="","",IF(_xlfn.MAXIFS(Levels!$A$2:$A$30,Levels!$A$2:$A$30,"&lt;="&amp;F321)&gt;G321,INDEX(Levels!$B$2:$B$30,MATCH(_xlfn.MAXIFS(Levels!$A$2:$A$30,Levels!$A$2:$A$30,"&lt;="&amp;F321),Levels!$A$2:$A$30,0)),""))</f>
        <v/>
      </c>
      <c r="I321" s="10">
        <f>IF(B321="","",COUNTIFS(Levels!$A$2:$A$30,"&lt;="&amp;F321,Levels!$A$2:$A$30,"&gt;"&amp;G321))</f>
        <v/>
      </c>
      <c r="J321" s="10">
        <f>IF(OR(B321="",TRIM('Find a child'!$B$3)=""),"",IF(ISNUMBER(SEARCH(TRIM('Find a child'!$B$3),B321&amp;" "&amp;C321)),COUNT(J$1:J320)+1,""))</f>
        <v/>
      </c>
    </row>
    <row r="322">
      <c r="A322" s="10" t="inlineStr">
        <is>
          <t>C0321</t>
        </is>
      </c>
      <c r="B322" s="6" t="n"/>
      <c r="C322" s="6" t="n"/>
      <c r="D322" s="6" t="n"/>
      <c r="E322" s="10">
        <f>IF(B322="","",IF(COUNTIFS($B$2:$B$600,B322,$C$2:$C$600,C322)&gt;1,B322&amp;" ("&amp;C322&amp;") "&amp;A322,B322&amp;" ("&amp;C322&amp;")"))</f>
        <v/>
      </c>
      <c r="F322" s="11">
        <f>IF(B322="","",SUMIFS(Entries!$J$2:$J$3000,Entries!$H$2:$H$3000,A322))</f>
        <v/>
      </c>
      <c r="G322" s="11">
        <f>IF(B322="","",_xlfn.MAXIFS(Prizes!$D$2:$D$3000,Prizes!$E$2:$E$3000,A322,Prizes!$G$2:$G$3000,""))</f>
        <v/>
      </c>
      <c r="H322" s="10">
        <f>IF(B322="","",IF(_xlfn.MAXIFS(Levels!$A$2:$A$30,Levels!$A$2:$A$30,"&lt;="&amp;F322)&gt;G322,INDEX(Levels!$B$2:$B$30,MATCH(_xlfn.MAXIFS(Levels!$A$2:$A$30,Levels!$A$2:$A$30,"&lt;="&amp;F322),Levels!$A$2:$A$30,0)),""))</f>
        <v/>
      </c>
      <c r="I322" s="10">
        <f>IF(B322="","",COUNTIFS(Levels!$A$2:$A$30,"&lt;="&amp;F322,Levels!$A$2:$A$30,"&gt;"&amp;G322))</f>
        <v/>
      </c>
      <c r="J322" s="10">
        <f>IF(OR(B322="",TRIM('Find a child'!$B$3)=""),"",IF(ISNUMBER(SEARCH(TRIM('Find a child'!$B$3),B322&amp;" "&amp;C322)),COUNT(J$1:J321)+1,""))</f>
        <v/>
      </c>
    </row>
    <row r="323">
      <c r="A323" s="10" t="inlineStr">
        <is>
          <t>C0322</t>
        </is>
      </c>
      <c r="B323" s="6" t="n"/>
      <c r="C323" s="6" t="n"/>
      <c r="D323" s="6" t="n"/>
      <c r="E323" s="10">
        <f>IF(B323="","",IF(COUNTIFS($B$2:$B$600,B323,$C$2:$C$600,C323)&gt;1,B323&amp;" ("&amp;C323&amp;") "&amp;A323,B323&amp;" ("&amp;C323&amp;")"))</f>
        <v/>
      </c>
      <c r="F323" s="11">
        <f>IF(B323="","",SUMIFS(Entries!$J$2:$J$3000,Entries!$H$2:$H$3000,A323))</f>
        <v/>
      </c>
      <c r="G323" s="11">
        <f>IF(B323="","",_xlfn.MAXIFS(Prizes!$D$2:$D$3000,Prizes!$E$2:$E$3000,A323,Prizes!$G$2:$G$3000,""))</f>
        <v/>
      </c>
      <c r="H323" s="10">
        <f>IF(B323="","",IF(_xlfn.MAXIFS(Levels!$A$2:$A$30,Levels!$A$2:$A$30,"&lt;="&amp;F323)&gt;G323,INDEX(Levels!$B$2:$B$30,MATCH(_xlfn.MAXIFS(Levels!$A$2:$A$30,Levels!$A$2:$A$30,"&lt;="&amp;F323),Levels!$A$2:$A$30,0)),""))</f>
        <v/>
      </c>
      <c r="I323" s="10">
        <f>IF(B323="","",COUNTIFS(Levels!$A$2:$A$30,"&lt;="&amp;F323,Levels!$A$2:$A$30,"&gt;"&amp;G323))</f>
        <v/>
      </c>
      <c r="J323" s="10">
        <f>IF(OR(B323="",TRIM('Find a child'!$B$3)=""),"",IF(ISNUMBER(SEARCH(TRIM('Find a child'!$B$3),B323&amp;" "&amp;C323)),COUNT(J$1:J322)+1,""))</f>
        <v/>
      </c>
    </row>
    <row r="324">
      <c r="A324" s="10" t="inlineStr">
        <is>
          <t>C0323</t>
        </is>
      </c>
      <c r="B324" s="6" t="n"/>
      <c r="C324" s="6" t="n"/>
      <c r="D324" s="6" t="n"/>
      <c r="E324" s="10">
        <f>IF(B324="","",IF(COUNTIFS($B$2:$B$600,B324,$C$2:$C$600,C324)&gt;1,B324&amp;" ("&amp;C324&amp;") "&amp;A324,B324&amp;" ("&amp;C324&amp;")"))</f>
        <v/>
      </c>
      <c r="F324" s="11">
        <f>IF(B324="","",SUMIFS(Entries!$J$2:$J$3000,Entries!$H$2:$H$3000,A324))</f>
        <v/>
      </c>
      <c r="G324" s="11">
        <f>IF(B324="","",_xlfn.MAXIFS(Prizes!$D$2:$D$3000,Prizes!$E$2:$E$3000,A324,Prizes!$G$2:$G$3000,""))</f>
        <v/>
      </c>
      <c r="H324" s="10">
        <f>IF(B324="","",IF(_xlfn.MAXIFS(Levels!$A$2:$A$30,Levels!$A$2:$A$30,"&lt;="&amp;F324)&gt;G324,INDEX(Levels!$B$2:$B$30,MATCH(_xlfn.MAXIFS(Levels!$A$2:$A$30,Levels!$A$2:$A$30,"&lt;="&amp;F324),Levels!$A$2:$A$30,0)),""))</f>
        <v/>
      </c>
      <c r="I324" s="10">
        <f>IF(B324="","",COUNTIFS(Levels!$A$2:$A$30,"&lt;="&amp;F324,Levels!$A$2:$A$30,"&gt;"&amp;G324))</f>
        <v/>
      </c>
      <c r="J324" s="10">
        <f>IF(OR(B324="",TRIM('Find a child'!$B$3)=""),"",IF(ISNUMBER(SEARCH(TRIM('Find a child'!$B$3),B324&amp;" "&amp;C324)),COUNT(J$1:J323)+1,""))</f>
        <v/>
      </c>
    </row>
    <row r="325">
      <c r="A325" s="10" t="inlineStr">
        <is>
          <t>C0324</t>
        </is>
      </c>
      <c r="B325" s="6" t="n"/>
      <c r="C325" s="6" t="n"/>
      <c r="D325" s="6" t="n"/>
      <c r="E325" s="10">
        <f>IF(B325="","",IF(COUNTIFS($B$2:$B$600,B325,$C$2:$C$600,C325)&gt;1,B325&amp;" ("&amp;C325&amp;") "&amp;A325,B325&amp;" ("&amp;C325&amp;")"))</f>
        <v/>
      </c>
      <c r="F325" s="11">
        <f>IF(B325="","",SUMIFS(Entries!$J$2:$J$3000,Entries!$H$2:$H$3000,A325))</f>
        <v/>
      </c>
      <c r="G325" s="11">
        <f>IF(B325="","",_xlfn.MAXIFS(Prizes!$D$2:$D$3000,Prizes!$E$2:$E$3000,A325,Prizes!$G$2:$G$3000,""))</f>
        <v/>
      </c>
      <c r="H325" s="10">
        <f>IF(B325="","",IF(_xlfn.MAXIFS(Levels!$A$2:$A$30,Levels!$A$2:$A$30,"&lt;="&amp;F325)&gt;G325,INDEX(Levels!$B$2:$B$30,MATCH(_xlfn.MAXIFS(Levels!$A$2:$A$30,Levels!$A$2:$A$30,"&lt;="&amp;F325),Levels!$A$2:$A$30,0)),""))</f>
        <v/>
      </c>
      <c r="I325" s="10">
        <f>IF(B325="","",COUNTIFS(Levels!$A$2:$A$30,"&lt;="&amp;F325,Levels!$A$2:$A$30,"&gt;"&amp;G325))</f>
        <v/>
      </c>
      <c r="J325" s="10">
        <f>IF(OR(B325="",TRIM('Find a child'!$B$3)=""),"",IF(ISNUMBER(SEARCH(TRIM('Find a child'!$B$3),B325&amp;" "&amp;C325)),COUNT(J$1:J324)+1,""))</f>
        <v/>
      </c>
    </row>
    <row r="326">
      <c r="A326" s="10" t="inlineStr">
        <is>
          <t>C0325</t>
        </is>
      </c>
      <c r="B326" s="6" t="n"/>
      <c r="C326" s="6" t="n"/>
      <c r="D326" s="6" t="n"/>
      <c r="E326" s="10">
        <f>IF(B326="","",IF(COUNTIFS($B$2:$B$600,B326,$C$2:$C$600,C326)&gt;1,B326&amp;" ("&amp;C326&amp;") "&amp;A326,B326&amp;" ("&amp;C326&amp;")"))</f>
        <v/>
      </c>
      <c r="F326" s="11">
        <f>IF(B326="","",SUMIFS(Entries!$J$2:$J$3000,Entries!$H$2:$H$3000,A326))</f>
        <v/>
      </c>
      <c r="G326" s="11">
        <f>IF(B326="","",_xlfn.MAXIFS(Prizes!$D$2:$D$3000,Prizes!$E$2:$E$3000,A326,Prizes!$G$2:$G$3000,""))</f>
        <v/>
      </c>
      <c r="H326" s="10">
        <f>IF(B326="","",IF(_xlfn.MAXIFS(Levels!$A$2:$A$30,Levels!$A$2:$A$30,"&lt;="&amp;F326)&gt;G326,INDEX(Levels!$B$2:$B$30,MATCH(_xlfn.MAXIFS(Levels!$A$2:$A$30,Levels!$A$2:$A$30,"&lt;="&amp;F326),Levels!$A$2:$A$30,0)),""))</f>
        <v/>
      </c>
      <c r="I326" s="10">
        <f>IF(B326="","",COUNTIFS(Levels!$A$2:$A$30,"&lt;="&amp;F326,Levels!$A$2:$A$30,"&gt;"&amp;G326))</f>
        <v/>
      </c>
      <c r="J326" s="10">
        <f>IF(OR(B326="",TRIM('Find a child'!$B$3)=""),"",IF(ISNUMBER(SEARCH(TRIM('Find a child'!$B$3),B326&amp;" "&amp;C326)),COUNT(J$1:J325)+1,""))</f>
        <v/>
      </c>
    </row>
    <row r="327">
      <c r="A327" s="10" t="inlineStr">
        <is>
          <t>C0326</t>
        </is>
      </c>
      <c r="B327" s="6" t="n"/>
      <c r="C327" s="6" t="n"/>
      <c r="D327" s="6" t="n"/>
      <c r="E327" s="10">
        <f>IF(B327="","",IF(COUNTIFS($B$2:$B$600,B327,$C$2:$C$600,C327)&gt;1,B327&amp;" ("&amp;C327&amp;") "&amp;A327,B327&amp;" ("&amp;C327&amp;")"))</f>
        <v/>
      </c>
      <c r="F327" s="11">
        <f>IF(B327="","",SUMIFS(Entries!$J$2:$J$3000,Entries!$H$2:$H$3000,A327))</f>
        <v/>
      </c>
      <c r="G327" s="11">
        <f>IF(B327="","",_xlfn.MAXIFS(Prizes!$D$2:$D$3000,Prizes!$E$2:$E$3000,A327,Prizes!$G$2:$G$3000,""))</f>
        <v/>
      </c>
      <c r="H327" s="10">
        <f>IF(B327="","",IF(_xlfn.MAXIFS(Levels!$A$2:$A$30,Levels!$A$2:$A$30,"&lt;="&amp;F327)&gt;G327,INDEX(Levels!$B$2:$B$30,MATCH(_xlfn.MAXIFS(Levels!$A$2:$A$30,Levels!$A$2:$A$30,"&lt;="&amp;F327),Levels!$A$2:$A$30,0)),""))</f>
        <v/>
      </c>
      <c r="I327" s="10">
        <f>IF(B327="","",COUNTIFS(Levels!$A$2:$A$30,"&lt;="&amp;F327,Levels!$A$2:$A$30,"&gt;"&amp;G327))</f>
        <v/>
      </c>
      <c r="J327" s="10">
        <f>IF(OR(B327="",TRIM('Find a child'!$B$3)=""),"",IF(ISNUMBER(SEARCH(TRIM('Find a child'!$B$3),B327&amp;" "&amp;C327)),COUNT(J$1:J326)+1,""))</f>
        <v/>
      </c>
    </row>
    <row r="328">
      <c r="A328" s="10" t="inlineStr">
        <is>
          <t>C0327</t>
        </is>
      </c>
      <c r="B328" s="6" t="n"/>
      <c r="C328" s="6" t="n"/>
      <c r="D328" s="6" t="n"/>
      <c r="E328" s="10">
        <f>IF(B328="","",IF(COUNTIFS($B$2:$B$600,B328,$C$2:$C$600,C328)&gt;1,B328&amp;" ("&amp;C328&amp;") "&amp;A328,B328&amp;" ("&amp;C328&amp;")"))</f>
        <v/>
      </c>
      <c r="F328" s="11">
        <f>IF(B328="","",SUMIFS(Entries!$J$2:$J$3000,Entries!$H$2:$H$3000,A328))</f>
        <v/>
      </c>
      <c r="G328" s="11">
        <f>IF(B328="","",_xlfn.MAXIFS(Prizes!$D$2:$D$3000,Prizes!$E$2:$E$3000,A328,Prizes!$G$2:$G$3000,""))</f>
        <v/>
      </c>
      <c r="H328" s="10">
        <f>IF(B328="","",IF(_xlfn.MAXIFS(Levels!$A$2:$A$30,Levels!$A$2:$A$30,"&lt;="&amp;F328)&gt;G328,INDEX(Levels!$B$2:$B$30,MATCH(_xlfn.MAXIFS(Levels!$A$2:$A$30,Levels!$A$2:$A$30,"&lt;="&amp;F328),Levels!$A$2:$A$30,0)),""))</f>
        <v/>
      </c>
      <c r="I328" s="10">
        <f>IF(B328="","",COUNTIFS(Levels!$A$2:$A$30,"&lt;="&amp;F328,Levels!$A$2:$A$30,"&gt;"&amp;G328))</f>
        <v/>
      </c>
      <c r="J328" s="10">
        <f>IF(OR(B328="",TRIM('Find a child'!$B$3)=""),"",IF(ISNUMBER(SEARCH(TRIM('Find a child'!$B$3),B328&amp;" "&amp;C328)),COUNT(J$1:J327)+1,""))</f>
        <v/>
      </c>
    </row>
    <row r="329">
      <c r="A329" s="10" t="inlineStr">
        <is>
          <t>C0328</t>
        </is>
      </c>
      <c r="B329" s="6" t="n"/>
      <c r="C329" s="6" t="n"/>
      <c r="D329" s="6" t="n"/>
      <c r="E329" s="10">
        <f>IF(B329="","",IF(COUNTIFS($B$2:$B$600,B329,$C$2:$C$600,C329)&gt;1,B329&amp;" ("&amp;C329&amp;") "&amp;A329,B329&amp;" ("&amp;C329&amp;")"))</f>
        <v/>
      </c>
      <c r="F329" s="11">
        <f>IF(B329="","",SUMIFS(Entries!$J$2:$J$3000,Entries!$H$2:$H$3000,A329))</f>
        <v/>
      </c>
      <c r="G329" s="11">
        <f>IF(B329="","",_xlfn.MAXIFS(Prizes!$D$2:$D$3000,Prizes!$E$2:$E$3000,A329,Prizes!$G$2:$G$3000,""))</f>
        <v/>
      </c>
      <c r="H329" s="10">
        <f>IF(B329="","",IF(_xlfn.MAXIFS(Levels!$A$2:$A$30,Levels!$A$2:$A$30,"&lt;="&amp;F329)&gt;G329,INDEX(Levels!$B$2:$B$30,MATCH(_xlfn.MAXIFS(Levels!$A$2:$A$30,Levels!$A$2:$A$30,"&lt;="&amp;F329),Levels!$A$2:$A$30,0)),""))</f>
        <v/>
      </c>
      <c r="I329" s="10">
        <f>IF(B329="","",COUNTIFS(Levels!$A$2:$A$30,"&lt;="&amp;F329,Levels!$A$2:$A$30,"&gt;"&amp;G329))</f>
        <v/>
      </c>
      <c r="J329" s="10">
        <f>IF(OR(B329="",TRIM('Find a child'!$B$3)=""),"",IF(ISNUMBER(SEARCH(TRIM('Find a child'!$B$3),B329&amp;" "&amp;C329)),COUNT(J$1:J328)+1,""))</f>
        <v/>
      </c>
    </row>
    <row r="330">
      <c r="A330" s="10" t="inlineStr">
        <is>
          <t>C0329</t>
        </is>
      </c>
      <c r="B330" s="6" t="n"/>
      <c r="C330" s="6" t="n"/>
      <c r="D330" s="6" t="n"/>
      <c r="E330" s="10">
        <f>IF(B330="","",IF(COUNTIFS($B$2:$B$600,B330,$C$2:$C$600,C330)&gt;1,B330&amp;" ("&amp;C330&amp;") "&amp;A330,B330&amp;" ("&amp;C330&amp;")"))</f>
        <v/>
      </c>
      <c r="F330" s="11">
        <f>IF(B330="","",SUMIFS(Entries!$J$2:$J$3000,Entries!$H$2:$H$3000,A330))</f>
        <v/>
      </c>
      <c r="G330" s="11">
        <f>IF(B330="","",_xlfn.MAXIFS(Prizes!$D$2:$D$3000,Prizes!$E$2:$E$3000,A330,Prizes!$G$2:$G$3000,""))</f>
        <v/>
      </c>
      <c r="H330" s="10">
        <f>IF(B330="","",IF(_xlfn.MAXIFS(Levels!$A$2:$A$30,Levels!$A$2:$A$30,"&lt;="&amp;F330)&gt;G330,INDEX(Levels!$B$2:$B$30,MATCH(_xlfn.MAXIFS(Levels!$A$2:$A$30,Levels!$A$2:$A$30,"&lt;="&amp;F330),Levels!$A$2:$A$30,0)),""))</f>
        <v/>
      </c>
      <c r="I330" s="10">
        <f>IF(B330="","",COUNTIFS(Levels!$A$2:$A$30,"&lt;="&amp;F330,Levels!$A$2:$A$30,"&gt;"&amp;G330))</f>
        <v/>
      </c>
      <c r="J330" s="10">
        <f>IF(OR(B330="",TRIM('Find a child'!$B$3)=""),"",IF(ISNUMBER(SEARCH(TRIM('Find a child'!$B$3),B330&amp;" "&amp;C330)),COUNT(J$1:J329)+1,""))</f>
        <v/>
      </c>
    </row>
    <row r="331">
      <c r="A331" s="10" t="inlineStr">
        <is>
          <t>C0330</t>
        </is>
      </c>
      <c r="B331" s="6" t="n"/>
      <c r="C331" s="6" t="n"/>
      <c r="D331" s="6" t="n"/>
      <c r="E331" s="10">
        <f>IF(B331="","",IF(COUNTIFS($B$2:$B$600,B331,$C$2:$C$600,C331)&gt;1,B331&amp;" ("&amp;C331&amp;") "&amp;A331,B331&amp;" ("&amp;C331&amp;")"))</f>
        <v/>
      </c>
      <c r="F331" s="11">
        <f>IF(B331="","",SUMIFS(Entries!$J$2:$J$3000,Entries!$H$2:$H$3000,A331))</f>
        <v/>
      </c>
      <c r="G331" s="11">
        <f>IF(B331="","",_xlfn.MAXIFS(Prizes!$D$2:$D$3000,Prizes!$E$2:$E$3000,A331,Prizes!$G$2:$G$3000,""))</f>
        <v/>
      </c>
      <c r="H331" s="10">
        <f>IF(B331="","",IF(_xlfn.MAXIFS(Levels!$A$2:$A$30,Levels!$A$2:$A$30,"&lt;="&amp;F331)&gt;G331,INDEX(Levels!$B$2:$B$30,MATCH(_xlfn.MAXIFS(Levels!$A$2:$A$30,Levels!$A$2:$A$30,"&lt;="&amp;F331),Levels!$A$2:$A$30,0)),""))</f>
        <v/>
      </c>
      <c r="I331" s="10">
        <f>IF(B331="","",COUNTIFS(Levels!$A$2:$A$30,"&lt;="&amp;F331,Levels!$A$2:$A$30,"&gt;"&amp;G331))</f>
        <v/>
      </c>
      <c r="J331" s="10">
        <f>IF(OR(B331="",TRIM('Find a child'!$B$3)=""),"",IF(ISNUMBER(SEARCH(TRIM('Find a child'!$B$3),B331&amp;" "&amp;C331)),COUNT(J$1:J330)+1,""))</f>
        <v/>
      </c>
    </row>
    <row r="332">
      <c r="A332" s="10" t="inlineStr">
        <is>
          <t>C0331</t>
        </is>
      </c>
      <c r="B332" s="6" t="n"/>
      <c r="C332" s="6" t="n"/>
      <c r="D332" s="6" t="n"/>
      <c r="E332" s="10">
        <f>IF(B332="","",IF(COUNTIFS($B$2:$B$600,B332,$C$2:$C$600,C332)&gt;1,B332&amp;" ("&amp;C332&amp;") "&amp;A332,B332&amp;" ("&amp;C332&amp;")"))</f>
        <v/>
      </c>
      <c r="F332" s="11">
        <f>IF(B332="","",SUMIFS(Entries!$J$2:$J$3000,Entries!$H$2:$H$3000,A332))</f>
        <v/>
      </c>
      <c r="G332" s="11">
        <f>IF(B332="","",_xlfn.MAXIFS(Prizes!$D$2:$D$3000,Prizes!$E$2:$E$3000,A332,Prizes!$G$2:$G$3000,""))</f>
        <v/>
      </c>
      <c r="H332" s="10">
        <f>IF(B332="","",IF(_xlfn.MAXIFS(Levels!$A$2:$A$30,Levels!$A$2:$A$30,"&lt;="&amp;F332)&gt;G332,INDEX(Levels!$B$2:$B$30,MATCH(_xlfn.MAXIFS(Levels!$A$2:$A$30,Levels!$A$2:$A$30,"&lt;="&amp;F332),Levels!$A$2:$A$30,0)),""))</f>
        <v/>
      </c>
      <c r="I332" s="10">
        <f>IF(B332="","",COUNTIFS(Levels!$A$2:$A$30,"&lt;="&amp;F332,Levels!$A$2:$A$30,"&gt;"&amp;G332))</f>
        <v/>
      </c>
      <c r="J332" s="10">
        <f>IF(OR(B332="",TRIM('Find a child'!$B$3)=""),"",IF(ISNUMBER(SEARCH(TRIM('Find a child'!$B$3),B332&amp;" "&amp;C332)),COUNT(J$1:J331)+1,""))</f>
        <v/>
      </c>
    </row>
    <row r="333">
      <c r="A333" s="10" t="inlineStr">
        <is>
          <t>C0332</t>
        </is>
      </c>
      <c r="B333" s="6" t="n"/>
      <c r="C333" s="6" t="n"/>
      <c r="D333" s="6" t="n"/>
      <c r="E333" s="10">
        <f>IF(B333="","",IF(COUNTIFS($B$2:$B$600,B333,$C$2:$C$600,C333)&gt;1,B333&amp;" ("&amp;C333&amp;") "&amp;A333,B333&amp;" ("&amp;C333&amp;")"))</f>
        <v/>
      </c>
      <c r="F333" s="11">
        <f>IF(B333="","",SUMIFS(Entries!$J$2:$J$3000,Entries!$H$2:$H$3000,A333))</f>
        <v/>
      </c>
      <c r="G333" s="11">
        <f>IF(B333="","",_xlfn.MAXIFS(Prizes!$D$2:$D$3000,Prizes!$E$2:$E$3000,A333,Prizes!$G$2:$G$3000,""))</f>
        <v/>
      </c>
      <c r="H333" s="10">
        <f>IF(B333="","",IF(_xlfn.MAXIFS(Levels!$A$2:$A$30,Levels!$A$2:$A$30,"&lt;="&amp;F333)&gt;G333,INDEX(Levels!$B$2:$B$30,MATCH(_xlfn.MAXIFS(Levels!$A$2:$A$30,Levels!$A$2:$A$30,"&lt;="&amp;F333),Levels!$A$2:$A$30,0)),""))</f>
        <v/>
      </c>
      <c r="I333" s="10">
        <f>IF(B333="","",COUNTIFS(Levels!$A$2:$A$30,"&lt;="&amp;F333,Levels!$A$2:$A$30,"&gt;"&amp;G333))</f>
        <v/>
      </c>
      <c r="J333" s="10">
        <f>IF(OR(B333="",TRIM('Find a child'!$B$3)=""),"",IF(ISNUMBER(SEARCH(TRIM('Find a child'!$B$3),B333&amp;" "&amp;C333)),COUNT(J$1:J332)+1,""))</f>
        <v/>
      </c>
    </row>
    <row r="334">
      <c r="A334" s="10" t="inlineStr">
        <is>
          <t>C0333</t>
        </is>
      </c>
      <c r="B334" s="6" t="n"/>
      <c r="C334" s="6" t="n"/>
      <c r="D334" s="6" t="n"/>
      <c r="E334" s="10">
        <f>IF(B334="","",IF(COUNTIFS($B$2:$B$600,B334,$C$2:$C$600,C334)&gt;1,B334&amp;" ("&amp;C334&amp;") "&amp;A334,B334&amp;" ("&amp;C334&amp;")"))</f>
        <v/>
      </c>
      <c r="F334" s="11">
        <f>IF(B334="","",SUMIFS(Entries!$J$2:$J$3000,Entries!$H$2:$H$3000,A334))</f>
        <v/>
      </c>
      <c r="G334" s="11">
        <f>IF(B334="","",_xlfn.MAXIFS(Prizes!$D$2:$D$3000,Prizes!$E$2:$E$3000,A334,Prizes!$G$2:$G$3000,""))</f>
        <v/>
      </c>
      <c r="H334" s="10">
        <f>IF(B334="","",IF(_xlfn.MAXIFS(Levels!$A$2:$A$30,Levels!$A$2:$A$30,"&lt;="&amp;F334)&gt;G334,INDEX(Levels!$B$2:$B$30,MATCH(_xlfn.MAXIFS(Levels!$A$2:$A$30,Levels!$A$2:$A$30,"&lt;="&amp;F334),Levels!$A$2:$A$30,0)),""))</f>
        <v/>
      </c>
      <c r="I334" s="10">
        <f>IF(B334="","",COUNTIFS(Levels!$A$2:$A$30,"&lt;="&amp;F334,Levels!$A$2:$A$30,"&gt;"&amp;G334))</f>
        <v/>
      </c>
      <c r="J334" s="10">
        <f>IF(OR(B334="",TRIM('Find a child'!$B$3)=""),"",IF(ISNUMBER(SEARCH(TRIM('Find a child'!$B$3),B334&amp;" "&amp;C334)),COUNT(J$1:J333)+1,""))</f>
        <v/>
      </c>
    </row>
    <row r="335">
      <c r="A335" s="10" t="inlineStr">
        <is>
          <t>C0334</t>
        </is>
      </c>
      <c r="B335" s="6" t="n"/>
      <c r="C335" s="6" t="n"/>
      <c r="D335" s="6" t="n"/>
      <c r="E335" s="10">
        <f>IF(B335="","",IF(COUNTIFS($B$2:$B$600,B335,$C$2:$C$600,C335)&gt;1,B335&amp;" ("&amp;C335&amp;") "&amp;A335,B335&amp;" ("&amp;C335&amp;")"))</f>
        <v/>
      </c>
      <c r="F335" s="11">
        <f>IF(B335="","",SUMIFS(Entries!$J$2:$J$3000,Entries!$H$2:$H$3000,A335))</f>
        <v/>
      </c>
      <c r="G335" s="11">
        <f>IF(B335="","",_xlfn.MAXIFS(Prizes!$D$2:$D$3000,Prizes!$E$2:$E$3000,A335,Prizes!$G$2:$G$3000,""))</f>
        <v/>
      </c>
      <c r="H335" s="10">
        <f>IF(B335="","",IF(_xlfn.MAXIFS(Levels!$A$2:$A$30,Levels!$A$2:$A$30,"&lt;="&amp;F335)&gt;G335,INDEX(Levels!$B$2:$B$30,MATCH(_xlfn.MAXIFS(Levels!$A$2:$A$30,Levels!$A$2:$A$30,"&lt;="&amp;F335),Levels!$A$2:$A$30,0)),""))</f>
        <v/>
      </c>
      <c r="I335" s="10">
        <f>IF(B335="","",COUNTIFS(Levels!$A$2:$A$30,"&lt;="&amp;F335,Levels!$A$2:$A$30,"&gt;"&amp;G335))</f>
        <v/>
      </c>
      <c r="J335" s="10">
        <f>IF(OR(B335="",TRIM('Find a child'!$B$3)=""),"",IF(ISNUMBER(SEARCH(TRIM('Find a child'!$B$3),B335&amp;" "&amp;C335)),COUNT(J$1:J334)+1,""))</f>
        <v/>
      </c>
    </row>
    <row r="336">
      <c r="A336" s="10" t="inlineStr">
        <is>
          <t>C0335</t>
        </is>
      </c>
      <c r="B336" s="6" t="n"/>
      <c r="C336" s="6" t="n"/>
      <c r="D336" s="6" t="n"/>
      <c r="E336" s="10">
        <f>IF(B336="","",IF(COUNTIFS($B$2:$B$600,B336,$C$2:$C$600,C336)&gt;1,B336&amp;" ("&amp;C336&amp;") "&amp;A336,B336&amp;" ("&amp;C336&amp;")"))</f>
        <v/>
      </c>
      <c r="F336" s="11">
        <f>IF(B336="","",SUMIFS(Entries!$J$2:$J$3000,Entries!$H$2:$H$3000,A336))</f>
        <v/>
      </c>
      <c r="G336" s="11">
        <f>IF(B336="","",_xlfn.MAXIFS(Prizes!$D$2:$D$3000,Prizes!$E$2:$E$3000,A336,Prizes!$G$2:$G$3000,""))</f>
        <v/>
      </c>
      <c r="H336" s="10">
        <f>IF(B336="","",IF(_xlfn.MAXIFS(Levels!$A$2:$A$30,Levels!$A$2:$A$30,"&lt;="&amp;F336)&gt;G336,INDEX(Levels!$B$2:$B$30,MATCH(_xlfn.MAXIFS(Levels!$A$2:$A$30,Levels!$A$2:$A$30,"&lt;="&amp;F336),Levels!$A$2:$A$30,0)),""))</f>
        <v/>
      </c>
      <c r="I336" s="10">
        <f>IF(B336="","",COUNTIFS(Levels!$A$2:$A$30,"&lt;="&amp;F336,Levels!$A$2:$A$30,"&gt;"&amp;G336))</f>
        <v/>
      </c>
      <c r="J336" s="10">
        <f>IF(OR(B336="",TRIM('Find a child'!$B$3)=""),"",IF(ISNUMBER(SEARCH(TRIM('Find a child'!$B$3),B336&amp;" "&amp;C336)),COUNT(J$1:J335)+1,""))</f>
        <v/>
      </c>
    </row>
    <row r="337">
      <c r="A337" s="10" t="inlineStr">
        <is>
          <t>C0336</t>
        </is>
      </c>
      <c r="B337" s="6" t="n"/>
      <c r="C337" s="6" t="n"/>
      <c r="D337" s="6" t="n"/>
      <c r="E337" s="10">
        <f>IF(B337="","",IF(COUNTIFS($B$2:$B$600,B337,$C$2:$C$600,C337)&gt;1,B337&amp;" ("&amp;C337&amp;") "&amp;A337,B337&amp;" ("&amp;C337&amp;")"))</f>
        <v/>
      </c>
      <c r="F337" s="11">
        <f>IF(B337="","",SUMIFS(Entries!$J$2:$J$3000,Entries!$H$2:$H$3000,A337))</f>
        <v/>
      </c>
      <c r="G337" s="11">
        <f>IF(B337="","",_xlfn.MAXIFS(Prizes!$D$2:$D$3000,Prizes!$E$2:$E$3000,A337,Prizes!$G$2:$G$3000,""))</f>
        <v/>
      </c>
      <c r="H337" s="10">
        <f>IF(B337="","",IF(_xlfn.MAXIFS(Levels!$A$2:$A$30,Levels!$A$2:$A$30,"&lt;="&amp;F337)&gt;G337,INDEX(Levels!$B$2:$B$30,MATCH(_xlfn.MAXIFS(Levels!$A$2:$A$30,Levels!$A$2:$A$30,"&lt;="&amp;F337),Levels!$A$2:$A$30,0)),""))</f>
        <v/>
      </c>
      <c r="I337" s="10">
        <f>IF(B337="","",COUNTIFS(Levels!$A$2:$A$30,"&lt;="&amp;F337,Levels!$A$2:$A$30,"&gt;"&amp;G337))</f>
        <v/>
      </c>
      <c r="J337" s="10">
        <f>IF(OR(B337="",TRIM('Find a child'!$B$3)=""),"",IF(ISNUMBER(SEARCH(TRIM('Find a child'!$B$3),B337&amp;" "&amp;C337)),COUNT(J$1:J336)+1,""))</f>
        <v/>
      </c>
    </row>
    <row r="338">
      <c r="A338" s="10" t="inlineStr">
        <is>
          <t>C0337</t>
        </is>
      </c>
      <c r="B338" s="6" t="n"/>
      <c r="C338" s="6" t="n"/>
      <c r="D338" s="6" t="n"/>
      <c r="E338" s="10">
        <f>IF(B338="","",IF(COUNTIFS($B$2:$B$600,B338,$C$2:$C$600,C338)&gt;1,B338&amp;" ("&amp;C338&amp;") "&amp;A338,B338&amp;" ("&amp;C338&amp;")"))</f>
        <v/>
      </c>
      <c r="F338" s="11">
        <f>IF(B338="","",SUMIFS(Entries!$J$2:$J$3000,Entries!$H$2:$H$3000,A338))</f>
        <v/>
      </c>
      <c r="G338" s="11">
        <f>IF(B338="","",_xlfn.MAXIFS(Prizes!$D$2:$D$3000,Prizes!$E$2:$E$3000,A338,Prizes!$G$2:$G$3000,""))</f>
        <v/>
      </c>
      <c r="H338" s="10">
        <f>IF(B338="","",IF(_xlfn.MAXIFS(Levels!$A$2:$A$30,Levels!$A$2:$A$30,"&lt;="&amp;F338)&gt;G338,INDEX(Levels!$B$2:$B$30,MATCH(_xlfn.MAXIFS(Levels!$A$2:$A$30,Levels!$A$2:$A$30,"&lt;="&amp;F338),Levels!$A$2:$A$30,0)),""))</f>
        <v/>
      </c>
      <c r="I338" s="10">
        <f>IF(B338="","",COUNTIFS(Levels!$A$2:$A$30,"&lt;="&amp;F338,Levels!$A$2:$A$30,"&gt;"&amp;G338))</f>
        <v/>
      </c>
      <c r="J338" s="10">
        <f>IF(OR(B338="",TRIM('Find a child'!$B$3)=""),"",IF(ISNUMBER(SEARCH(TRIM('Find a child'!$B$3),B338&amp;" "&amp;C338)),COUNT(J$1:J337)+1,""))</f>
        <v/>
      </c>
    </row>
    <row r="339">
      <c r="A339" s="10" t="inlineStr">
        <is>
          <t>C0338</t>
        </is>
      </c>
      <c r="B339" s="6" t="n"/>
      <c r="C339" s="6" t="n"/>
      <c r="D339" s="6" t="n"/>
      <c r="E339" s="10">
        <f>IF(B339="","",IF(COUNTIFS($B$2:$B$600,B339,$C$2:$C$600,C339)&gt;1,B339&amp;" ("&amp;C339&amp;") "&amp;A339,B339&amp;" ("&amp;C339&amp;")"))</f>
        <v/>
      </c>
      <c r="F339" s="11">
        <f>IF(B339="","",SUMIFS(Entries!$J$2:$J$3000,Entries!$H$2:$H$3000,A339))</f>
        <v/>
      </c>
      <c r="G339" s="11">
        <f>IF(B339="","",_xlfn.MAXIFS(Prizes!$D$2:$D$3000,Prizes!$E$2:$E$3000,A339,Prizes!$G$2:$G$3000,""))</f>
        <v/>
      </c>
      <c r="H339" s="10">
        <f>IF(B339="","",IF(_xlfn.MAXIFS(Levels!$A$2:$A$30,Levels!$A$2:$A$30,"&lt;="&amp;F339)&gt;G339,INDEX(Levels!$B$2:$B$30,MATCH(_xlfn.MAXIFS(Levels!$A$2:$A$30,Levels!$A$2:$A$30,"&lt;="&amp;F339),Levels!$A$2:$A$30,0)),""))</f>
        <v/>
      </c>
      <c r="I339" s="10">
        <f>IF(B339="","",COUNTIFS(Levels!$A$2:$A$30,"&lt;="&amp;F339,Levels!$A$2:$A$30,"&gt;"&amp;G339))</f>
        <v/>
      </c>
      <c r="J339" s="10">
        <f>IF(OR(B339="",TRIM('Find a child'!$B$3)=""),"",IF(ISNUMBER(SEARCH(TRIM('Find a child'!$B$3),B339&amp;" "&amp;C339)),COUNT(J$1:J338)+1,""))</f>
        <v/>
      </c>
    </row>
    <row r="340">
      <c r="A340" s="10" t="inlineStr">
        <is>
          <t>C0339</t>
        </is>
      </c>
      <c r="B340" s="6" t="n"/>
      <c r="C340" s="6" t="n"/>
      <c r="D340" s="6" t="n"/>
      <c r="E340" s="10">
        <f>IF(B340="","",IF(COUNTIFS($B$2:$B$600,B340,$C$2:$C$600,C340)&gt;1,B340&amp;" ("&amp;C340&amp;") "&amp;A340,B340&amp;" ("&amp;C340&amp;")"))</f>
        <v/>
      </c>
      <c r="F340" s="11">
        <f>IF(B340="","",SUMIFS(Entries!$J$2:$J$3000,Entries!$H$2:$H$3000,A340))</f>
        <v/>
      </c>
      <c r="G340" s="11">
        <f>IF(B340="","",_xlfn.MAXIFS(Prizes!$D$2:$D$3000,Prizes!$E$2:$E$3000,A340,Prizes!$G$2:$G$3000,""))</f>
        <v/>
      </c>
      <c r="H340" s="10">
        <f>IF(B340="","",IF(_xlfn.MAXIFS(Levels!$A$2:$A$30,Levels!$A$2:$A$30,"&lt;="&amp;F340)&gt;G340,INDEX(Levels!$B$2:$B$30,MATCH(_xlfn.MAXIFS(Levels!$A$2:$A$30,Levels!$A$2:$A$30,"&lt;="&amp;F340),Levels!$A$2:$A$30,0)),""))</f>
        <v/>
      </c>
      <c r="I340" s="10">
        <f>IF(B340="","",COUNTIFS(Levels!$A$2:$A$30,"&lt;="&amp;F340,Levels!$A$2:$A$30,"&gt;"&amp;G340))</f>
        <v/>
      </c>
      <c r="J340" s="10">
        <f>IF(OR(B340="",TRIM('Find a child'!$B$3)=""),"",IF(ISNUMBER(SEARCH(TRIM('Find a child'!$B$3),B340&amp;" "&amp;C340)),COUNT(J$1:J339)+1,""))</f>
        <v/>
      </c>
    </row>
    <row r="341">
      <c r="A341" s="10" t="inlineStr">
        <is>
          <t>C0340</t>
        </is>
      </c>
      <c r="B341" s="6" t="n"/>
      <c r="C341" s="6" t="n"/>
      <c r="D341" s="6" t="n"/>
      <c r="E341" s="10">
        <f>IF(B341="","",IF(COUNTIFS($B$2:$B$600,B341,$C$2:$C$600,C341)&gt;1,B341&amp;" ("&amp;C341&amp;") "&amp;A341,B341&amp;" ("&amp;C341&amp;")"))</f>
        <v/>
      </c>
      <c r="F341" s="11">
        <f>IF(B341="","",SUMIFS(Entries!$J$2:$J$3000,Entries!$H$2:$H$3000,A341))</f>
        <v/>
      </c>
      <c r="G341" s="11">
        <f>IF(B341="","",_xlfn.MAXIFS(Prizes!$D$2:$D$3000,Prizes!$E$2:$E$3000,A341,Prizes!$G$2:$G$3000,""))</f>
        <v/>
      </c>
      <c r="H341" s="10">
        <f>IF(B341="","",IF(_xlfn.MAXIFS(Levels!$A$2:$A$30,Levels!$A$2:$A$30,"&lt;="&amp;F341)&gt;G341,INDEX(Levels!$B$2:$B$30,MATCH(_xlfn.MAXIFS(Levels!$A$2:$A$30,Levels!$A$2:$A$30,"&lt;="&amp;F341),Levels!$A$2:$A$30,0)),""))</f>
        <v/>
      </c>
      <c r="I341" s="10">
        <f>IF(B341="","",COUNTIFS(Levels!$A$2:$A$30,"&lt;="&amp;F341,Levels!$A$2:$A$30,"&gt;"&amp;G341))</f>
        <v/>
      </c>
      <c r="J341" s="10">
        <f>IF(OR(B341="",TRIM('Find a child'!$B$3)=""),"",IF(ISNUMBER(SEARCH(TRIM('Find a child'!$B$3),B341&amp;" "&amp;C341)),COUNT(J$1:J340)+1,""))</f>
        <v/>
      </c>
    </row>
    <row r="342">
      <c r="A342" s="10" t="inlineStr">
        <is>
          <t>C0341</t>
        </is>
      </c>
      <c r="B342" s="6" t="n"/>
      <c r="C342" s="6" t="n"/>
      <c r="D342" s="6" t="n"/>
      <c r="E342" s="10">
        <f>IF(B342="","",IF(COUNTIFS($B$2:$B$600,B342,$C$2:$C$600,C342)&gt;1,B342&amp;" ("&amp;C342&amp;") "&amp;A342,B342&amp;" ("&amp;C342&amp;")"))</f>
        <v/>
      </c>
      <c r="F342" s="11">
        <f>IF(B342="","",SUMIFS(Entries!$J$2:$J$3000,Entries!$H$2:$H$3000,A342))</f>
        <v/>
      </c>
      <c r="G342" s="11">
        <f>IF(B342="","",_xlfn.MAXIFS(Prizes!$D$2:$D$3000,Prizes!$E$2:$E$3000,A342,Prizes!$G$2:$G$3000,""))</f>
        <v/>
      </c>
      <c r="H342" s="10">
        <f>IF(B342="","",IF(_xlfn.MAXIFS(Levels!$A$2:$A$30,Levels!$A$2:$A$30,"&lt;="&amp;F342)&gt;G342,INDEX(Levels!$B$2:$B$30,MATCH(_xlfn.MAXIFS(Levels!$A$2:$A$30,Levels!$A$2:$A$30,"&lt;="&amp;F342),Levels!$A$2:$A$30,0)),""))</f>
        <v/>
      </c>
      <c r="I342" s="10">
        <f>IF(B342="","",COUNTIFS(Levels!$A$2:$A$30,"&lt;="&amp;F342,Levels!$A$2:$A$30,"&gt;"&amp;G342))</f>
        <v/>
      </c>
      <c r="J342" s="10">
        <f>IF(OR(B342="",TRIM('Find a child'!$B$3)=""),"",IF(ISNUMBER(SEARCH(TRIM('Find a child'!$B$3),B342&amp;" "&amp;C342)),COUNT(J$1:J341)+1,""))</f>
        <v/>
      </c>
    </row>
    <row r="343">
      <c r="A343" s="10" t="inlineStr">
        <is>
          <t>C0342</t>
        </is>
      </c>
      <c r="B343" s="6" t="n"/>
      <c r="C343" s="6" t="n"/>
      <c r="D343" s="6" t="n"/>
      <c r="E343" s="10">
        <f>IF(B343="","",IF(COUNTIFS($B$2:$B$600,B343,$C$2:$C$600,C343)&gt;1,B343&amp;" ("&amp;C343&amp;") "&amp;A343,B343&amp;" ("&amp;C343&amp;")"))</f>
        <v/>
      </c>
      <c r="F343" s="11">
        <f>IF(B343="","",SUMIFS(Entries!$J$2:$J$3000,Entries!$H$2:$H$3000,A343))</f>
        <v/>
      </c>
      <c r="G343" s="11">
        <f>IF(B343="","",_xlfn.MAXIFS(Prizes!$D$2:$D$3000,Prizes!$E$2:$E$3000,A343,Prizes!$G$2:$G$3000,""))</f>
        <v/>
      </c>
      <c r="H343" s="10">
        <f>IF(B343="","",IF(_xlfn.MAXIFS(Levels!$A$2:$A$30,Levels!$A$2:$A$30,"&lt;="&amp;F343)&gt;G343,INDEX(Levels!$B$2:$B$30,MATCH(_xlfn.MAXIFS(Levels!$A$2:$A$30,Levels!$A$2:$A$30,"&lt;="&amp;F343),Levels!$A$2:$A$30,0)),""))</f>
        <v/>
      </c>
      <c r="I343" s="10">
        <f>IF(B343="","",COUNTIFS(Levels!$A$2:$A$30,"&lt;="&amp;F343,Levels!$A$2:$A$30,"&gt;"&amp;G343))</f>
        <v/>
      </c>
      <c r="J343" s="10">
        <f>IF(OR(B343="",TRIM('Find a child'!$B$3)=""),"",IF(ISNUMBER(SEARCH(TRIM('Find a child'!$B$3),B343&amp;" "&amp;C343)),COUNT(J$1:J342)+1,""))</f>
        <v/>
      </c>
    </row>
    <row r="344">
      <c r="A344" s="10" t="inlineStr">
        <is>
          <t>C0343</t>
        </is>
      </c>
      <c r="B344" s="6" t="n"/>
      <c r="C344" s="6" t="n"/>
      <c r="D344" s="6" t="n"/>
      <c r="E344" s="10">
        <f>IF(B344="","",IF(COUNTIFS($B$2:$B$600,B344,$C$2:$C$600,C344)&gt;1,B344&amp;" ("&amp;C344&amp;") "&amp;A344,B344&amp;" ("&amp;C344&amp;")"))</f>
        <v/>
      </c>
      <c r="F344" s="11">
        <f>IF(B344="","",SUMIFS(Entries!$J$2:$J$3000,Entries!$H$2:$H$3000,A344))</f>
        <v/>
      </c>
      <c r="G344" s="11">
        <f>IF(B344="","",_xlfn.MAXIFS(Prizes!$D$2:$D$3000,Prizes!$E$2:$E$3000,A344,Prizes!$G$2:$G$3000,""))</f>
        <v/>
      </c>
      <c r="H344" s="10">
        <f>IF(B344="","",IF(_xlfn.MAXIFS(Levels!$A$2:$A$30,Levels!$A$2:$A$30,"&lt;="&amp;F344)&gt;G344,INDEX(Levels!$B$2:$B$30,MATCH(_xlfn.MAXIFS(Levels!$A$2:$A$30,Levels!$A$2:$A$30,"&lt;="&amp;F344),Levels!$A$2:$A$30,0)),""))</f>
        <v/>
      </c>
      <c r="I344" s="10">
        <f>IF(B344="","",COUNTIFS(Levels!$A$2:$A$30,"&lt;="&amp;F344,Levels!$A$2:$A$30,"&gt;"&amp;G344))</f>
        <v/>
      </c>
      <c r="J344" s="10">
        <f>IF(OR(B344="",TRIM('Find a child'!$B$3)=""),"",IF(ISNUMBER(SEARCH(TRIM('Find a child'!$B$3),B344&amp;" "&amp;C344)),COUNT(J$1:J343)+1,""))</f>
        <v/>
      </c>
    </row>
    <row r="345">
      <c r="A345" s="10" t="inlineStr">
        <is>
          <t>C0344</t>
        </is>
      </c>
      <c r="B345" s="6" t="n"/>
      <c r="C345" s="6" t="n"/>
      <c r="D345" s="6" t="n"/>
      <c r="E345" s="10">
        <f>IF(B345="","",IF(COUNTIFS($B$2:$B$600,B345,$C$2:$C$600,C345)&gt;1,B345&amp;" ("&amp;C345&amp;") "&amp;A345,B345&amp;" ("&amp;C345&amp;")"))</f>
        <v/>
      </c>
      <c r="F345" s="11">
        <f>IF(B345="","",SUMIFS(Entries!$J$2:$J$3000,Entries!$H$2:$H$3000,A345))</f>
        <v/>
      </c>
      <c r="G345" s="11">
        <f>IF(B345="","",_xlfn.MAXIFS(Prizes!$D$2:$D$3000,Prizes!$E$2:$E$3000,A345,Prizes!$G$2:$G$3000,""))</f>
        <v/>
      </c>
      <c r="H345" s="10">
        <f>IF(B345="","",IF(_xlfn.MAXIFS(Levels!$A$2:$A$30,Levels!$A$2:$A$30,"&lt;="&amp;F345)&gt;G345,INDEX(Levels!$B$2:$B$30,MATCH(_xlfn.MAXIFS(Levels!$A$2:$A$30,Levels!$A$2:$A$30,"&lt;="&amp;F345),Levels!$A$2:$A$30,0)),""))</f>
        <v/>
      </c>
      <c r="I345" s="10">
        <f>IF(B345="","",COUNTIFS(Levels!$A$2:$A$30,"&lt;="&amp;F345,Levels!$A$2:$A$30,"&gt;"&amp;G345))</f>
        <v/>
      </c>
      <c r="J345" s="10">
        <f>IF(OR(B345="",TRIM('Find a child'!$B$3)=""),"",IF(ISNUMBER(SEARCH(TRIM('Find a child'!$B$3),B345&amp;" "&amp;C345)),COUNT(J$1:J344)+1,""))</f>
        <v/>
      </c>
    </row>
    <row r="346">
      <c r="A346" s="10" t="inlineStr">
        <is>
          <t>C0345</t>
        </is>
      </c>
      <c r="B346" s="6" t="n"/>
      <c r="C346" s="6" t="n"/>
      <c r="D346" s="6" t="n"/>
      <c r="E346" s="10">
        <f>IF(B346="","",IF(COUNTIFS($B$2:$B$600,B346,$C$2:$C$600,C346)&gt;1,B346&amp;" ("&amp;C346&amp;") "&amp;A346,B346&amp;" ("&amp;C346&amp;")"))</f>
        <v/>
      </c>
      <c r="F346" s="11">
        <f>IF(B346="","",SUMIFS(Entries!$J$2:$J$3000,Entries!$H$2:$H$3000,A346))</f>
        <v/>
      </c>
      <c r="G346" s="11">
        <f>IF(B346="","",_xlfn.MAXIFS(Prizes!$D$2:$D$3000,Prizes!$E$2:$E$3000,A346,Prizes!$G$2:$G$3000,""))</f>
        <v/>
      </c>
      <c r="H346" s="10">
        <f>IF(B346="","",IF(_xlfn.MAXIFS(Levels!$A$2:$A$30,Levels!$A$2:$A$30,"&lt;="&amp;F346)&gt;G346,INDEX(Levels!$B$2:$B$30,MATCH(_xlfn.MAXIFS(Levels!$A$2:$A$30,Levels!$A$2:$A$30,"&lt;="&amp;F346),Levels!$A$2:$A$30,0)),""))</f>
        <v/>
      </c>
      <c r="I346" s="10">
        <f>IF(B346="","",COUNTIFS(Levels!$A$2:$A$30,"&lt;="&amp;F346,Levels!$A$2:$A$30,"&gt;"&amp;G346))</f>
        <v/>
      </c>
      <c r="J346" s="10">
        <f>IF(OR(B346="",TRIM('Find a child'!$B$3)=""),"",IF(ISNUMBER(SEARCH(TRIM('Find a child'!$B$3),B346&amp;" "&amp;C346)),COUNT(J$1:J345)+1,""))</f>
        <v/>
      </c>
    </row>
    <row r="347">
      <c r="A347" s="10" t="inlineStr">
        <is>
          <t>C0346</t>
        </is>
      </c>
      <c r="B347" s="6" t="n"/>
      <c r="C347" s="6" t="n"/>
      <c r="D347" s="6" t="n"/>
      <c r="E347" s="10">
        <f>IF(B347="","",IF(COUNTIFS($B$2:$B$600,B347,$C$2:$C$600,C347)&gt;1,B347&amp;" ("&amp;C347&amp;") "&amp;A347,B347&amp;" ("&amp;C347&amp;")"))</f>
        <v/>
      </c>
      <c r="F347" s="11">
        <f>IF(B347="","",SUMIFS(Entries!$J$2:$J$3000,Entries!$H$2:$H$3000,A347))</f>
        <v/>
      </c>
      <c r="G347" s="11">
        <f>IF(B347="","",_xlfn.MAXIFS(Prizes!$D$2:$D$3000,Prizes!$E$2:$E$3000,A347,Prizes!$G$2:$G$3000,""))</f>
        <v/>
      </c>
      <c r="H347" s="10">
        <f>IF(B347="","",IF(_xlfn.MAXIFS(Levels!$A$2:$A$30,Levels!$A$2:$A$30,"&lt;="&amp;F347)&gt;G347,INDEX(Levels!$B$2:$B$30,MATCH(_xlfn.MAXIFS(Levels!$A$2:$A$30,Levels!$A$2:$A$30,"&lt;="&amp;F347),Levels!$A$2:$A$30,0)),""))</f>
        <v/>
      </c>
      <c r="I347" s="10">
        <f>IF(B347="","",COUNTIFS(Levels!$A$2:$A$30,"&lt;="&amp;F347,Levels!$A$2:$A$30,"&gt;"&amp;G347))</f>
        <v/>
      </c>
      <c r="J347" s="10">
        <f>IF(OR(B347="",TRIM('Find a child'!$B$3)=""),"",IF(ISNUMBER(SEARCH(TRIM('Find a child'!$B$3),B347&amp;" "&amp;C347)),COUNT(J$1:J346)+1,""))</f>
        <v/>
      </c>
    </row>
    <row r="348">
      <c r="A348" s="10" t="inlineStr">
        <is>
          <t>C0347</t>
        </is>
      </c>
      <c r="B348" s="6" t="n"/>
      <c r="C348" s="6" t="n"/>
      <c r="D348" s="6" t="n"/>
      <c r="E348" s="10">
        <f>IF(B348="","",IF(COUNTIFS($B$2:$B$600,B348,$C$2:$C$600,C348)&gt;1,B348&amp;" ("&amp;C348&amp;") "&amp;A348,B348&amp;" ("&amp;C348&amp;")"))</f>
        <v/>
      </c>
      <c r="F348" s="11">
        <f>IF(B348="","",SUMIFS(Entries!$J$2:$J$3000,Entries!$H$2:$H$3000,A348))</f>
        <v/>
      </c>
      <c r="G348" s="11">
        <f>IF(B348="","",_xlfn.MAXIFS(Prizes!$D$2:$D$3000,Prizes!$E$2:$E$3000,A348,Prizes!$G$2:$G$3000,""))</f>
        <v/>
      </c>
      <c r="H348" s="10">
        <f>IF(B348="","",IF(_xlfn.MAXIFS(Levels!$A$2:$A$30,Levels!$A$2:$A$30,"&lt;="&amp;F348)&gt;G348,INDEX(Levels!$B$2:$B$30,MATCH(_xlfn.MAXIFS(Levels!$A$2:$A$30,Levels!$A$2:$A$30,"&lt;="&amp;F348),Levels!$A$2:$A$30,0)),""))</f>
        <v/>
      </c>
      <c r="I348" s="10">
        <f>IF(B348="","",COUNTIFS(Levels!$A$2:$A$30,"&lt;="&amp;F348,Levels!$A$2:$A$30,"&gt;"&amp;G348))</f>
        <v/>
      </c>
      <c r="J348" s="10">
        <f>IF(OR(B348="",TRIM('Find a child'!$B$3)=""),"",IF(ISNUMBER(SEARCH(TRIM('Find a child'!$B$3),B348&amp;" "&amp;C348)),COUNT(J$1:J347)+1,""))</f>
        <v/>
      </c>
    </row>
    <row r="349">
      <c r="A349" s="10" t="inlineStr">
        <is>
          <t>C0348</t>
        </is>
      </c>
      <c r="B349" s="6" t="n"/>
      <c r="C349" s="6" t="n"/>
      <c r="D349" s="6" t="n"/>
      <c r="E349" s="10">
        <f>IF(B349="","",IF(COUNTIFS($B$2:$B$600,B349,$C$2:$C$600,C349)&gt;1,B349&amp;" ("&amp;C349&amp;") "&amp;A349,B349&amp;" ("&amp;C349&amp;")"))</f>
        <v/>
      </c>
      <c r="F349" s="11">
        <f>IF(B349="","",SUMIFS(Entries!$J$2:$J$3000,Entries!$H$2:$H$3000,A349))</f>
        <v/>
      </c>
      <c r="G349" s="11">
        <f>IF(B349="","",_xlfn.MAXIFS(Prizes!$D$2:$D$3000,Prizes!$E$2:$E$3000,A349,Prizes!$G$2:$G$3000,""))</f>
        <v/>
      </c>
      <c r="H349" s="10">
        <f>IF(B349="","",IF(_xlfn.MAXIFS(Levels!$A$2:$A$30,Levels!$A$2:$A$30,"&lt;="&amp;F349)&gt;G349,INDEX(Levels!$B$2:$B$30,MATCH(_xlfn.MAXIFS(Levels!$A$2:$A$30,Levels!$A$2:$A$30,"&lt;="&amp;F349),Levels!$A$2:$A$30,0)),""))</f>
        <v/>
      </c>
      <c r="I349" s="10">
        <f>IF(B349="","",COUNTIFS(Levels!$A$2:$A$30,"&lt;="&amp;F349,Levels!$A$2:$A$30,"&gt;"&amp;G349))</f>
        <v/>
      </c>
      <c r="J349" s="10">
        <f>IF(OR(B349="",TRIM('Find a child'!$B$3)=""),"",IF(ISNUMBER(SEARCH(TRIM('Find a child'!$B$3),B349&amp;" "&amp;C349)),COUNT(J$1:J348)+1,""))</f>
        <v/>
      </c>
    </row>
    <row r="350">
      <c r="A350" s="10" t="inlineStr">
        <is>
          <t>C0349</t>
        </is>
      </c>
      <c r="B350" s="6" t="n"/>
      <c r="C350" s="6" t="n"/>
      <c r="D350" s="6" t="n"/>
      <c r="E350" s="10">
        <f>IF(B350="","",IF(COUNTIFS($B$2:$B$600,B350,$C$2:$C$600,C350)&gt;1,B350&amp;" ("&amp;C350&amp;") "&amp;A350,B350&amp;" ("&amp;C350&amp;")"))</f>
        <v/>
      </c>
      <c r="F350" s="11">
        <f>IF(B350="","",SUMIFS(Entries!$J$2:$J$3000,Entries!$H$2:$H$3000,A350))</f>
        <v/>
      </c>
      <c r="G350" s="11">
        <f>IF(B350="","",_xlfn.MAXIFS(Prizes!$D$2:$D$3000,Prizes!$E$2:$E$3000,A350,Prizes!$G$2:$G$3000,""))</f>
        <v/>
      </c>
      <c r="H350" s="10">
        <f>IF(B350="","",IF(_xlfn.MAXIFS(Levels!$A$2:$A$30,Levels!$A$2:$A$30,"&lt;="&amp;F350)&gt;G350,INDEX(Levels!$B$2:$B$30,MATCH(_xlfn.MAXIFS(Levels!$A$2:$A$30,Levels!$A$2:$A$30,"&lt;="&amp;F350),Levels!$A$2:$A$30,0)),""))</f>
        <v/>
      </c>
      <c r="I350" s="10">
        <f>IF(B350="","",COUNTIFS(Levels!$A$2:$A$30,"&lt;="&amp;F350,Levels!$A$2:$A$30,"&gt;"&amp;G350))</f>
        <v/>
      </c>
      <c r="J350" s="10">
        <f>IF(OR(B350="",TRIM('Find a child'!$B$3)=""),"",IF(ISNUMBER(SEARCH(TRIM('Find a child'!$B$3),B350&amp;" "&amp;C350)),COUNT(J$1:J349)+1,""))</f>
        <v/>
      </c>
    </row>
    <row r="351">
      <c r="A351" s="10" t="inlineStr">
        <is>
          <t>C0350</t>
        </is>
      </c>
      <c r="B351" s="6" t="n"/>
      <c r="C351" s="6" t="n"/>
      <c r="D351" s="6" t="n"/>
      <c r="E351" s="10">
        <f>IF(B351="","",IF(COUNTIFS($B$2:$B$600,B351,$C$2:$C$600,C351)&gt;1,B351&amp;" ("&amp;C351&amp;") "&amp;A351,B351&amp;" ("&amp;C351&amp;")"))</f>
        <v/>
      </c>
      <c r="F351" s="11">
        <f>IF(B351="","",SUMIFS(Entries!$J$2:$J$3000,Entries!$H$2:$H$3000,A351))</f>
        <v/>
      </c>
      <c r="G351" s="11">
        <f>IF(B351="","",_xlfn.MAXIFS(Prizes!$D$2:$D$3000,Prizes!$E$2:$E$3000,A351,Prizes!$G$2:$G$3000,""))</f>
        <v/>
      </c>
      <c r="H351" s="10">
        <f>IF(B351="","",IF(_xlfn.MAXIFS(Levels!$A$2:$A$30,Levels!$A$2:$A$30,"&lt;="&amp;F351)&gt;G351,INDEX(Levels!$B$2:$B$30,MATCH(_xlfn.MAXIFS(Levels!$A$2:$A$30,Levels!$A$2:$A$30,"&lt;="&amp;F351),Levels!$A$2:$A$30,0)),""))</f>
        <v/>
      </c>
      <c r="I351" s="10">
        <f>IF(B351="","",COUNTIFS(Levels!$A$2:$A$30,"&lt;="&amp;F351,Levels!$A$2:$A$30,"&gt;"&amp;G351))</f>
        <v/>
      </c>
      <c r="J351" s="10">
        <f>IF(OR(B351="",TRIM('Find a child'!$B$3)=""),"",IF(ISNUMBER(SEARCH(TRIM('Find a child'!$B$3),B351&amp;" "&amp;C351)),COUNT(J$1:J350)+1,""))</f>
        <v/>
      </c>
    </row>
    <row r="352">
      <c r="A352" s="10" t="inlineStr">
        <is>
          <t>C0351</t>
        </is>
      </c>
      <c r="B352" s="6" t="n"/>
      <c r="C352" s="6" t="n"/>
      <c r="D352" s="6" t="n"/>
      <c r="E352" s="10">
        <f>IF(B352="","",IF(COUNTIFS($B$2:$B$600,B352,$C$2:$C$600,C352)&gt;1,B352&amp;" ("&amp;C352&amp;") "&amp;A352,B352&amp;" ("&amp;C352&amp;")"))</f>
        <v/>
      </c>
      <c r="F352" s="11">
        <f>IF(B352="","",SUMIFS(Entries!$J$2:$J$3000,Entries!$H$2:$H$3000,A352))</f>
        <v/>
      </c>
      <c r="G352" s="11">
        <f>IF(B352="","",_xlfn.MAXIFS(Prizes!$D$2:$D$3000,Prizes!$E$2:$E$3000,A352,Prizes!$G$2:$G$3000,""))</f>
        <v/>
      </c>
      <c r="H352" s="10">
        <f>IF(B352="","",IF(_xlfn.MAXIFS(Levels!$A$2:$A$30,Levels!$A$2:$A$30,"&lt;="&amp;F352)&gt;G352,INDEX(Levels!$B$2:$B$30,MATCH(_xlfn.MAXIFS(Levels!$A$2:$A$30,Levels!$A$2:$A$30,"&lt;="&amp;F352),Levels!$A$2:$A$30,0)),""))</f>
        <v/>
      </c>
      <c r="I352" s="10">
        <f>IF(B352="","",COUNTIFS(Levels!$A$2:$A$30,"&lt;="&amp;F352,Levels!$A$2:$A$30,"&gt;"&amp;G352))</f>
        <v/>
      </c>
      <c r="J352" s="10">
        <f>IF(OR(B352="",TRIM('Find a child'!$B$3)=""),"",IF(ISNUMBER(SEARCH(TRIM('Find a child'!$B$3),B352&amp;" "&amp;C352)),COUNT(J$1:J351)+1,""))</f>
        <v/>
      </c>
    </row>
    <row r="353">
      <c r="A353" s="10" t="inlineStr">
        <is>
          <t>C0352</t>
        </is>
      </c>
      <c r="B353" s="6" t="n"/>
      <c r="C353" s="6" t="n"/>
      <c r="D353" s="6" t="n"/>
      <c r="E353" s="10">
        <f>IF(B353="","",IF(COUNTIFS($B$2:$B$600,B353,$C$2:$C$600,C353)&gt;1,B353&amp;" ("&amp;C353&amp;") "&amp;A353,B353&amp;" ("&amp;C353&amp;")"))</f>
        <v/>
      </c>
      <c r="F353" s="11">
        <f>IF(B353="","",SUMIFS(Entries!$J$2:$J$3000,Entries!$H$2:$H$3000,A353))</f>
        <v/>
      </c>
      <c r="G353" s="11">
        <f>IF(B353="","",_xlfn.MAXIFS(Prizes!$D$2:$D$3000,Prizes!$E$2:$E$3000,A353,Prizes!$G$2:$G$3000,""))</f>
        <v/>
      </c>
      <c r="H353" s="10">
        <f>IF(B353="","",IF(_xlfn.MAXIFS(Levels!$A$2:$A$30,Levels!$A$2:$A$30,"&lt;="&amp;F353)&gt;G353,INDEX(Levels!$B$2:$B$30,MATCH(_xlfn.MAXIFS(Levels!$A$2:$A$30,Levels!$A$2:$A$30,"&lt;="&amp;F353),Levels!$A$2:$A$30,0)),""))</f>
        <v/>
      </c>
      <c r="I353" s="10">
        <f>IF(B353="","",COUNTIFS(Levels!$A$2:$A$30,"&lt;="&amp;F353,Levels!$A$2:$A$30,"&gt;"&amp;G353))</f>
        <v/>
      </c>
      <c r="J353" s="10">
        <f>IF(OR(B353="",TRIM('Find a child'!$B$3)=""),"",IF(ISNUMBER(SEARCH(TRIM('Find a child'!$B$3),B353&amp;" "&amp;C353)),COUNT(J$1:J352)+1,""))</f>
        <v/>
      </c>
    </row>
    <row r="354">
      <c r="A354" s="10" t="inlineStr">
        <is>
          <t>C0353</t>
        </is>
      </c>
      <c r="B354" s="6" t="n"/>
      <c r="C354" s="6" t="n"/>
      <c r="D354" s="6" t="n"/>
      <c r="E354" s="10">
        <f>IF(B354="","",IF(COUNTIFS($B$2:$B$600,B354,$C$2:$C$600,C354)&gt;1,B354&amp;" ("&amp;C354&amp;") "&amp;A354,B354&amp;" ("&amp;C354&amp;")"))</f>
        <v/>
      </c>
      <c r="F354" s="11">
        <f>IF(B354="","",SUMIFS(Entries!$J$2:$J$3000,Entries!$H$2:$H$3000,A354))</f>
        <v/>
      </c>
      <c r="G354" s="11">
        <f>IF(B354="","",_xlfn.MAXIFS(Prizes!$D$2:$D$3000,Prizes!$E$2:$E$3000,A354,Prizes!$G$2:$G$3000,""))</f>
        <v/>
      </c>
      <c r="H354" s="10">
        <f>IF(B354="","",IF(_xlfn.MAXIFS(Levels!$A$2:$A$30,Levels!$A$2:$A$30,"&lt;="&amp;F354)&gt;G354,INDEX(Levels!$B$2:$B$30,MATCH(_xlfn.MAXIFS(Levels!$A$2:$A$30,Levels!$A$2:$A$30,"&lt;="&amp;F354),Levels!$A$2:$A$30,0)),""))</f>
        <v/>
      </c>
      <c r="I354" s="10">
        <f>IF(B354="","",COUNTIFS(Levels!$A$2:$A$30,"&lt;="&amp;F354,Levels!$A$2:$A$30,"&gt;"&amp;G354))</f>
        <v/>
      </c>
      <c r="J354" s="10">
        <f>IF(OR(B354="",TRIM('Find a child'!$B$3)=""),"",IF(ISNUMBER(SEARCH(TRIM('Find a child'!$B$3),B354&amp;" "&amp;C354)),COUNT(J$1:J353)+1,""))</f>
        <v/>
      </c>
    </row>
    <row r="355">
      <c r="A355" s="10" t="inlineStr">
        <is>
          <t>C0354</t>
        </is>
      </c>
      <c r="B355" s="6" t="n"/>
      <c r="C355" s="6" t="n"/>
      <c r="D355" s="6" t="n"/>
      <c r="E355" s="10">
        <f>IF(B355="","",IF(COUNTIFS($B$2:$B$600,B355,$C$2:$C$600,C355)&gt;1,B355&amp;" ("&amp;C355&amp;") "&amp;A355,B355&amp;" ("&amp;C355&amp;")"))</f>
        <v/>
      </c>
      <c r="F355" s="11">
        <f>IF(B355="","",SUMIFS(Entries!$J$2:$J$3000,Entries!$H$2:$H$3000,A355))</f>
        <v/>
      </c>
      <c r="G355" s="11">
        <f>IF(B355="","",_xlfn.MAXIFS(Prizes!$D$2:$D$3000,Prizes!$E$2:$E$3000,A355,Prizes!$G$2:$G$3000,""))</f>
        <v/>
      </c>
      <c r="H355" s="10">
        <f>IF(B355="","",IF(_xlfn.MAXIFS(Levels!$A$2:$A$30,Levels!$A$2:$A$30,"&lt;="&amp;F355)&gt;G355,INDEX(Levels!$B$2:$B$30,MATCH(_xlfn.MAXIFS(Levels!$A$2:$A$30,Levels!$A$2:$A$30,"&lt;="&amp;F355),Levels!$A$2:$A$30,0)),""))</f>
        <v/>
      </c>
      <c r="I355" s="10">
        <f>IF(B355="","",COUNTIFS(Levels!$A$2:$A$30,"&lt;="&amp;F355,Levels!$A$2:$A$30,"&gt;"&amp;G355))</f>
        <v/>
      </c>
      <c r="J355" s="10">
        <f>IF(OR(B355="",TRIM('Find a child'!$B$3)=""),"",IF(ISNUMBER(SEARCH(TRIM('Find a child'!$B$3),B355&amp;" "&amp;C355)),COUNT(J$1:J354)+1,""))</f>
        <v/>
      </c>
    </row>
    <row r="356">
      <c r="A356" s="10" t="inlineStr">
        <is>
          <t>C0355</t>
        </is>
      </c>
      <c r="B356" s="6" t="n"/>
      <c r="C356" s="6" t="n"/>
      <c r="D356" s="6" t="n"/>
      <c r="E356" s="10">
        <f>IF(B356="","",IF(COUNTIFS($B$2:$B$600,B356,$C$2:$C$600,C356)&gt;1,B356&amp;" ("&amp;C356&amp;") "&amp;A356,B356&amp;" ("&amp;C356&amp;")"))</f>
        <v/>
      </c>
      <c r="F356" s="11">
        <f>IF(B356="","",SUMIFS(Entries!$J$2:$J$3000,Entries!$H$2:$H$3000,A356))</f>
        <v/>
      </c>
      <c r="G356" s="11">
        <f>IF(B356="","",_xlfn.MAXIFS(Prizes!$D$2:$D$3000,Prizes!$E$2:$E$3000,A356,Prizes!$G$2:$G$3000,""))</f>
        <v/>
      </c>
      <c r="H356" s="10">
        <f>IF(B356="","",IF(_xlfn.MAXIFS(Levels!$A$2:$A$30,Levels!$A$2:$A$30,"&lt;="&amp;F356)&gt;G356,INDEX(Levels!$B$2:$B$30,MATCH(_xlfn.MAXIFS(Levels!$A$2:$A$30,Levels!$A$2:$A$30,"&lt;="&amp;F356),Levels!$A$2:$A$30,0)),""))</f>
        <v/>
      </c>
      <c r="I356" s="10">
        <f>IF(B356="","",COUNTIFS(Levels!$A$2:$A$30,"&lt;="&amp;F356,Levels!$A$2:$A$30,"&gt;"&amp;G356))</f>
        <v/>
      </c>
      <c r="J356" s="10">
        <f>IF(OR(B356="",TRIM('Find a child'!$B$3)=""),"",IF(ISNUMBER(SEARCH(TRIM('Find a child'!$B$3),B356&amp;" "&amp;C356)),COUNT(J$1:J355)+1,""))</f>
        <v/>
      </c>
    </row>
    <row r="357">
      <c r="A357" s="10" t="inlineStr">
        <is>
          <t>C0356</t>
        </is>
      </c>
      <c r="B357" s="6" t="n"/>
      <c r="C357" s="6" t="n"/>
      <c r="D357" s="6" t="n"/>
      <c r="E357" s="10">
        <f>IF(B357="","",IF(COUNTIFS($B$2:$B$600,B357,$C$2:$C$600,C357)&gt;1,B357&amp;" ("&amp;C357&amp;") "&amp;A357,B357&amp;" ("&amp;C357&amp;")"))</f>
        <v/>
      </c>
      <c r="F357" s="11">
        <f>IF(B357="","",SUMIFS(Entries!$J$2:$J$3000,Entries!$H$2:$H$3000,A357))</f>
        <v/>
      </c>
      <c r="G357" s="11">
        <f>IF(B357="","",_xlfn.MAXIFS(Prizes!$D$2:$D$3000,Prizes!$E$2:$E$3000,A357,Prizes!$G$2:$G$3000,""))</f>
        <v/>
      </c>
      <c r="H357" s="10">
        <f>IF(B357="","",IF(_xlfn.MAXIFS(Levels!$A$2:$A$30,Levels!$A$2:$A$30,"&lt;="&amp;F357)&gt;G357,INDEX(Levels!$B$2:$B$30,MATCH(_xlfn.MAXIFS(Levels!$A$2:$A$30,Levels!$A$2:$A$30,"&lt;="&amp;F357),Levels!$A$2:$A$30,0)),""))</f>
        <v/>
      </c>
      <c r="I357" s="10">
        <f>IF(B357="","",COUNTIFS(Levels!$A$2:$A$30,"&lt;="&amp;F357,Levels!$A$2:$A$30,"&gt;"&amp;G357))</f>
        <v/>
      </c>
      <c r="J357" s="10">
        <f>IF(OR(B357="",TRIM('Find a child'!$B$3)=""),"",IF(ISNUMBER(SEARCH(TRIM('Find a child'!$B$3),B357&amp;" "&amp;C357)),COUNT(J$1:J356)+1,""))</f>
        <v/>
      </c>
    </row>
    <row r="358">
      <c r="A358" s="10" t="inlineStr">
        <is>
          <t>C0357</t>
        </is>
      </c>
      <c r="B358" s="6" t="n"/>
      <c r="C358" s="6" t="n"/>
      <c r="D358" s="6" t="n"/>
      <c r="E358" s="10">
        <f>IF(B358="","",IF(COUNTIFS($B$2:$B$600,B358,$C$2:$C$600,C358)&gt;1,B358&amp;" ("&amp;C358&amp;") "&amp;A358,B358&amp;" ("&amp;C358&amp;")"))</f>
        <v/>
      </c>
      <c r="F358" s="11">
        <f>IF(B358="","",SUMIFS(Entries!$J$2:$J$3000,Entries!$H$2:$H$3000,A358))</f>
        <v/>
      </c>
      <c r="G358" s="11">
        <f>IF(B358="","",_xlfn.MAXIFS(Prizes!$D$2:$D$3000,Prizes!$E$2:$E$3000,A358,Prizes!$G$2:$G$3000,""))</f>
        <v/>
      </c>
      <c r="H358" s="10">
        <f>IF(B358="","",IF(_xlfn.MAXIFS(Levels!$A$2:$A$30,Levels!$A$2:$A$30,"&lt;="&amp;F358)&gt;G358,INDEX(Levels!$B$2:$B$30,MATCH(_xlfn.MAXIFS(Levels!$A$2:$A$30,Levels!$A$2:$A$30,"&lt;="&amp;F358),Levels!$A$2:$A$30,0)),""))</f>
        <v/>
      </c>
      <c r="I358" s="10">
        <f>IF(B358="","",COUNTIFS(Levels!$A$2:$A$30,"&lt;="&amp;F358,Levels!$A$2:$A$30,"&gt;"&amp;G358))</f>
        <v/>
      </c>
      <c r="J358" s="10">
        <f>IF(OR(B358="",TRIM('Find a child'!$B$3)=""),"",IF(ISNUMBER(SEARCH(TRIM('Find a child'!$B$3),B358&amp;" "&amp;C358)),COUNT(J$1:J357)+1,""))</f>
        <v/>
      </c>
    </row>
    <row r="359">
      <c r="A359" s="10" t="inlineStr">
        <is>
          <t>C0358</t>
        </is>
      </c>
      <c r="B359" s="6" t="n"/>
      <c r="C359" s="6" t="n"/>
      <c r="D359" s="6" t="n"/>
      <c r="E359" s="10">
        <f>IF(B359="","",IF(COUNTIFS($B$2:$B$600,B359,$C$2:$C$600,C359)&gt;1,B359&amp;" ("&amp;C359&amp;") "&amp;A359,B359&amp;" ("&amp;C359&amp;")"))</f>
        <v/>
      </c>
      <c r="F359" s="11">
        <f>IF(B359="","",SUMIFS(Entries!$J$2:$J$3000,Entries!$H$2:$H$3000,A359))</f>
        <v/>
      </c>
      <c r="G359" s="11">
        <f>IF(B359="","",_xlfn.MAXIFS(Prizes!$D$2:$D$3000,Prizes!$E$2:$E$3000,A359,Prizes!$G$2:$G$3000,""))</f>
        <v/>
      </c>
      <c r="H359" s="10">
        <f>IF(B359="","",IF(_xlfn.MAXIFS(Levels!$A$2:$A$30,Levels!$A$2:$A$30,"&lt;="&amp;F359)&gt;G359,INDEX(Levels!$B$2:$B$30,MATCH(_xlfn.MAXIFS(Levels!$A$2:$A$30,Levels!$A$2:$A$30,"&lt;="&amp;F359),Levels!$A$2:$A$30,0)),""))</f>
        <v/>
      </c>
      <c r="I359" s="10">
        <f>IF(B359="","",COUNTIFS(Levels!$A$2:$A$30,"&lt;="&amp;F359,Levels!$A$2:$A$30,"&gt;"&amp;G359))</f>
        <v/>
      </c>
      <c r="J359" s="10">
        <f>IF(OR(B359="",TRIM('Find a child'!$B$3)=""),"",IF(ISNUMBER(SEARCH(TRIM('Find a child'!$B$3),B359&amp;" "&amp;C359)),COUNT(J$1:J358)+1,""))</f>
        <v/>
      </c>
    </row>
    <row r="360">
      <c r="A360" s="10" t="inlineStr">
        <is>
          <t>C0359</t>
        </is>
      </c>
      <c r="B360" s="6" t="n"/>
      <c r="C360" s="6" t="n"/>
      <c r="D360" s="6" t="n"/>
      <c r="E360" s="10">
        <f>IF(B360="","",IF(COUNTIFS($B$2:$B$600,B360,$C$2:$C$600,C360)&gt;1,B360&amp;" ("&amp;C360&amp;") "&amp;A360,B360&amp;" ("&amp;C360&amp;")"))</f>
        <v/>
      </c>
      <c r="F360" s="11">
        <f>IF(B360="","",SUMIFS(Entries!$J$2:$J$3000,Entries!$H$2:$H$3000,A360))</f>
        <v/>
      </c>
      <c r="G360" s="11">
        <f>IF(B360="","",_xlfn.MAXIFS(Prizes!$D$2:$D$3000,Prizes!$E$2:$E$3000,A360,Prizes!$G$2:$G$3000,""))</f>
        <v/>
      </c>
      <c r="H360" s="10">
        <f>IF(B360="","",IF(_xlfn.MAXIFS(Levels!$A$2:$A$30,Levels!$A$2:$A$30,"&lt;="&amp;F360)&gt;G360,INDEX(Levels!$B$2:$B$30,MATCH(_xlfn.MAXIFS(Levels!$A$2:$A$30,Levels!$A$2:$A$30,"&lt;="&amp;F360),Levels!$A$2:$A$30,0)),""))</f>
        <v/>
      </c>
      <c r="I360" s="10">
        <f>IF(B360="","",COUNTIFS(Levels!$A$2:$A$30,"&lt;="&amp;F360,Levels!$A$2:$A$30,"&gt;"&amp;G360))</f>
        <v/>
      </c>
      <c r="J360" s="10">
        <f>IF(OR(B360="",TRIM('Find a child'!$B$3)=""),"",IF(ISNUMBER(SEARCH(TRIM('Find a child'!$B$3),B360&amp;" "&amp;C360)),COUNT(J$1:J359)+1,""))</f>
        <v/>
      </c>
    </row>
    <row r="361">
      <c r="A361" s="10" t="inlineStr">
        <is>
          <t>C0360</t>
        </is>
      </c>
      <c r="B361" s="6" t="n"/>
      <c r="C361" s="6" t="n"/>
      <c r="D361" s="6" t="n"/>
      <c r="E361" s="10">
        <f>IF(B361="","",IF(COUNTIFS($B$2:$B$600,B361,$C$2:$C$600,C361)&gt;1,B361&amp;" ("&amp;C361&amp;") "&amp;A361,B361&amp;" ("&amp;C361&amp;")"))</f>
        <v/>
      </c>
      <c r="F361" s="11">
        <f>IF(B361="","",SUMIFS(Entries!$J$2:$J$3000,Entries!$H$2:$H$3000,A361))</f>
        <v/>
      </c>
      <c r="G361" s="11">
        <f>IF(B361="","",_xlfn.MAXIFS(Prizes!$D$2:$D$3000,Prizes!$E$2:$E$3000,A361,Prizes!$G$2:$G$3000,""))</f>
        <v/>
      </c>
      <c r="H361" s="10">
        <f>IF(B361="","",IF(_xlfn.MAXIFS(Levels!$A$2:$A$30,Levels!$A$2:$A$30,"&lt;="&amp;F361)&gt;G361,INDEX(Levels!$B$2:$B$30,MATCH(_xlfn.MAXIFS(Levels!$A$2:$A$30,Levels!$A$2:$A$30,"&lt;="&amp;F361),Levels!$A$2:$A$30,0)),""))</f>
        <v/>
      </c>
      <c r="I361" s="10">
        <f>IF(B361="","",COUNTIFS(Levels!$A$2:$A$30,"&lt;="&amp;F361,Levels!$A$2:$A$30,"&gt;"&amp;G361))</f>
        <v/>
      </c>
      <c r="J361" s="10">
        <f>IF(OR(B361="",TRIM('Find a child'!$B$3)=""),"",IF(ISNUMBER(SEARCH(TRIM('Find a child'!$B$3),B361&amp;" "&amp;C361)),COUNT(J$1:J360)+1,""))</f>
        <v/>
      </c>
    </row>
    <row r="362">
      <c r="A362" s="10" t="inlineStr">
        <is>
          <t>C0361</t>
        </is>
      </c>
      <c r="B362" s="6" t="n"/>
      <c r="C362" s="6" t="n"/>
      <c r="D362" s="6" t="n"/>
      <c r="E362" s="10">
        <f>IF(B362="","",IF(COUNTIFS($B$2:$B$600,B362,$C$2:$C$600,C362)&gt;1,B362&amp;" ("&amp;C362&amp;") "&amp;A362,B362&amp;" ("&amp;C362&amp;")"))</f>
        <v/>
      </c>
      <c r="F362" s="11">
        <f>IF(B362="","",SUMIFS(Entries!$J$2:$J$3000,Entries!$H$2:$H$3000,A362))</f>
        <v/>
      </c>
      <c r="G362" s="11">
        <f>IF(B362="","",_xlfn.MAXIFS(Prizes!$D$2:$D$3000,Prizes!$E$2:$E$3000,A362,Prizes!$G$2:$G$3000,""))</f>
        <v/>
      </c>
      <c r="H362" s="10">
        <f>IF(B362="","",IF(_xlfn.MAXIFS(Levels!$A$2:$A$30,Levels!$A$2:$A$30,"&lt;="&amp;F362)&gt;G362,INDEX(Levels!$B$2:$B$30,MATCH(_xlfn.MAXIFS(Levels!$A$2:$A$30,Levels!$A$2:$A$30,"&lt;="&amp;F362),Levels!$A$2:$A$30,0)),""))</f>
        <v/>
      </c>
      <c r="I362" s="10">
        <f>IF(B362="","",COUNTIFS(Levels!$A$2:$A$30,"&lt;="&amp;F362,Levels!$A$2:$A$30,"&gt;"&amp;G362))</f>
        <v/>
      </c>
      <c r="J362" s="10">
        <f>IF(OR(B362="",TRIM('Find a child'!$B$3)=""),"",IF(ISNUMBER(SEARCH(TRIM('Find a child'!$B$3),B362&amp;" "&amp;C362)),COUNT(J$1:J361)+1,""))</f>
        <v/>
      </c>
    </row>
    <row r="363">
      <c r="A363" s="10" t="inlineStr">
        <is>
          <t>C0362</t>
        </is>
      </c>
      <c r="B363" s="6" t="n"/>
      <c r="C363" s="6" t="n"/>
      <c r="D363" s="6" t="n"/>
      <c r="E363" s="10">
        <f>IF(B363="","",IF(COUNTIFS($B$2:$B$600,B363,$C$2:$C$600,C363)&gt;1,B363&amp;" ("&amp;C363&amp;") "&amp;A363,B363&amp;" ("&amp;C363&amp;")"))</f>
        <v/>
      </c>
      <c r="F363" s="11">
        <f>IF(B363="","",SUMIFS(Entries!$J$2:$J$3000,Entries!$H$2:$H$3000,A363))</f>
        <v/>
      </c>
      <c r="G363" s="11">
        <f>IF(B363="","",_xlfn.MAXIFS(Prizes!$D$2:$D$3000,Prizes!$E$2:$E$3000,A363,Prizes!$G$2:$G$3000,""))</f>
        <v/>
      </c>
      <c r="H363" s="10">
        <f>IF(B363="","",IF(_xlfn.MAXIFS(Levels!$A$2:$A$30,Levels!$A$2:$A$30,"&lt;="&amp;F363)&gt;G363,INDEX(Levels!$B$2:$B$30,MATCH(_xlfn.MAXIFS(Levels!$A$2:$A$30,Levels!$A$2:$A$30,"&lt;="&amp;F363),Levels!$A$2:$A$30,0)),""))</f>
        <v/>
      </c>
      <c r="I363" s="10">
        <f>IF(B363="","",COUNTIFS(Levels!$A$2:$A$30,"&lt;="&amp;F363,Levels!$A$2:$A$30,"&gt;"&amp;G363))</f>
        <v/>
      </c>
      <c r="J363" s="10">
        <f>IF(OR(B363="",TRIM('Find a child'!$B$3)=""),"",IF(ISNUMBER(SEARCH(TRIM('Find a child'!$B$3),B363&amp;" "&amp;C363)),COUNT(J$1:J362)+1,""))</f>
        <v/>
      </c>
    </row>
    <row r="364">
      <c r="A364" s="10" t="inlineStr">
        <is>
          <t>C0363</t>
        </is>
      </c>
      <c r="B364" s="6" t="n"/>
      <c r="C364" s="6" t="n"/>
      <c r="D364" s="6" t="n"/>
      <c r="E364" s="10">
        <f>IF(B364="","",IF(COUNTIFS($B$2:$B$600,B364,$C$2:$C$600,C364)&gt;1,B364&amp;" ("&amp;C364&amp;") "&amp;A364,B364&amp;" ("&amp;C364&amp;")"))</f>
        <v/>
      </c>
      <c r="F364" s="11">
        <f>IF(B364="","",SUMIFS(Entries!$J$2:$J$3000,Entries!$H$2:$H$3000,A364))</f>
        <v/>
      </c>
      <c r="G364" s="11">
        <f>IF(B364="","",_xlfn.MAXIFS(Prizes!$D$2:$D$3000,Prizes!$E$2:$E$3000,A364,Prizes!$G$2:$G$3000,""))</f>
        <v/>
      </c>
      <c r="H364" s="10">
        <f>IF(B364="","",IF(_xlfn.MAXIFS(Levels!$A$2:$A$30,Levels!$A$2:$A$30,"&lt;="&amp;F364)&gt;G364,INDEX(Levels!$B$2:$B$30,MATCH(_xlfn.MAXIFS(Levels!$A$2:$A$30,Levels!$A$2:$A$30,"&lt;="&amp;F364),Levels!$A$2:$A$30,0)),""))</f>
        <v/>
      </c>
      <c r="I364" s="10">
        <f>IF(B364="","",COUNTIFS(Levels!$A$2:$A$30,"&lt;="&amp;F364,Levels!$A$2:$A$30,"&gt;"&amp;G364))</f>
        <v/>
      </c>
      <c r="J364" s="10">
        <f>IF(OR(B364="",TRIM('Find a child'!$B$3)=""),"",IF(ISNUMBER(SEARCH(TRIM('Find a child'!$B$3),B364&amp;" "&amp;C364)),COUNT(J$1:J363)+1,""))</f>
        <v/>
      </c>
    </row>
    <row r="365">
      <c r="A365" s="10" t="inlineStr">
        <is>
          <t>C0364</t>
        </is>
      </c>
      <c r="B365" s="6" t="n"/>
      <c r="C365" s="6" t="n"/>
      <c r="D365" s="6" t="n"/>
      <c r="E365" s="10">
        <f>IF(B365="","",IF(COUNTIFS($B$2:$B$600,B365,$C$2:$C$600,C365)&gt;1,B365&amp;" ("&amp;C365&amp;") "&amp;A365,B365&amp;" ("&amp;C365&amp;")"))</f>
        <v/>
      </c>
      <c r="F365" s="11">
        <f>IF(B365="","",SUMIFS(Entries!$J$2:$J$3000,Entries!$H$2:$H$3000,A365))</f>
        <v/>
      </c>
      <c r="G365" s="11">
        <f>IF(B365="","",_xlfn.MAXIFS(Prizes!$D$2:$D$3000,Prizes!$E$2:$E$3000,A365,Prizes!$G$2:$G$3000,""))</f>
        <v/>
      </c>
      <c r="H365" s="10">
        <f>IF(B365="","",IF(_xlfn.MAXIFS(Levels!$A$2:$A$30,Levels!$A$2:$A$30,"&lt;="&amp;F365)&gt;G365,INDEX(Levels!$B$2:$B$30,MATCH(_xlfn.MAXIFS(Levels!$A$2:$A$30,Levels!$A$2:$A$30,"&lt;="&amp;F365),Levels!$A$2:$A$30,0)),""))</f>
        <v/>
      </c>
      <c r="I365" s="10">
        <f>IF(B365="","",COUNTIFS(Levels!$A$2:$A$30,"&lt;="&amp;F365,Levels!$A$2:$A$30,"&gt;"&amp;G365))</f>
        <v/>
      </c>
      <c r="J365" s="10">
        <f>IF(OR(B365="",TRIM('Find a child'!$B$3)=""),"",IF(ISNUMBER(SEARCH(TRIM('Find a child'!$B$3),B365&amp;" "&amp;C365)),COUNT(J$1:J364)+1,""))</f>
        <v/>
      </c>
    </row>
    <row r="366">
      <c r="A366" s="10" t="inlineStr">
        <is>
          <t>C0365</t>
        </is>
      </c>
      <c r="B366" s="6" t="n"/>
      <c r="C366" s="6" t="n"/>
      <c r="D366" s="6" t="n"/>
      <c r="E366" s="10">
        <f>IF(B366="","",IF(COUNTIFS($B$2:$B$600,B366,$C$2:$C$600,C366)&gt;1,B366&amp;" ("&amp;C366&amp;") "&amp;A366,B366&amp;" ("&amp;C366&amp;")"))</f>
        <v/>
      </c>
      <c r="F366" s="11">
        <f>IF(B366="","",SUMIFS(Entries!$J$2:$J$3000,Entries!$H$2:$H$3000,A366))</f>
        <v/>
      </c>
      <c r="G366" s="11">
        <f>IF(B366="","",_xlfn.MAXIFS(Prizes!$D$2:$D$3000,Prizes!$E$2:$E$3000,A366,Prizes!$G$2:$G$3000,""))</f>
        <v/>
      </c>
      <c r="H366" s="10">
        <f>IF(B366="","",IF(_xlfn.MAXIFS(Levels!$A$2:$A$30,Levels!$A$2:$A$30,"&lt;="&amp;F366)&gt;G366,INDEX(Levels!$B$2:$B$30,MATCH(_xlfn.MAXIFS(Levels!$A$2:$A$30,Levels!$A$2:$A$30,"&lt;="&amp;F366),Levels!$A$2:$A$30,0)),""))</f>
        <v/>
      </c>
      <c r="I366" s="10">
        <f>IF(B366="","",COUNTIFS(Levels!$A$2:$A$30,"&lt;="&amp;F366,Levels!$A$2:$A$30,"&gt;"&amp;G366))</f>
        <v/>
      </c>
      <c r="J366" s="10">
        <f>IF(OR(B366="",TRIM('Find a child'!$B$3)=""),"",IF(ISNUMBER(SEARCH(TRIM('Find a child'!$B$3),B366&amp;" "&amp;C366)),COUNT(J$1:J365)+1,""))</f>
        <v/>
      </c>
    </row>
    <row r="367">
      <c r="A367" s="10" t="inlineStr">
        <is>
          <t>C0366</t>
        </is>
      </c>
      <c r="B367" s="6" t="n"/>
      <c r="C367" s="6" t="n"/>
      <c r="D367" s="6" t="n"/>
      <c r="E367" s="10">
        <f>IF(B367="","",IF(COUNTIFS($B$2:$B$600,B367,$C$2:$C$600,C367)&gt;1,B367&amp;" ("&amp;C367&amp;") "&amp;A367,B367&amp;" ("&amp;C367&amp;")"))</f>
        <v/>
      </c>
      <c r="F367" s="11">
        <f>IF(B367="","",SUMIFS(Entries!$J$2:$J$3000,Entries!$H$2:$H$3000,A367))</f>
        <v/>
      </c>
      <c r="G367" s="11">
        <f>IF(B367="","",_xlfn.MAXIFS(Prizes!$D$2:$D$3000,Prizes!$E$2:$E$3000,A367,Prizes!$G$2:$G$3000,""))</f>
        <v/>
      </c>
      <c r="H367" s="10">
        <f>IF(B367="","",IF(_xlfn.MAXIFS(Levels!$A$2:$A$30,Levels!$A$2:$A$30,"&lt;="&amp;F367)&gt;G367,INDEX(Levels!$B$2:$B$30,MATCH(_xlfn.MAXIFS(Levels!$A$2:$A$30,Levels!$A$2:$A$30,"&lt;="&amp;F367),Levels!$A$2:$A$30,0)),""))</f>
        <v/>
      </c>
      <c r="I367" s="10">
        <f>IF(B367="","",COUNTIFS(Levels!$A$2:$A$30,"&lt;="&amp;F367,Levels!$A$2:$A$30,"&gt;"&amp;G367))</f>
        <v/>
      </c>
      <c r="J367" s="10">
        <f>IF(OR(B367="",TRIM('Find a child'!$B$3)=""),"",IF(ISNUMBER(SEARCH(TRIM('Find a child'!$B$3),B367&amp;" "&amp;C367)),COUNT(J$1:J366)+1,""))</f>
        <v/>
      </c>
    </row>
    <row r="368">
      <c r="A368" s="10" t="inlineStr">
        <is>
          <t>C0367</t>
        </is>
      </c>
      <c r="B368" s="6" t="n"/>
      <c r="C368" s="6" t="n"/>
      <c r="D368" s="6" t="n"/>
      <c r="E368" s="10">
        <f>IF(B368="","",IF(COUNTIFS($B$2:$B$600,B368,$C$2:$C$600,C368)&gt;1,B368&amp;" ("&amp;C368&amp;") "&amp;A368,B368&amp;" ("&amp;C368&amp;")"))</f>
        <v/>
      </c>
      <c r="F368" s="11">
        <f>IF(B368="","",SUMIFS(Entries!$J$2:$J$3000,Entries!$H$2:$H$3000,A368))</f>
        <v/>
      </c>
      <c r="G368" s="11">
        <f>IF(B368="","",_xlfn.MAXIFS(Prizes!$D$2:$D$3000,Prizes!$E$2:$E$3000,A368,Prizes!$G$2:$G$3000,""))</f>
        <v/>
      </c>
      <c r="H368" s="10">
        <f>IF(B368="","",IF(_xlfn.MAXIFS(Levels!$A$2:$A$30,Levels!$A$2:$A$30,"&lt;="&amp;F368)&gt;G368,INDEX(Levels!$B$2:$B$30,MATCH(_xlfn.MAXIFS(Levels!$A$2:$A$30,Levels!$A$2:$A$30,"&lt;="&amp;F368),Levels!$A$2:$A$30,0)),""))</f>
        <v/>
      </c>
      <c r="I368" s="10">
        <f>IF(B368="","",COUNTIFS(Levels!$A$2:$A$30,"&lt;="&amp;F368,Levels!$A$2:$A$30,"&gt;"&amp;G368))</f>
        <v/>
      </c>
      <c r="J368" s="10">
        <f>IF(OR(B368="",TRIM('Find a child'!$B$3)=""),"",IF(ISNUMBER(SEARCH(TRIM('Find a child'!$B$3),B368&amp;" "&amp;C368)),COUNT(J$1:J367)+1,""))</f>
        <v/>
      </c>
    </row>
    <row r="369">
      <c r="A369" s="10" t="inlineStr">
        <is>
          <t>C0368</t>
        </is>
      </c>
      <c r="B369" s="6" t="n"/>
      <c r="C369" s="6" t="n"/>
      <c r="D369" s="6" t="n"/>
      <c r="E369" s="10">
        <f>IF(B369="","",IF(COUNTIFS($B$2:$B$600,B369,$C$2:$C$600,C369)&gt;1,B369&amp;" ("&amp;C369&amp;") "&amp;A369,B369&amp;" ("&amp;C369&amp;")"))</f>
        <v/>
      </c>
      <c r="F369" s="11">
        <f>IF(B369="","",SUMIFS(Entries!$J$2:$J$3000,Entries!$H$2:$H$3000,A369))</f>
        <v/>
      </c>
      <c r="G369" s="11">
        <f>IF(B369="","",_xlfn.MAXIFS(Prizes!$D$2:$D$3000,Prizes!$E$2:$E$3000,A369,Prizes!$G$2:$G$3000,""))</f>
        <v/>
      </c>
      <c r="H369" s="10">
        <f>IF(B369="","",IF(_xlfn.MAXIFS(Levels!$A$2:$A$30,Levels!$A$2:$A$30,"&lt;="&amp;F369)&gt;G369,INDEX(Levels!$B$2:$B$30,MATCH(_xlfn.MAXIFS(Levels!$A$2:$A$30,Levels!$A$2:$A$30,"&lt;="&amp;F369),Levels!$A$2:$A$30,0)),""))</f>
        <v/>
      </c>
      <c r="I369" s="10">
        <f>IF(B369="","",COUNTIFS(Levels!$A$2:$A$30,"&lt;="&amp;F369,Levels!$A$2:$A$30,"&gt;"&amp;G369))</f>
        <v/>
      </c>
      <c r="J369" s="10">
        <f>IF(OR(B369="",TRIM('Find a child'!$B$3)=""),"",IF(ISNUMBER(SEARCH(TRIM('Find a child'!$B$3),B369&amp;" "&amp;C369)),COUNT(J$1:J368)+1,""))</f>
        <v/>
      </c>
    </row>
    <row r="370">
      <c r="A370" s="10" t="inlineStr">
        <is>
          <t>C0369</t>
        </is>
      </c>
      <c r="B370" s="6" t="n"/>
      <c r="C370" s="6" t="n"/>
      <c r="D370" s="6" t="n"/>
      <c r="E370" s="10">
        <f>IF(B370="","",IF(COUNTIFS($B$2:$B$600,B370,$C$2:$C$600,C370)&gt;1,B370&amp;" ("&amp;C370&amp;") "&amp;A370,B370&amp;" ("&amp;C370&amp;")"))</f>
        <v/>
      </c>
      <c r="F370" s="11">
        <f>IF(B370="","",SUMIFS(Entries!$J$2:$J$3000,Entries!$H$2:$H$3000,A370))</f>
        <v/>
      </c>
      <c r="G370" s="11">
        <f>IF(B370="","",_xlfn.MAXIFS(Prizes!$D$2:$D$3000,Prizes!$E$2:$E$3000,A370,Prizes!$G$2:$G$3000,""))</f>
        <v/>
      </c>
      <c r="H370" s="10">
        <f>IF(B370="","",IF(_xlfn.MAXIFS(Levels!$A$2:$A$30,Levels!$A$2:$A$30,"&lt;="&amp;F370)&gt;G370,INDEX(Levels!$B$2:$B$30,MATCH(_xlfn.MAXIFS(Levels!$A$2:$A$30,Levels!$A$2:$A$30,"&lt;="&amp;F370),Levels!$A$2:$A$30,0)),""))</f>
        <v/>
      </c>
      <c r="I370" s="10">
        <f>IF(B370="","",COUNTIFS(Levels!$A$2:$A$30,"&lt;="&amp;F370,Levels!$A$2:$A$30,"&gt;"&amp;G370))</f>
        <v/>
      </c>
      <c r="J370" s="10">
        <f>IF(OR(B370="",TRIM('Find a child'!$B$3)=""),"",IF(ISNUMBER(SEARCH(TRIM('Find a child'!$B$3),B370&amp;" "&amp;C370)),COUNT(J$1:J369)+1,""))</f>
        <v/>
      </c>
    </row>
    <row r="371">
      <c r="A371" s="10" t="inlineStr">
        <is>
          <t>C0370</t>
        </is>
      </c>
      <c r="B371" s="6" t="n"/>
      <c r="C371" s="6" t="n"/>
      <c r="D371" s="6" t="n"/>
      <c r="E371" s="10">
        <f>IF(B371="","",IF(COUNTIFS($B$2:$B$600,B371,$C$2:$C$600,C371)&gt;1,B371&amp;" ("&amp;C371&amp;") "&amp;A371,B371&amp;" ("&amp;C371&amp;")"))</f>
        <v/>
      </c>
      <c r="F371" s="11">
        <f>IF(B371="","",SUMIFS(Entries!$J$2:$J$3000,Entries!$H$2:$H$3000,A371))</f>
        <v/>
      </c>
      <c r="G371" s="11">
        <f>IF(B371="","",_xlfn.MAXIFS(Prizes!$D$2:$D$3000,Prizes!$E$2:$E$3000,A371,Prizes!$G$2:$G$3000,""))</f>
        <v/>
      </c>
      <c r="H371" s="10">
        <f>IF(B371="","",IF(_xlfn.MAXIFS(Levels!$A$2:$A$30,Levels!$A$2:$A$30,"&lt;="&amp;F371)&gt;G371,INDEX(Levels!$B$2:$B$30,MATCH(_xlfn.MAXIFS(Levels!$A$2:$A$30,Levels!$A$2:$A$30,"&lt;="&amp;F371),Levels!$A$2:$A$30,0)),""))</f>
        <v/>
      </c>
      <c r="I371" s="10">
        <f>IF(B371="","",COUNTIFS(Levels!$A$2:$A$30,"&lt;="&amp;F371,Levels!$A$2:$A$30,"&gt;"&amp;G371))</f>
        <v/>
      </c>
      <c r="J371" s="10">
        <f>IF(OR(B371="",TRIM('Find a child'!$B$3)=""),"",IF(ISNUMBER(SEARCH(TRIM('Find a child'!$B$3),B371&amp;" "&amp;C371)),COUNT(J$1:J370)+1,""))</f>
        <v/>
      </c>
    </row>
    <row r="372">
      <c r="A372" s="10" t="inlineStr">
        <is>
          <t>C0371</t>
        </is>
      </c>
      <c r="B372" s="6" t="n"/>
      <c r="C372" s="6" t="n"/>
      <c r="D372" s="6" t="n"/>
      <c r="E372" s="10">
        <f>IF(B372="","",IF(COUNTIFS($B$2:$B$600,B372,$C$2:$C$600,C372)&gt;1,B372&amp;" ("&amp;C372&amp;") "&amp;A372,B372&amp;" ("&amp;C372&amp;")"))</f>
        <v/>
      </c>
      <c r="F372" s="11">
        <f>IF(B372="","",SUMIFS(Entries!$J$2:$J$3000,Entries!$H$2:$H$3000,A372))</f>
        <v/>
      </c>
      <c r="G372" s="11">
        <f>IF(B372="","",_xlfn.MAXIFS(Prizes!$D$2:$D$3000,Prizes!$E$2:$E$3000,A372,Prizes!$G$2:$G$3000,""))</f>
        <v/>
      </c>
      <c r="H372" s="10">
        <f>IF(B372="","",IF(_xlfn.MAXIFS(Levels!$A$2:$A$30,Levels!$A$2:$A$30,"&lt;="&amp;F372)&gt;G372,INDEX(Levels!$B$2:$B$30,MATCH(_xlfn.MAXIFS(Levels!$A$2:$A$30,Levels!$A$2:$A$30,"&lt;="&amp;F372),Levels!$A$2:$A$30,0)),""))</f>
        <v/>
      </c>
      <c r="I372" s="10">
        <f>IF(B372="","",COUNTIFS(Levels!$A$2:$A$30,"&lt;="&amp;F372,Levels!$A$2:$A$30,"&gt;"&amp;G372))</f>
        <v/>
      </c>
      <c r="J372" s="10">
        <f>IF(OR(B372="",TRIM('Find a child'!$B$3)=""),"",IF(ISNUMBER(SEARCH(TRIM('Find a child'!$B$3),B372&amp;" "&amp;C372)),COUNT(J$1:J371)+1,""))</f>
        <v/>
      </c>
    </row>
    <row r="373">
      <c r="A373" s="10" t="inlineStr">
        <is>
          <t>C0372</t>
        </is>
      </c>
      <c r="B373" s="6" t="n"/>
      <c r="C373" s="6" t="n"/>
      <c r="D373" s="6" t="n"/>
      <c r="E373" s="10">
        <f>IF(B373="","",IF(COUNTIFS($B$2:$B$600,B373,$C$2:$C$600,C373)&gt;1,B373&amp;" ("&amp;C373&amp;") "&amp;A373,B373&amp;" ("&amp;C373&amp;")"))</f>
        <v/>
      </c>
      <c r="F373" s="11">
        <f>IF(B373="","",SUMIFS(Entries!$J$2:$J$3000,Entries!$H$2:$H$3000,A373))</f>
        <v/>
      </c>
      <c r="G373" s="11">
        <f>IF(B373="","",_xlfn.MAXIFS(Prizes!$D$2:$D$3000,Prizes!$E$2:$E$3000,A373,Prizes!$G$2:$G$3000,""))</f>
        <v/>
      </c>
      <c r="H373" s="10">
        <f>IF(B373="","",IF(_xlfn.MAXIFS(Levels!$A$2:$A$30,Levels!$A$2:$A$30,"&lt;="&amp;F373)&gt;G373,INDEX(Levels!$B$2:$B$30,MATCH(_xlfn.MAXIFS(Levels!$A$2:$A$30,Levels!$A$2:$A$30,"&lt;="&amp;F373),Levels!$A$2:$A$30,0)),""))</f>
        <v/>
      </c>
      <c r="I373" s="10">
        <f>IF(B373="","",COUNTIFS(Levels!$A$2:$A$30,"&lt;="&amp;F373,Levels!$A$2:$A$30,"&gt;"&amp;G373))</f>
        <v/>
      </c>
      <c r="J373" s="10">
        <f>IF(OR(B373="",TRIM('Find a child'!$B$3)=""),"",IF(ISNUMBER(SEARCH(TRIM('Find a child'!$B$3),B373&amp;" "&amp;C373)),COUNT(J$1:J372)+1,""))</f>
        <v/>
      </c>
    </row>
    <row r="374">
      <c r="A374" s="10" t="inlineStr">
        <is>
          <t>C0373</t>
        </is>
      </c>
      <c r="B374" s="6" t="n"/>
      <c r="C374" s="6" t="n"/>
      <c r="D374" s="6" t="n"/>
      <c r="E374" s="10">
        <f>IF(B374="","",IF(COUNTIFS($B$2:$B$600,B374,$C$2:$C$600,C374)&gt;1,B374&amp;" ("&amp;C374&amp;") "&amp;A374,B374&amp;" ("&amp;C374&amp;")"))</f>
        <v/>
      </c>
      <c r="F374" s="11">
        <f>IF(B374="","",SUMIFS(Entries!$J$2:$J$3000,Entries!$H$2:$H$3000,A374))</f>
        <v/>
      </c>
      <c r="G374" s="11">
        <f>IF(B374="","",_xlfn.MAXIFS(Prizes!$D$2:$D$3000,Prizes!$E$2:$E$3000,A374,Prizes!$G$2:$G$3000,""))</f>
        <v/>
      </c>
      <c r="H374" s="10">
        <f>IF(B374="","",IF(_xlfn.MAXIFS(Levels!$A$2:$A$30,Levels!$A$2:$A$30,"&lt;="&amp;F374)&gt;G374,INDEX(Levels!$B$2:$B$30,MATCH(_xlfn.MAXIFS(Levels!$A$2:$A$30,Levels!$A$2:$A$30,"&lt;="&amp;F374),Levels!$A$2:$A$30,0)),""))</f>
        <v/>
      </c>
      <c r="I374" s="10">
        <f>IF(B374="","",COUNTIFS(Levels!$A$2:$A$30,"&lt;="&amp;F374,Levels!$A$2:$A$30,"&gt;"&amp;G374))</f>
        <v/>
      </c>
      <c r="J374" s="10">
        <f>IF(OR(B374="",TRIM('Find a child'!$B$3)=""),"",IF(ISNUMBER(SEARCH(TRIM('Find a child'!$B$3),B374&amp;" "&amp;C374)),COUNT(J$1:J373)+1,""))</f>
        <v/>
      </c>
    </row>
    <row r="375">
      <c r="A375" s="10" t="inlineStr">
        <is>
          <t>C0374</t>
        </is>
      </c>
      <c r="B375" s="6" t="n"/>
      <c r="C375" s="6" t="n"/>
      <c r="D375" s="6" t="n"/>
      <c r="E375" s="10">
        <f>IF(B375="","",IF(COUNTIFS($B$2:$B$600,B375,$C$2:$C$600,C375)&gt;1,B375&amp;" ("&amp;C375&amp;") "&amp;A375,B375&amp;" ("&amp;C375&amp;")"))</f>
        <v/>
      </c>
      <c r="F375" s="11">
        <f>IF(B375="","",SUMIFS(Entries!$J$2:$J$3000,Entries!$H$2:$H$3000,A375))</f>
        <v/>
      </c>
      <c r="G375" s="11">
        <f>IF(B375="","",_xlfn.MAXIFS(Prizes!$D$2:$D$3000,Prizes!$E$2:$E$3000,A375,Prizes!$G$2:$G$3000,""))</f>
        <v/>
      </c>
      <c r="H375" s="10">
        <f>IF(B375="","",IF(_xlfn.MAXIFS(Levels!$A$2:$A$30,Levels!$A$2:$A$30,"&lt;="&amp;F375)&gt;G375,INDEX(Levels!$B$2:$B$30,MATCH(_xlfn.MAXIFS(Levels!$A$2:$A$30,Levels!$A$2:$A$30,"&lt;="&amp;F375),Levels!$A$2:$A$30,0)),""))</f>
        <v/>
      </c>
      <c r="I375" s="10">
        <f>IF(B375="","",COUNTIFS(Levels!$A$2:$A$30,"&lt;="&amp;F375,Levels!$A$2:$A$30,"&gt;"&amp;G375))</f>
        <v/>
      </c>
      <c r="J375" s="10">
        <f>IF(OR(B375="",TRIM('Find a child'!$B$3)=""),"",IF(ISNUMBER(SEARCH(TRIM('Find a child'!$B$3),B375&amp;" "&amp;C375)),COUNT(J$1:J374)+1,""))</f>
        <v/>
      </c>
    </row>
    <row r="376">
      <c r="A376" s="10" t="inlineStr">
        <is>
          <t>C0375</t>
        </is>
      </c>
      <c r="B376" s="6" t="n"/>
      <c r="C376" s="6" t="n"/>
      <c r="D376" s="6" t="n"/>
      <c r="E376" s="10">
        <f>IF(B376="","",IF(COUNTIFS($B$2:$B$600,B376,$C$2:$C$600,C376)&gt;1,B376&amp;" ("&amp;C376&amp;") "&amp;A376,B376&amp;" ("&amp;C376&amp;")"))</f>
        <v/>
      </c>
      <c r="F376" s="11">
        <f>IF(B376="","",SUMIFS(Entries!$J$2:$J$3000,Entries!$H$2:$H$3000,A376))</f>
        <v/>
      </c>
      <c r="G376" s="11">
        <f>IF(B376="","",_xlfn.MAXIFS(Prizes!$D$2:$D$3000,Prizes!$E$2:$E$3000,A376,Prizes!$G$2:$G$3000,""))</f>
        <v/>
      </c>
      <c r="H376" s="10">
        <f>IF(B376="","",IF(_xlfn.MAXIFS(Levels!$A$2:$A$30,Levels!$A$2:$A$30,"&lt;="&amp;F376)&gt;G376,INDEX(Levels!$B$2:$B$30,MATCH(_xlfn.MAXIFS(Levels!$A$2:$A$30,Levels!$A$2:$A$30,"&lt;="&amp;F376),Levels!$A$2:$A$30,0)),""))</f>
        <v/>
      </c>
      <c r="I376" s="10">
        <f>IF(B376="","",COUNTIFS(Levels!$A$2:$A$30,"&lt;="&amp;F376,Levels!$A$2:$A$30,"&gt;"&amp;G376))</f>
        <v/>
      </c>
      <c r="J376" s="10">
        <f>IF(OR(B376="",TRIM('Find a child'!$B$3)=""),"",IF(ISNUMBER(SEARCH(TRIM('Find a child'!$B$3),B376&amp;" "&amp;C376)),COUNT(J$1:J375)+1,""))</f>
        <v/>
      </c>
    </row>
    <row r="377">
      <c r="A377" s="10" t="inlineStr">
        <is>
          <t>C0376</t>
        </is>
      </c>
      <c r="B377" s="6" t="n"/>
      <c r="C377" s="6" t="n"/>
      <c r="D377" s="6" t="n"/>
      <c r="E377" s="10">
        <f>IF(B377="","",IF(COUNTIFS($B$2:$B$600,B377,$C$2:$C$600,C377)&gt;1,B377&amp;" ("&amp;C377&amp;") "&amp;A377,B377&amp;" ("&amp;C377&amp;")"))</f>
        <v/>
      </c>
      <c r="F377" s="11">
        <f>IF(B377="","",SUMIFS(Entries!$J$2:$J$3000,Entries!$H$2:$H$3000,A377))</f>
        <v/>
      </c>
      <c r="G377" s="11">
        <f>IF(B377="","",_xlfn.MAXIFS(Prizes!$D$2:$D$3000,Prizes!$E$2:$E$3000,A377,Prizes!$G$2:$G$3000,""))</f>
        <v/>
      </c>
      <c r="H377" s="10">
        <f>IF(B377="","",IF(_xlfn.MAXIFS(Levels!$A$2:$A$30,Levels!$A$2:$A$30,"&lt;="&amp;F377)&gt;G377,INDEX(Levels!$B$2:$B$30,MATCH(_xlfn.MAXIFS(Levels!$A$2:$A$30,Levels!$A$2:$A$30,"&lt;="&amp;F377),Levels!$A$2:$A$30,0)),""))</f>
        <v/>
      </c>
      <c r="I377" s="10">
        <f>IF(B377="","",COUNTIFS(Levels!$A$2:$A$30,"&lt;="&amp;F377,Levels!$A$2:$A$30,"&gt;"&amp;G377))</f>
        <v/>
      </c>
      <c r="J377" s="10">
        <f>IF(OR(B377="",TRIM('Find a child'!$B$3)=""),"",IF(ISNUMBER(SEARCH(TRIM('Find a child'!$B$3),B377&amp;" "&amp;C377)),COUNT(J$1:J376)+1,""))</f>
        <v/>
      </c>
    </row>
    <row r="378">
      <c r="A378" s="10" t="inlineStr">
        <is>
          <t>C0377</t>
        </is>
      </c>
      <c r="B378" s="6" t="n"/>
      <c r="C378" s="6" t="n"/>
      <c r="D378" s="6" t="n"/>
      <c r="E378" s="10">
        <f>IF(B378="","",IF(COUNTIFS($B$2:$B$600,B378,$C$2:$C$600,C378)&gt;1,B378&amp;" ("&amp;C378&amp;") "&amp;A378,B378&amp;" ("&amp;C378&amp;")"))</f>
        <v/>
      </c>
      <c r="F378" s="11">
        <f>IF(B378="","",SUMIFS(Entries!$J$2:$J$3000,Entries!$H$2:$H$3000,A378))</f>
        <v/>
      </c>
      <c r="G378" s="11">
        <f>IF(B378="","",_xlfn.MAXIFS(Prizes!$D$2:$D$3000,Prizes!$E$2:$E$3000,A378,Prizes!$G$2:$G$3000,""))</f>
        <v/>
      </c>
      <c r="H378" s="10">
        <f>IF(B378="","",IF(_xlfn.MAXIFS(Levels!$A$2:$A$30,Levels!$A$2:$A$30,"&lt;="&amp;F378)&gt;G378,INDEX(Levels!$B$2:$B$30,MATCH(_xlfn.MAXIFS(Levels!$A$2:$A$30,Levels!$A$2:$A$30,"&lt;="&amp;F378),Levels!$A$2:$A$30,0)),""))</f>
        <v/>
      </c>
      <c r="I378" s="10">
        <f>IF(B378="","",COUNTIFS(Levels!$A$2:$A$30,"&lt;="&amp;F378,Levels!$A$2:$A$30,"&gt;"&amp;G378))</f>
        <v/>
      </c>
      <c r="J378" s="10">
        <f>IF(OR(B378="",TRIM('Find a child'!$B$3)=""),"",IF(ISNUMBER(SEARCH(TRIM('Find a child'!$B$3),B378&amp;" "&amp;C378)),COUNT(J$1:J377)+1,""))</f>
        <v/>
      </c>
    </row>
    <row r="379">
      <c r="A379" s="10" t="inlineStr">
        <is>
          <t>C0378</t>
        </is>
      </c>
      <c r="B379" s="6" t="n"/>
      <c r="C379" s="6" t="n"/>
      <c r="D379" s="6" t="n"/>
      <c r="E379" s="10">
        <f>IF(B379="","",IF(COUNTIFS($B$2:$B$600,B379,$C$2:$C$600,C379)&gt;1,B379&amp;" ("&amp;C379&amp;") "&amp;A379,B379&amp;" ("&amp;C379&amp;")"))</f>
        <v/>
      </c>
      <c r="F379" s="11">
        <f>IF(B379="","",SUMIFS(Entries!$J$2:$J$3000,Entries!$H$2:$H$3000,A379))</f>
        <v/>
      </c>
      <c r="G379" s="11">
        <f>IF(B379="","",_xlfn.MAXIFS(Prizes!$D$2:$D$3000,Prizes!$E$2:$E$3000,A379,Prizes!$G$2:$G$3000,""))</f>
        <v/>
      </c>
      <c r="H379" s="10">
        <f>IF(B379="","",IF(_xlfn.MAXIFS(Levels!$A$2:$A$30,Levels!$A$2:$A$30,"&lt;="&amp;F379)&gt;G379,INDEX(Levels!$B$2:$B$30,MATCH(_xlfn.MAXIFS(Levels!$A$2:$A$30,Levels!$A$2:$A$30,"&lt;="&amp;F379),Levels!$A$2:$A$30,0)),""))</f>
        <v/>
      </c>
      <c r="I379" s="10">
        <f>IF(B379="","",COUNTIFS(Levels!$A$2:$A$30,"&lt;="&amp;F379,Levels!$A$2:$A$30,"&gt;"&amp;G379))</f>
        <v/>
      </c>
      <c r="J379" s="10">
        <f>IF(OR(B379="",TRIM('Find a child'!$B$3)=""),"",IF(ISNUMBER(SEARCH(TRIM('Find a child'!$B$3),B379&amp;" "&amp;C379)),COUNT(J$1:J378)+1,""))</f>
        <v/>
      </c>
    </row>
    <row r="380">
      <c r="A380" s="10" t="inlineStr">
        <is>
          <t>C0379</t>
        </is>
      </c>
      <c r="B380" s="6" t="n"/>
      <c r="C380" s="6" t="n"/>
      <c r="D380" s="6" t="n"/>
      <c r="E380" s="10">
        <f>IF(B380="","",IF(COUNTIFS($B$2:$B$600,B380,$C$2:$C$600,C380)&gt;1,B380&amp;" ("&amp;C380&amp;") "&amp;A380,B380&amp;" ("&amp;C380&amp;")"))</f>
        <v/>
      </c>
      <c r="F380" s="11">
        <f>IF(B380="","",SUMIFS(Entries!$J$2:$J$3000,Entries!$H$2:$H$3000,A380))</f>
        <v/>
      </c>
      <c r="G380" s="11">
        <f>IF(B380="","",_xlfn.MAXIFS(Prizes!$D$2:$D$3000,Prizes!$E$2:$E$3000,A380,Prizes!$G$2:$G$3000,""))</f>
        <v/>
      </c>
      <c r="H380" s="10">
        <f>IF(B380="","",IF(_xlfn.MAXIFS(Levels!$A$2:$A$30,Levels!$A$2:$A$30,"&lt;="&amp;F380)&gt;G380,INDEX(Levels!$B$2:$B$30,MATCH(_xlfn.MAXIFS(Levels!$A$2:$A$30,Levels!$A$2:$A$30,"&lt;="&amp;F380),Levels!$A$2:$A$30,0)),""))</f>
        <v/>
      </c>
      <c r="I380" s="10">
        <f>IF(B380="","",COUNTIFS(Levels!$A$2:$A$30,"&lt;="&amp;F380,Levels!$A$2:$A$30,"&gt;"&amp;G380))</f>
        <v/>
      </c>
      <c r="J380" s="10">
        <f>IF(OR(B380="",TRIM('Find a child'!$B$3)=""),"",IF(ISNUMBER(SEARCH(TRIM('Find a child'!$B$3),B380&amp;" "&amp;C380)),COUNT(J$1:J379)+1,""))</f>
        <v/>
      </c>
    </row>
    <row r="381">
      <c r="A381" s="10" t="inlineStr">
        <is>
          <t>C0380</t>
        </is>
      </c>
      <c r="B381" s="6" t="n"/>
      <c r="C381" s="6" t="n"/>
      <c r="D381" s="6" t="n"/>
      <c r="E381" s="10">
        <f>IF(B381="","",IF(COUNTIFS($B$2:$B$600,B381,$C$2:$C$600,C381)&gt;1,B381&amp;" ("&amp;C381&amp;") "&amp;A381,B381&amp;" ("&amp;C381&amp;")"))</f>
        <v/>
      </c>
      <c r="F381" s="11">
        <f>IF(B381="","",SUMIFS(Entries!$J$2:$J$3000,Entries!$H$2:$H$3000,A381))</f>
        <v/>
      </c>
      <c r="G381" s="11">
        <f>IF(B381="","",_xlfn.MAXIFS(Prizes!$D$2:$D$3000,Prizes!$E$2:$E$3000,A381,Prizes!$G$2:$G$3000,""))</f>
        <v/>
      </c>
      <c r="H381" s="10">
        <f>IF(B381="","",IF(_xlfn.MAXIFS(Levels!$A$2:$A$30,Levels!$A$2:$A$30,"&lt;="&amp;F381)&gt;G381,INDEX(Levels!$B$2:$B$30,MATCH(_xlfn.MAXIFS(Levels!$A$2:$A$30,Levels!$A$2:$A$30,"&lt;="&amp;F381),Levels!$A$2:$A$30,0)),""))</f>
        <v/>
      </c>
      <c r="I381" s="10">
        <f>IF(B381="","",COUNTIFS(Levels!$A$2:$A$30,"&lt;="&amp;F381,Levels!$A$2:$A$30,"&gt;"&amp;G381))</f>
        <v/>
      </c>
      <c r="J381" s="10">
        <f>IF(OR(B381="",TRIM('Find a child'!$B$3)=""),"",IF(ISNUMBER(SEARCH(TRIM('Find a child'!$B$3),B381&amp;" "&amp;C381)),COUNT(J$1:J380)+1,""))</f>
        <v/>
      </c>
    </row>
    <row r="382">
      <c r="A382" s="10" t="inlineStr">
        <is>
          <t>C0381</t>
        </is>
      </c>
      <c r="B382" s="6" t="n"/>
      <c r="C382" s="6" t="n"/>
      <c r="D382" s="6" t="n"/>
      <c r="E382" s="10">
        <f>IF(B382="","",IF(COUNTIFS($B$2:$B$600,B382,$C$2:$C$600,C382)&gt;1,B382&amp;" ("&amp;C382&amp;") "&amp;A382,B382&amp;" ("&amp;C382&amp;")"))</f>
        <v/>
      </c>
      <c r="F382" s="11">
        <f>IF(B382="","",SUMIFS(Entries!$J$2:$J$3000,Entries!$H$2:$H$3000,A382))</f>
        <v/>
      </c>
      <c r="G382" s="11">
        <f>IF(B382="","",_xlfn.MAXIFS(Prizes!$D$2:$D$3000,Prizes!$E$2:$E$3000,A382,Prizes!$G$2:$G$3000,""))</f>
        <v/>
      </c>
      <c r="H382" s="10">
        <f>IF(B382="","",IF(_xlfn.MAXIFS(Levels!$A$2:$A$30,Levels!$A$2:$A$30,"&lt;="&amp;F382)&gt;G382,INDEX(Levels!$B$2:$B$30,MATCH(_xlfn.MAXIFS(Levels!$A$2:$A$30,Levels!$A$2:$A$30,"&lt;="&amp;F382),Levels!$A$2:$A$30,0)),""))</f>
        <v/>
      </c>
      <c r="I382" s="10">
        <f>IF(B382="","",COUNTIFS(Levels!$A$2:$A$30,"&lt;="&amp;F382,Levels!$A$2:$A$30,"&gt;"&amp;G382))</f>
        <v/>
      </c>
      <c r="J382" s="10">
        <f>IF(OR(B382="",TRIM('Find a child'!$B$3)=""),"",IF(ISNUMBER(SEARCH(TRIM('Find a child'!$B$3),B382&amp;" "&amp;C382)),COUNT(J$1:J381)+1,""))</f>
        <v/>
      </c>
    </row>
    <row r="383">
      <c r="A383" s="10" t="inlineStr">
        <is>
          <t>C0382</t>
        </is>
      </c>
      <c r="B383" s="6" t="n"/>
      <c r="C383" s="6" t="n"/>
      <c r="D383" s="6" t="n"/>
      <c r="E383" s="10">
        <f>IF(B383="","",IF(COUNTIFS($B$2:$B$600,B383,$C$2:$C$600,C383)&gt;1,B383&amp;" ("&amp;C383&amp;") "&amp;A383,B383&amp;" ("&amp;C383&amp;")"))</f>
        <v/>
      </c>
      <c r="F383" s="11">
        <f>IF(B383="","",SUMIFS(Entries!$J$2:$J$3000,Entries!$H$2:$H$3000,A383))</f>
        <v/>
      </c>
      <c r="G383" s="11">
        <f>IF(B383="","",_xlfn.MAXIFS(Prizes!$D$2:$D$3000,Prizes!$E$2:$E$3000,A383,Prizes!$G$2:$G$3000,""))</f>
        <v/>
      </c>
      <c r="H383" s="10">
        <f>IF(B383="","",IF(_xlfn.MAXIFS(Levels!$A$2:$A$30,Levels!$A$2:$A$30,"&lt;="&amp;F383)&gt;G383,INDEX(Levels!$B$2:$B$30,MATCH(_xlfn.MAXIFS(Levels!$A$2:$A$30,Levels!$A$2:$A$30,"&lt;="&amp;F383),Levels!$A$2:$A$30,0)),""))</f>
        <v/>
      </c>
      <c r="I383" s="10">
        <f>IF(B383="","",COUNTIFS(Levels!$A$2:$A$30,"&lt;="&amp;F383,Levels!$A$2:$A$30,"&gt;"&amp;G383))</f>
        <v/>
      </c>
      <c r="J383" s="10">
        <f>IF(OR(B383="",TRIM('Find a child'!$B$3)=""),"",IF(ISNUMBER(SEARCH(TRIM('Find a child'!$B$3),B383&amp;" "&amp;C383)),COUNT(J$1:J382)+1,""))</f>
        <v/>
      </c>
    </row>
    <row r="384">
      <c r="A384" s="10" t="inlineStr">
        <is>
          <t>C0383</t>
        </is>
      </c>
      <c r="B384" s="6" t="n"/>
      <c r="C384" s="6" t="n"/>
      <c r="D384" s="6" t="n"/>
      <c r="E384" s="10">
        <f>IF(B384="","",IF(COUNTIFS($B$2:$B$600,B384,$C$2:$C$600,C384)&gt;1,B384&amp;" ("&amp;C384&amp;") "&amp;A384,B384&amp;" ("&amp;C384&amp;")"))</f>
        <v/>
      </c>
      <c r="F384" s="11">
        <f>IF(B384="","",SUMIFS(Entries!$J$2:$J$3000,Entries!$H$2:$H$3000,A384))</f>
        <v/>
      </c>
      <c r="G384" s="11">
        <f>IF(B384="","",_xlfn.MAXIFS(Prizes!$D$2:$D$3000,Prizes!$E$2:$E$3000,A384,Prizes!$G$2:$G$3000,""))</f>
        <v/>
      </c>
      <c r="H384" s="10">
        <f>IF(B384="","",IF(_xlfn.MAXIFS(Levels!$A$2:$A$30,Levels!$A$2:$A$30,"&lt;="&amp;F384)&gt;G384,INDEX(Levels!$B$2:$B$30,MATCH(_xlfn.MAXIFS(Levels!$A$2:$A$30,Levels!$A$2:$A$30,"&lt;="&amp;F384),Levels!$A$2:$A$30,0)),""))</f>
        <v/>
      </c>
      <c r="I384" s="10">
        <f>IF(B384="","",COUNTIFS(Levels!$A$2:$A$30,"&lt;="&amp;F384,Levels!$A$2:$A$30,"&gt;"&amp;G384))</f>
        <v/>
      </c>
      <c r="J384" s="10">
        <f>IF(OR(B384="",TRIM('Find a child'!$B$3)=""),"",IF(ISNUMBER(SEARCH(TRIM('Find a child'!$B$3),B384&amp;" "&amp;C384)),COUNT(J$1:J383)+1,""))</f>
        <v/>
      </c>
    </row>
    <row r="385">
      <c r="A385" s="10" t="inlineStr">
        <is>
          <t>C0384</t>
        </is>
      </c>
      <c r="B385" s="6" t="n"/>
      <c r="C385" s="6" t="n"/>
      <c r="D385" s="6" t="n"/>
      <c r="E385" s="10">
        <f>IF(B385="","",IF(COUNTIFS($B$2:$B$600,B385,$C$2:$C$600,C385)&gt;1,B385&amp;" ("&amp;C385&amp;") "&amp;A385,B385&amp;" ("&amp;C385&amp;")"))</f>
        <v/>
      </c>
      <c r="F385" s="11">
        <f>IF(B385="","",SUMIFS(Entries!$J$2:$J$3000,Entries!$H$2:$H$3000,A385))</f>
        <v/>
      </c>
      <c r="G385" s="11">
        <f>IF(B385="","",_xlfn.MAXIFS(Prizes!$D$2:$D$3000,Prizes!$E$2:$E$3000,A385,Prizes!$G$2:$G$3000,""))</f>
        <v/>
      </c>
      <c r="H385" s="10">
        <f>IF(B385="","",IF(_xlfn.MAXIFS(Levels!$A$2:$A$30,Levels!$A$2:$A$30,"&lt;="&amp;F385)&gt;G385,INDEX(Levels!$B$2:$B$30,MATCH(_xlfn.MAXIFS(Levels!$A$2:$A$30,Levels!$A$2:$A$30,"&lt;="&amp;F385),Levels!$A$2:$A$30,0)),""))</f>
        <v/>
      </c>
      <c r="I385" s="10">
        <f>IF(B385="","",COUNTIFS(Levels!$A$2:$A$30,"&lt;="&amp;F385,Levels!$A$2:$A$30,"&gt;"&amp;G385))</f>
        <v/>
      </c>
      <c r="J385" s="10">
        <f>IF(OR(B385="",TRIM('Find a child'!$B$3)=""),"",IF(ISNUMBER(SEARCH(TRIM('Find a child'!$B$3),B385&amp;" "&amp;C385)),COUNT(J$1:J384)+1,""))</f>
        <v/>
      </c>
    </row>
    <row r="386">
      <c r="A386" s="10" t="inlineStr">
        <is>
          <t>C0385</t>
        </is>
      </c>
      <c r="B386" s="6" t="n"/>
      <c r="C386" s="6" t="n"/>
      <c r="D386" s="6" t="n"/>
      <c r="E386" s="10">
        <f>IF(B386="","",IF(COUNTIFS($B$2:$B$600,B386,$C$2:$C$600,C386)&gt;1,B386&amp;" ("&amp;C386&amp;") "&amp;A386,B386&amp;" ("&amp;C386&amp;")"))</f>
        <v/>
      </c>
      <c r="F386" s="11">
        <f>IF(B386="","",SUMIFS(Entries!$J$2:$J$3000,Entries!$H$2:$H$3000,A386))</f>
        <v/>
      </c>
      <c r="G386" s="11">
        <f>IF(B386="","",_xlfn.MAXIFS(Prizes!$D$2:$D$3000,Prizes!$E$2:$E$3000,A386,Prizes!$G$2:$G$3000,""))</f>
        <v/>
      </c>
      <c r="H386" s="10">
        <f>IF(B386="","",IF(_xlfn.MAXIFS(Levels!$A$2:$A$30,Levels!$A$2:$A$30,"&lt;="&amp;F386)&gt;G386,INDEX(Levels!$B$2:$B$30,MATCH(_xlfn.MAXIFS(Levels!$A$2:$A$30,Levels!$A$2:$A$30,"&lt;="&amp;F386),Levels!$A$2:$A$30,0)),""))</f>
        <v/>
      </c>
      <c r="I386" s="10">
        <f>IF(B386="","",COUNTIFS(Levels!$A$2:$A$30,"&lt;="&amp;F386,Levels!$A$2:$A$30,"&gt;"&amp;G386))</f>
        <v/>
      </c>
      <c r="J386" s="10">
        <f>IF(OR(B386="",TRIM('Find a child'!$B$3)=""),"",IF(ISNUMBER(SEARCH(TRIM('Find a child'!$B$3),B386&amp;" "&amp;C386)),COUNT(J$1:J385)+1,""))</f>
        <v/>
      </c>
    </row>
    <row r="387">
      <c r="A387" s="10" t="inlineStr">
        <is>
          <t>C0386</t>
        </is>
      </c>
      <c r="B387" s="6" t="n"/>
      <c r="C387" s="6" t="n"/>
      <c r="D387" s="6" t="n"/>
      <c r="E387" s="10">
        <f>IF(B387="","",IF(COUNTIFS($B$2:$B$600,B387,$C$2:$C$600,C387)&gt;1,B387&amp;" ("&amp;C387&amp;") "&amp;A387,B387&amp;" ("&amp;C387&amp;")"))</f>
        <v/>
      </c>
      <c r="F387" s="11">
        <f>IF(B387="","",SUMIFS(Entries!$J$2:$J$3000,Entries!$H$2:$H$3000,A387))</f>
        <v/>
      </c>
      <c r="G387" s="11">
        <f>IF(B387="","",_xlfn.MAXIFS(Prizes!$D$2:$D$3000,Prizes!$E$2:$E$3000,A387,Prizes!$G$2:$G$3000,""))</f>
        <v/>
      </c>
      <c r="H387" s="10">
        <f>IF(B387="","",IF(_xlfn.MAXIFS(Levels!$A$2:$A$30,Levels!$A$2:$A$30,"&lt;="&amp;F387)&gt;G387,INDEX(Levels!$B$2:$B$30,MATCH(_xlfn.MAXIFS(Levels!$A$2:$A$30,Levels!$A$2:$A$30,"&lt;="&amp;F387),Levels!$A$2:$A$30,0)),""))</f>
        <v/>
      </c>
      <c r="I387" s="10">
        <f>IF(B387="","",COUNTIFS(Levels!$A$2:$A$30,"&lt;="&amp;F387,Levels!$A$2:$A$30,"&gt;"&amp;G387))</f>
        <v/>
      </c>
      <c r="J387" s="10">
        <f>IF(OR(B387="",TRIM('Find a child'!$B$3)=""),"",IF(ISNUMBER(SEARCH(TRIM('Find a child'!$B$3),B387&amp;" "&amp;C387)),COUNT(J$1:J386)+1,""))</f>
        <v/>
      </c>
    </row>
    <row r="388">
      <c r="A388" s="10" t="inlineStr">
        <is>
          <t>C0387</t>
        </is>
      </c>
      <c r="B388" s="6" t="n"/>
      <c r="C388" s="6" t="n"/>
      <c r="D388" s="6" t="n"/>
      <c r="E388" s="10">
        <f>IF(B388="","",IF(COUNTIFS($B$2:$B$600,B388,$C$2:$C$600,C388)&gt;1,B388&amp;" ("&amp;C388&amp;") "&amp;A388,B388&amp;" ("&amp;C388&amp;")"))</f>
        <v/>
      </c>
      <c r="F388" s="11">
        <f>IF(B388="","",SUMIFS(Entries!$J$2:$J$3000,Entries!$H$2:$H$3000,A388))</f>
        <v/>
      </c>
      <c r="G388" s="11">
        <f>IF(B388="","",_xlfn.MAXIFS(Prizes!$D$2:$D$3000,Prizes!$E$2:$E$3000,A388,Prizes!$G$2:$G$3000,""))</f>
        <v/>
      </c>
      <c r="H388" s="10">
        <f>IF(B388="","",IF(_xlfn.MAXIFS(Levels!$A$2:$A$30,Levels!$A$2:$A$30,"&lt;="&amp;F388)&gt;G388,INDEX(Levels!$B$2:$B$30,MATCH(_xlfn.MAXIFS(Levels!$A$2:$A$30,Levels!$A$2:$A$30,"&lt;="&amp;F388),Levels!$A$2:$A$30,0)),""))</f>
        <v/>
      </c>
      <c r="I388" s="10">
        <f>IF(B388="","",COUNTIFS(Levels!$A$2:$A$30,"&lt;="&amp;F388,Levels!$A$2:$A$30,"&gt;"&amp;G388))</f>
        <v/>
      </c>
      <c r="J388" s="10">
        <f>IF(OR(B388="",TRIM('Find a child'!$B$3)=""),"",IF(ISNUMBER(SEARCH(TRIM('Find a child'!$B$3),B388&amp;" "&amp;C388)),COUNT(J$1:J387)+1,""))</f>
        <v/>
      </c>
    </row>
    <row r="389">
      <c r="A389" s="10" t="inlineStr">
        <is>
          <t>C0388</t>
        </is>
      </c>
      <c r="B389" s="6" t="n"/>
      <c r="C389" s="6" t="n"/>
      <c r="D389" s="6" t="n"/>
      <c r="E389" s="10">
        <f>IF(B389="","",IF(COUNTIFS($B$2:$B$600,B389,$C$2:$C$600,C389)&gt;1,B389&amp;" ("&amp;C389&amp;") "&amp;A389,B389&amp;" ("&amp;C389&amp;")"))</f>
        <v/>
      </c>
      <c r="F389" s="11">
        <f>IF(B389="","",SUMIFS(Entries!$J$2:$J$3000,Entries!$H$2:$H$3000,A389))</f>
        <v/>
      </c>
      <c r="G389" s="11">
        <f>IF(B389="","",_xlfn.MAXIFS(Prizes!$D$2:$D$3000,Prizes!$E$2:$E$3000,A389,Prizes!$G$2:$G$3000,""))</f>
        <v/>
      </c>
      <c r="H389" s="10">
        <f>IF(B389="","",IF(_xlfn.MAXIFS(Levels!$A$2:$A$30,Levels!$A$2:$A$30,"&lt;="&amp;F389)&gt;G389,INDEX(Levels!$B$2:$B$30,MATCH(_xlfn.MAXIFS(Levels!$A$2:$A$30,Levels!$A$2:$A$30,"&lt;="&amp;F389),Levels!$A$2:$A$30,0)),""))</f>
        <v/>
      </c>
      <c r="I389" s="10">
        <f>IF(B389="","",COUNTIFS(Levels!$A$2:$A$30,"&lt;="&amp;F389,Levels!$A$2:$A$30,"&gt;"&amp;G389))</f>
        <v/>
      </c>
      <c r="J389" s="10">
        <f>IF(OR(B389="",TRIM('Find a child'!$B$3)=""),"",IF(ISNUMBER(SEARCH(TRIM('Find a child'!$B$3),B389&amp;" "&amp;C389)),COUNT(J$1:J388)+1,""))</f>
        <v/>
      </c>
    </row>
    <row r="390">
      <c r="A390" s="10" t="inlineStr">
        <is>
          <t>C0389</t>
        </is>
      </c>
      <c r="B390" s="6" t="n"/>
      <c r="C390" s="6" t="n"/>
      <c r="D390" s="6" t="n"/>
      <c r="E390" s="10">
        <f>IF(B390="","",IF(COUNTIFS($B$2:$B$600,B390,$C$2:$C$600,C390)&gt;1,B390&amp;" ("&amp;C390&amp;") "&amp;A390,B390&amp;" ("&amp;C390&amp;")"))</f>
        <v/>
      </c>
      <c r="F390" s="11">
        <f>IF(B390="","",SUMIFS(Entries!$J$2:$J$3000,Entries!$H$2:$H$3000,A390))</f>
        <v/>
      </c>
      <c r="G390" s="11">
        <f>IF(B390="","",_xlfn.MAXIFS(Prizes!$D$2:$D$3000,Prizes!$E$2:$E$3000,A390,Prizes!$G$2:$G$3000,""))</f>
        <v/>
      </c>
      <c r="H390" s="10">
        <f>IF(B390="","",IF(_xlfn.MAXIFS(Levels!$A$2:$A$30,Levels!$A$2:$A$30,"&lt;="&amp;F390)&gt;G390,INDEX(Levels!$B$2:$B$30,MATCH(_xlfn.MAXIFS(Levels!$A$2:$A$30,Levels!$A$2:$A$30,"&lt;="&amp;F390),Levels!$A$2:$A$30,0)),""))</f>
        <v/>
      </c>
      <c r="I390" s="10">
        <f>IF(B390="","",COUNTIFS(Levels!$A$2:$A$30,"&lt;="&amp;F390,Levels!$A$2:$A$30,"&gt;"&amp;G390))</f>
        <v/>
      </c>
      <c r="J390" s="10">
        <f>IF(OR(B390="",TRIM('Find a child'!$B$3)=""),"",IF(ISNUMBER(SEARCH(TRIM('Find a child'!$B$3),B390&amp;" "&amp;C390)),COUNT(J$1:J389)+1,""))</f>
        <v/>
      </c>
    </row>
    <row r="391">
      <c r="A391" s="10" t="inlineStr">
        <is>
          <t>C0390</t>
        </is>
      </c>
      <c r="B391" s="6" t="n"/>
      <c r="C391" s="6" t="n"/>
      <c r="D391" s="6" t="n"/>
      <c r="E391" s="10">
        <f>IF(B391="","",IF(COUNTIFS($B$2:$B$600,B391,$C$2:$C$600,C391)&gt;1,B391&amp;" ("&amp;C391&amp;") "&amp;A391,B391&amp;" ("&amp;C391&amp;")"))</f>
        <v/>
      </c>
      <c r="F391" s="11">
        <f>IF(B391="","",SUMIFS(Entries!$J$2:$J$3000,Entries!$H$2:$H$3000,A391))</f>
        <v/>
      </c>
      <c r="G391" s="11">
        <f>IF(B391="","",_xlfn.MAXIFS(Prizes!$D$2:$D$3000,Prizes!$E$2:$E$3000,A391,Prizes!$G$2:$G$3000,""))</f>
        <v/>
      </c>
      <c r="H391" s="10">
        <f>IF(B391="","",IF(_xlfn.MAXIFS(Levels!$A$2:$A$30,Levels!$A$2:$A$30,"&lt;="&amp;F391)&gt;G391,INDEX(Levels!$B$2:$B$30,MATCH(_xlfn.MAXIFS(Levels!$A$2:$A$30,Levels!$A$2:$A$30,"&lt;="&amp;F391),Levels!$A$2:$A$30,0)),""))</f>
        <v/>
      </c>
      <c r="I391" s="10">
        <f>IF(B391="","",COUNTIFS(Levels!$A$2:$A$30,"&lt;="&amp;F391,Levels!$A$2:$A$30,"&gt;"&amp;G391))</f>
        <v/>
      </c>
      <c r="J391" s="10">
        <f>IF(OR(B391="",TRIM('Find a child'!$B$3)=""),"",IF(ISNUMBER(SEARCH(TRIM('Find a child'!$B$3),B391&amp;" "&amp;C391)),COUNT(J$1:J390)+1,""))</f>
        <v/>
      </c>
    </row>
    <row r="392">
      <c r="A392" s="10" t="inlineStr">
        <is>
          <t>C0391</t>
        </is>
      </c>
      <c r="B392" s="6" t="n"/>
      <c r="C392" s="6" t="n"/>
      <c r="D392" s="6" t="n"/>
      <c r="E392" s="10">
        <f>IF(B392="","",IF(COUNTIFS($B$2:$B$600,B392,$C$2:$C$600,C392)&gt;1,B392&amp;" ("&amp;C392&amp;") "&amp;A392,B392&amp;" ("&amp;C392&amp;")"))</f>
        <v/>
      </c>
      <c r="F392" s="11">
        <f>IF(B392="","",SUMIFS(Entries!$J$2:$J$3000,Entries!$H$2:$H$3000,A392))</f>
        <v/>
      </c>
      <c r="G392" s="11">
        <f>IF(B392="","",_xlfn.MAXIFS(Prizes!$D$2:$D$3000,Prizes!$E$2:$E$3000,A392,Prizes!$G$2:$G$3000,""))</f>
        <v/>
      </c>
      <c r="H392" s="10">
        <f>IF(B392="","",IF(_xlfn.MAXIFS(Levels!$A$2:$A$30,Levels!$A$2:$A$30,"&lt;="&amp;F392)&gt;G392,INDEX(Levels!$B$2:$B$30,MATCH(_xlfn.MAXIFS(Levels!$A$2:$A$30,Levels!$A$2:$A$30,"&lt;="&amp;F392),Levels!$A$2:$A$30,0)),""))</f>
        <v/>
      </c>
      <c r="I392" s="10">
        <f>IF(B392="","",COUNTIFS(Levels!$A$2:$A$30,"&lt;="&amp;F392,Levels!$A$2:$A$30,"&gt;"&amp;G392))</f>
        <v/>
      </c>
      <c r="J392" s="10">
        <f>IF(OR(B392="",TRIM('Find a child'!$B$3)=""),"",IF(ISNUMBER(SEARCH(TRIM('Find a child'!$B$3),B392&amp;" "&amp;C392)),COUNT(J$1:J391)+1,""))</f>
        <v/>
      </c>
    </row>
    <row r="393">
      <c r="A393" s="10" t="inlineStr">
        <is>
          <t>C0392</t>
        </is>
      </c>
      <c r="B393" s="6" t="n"/>
      <c r="C393" s="6" t="n"/>
      <c r="D393" s="6" t="n"/>
      <c r="E393" s="10">
        <f>IF(B393="","",IF(COUNTIFS($B$2:$B$600,B393,$C$2:$C$600,C393)&gt;1,B393&amp;" ("&amp;C393&amp;") "&amp;A393,B393&amp;" ("&amp;C393&amp;")"))</f>
        <v/>
      </c>
      <c r="F393" s="11">
        <f>IF(B393="","",SUMIFS(Entries!$J$2:$J$3000,Entries!$H$2:$H$3000,A393))</f>
        <v/>
      </c>
      <c r="G393" s="11">
        <f>IF(B393="","",_xlfn.MAXIFS(Prizes!$D$2:$D$3000,Prizes!$E$2:$E$3000,A393,Prizes!$G$2:$G$3000,""))</f>
        <v/>
      </c>
      <c r="H393" s="10">
        <f>IF(B393="","",IF(_xlfn.MAXIFS(Levels!$A$2:$A$30,Levels!$A$2:$A$30,"&lt;="&amp;F393)&gt;G393,INDEX(Levels!$B$2:$B$30,MATCH(_xlfn.MAXIFS(Levels!$A$2:$A$30,Levels!$A$2:$A$30,"&lt;="&amp;F393),Levels!$A$2:$A$30,0)),""))</f>
        <v/>
      </c>
      <c r="I393" s="10">
        <f>IF(B393="","",COUNTIFS(Levels!$A$2:$A$30,"&lt;="&amp;F393,Levels!$A$2:$A$30,"&gt;"&amp;G393))</f>
        <v/>
      </c>
      <c r="J393" s="10">
        <f>IF(OR(B393="",TRIM('Find a child'!$B$3)=""),"",IF(ISNUMBER(SEARCH(TRIM('Find a child'!$B$3),B393&amp;" "&amp;C393)),COUNT(J$1:J392)+1,""))</f>
        <v/>
      </c>
    </row>
    <row r="394">
      <c r="A394" s="10" t="inlineStr">
        <is>
          <t>C0393</t>
        </is>
      </c>
      <c r="B394" s="6" t="n"/>
      <c r="C394" s="6" t="n"/>
      <c r="D394" s="6" t="n"/>
      <c r="E394" s="10">
        <f>IF(B394="","",IF(COUNTIFS($B$2:$B$600,B394,$C$2:$C$600,C394)&gt;1,B394&amp;" ("&amp;C394&amp;") "&amp;A394,B394&amp;" ("&amp;C394&amp;")"))</f>
        <v/>
      </c>
      <c r="F394" s="11">
        <f>IF(B394="","",SUMIFS(Entries!$J$2:$J$3000,Entries!$H$2:$H$3000,A394))</f>
        <v/>
      </c>
      <c r="G394" s="11">
        <f>IF(B394="","",_xlfn.MAXIFS(Prizes!$D$2:$D$3000,Prizes!$E$2:$E$3000,A394,Prizes!$G$2:$G$3000,""))</f>
        <v/>
      </c>
      <c r="H394" s="10">
        <f>IF(B394="","",IF(_xlfn.MAXIFS(Levels!$A$2:$A$30,Levels!$A$2:$A$30,"&lt;="&amp;F394)&gt;G394,INDEX(Levels!$B$2:$B$30,MATCH(_xlfn.MAXIFS(Levels!$A$2:$A$30,Levels!$A$2:$A$30,"&lt;="&amp;F394),Levels!$A$2:$A$30,0)),""))</f>
        <v/>
      </c>
      <c r="I394" s="10">
        <f>IF(B394="","",COUNTIFS(Levels!$A$2:$A$30,"&lt;="&amp;F394,Levels!$A$2:$A$30,"&gt;"&amp;G394))</f>
        <v/>
      </c>
      <c r="J394" s="10">
        <f>IF(OR(B394="",TRIM('Find a child'!$B$3)=""),"",IF(ISNUMBER(SEARCH(TRIM('Find a child'!$B$3),B394&amp;" "&amp;C394)),COUNT(J$1:J393)+1,""))</f>
        <v/>
      </c>
    </row>
    <row r="395">
      <c r="A395" s="10" t="inlineStr">
        <is>
          <t>C0394</t>
        </is>
      </c>
      <c r="B395" s="6" t="n"/>
      <c r="C395" s="6" t="n"/>
      <c r="D395" s="6" t="n"/>
      <c r="E395" s="10">
        <f>IF(B395="","",IF(COUNTIFS($B$2:$B$600,B395,$C$2:$C$600,C395)&gt;1,B395&amp;" ("&amp;C395&amp;") "&amp;A395,B395&amp;" ("&amp;C395&amp;")"))</f>
        <v/>
      </c>
      <c r="F395" s="11">
        <f>IF(B395="","",SUMIFS(Entries!$J$2:$J$3000,Entries!$H$2:$H$3000,A395))</f>
        <v/>
      </c>
      <c r="G395" s="11">
        <f>IF(B395="","",_xlfn.MAXIFS(Prizes!$D$2:$D$3000,Prizes!$E$2:$E$3000,A395,Prizes!$G$2:$G$3000,""))</f>
        <v/>
      </c>
      <c r="H395" s="10">
        <f>IF(B395="","",IF(_xlfn.MAXIFS(Levels!$A$2:$A$30,Levels!$A$2:$A$30,"&lt;="&amp;F395)&gt;G395,INDEX(Levels!$B$2:$B$30,MATCH(_xlfn.MAXIFS(Levels!$A$2:$A$30,Levels!$A$2:$A$30,"&lt;="&amp;F395),Levels!$A$2:$A$30,0)),""))</f>
        <v/>
      </c>
      <c r="I395" s="10">
        <f>IF(B395="","",COUNTIFS(Levels!$A$2:$A$30,"&lt;="&amp;F395,Levels!$A$2:$A$30,"&gt;"&amp;G395))</f>
        <v/>
      </c>
      <c r="J395" s="10">
        <f>IF(OR(B395="",TRIM('Find a child'!$B$3)=""),"",IF(ISNUMBER(SEARCH(TRIM('Find a child'!$B$3),B395&amp;" "&amp;C395)),COUNT(J$1:J394)+1,""))</f>
        <v/>
      </c>
    </row>
    <row r="396">
      <c r="A396" s="10" t="inlineStr">
        <is>
          <t>C0395</t>
        </is>
      </c>
      <c r="B396" s="6" t="n"/>
      <c r="C396" s="6" t="n"/>
      <c r="D396" s="6" t="n"/>
      <c r="E396" s="10">
        <f>IF(B396="","",IF(COUNTIFS($B$2:$B$600,B396,$C$2:$C$600,C396)&gt;1,B396&amp;" ("&amp;C396&amp;") "&amp;A396,B396&amp;" ("&amp;C396&amp;")"))</f>
        <v/>
      </c>
      <c r="F396" s="11">
        <f>IF(B396="","",SUMIFS(Entries!$J$2:$J$3000,Entries!$H$2:$H$3000,A396))</f>
        <v/>
      </c>
      <c r="G396" s="11">
        <f>IF(B396="","",_xlfn.MAXIFS(Prizes!$D$2:$D$3000,Prizes!$E$2:$E$3000,A396,Prizes!$G$2:$G$3000,""))</f>
        <v/>
      </c>
      <c r="H396" s="10">
        <f>IF(B396="","",IF(_xlfn.MAXIFS(Levels!$A$2:$A$30,Levels!$A$2:$A$30,"&lt;="&amp;F396)&gt;G396,INDEX(Levels!$B$2:$B$30,MATCH(_xlfn.MAXIFS(Levels!$A$2:$A$30,Levels!$A$2:$A$30,"&lt;="&amp;F396),Levels!$A$2:$A$30,0)),""))</f>
        <v/>
      </c>
      <c r="I396" s="10">
        <f>IF(B396="","",COUNTIFS(Levels!$A$2:$A$30,"&lt;="&amp;F396,Levels!$A$2:$A$30,"&gt;"&amp;G396))</f>
        <v/>
      </c>
      <c r="J396" s="10">
        <f>IF(OR(B396="",TRIM('Find a child'!$B$3)=""),"",IF(ISNUMBER(SEARCH(TRIM('Find a child'!$B$3),B396&amp;" "&amp;C396)),COUNT(J$1:J395)+1,""))</f>
        <v/>
      </c>
    </row>
    <row r="397">
      <c r="A397" s="10" t="inlineStr">
        <is>
          <t>C0396</t>
        </is>
      </c>
      <c r="B397" s="6" t="n"/>
      <c r="C397" s="6" t="n"/>
      <c r="D397" s="6" t="n"/>
      <c r="E397" s="10">
        <f>IF(B397="","",IF(COUNTIFS($B$2:$B$600,B397,$C$2:$C$600,C397)&gt;1,B397&amp;" ("&amp;C397&amp;") "&amp;A397,B397&amp;" ("&amp;C397&amp;")"))</f>
        <v/>
      </c>
      <c r="F397" s="11">
        <f>IF(B397="","",SUMIFS(Entries!$J$2:$J$3000,Entries!$H$2:$H$3000,A397))</f>
        <v/>
      </c>
      <c r="G397" s="11">
        <f>IF(B397="","",_xlfn.MAXIFS(Prizes!$D$2:$D$3000,Prizes!$E$2:$E$3000,A397,Prizes!$G$2:$G$3000,""))</f>
        <v/>
      </c>
      <c r="H397" s="10">
        <f>IF(B397="","",IF(_xlfn.MAXIFS(Levels!$A$2:$A$30,Levels!$A$2:$A$30,"&lt;="&amp;F397)&gt;G397,INDEX(Levels!$B$2:$B$30,MATCH(_xlfn.MAXIFS(Levels!$A$2:$A$30,Levels!$A$2:$A$30,"&lt;="&amp;F397),Levels!$A$2:$A$30,0)),""))</f>
        <v/>
      </c>
      <c r="I397" s="10">
        <f>IF(B397="","",COUNTIFS(Levels!$A$2:$A$30,"&lt;="&amp;F397,Levels!$A$2:$A$30,"&gt;"&amp;G397))</f>
        <v/>
      </c>
      <c r="J397" s="10">
        <f>IF(OR(B397="",TRIM('Find a child'!$B$3)=""),"",IF(ISNUMBER(SEARCH(TRIM('Find a child'!$B$3),B397&amp;" "&amp;C397)),COUNT(J$1:J396)+1,""))</f>
        <v/>
      </c>
    </row>
    <row r="398">
      <c r="A398" s="10" t="inlineStr">
        <is>
          <t>C0397</t>
        </is>
      </c>
      <c r="B398" s="6" t="n"/>
      <c r="C398" s="6" t="n"/>
      <c r="D398" s="6" t="n"/>
      <c r="E398" s="10">
        <f>IF(B398="","",IF(COUNTIFS($B$2:$B$600,B398,$C$2:$C$600,C398)&gt;1,B398&amp;" ("&amp;C398&amp;") "&amp;A398,B398&amp;" ("&amp;C398&amp;")"))</f>
        <v/>
      </c>
      <c r="F398" s="11">
        <f>IF(B398="","",SUMIFS(Entries!$J$2:$J$3000,Entries!$H$2:$H$3000,A398))</f>
        <v/>
      </c>
      <c r="G398" s="11">
        <f>IF(B398="","",_xlfn.MAXIFS(Prizes!$D$2:$D$3000,Prizes!$E$2:$E$3000,A398,Prizes!$G$2:$G$3000,""))</f>
        <v/>
      </c>
      <c r="H398" s="10">
        <f>IF(B398="","",IF(_xlfn.MAXIFS(Levels!$A$2:$A$30,Levels!$A$2:$A$30,"&lt;="&amp;F398)&gt;G398,INDEX(Levels!$B$2:$B$30,MATCH(_xlfn.MAXIFS(Levels!$A$2:$A$30,Levels!$A$2:$A$30,"&lt;="&amp;F398),Levels!$A$2:$A$30,0)),""))</f>
        <v/>
      </c>
      <c r="I398" s="10">
        <f>IF(B398="","",COUNTIFS(Levels!$A$2:$A$30,"&lt;="&amp;F398,Levels!$A$2:$A$30,"&gt;"&amp;G398))</f>
        <v/>
      </c>
      <c r="J398" s="10">
        <f>IF(OR(B398="",TRIM('Find a child'!$B$3)=""),"",IF(ISNUMBER(SEARCH(TRIM('Find a child'!$B$3),B398&amp;" "&amp;C398)),COUNT(J$1:J397)+1,""))</f>
        <v/>
      </c>
    </row>
    <row r="399">
      <c r="A399" s="10" t="inlineStr">
        <is>
          <t>C0398</t>
        </is>
      </c>
      <c r="B399" s="6" t="n"/>
      <c r="C399" s="6" t="n"/>
      <c r="D399" s="6" t="n"/>
      <c r="E399" s="10">
        <f>IF(B399="","",IF(COUNTIFS($B$2:$B$600,B399,$C$2:$C$600,C399)&gt;1,B399&amp;" ("&amp;C399&amp;") "&amp;A399,B399&amp;" ("&amp;C399&amp;")"))</f>
        <v/>
      </c>
      <c r="F399" s="11">
        <f>IF(B399="","",SUMIFS(Entries!$J$2:$J$3000,Entries!$H$2:$H$3000,A399))</f>
        <v/>
      </c>
      <c r="G399" s="11">
        <f>IF(B399="","",_xlfn.MAXIFS(Prizes!$D$2:$D$3000,Prizes!$E$2:$E$3000,A399,Prizes!$G$2:$G$3000,""))</f>
        <v/>
      </c>
      <c r="H399" s="10">
        <f>IF(B399="","",IF(_xlfn.MAXIFS(Levels!$A$2:$A$30,Levels!$A$2:$A$30,"&lt;="&amp;F399)&gt;G399,INDEX(Levels!$B$2:$B$30,MATCH(_xlfn.MAXIFS(Levels!$A$2:$A$30,Levels!$A$2:$A$30,"&lt;="&amp;F399),Levels!$A$2:$A$30,0)),""))</f>
        <v/>
      </c>
      <c r="I399" s="10">
        <f>IF(B399="","",COUNTIFS(Levels!$A$2:$A$30,"&lt;="&amp;F399,Levels!$A$2:$A$30,"&gt;"&amp;G399))</f>
        <v/>
      </c>
      <c r="J399" s="10">
        <f>IF(OR(B399="",TRIM('Find a child'!$B$3)=""),"",IF(ISNUMBER(SEARCH(TRIM('Find a child'!$B$3),B399&amp;" "&amp;C399)),COUNT(J$1:J398)+1,""))</f>
        <v/>
      </c>
    </row>
    <row r="400">
      <c r="A400" s="10" t="inlineStr">
        <is>
          <t>C0399</t>
        </is>
      </c>
      <c r="B400" s="6" t="n"/>
      <c r="C400" s="6" t="n"/>
      <c r="D400" s="6" t="n"/>
      <c r="E400" s="10">
        <f>IF(B400="","",IF(COUNTIFS($B$2:$B$600,B400,$C$2:$C$600,C400)&gt;1,B400&amp;" ("&amp;C400&amp;") "&amp;A400,B400&amp;" ("&amp;C400&amp;")"))</f>
        <v/>
      </c>
      <c r="F400" s="11">
        <f>IF(B400="","",SUMIFS(Entries!$J$2:$J$3000,Entries!$H$2:$H$3000,A400))</f>
        <v/>
      </c>
      <c r="G400" s="11">
        <f>IF(B400="","",_xlfn.MAXIFS(Prizes!$D$2:$D$3000,Prizes!$E$2:$E$3000,A400,Prizes!$G$2:$G$3000,""))</f>
        <v/>
      </c>
      <c r="H400" s="10">
        <f>IF(B400="","",IF(_xlfn.MAXIFS(Levels!$A$2:$A$30,Levels!$A$2:$A$30,"&lt;="&amp;F400)&gt;G400,INDEX(Levels!$B$2:$B$30,MATCH(_xlfn.MAXIFS(Levels!$A$2:$A$30,Levels!$A$2:$A$30,"&lt;="&amp;F400),Levels!$A$2:$A$30,0)),""))</f>
        <v/>
      </c>
      <c r="I400" s="10">
        <f>IF(B400="","",COUNTIFS(Levels!$A$2:$A$30,"&lt;="&amp;F400,Levels!$A$2:$A$30,"&gt;"&amp;G400))</f>
        <v/>
      </c>
      <c r="J400" s="10">
        <f>IF(OR(B400="",TRIM('Find a child'!$B$3)=""),"",IF(ISNUMBER(SEARCH(TRIM('Find a child'!$B$3),B400&amp;" "&amp;C400)),COUNT(J$1:J399)+1,""))</f>
        <v/>
      </c>
    </row>
    <row r="401">
      <c r="A401" s="10" t="inlineStr">
        <is>
          <t>C0400</t>
        </is>
      </c>
      <c r="B401" s="6" t="n"/>
      <c r="C401" s="6" t="n"/>
      <c r="D401" s="6" t="n"/>
      <c r="E401" s="10">
        <f>IF(B401="","",IF(COUNTIFS($B$2:$B$600,B401,$C$2:$C$600,C401)&gt;1,B401&amp;" ("&amp;C401&amp;") "&amp;A401,B401&amp;" ("&amp;C401&amp;")"))</f>
        <v/>
      </c>
      <c r="F401" s="11">
        <f>IF(B401="","",SUMIFS(Entries!$J$2:$J$3000,Entries!$H$2:$H$3000,A401))</f>
        <v/>
      </c>
      <c r="G401" s="11">
        <f>IF(B401="","",_xlfn.MAXIFS(Prizes!$D$2:$D$3000,Prizes!$E$2:$E$3000,A401,Prizes!$G$2:$G$3000,""))</f>
        <v/>
      </c>
      <c r="H401" s="10">
        <f>IF(B401="","",IF(_xlfn.MAXIFS(Levels!$A$2:$A$30,Levels!$A$2:$A$30,"&lt;="&amp;F401)&gt;G401,INDEX(Levels!$B$2:$B$30,MATCH(_xlfn.MAXIFS(Levels!$A$2:$A$30,Levels!$A$2:$A$30,"&lt;="&amp;F401),Levels!$A$2:$A$30,0)),""))</f>
        <v/>
      </c>
      <c r="I401" s="10">
        <f>IF(B401="","",COUNTIFS(Levels!$A$2:$A$30,"&lt;="&amp;F401,Levels!$A$2:$A$30,"&gt;"&amp;G401))</f>
        <v/>
      </c>
      <c r="J401" s="10">
        <f>IF(OR(B401="",TRIM('Find a child'!$B$3)=""),"",IF(ISNUMBER(SEARCH(TRIM('Find a child'!$B$3),B401&amp;" "&amp;C401)),COUNT(J$1:J400)+1,""))</f>
        <v/>
      </c>
    </row>
    <row r="402">
      <c r="A402" s="10" t="inlineStr">
        <is>
          <t>C0401</t>
        </is>
      </c>
      <c r="B402" s="6" t="n"/>
      <c r="C402" s="6" t="n"/>
      <c r="D402" s="6" t="n"/>
      <c r="E402" s="10">
        <f>IF(B402="","",IF(COUNTIFS($B$2:$B$600,B402,$C$2:$C$600,C402)&gt;1,B402&amp;" ("&amp;C402&amp;") "&amp;A402,B402&amp;" ("&amp;C402&amp;")"))</f>
        <v/>
      </c>
      <c r="F402" s="11">
        <f>IF(B402="","",SUMIFS(Entries!$J$2:$J$3000,Entries!$H$2:$H$3000,A402))</f>
        <v/>
      </c>
      <c r="G402" s="11">
        <f>IF(B402="","",_xlfn.MAXIFS(Prizes!$D$2:$D$3000,Prizes!$E$2:$E$3000,A402,Prizes!$G$2:$G$3000,""))</f>
        <v/>
      </c>
      <c r="H402" s="10">
        <f>IF(B402="","",IF(_xlfn.MAXIFS(Levels!$A$2:$A$30,Levels!$A$2:$A$30,"&lt;="&amp;F402)&gt;G402,INDEX(Levels!$B$2:$B$30,MATCH(_xlfn.MAXIFS(Levels!$A$2:$A$30,Levels!$A$2:$A$30,"&lt;="&amp;F402),Levels!$A$2:$A$30,0)),""))</f>
        <v/>
      </c>
      <c r="I402" s="10">
        <f>IF(B402="","",COUNTIFS(Levels!$A$2:$A$30,"&lt;="&amp;F402,Levels!$A$2:$A$30,"&gt;"&amp;G402))</f>
        <v/>
      </c>
      <c r="J402" s="10">
        <f>IF(OR(B402="",TRIM('Find a child'!$B$3)=""),"",IF(ISNUMBER(SEARCH(TRIM('Find a child'!$B$3),B402&amp;" "&amp;C402)),COUNT(J$1:J401)+1,""))</f>
        <v/>
      </c>
    </row>
    <row r="403">
      <c r="A403" s="10" t="inlineStr">
        <is>
          <t>C0402</t>
        </is>
      </c>
      <c r="B403" s="6" t="n"/>
      <c r="C403" s="6" t="n"/>
      <c r="D403" s="6" t="n"/>
      <c r="E403" s="10">
        <f>IF(B403="","",IF(COUNTIFS($B$2:$B$600,B403,$C$2:$C$600,C403)&gt;1,B403&amp;" ("&amp;C403&amp;") "&amp;A403,B403&amp;" ("&amp;C403&amp;")"))</f>
        <v/>
      </c>
      <c r="F403" s="11">
        <f>IF(B403="","",SUMIFS(Entries!$J$2:$J$3000,Entries!$H$2:$H$3000,A403))</f>
        <v/>
      </c>
      <c r="G403" s="11">
        <f>IF(B403="","",_xlfn.MAXIFS(Prizes!$D$2:$D$3000,Prizes!$E$2:$E$3000,A403,Prizes!$G$2:$G$3000,""))</f>
        <v/>
      </c>
      <c r="H403" s="10">
        <f>IF(B403="","",IF(_xlfn.MAXIFS(Levels!$A$2:$A$30,Levels!$A$2:$A$30,"&lt;="&amp;F403)&gt;G403,INDEX(Levels!$B$2:$B$30,MATCH(_xlfn.MAXIFS(Levels!$A$2:$A$30,Levels!$A$2:$A$30,"&lt;="&amp;F403),Levels!$A$2:$A$30,0)),""))</f>
        <v/>
      </c>
      <c r="I403" s="10">
        <f>IF(B403="","",COUNTIFS(Levels!$A$2:$A$30,"&lt;="&amp;F403,Levels!$A$2:$A$30,"&gt;"&amp;G403))</f>
        <v/>
      </c>
      <c r="J403" s="10">
        <f>IF(OR(B403="",TRIM('Find a child'!$B$3)=""),"",IF(ISNUMBER(SEARCH(TRIM('Find a child'!$B$3),B403&amp;" "&amp;C403)),COUNT(J$1:J402)+1,""))</f>
        <v/>
      </c>
    </row>
    <row r="404">
      <c r="A404" s="10" t="inlineStr">
        <is>
          <t>C0403</t>
        </is>
      </c>
      <c r="B404" s="6" t="n"/>
      <c r="C404" s="6" t="n"/>
      <c r="D404" s="6" t="n"/>
      <c r="E404" s="10">
        <f>IF(B404="","",IF(COUNTIFS($B$2:$B$600,B404,$C$2:$C$600,C404)&gt;1,B404&amp;" ("&amp;C404&amp;") "&amp;A404,B404&amp;" ("&amp;C404&amp;")"))</f>
        <v/>
      </c>
      <c r="F404" s="11">
        <f>IF(B404="","",SUMIFS(Entries!$J$2:$J$3000,Entries!$H$2:$H$3000,A404))</f>
        <v/>
      </c>
      <c r="G404" s="11">
        <f>IF(B404="","",_xlfn.MAXIFS(Prizes!$D$2:$D$3000,Prizes!$E$2:$E$3000,A404,Prizes!$G$2:$G$3000,""))</f>
        <v/>
      </c>
      <c r="H404" s="10">
        <f>IF(B404="","",IF(_xlfn.MAXIFS(Levels!$A$2:$A$30,Levels!$A$2:$A$30,"&lt;="&amp;F404)&gt;G404,INDEX(Levels!$B$2:$B$30,MATCH(_xlfn.MAXIFS(Levels!$A$2:$A$30,Levels!$A$2:$A$30,"&lt;="&amp;F404),Levels!$A$2:$A$30,0)),""))</f>
        <v/>
      </c>
      <c r="I404" s="10">
        <f>IF(B404="","",COUNTIFS(Levels!$A$2:$A$30,"&lt;="&amp;F404,Levels!$A$2:$A$30,"&gt;"&amp;G404))</f>
        <v/>
      </c>
      <c r="J404" s="10">
        <f>IF(OR(B404="",TRIM('Find a child'!$B$3)=""),"",IF(ISNUMBER(SEARCH(TRIM('Find a child'!$B$3),B404&amp;" "&amp;C404)),COUNT(J$1:J403)+1,""))</f>
        <v/>
      </c>
    </row>
    <row r="405">
      <c r="A405" s="10" t="inlineStr">
        <is>
          <t>C0404</t>
        </is>
      </c>
      <c r="B405" s="6" t="n"/>
      <c r="C405" s="6" t="n"/>
      <c r="D405" s="6" t="n"/>
      <c r="E405" s="10">
        <f>IF(B405="","",IF(COUNTIFS($B$2:$B$600,B405,$C$2:$C$600,C405)&gt;1,B405&amp;" ("&amp;C405&amp;") "&amp;A405,B405&amp;" ("&amp;C405&amp;")"))</f>
        <v/>
      </c>
      <c r="F405" s="11">
        <f>IF(B405="","",SUMIFS(Entries!$J$2:$J$3000,Entries!$H$2:$H$3000,A405))</f>
        <v/>
      </c>
      <c r="G405" s="11">
        <f>IF(B405="","",_xlfn.MAXIFS(Prizes!$D$2:$D$3000,Prizes!$E$2:$E$3000,A405,Prizes!$G$2:$G$3000,""))</f>
        <v/>
      </c>
      <c r="H405" s="10">
        <f>IF(B405="","",IF(_xlfn.MAXIFS(Levels!$A$2:$A$30,Levels!$A$2:$A$30,"&lt;="&amp;F405)&gt;G405,INDEX(Levels!$B$2:$B$30,MATCH(_xlfn.MAXIFS(Levels!$A$2:$A$30,Levels!$A$2:$A$30,"&lt;="&amp;F405),Levels!$A$2:$A$30,0)),""))</f>
        <v/>
      </c>
      <c r="I405" s="10">
        <f>IF(B405="","",COUNTIFS(Levels!$A$2:$A$30,"&lt;="&amp;F405,Levels!$A$2:$A$30,"&gt;"&amp;G405))</f>
        <v/>
      </c>
      <c r="J405" s="10">
        <f>IF(OR(B405="",TRIM('Find a child'!$B$3)=""),"",IF(ISNUMBER(SEARCH(TRIM('Find a child'!$B$3),B405&amp;" "&amp;C405)),COUNT(J$1:J404)+1,""))</f>
        <v/>
      </c>
    </row>
    <row r="406">
      <c r="A406" s="10" t="inlineStr">
        <is>
          <t>C0405</t>
        </is>
      </c>
      <c r="B406" s="6" t="n"/>
      <c r="C406" s="6" t="n"/>
      <c r="D406" s="6" t="n"/>
      <c r="E406" s="10">
        <f>IF(B406="","",IF(COUNTIFS($B$2:$B$600,B406,$C$2:$C$600,C406)&gt;1,B406&amp;" ("&amp;C406&amp;") "&amp;A406,B406&amp;" ("&amp;C406&amp;")"))</f>
        <v/>
      </c>
      <c r="F406" s="11">
        <f>IF(B406="","",SUMIFS(Entries!$J$2:$J$3000,Entries!$H$2:$H$3000,A406))</f>
        <v/>
      </c>
      <c r="G406" s="11">
        <f>IF(B406="","",_xlfn.MAXIFS(Prizes!$D$2:$D$3000,Prizes!$E$2:$E$3000,A406,Prizes!$G$2:$G$3000,""))</f>
        <v/>
      </c>
      <c r="H406" s="10">
        <f>IF(B406="","",IF(_xlfn.MAXIFS(Levels!$A$2:$A$30,Levels!$A$2:$A$30,"&lt;="&amp;F406)&gt;G406,INDEX(Levels!$B$2:$B$30,MATCH(_xlfn.MAXIFS(Levels!$A$2:$A$30,Levels!$A$2:$A$30,"&lt;="&amp;F406),Levels!$A$2:$A$30,0)),""))</f>
        <v/>
      </c>
      <c r="I406" s="10">
        <f>IF(B406="","",COUNTIFS(Levels!$A$2:$A$30,"&lt;="&amp;F406,Levels!$A$2:$A$30,"&gt;"&amp;G406))</f>
        <v/>
      </c>
      <c r="J406" s="10">
        <f>IF(OR(B406="",TRIM('Find a child'!$B$3)=""),"",IF(ISNUMBER(SEARCH(TRIM('Find a child'!$B$3),B406&amp;" "&amp;C406)),COUNT(J$1:J405)+1,""))</f>
        <v/>
      </c>
    </row>
    <row r="407">
      <c r="A407" s="10" t="inlineStr">
        <is>
          <t>C0406</t>
        </is>
      </c>
      <c r="B407" s="6" t="n"/>
      <c r="C407" s="6" t="n"/>
      <c r="D407" s="6" t="n"/>
      <c r="E407" s="10">
        <f>IF(B407="","",IF(COUNTIFS($B$2:$B$600,B407,$C$2:$C$600,C407)&gt;1,B407&amp;" ("&amp;C407&amp;") "&amp;A407,B407&amp;" ("&amp;C407&amp;")"))</f>
        <v/>
      </c>
      <c r="F407" s="11">
        <f>IF(B407="","",SUMIFS(Entries!$J$2:$J$3000,Entries!$H$2:$H$3000,A407))</f>
        <v/>
      </c>
      <c r="G407" s="11">
        <f>IF(B407="","",_xlfn.MAXIFS(Prizes!$D$2:$D$3000,Prizes!$E$2:$E$3000,A407,Prizes!$G$2:$G$3000,""))</f>
        <v/>
      </c>
      <c r="H407" s="10">
        <f>IF(B407="","",IF(_xlfn.MAXIFS(Levels!$A$2:$A$30,Levels!$A$2:$A$30,"&lt;="&amp;F407)&gt;G407,INDEX(Levels!$B$2:$B$30,MATCH(_xlfn.MAXIFS(Levels!$A$2:$A$30,Levels!$A$2:$A$30,"&lt;="&amp;F407),Levels!$A$2:$A$30,0)),""))</f>
        <v/>
      </c>
      <c r="I407" s="10">
        <f>IF(B407="","",COUNTIFS(Levels!$A$2:$A$30,"&lt;="&amp;F407,Levels!$A$2:$A$30,"&gt;"&amp;G407))</f>
        <v/>
      </c>
      <c r="J407" s="10">
        <f>IF(OR(B407="",TRIM('Find a child'!$B$3)=""),"",IF(ISNUMBER(SEARCH(TRIM('Find a child'!$B$3),B407&amp;" "&amp;C407)),COUNT(J$1:J406)+1,""))</f>
        <v/>
      </c>
    </row>
    <row r="408">
      <c r="A408" s="10" t="inlineStr">
        <is>
          <t>C0407</t>
        </is>
      </c>
      <c r="B408" s="6" t="n"/>
      <c r="C408" s="6" t="n"/>
      <c r="D408" s="6" t="n"/>
      <c r="E408" s="10">
        <f>IF(B408="","",IF(COUNTIFS($B$2:$B$600,B408,$C$2:$C$600,C408)&gt;1,B408&amp;" ("&amp;C408&amp;") "&amp;A408,B408&amp;" ("&amp;C408&amp;")"))</f>
        <v/>
      </c>
      <c r="F408" s="11">
        <f>IF(B408="","",SUMIFS(Entries!$J$2:$J$3000,Entries!$H$2:$H$3000,A408))</f>
        <v/>
      </c>
      <c r="G408" s="11">
        <f>IF(B408="","",_xlfn.MAXIFS(Prizes!$D$2:$D$3000,Prizes!$E$2:$E$3000,A408,Prizes!$G$2:$G$3000,""))</f>
        <v/>
      </c>
      <c r="H408" s="10">
        <f>IF(B408="","",IF(_xlfn.MAXIFS(Levels!$A$2:$A$30,Levels!$A$2:$A$30,"&lt;="&amp;F408)&gt;G408,INDEX(Levels!$B$2:$B$30,MATCH(_xlfn.MAXIFS(Levels!$A$2:$A$30,Levels!$A$2:$A$30,"&lt;="&amp;F408),Levels!$A$2:$A$30,0)),""))</f>
        <v/>
      </c>
      <c r="I408" s="10">
        <f>IF(B408="","",COUNTIFS(Levels!$A$2:$A$30,"&lt;="&amp;F408,Levels!$A$2:$A$30,"&gt;"&amp;G408))</f>
        <v/>
      </c>
      <c r="J408" s="10">
        <f>IF(OR(B408="",TRIM('Find a child'!$B$3)=""),"",IF(ISNUMBER(SEARCH(TRIM('Find a child'!$B$3),B408&amp;" "&amp;C408)),COUNT(J$1:J407)+1,""))</f>
        <v/>
      </c>
    </row>
    <row r="409">
      <c r="A409" s="10" t="inlineStr">
        <is>
          <t>C0408</t>
        </is>
      </c>
      <c r="B409" s="6" t="n"/>
      <c r="C409" s="6" t="n"/>
      <c r="D409" s="6" t="n"/>
      <c r="E409" s="10">
        <f>IF(B409="","",IF(COUNTIFS($B$2:$B$600,B409,$C$2:$C$600,C409)&gt;1,B409&amp;" ("&amp;C409&amp;") "&amp;A409,B409&amp;" ("&amp;C409&amp;")"))</f>
        <v/>
      </c>
      <c r="F409" s="11">
        <f>IF(B409="","",SUMIFS(Entries!$J$2:$J$3000,Entries!$H$2:$H$3000,A409))</f>
        <v/>
      </c>
      <c r="G409" s="11">
        <f>IF(B409="","",_xlfn.MAXIFS(Prizes!$D$2:$D$3000,Prizes!$E$2:$E$3000,A409,Prizes!$G$2:$G$3000,""))</f>
        <v/>
      </c>
      <c r="H409" s="10">
        <f>IF(B409="","",IF(_xlfn.MAXIFS(Levels!$A$2:$A$30,Levels!$A$2:$A$30,"&lt;="&amp;F409)&gt;G409,INDEX(Levels!$B$2:$B$30,MATCH(_xlfn.MAXIFS(Levels!$A$2:$A$30,Levels!$A$2:$A$30,"&lt;="&amp;F409),Levels!$A$2:$A$30,0)),""))</f>
        <v/>
      </c>
      <c r="I409" s="10">
        <f>IF(B409="","",COUNTIFS(Levels!$A$2:$A$30,"&lt;="&amp;F409,Levels!$A$2:$A$30,"&gt;"&amp;G409))</f>
        <v/>
      </c>
      <c r="J409" s="10">
        <f>IF(OR(B409="",TRIM('Find a child'!$B$3)=""),"",IF(ISNUMBER(SEARCH(TRIM('Find a child'!$B$3),B409&amp;" "&amp;C409)),COUNT(J$1:J408)+1,""))</f>
        <v/>
      </c>
    </row>
    <row r="410">
      <c r="A410" s="10" t="inlineStr">
        <is>
          <t>C0409</t>
        </is>
      </c>
      <c r="B410" s="6" t="n"/>
      <c r="C410" s="6" t="n"/>
      <c r="D410" s="6" t="n"/>
      <c r="E410" s="10">
        <f>IF(B410="","",IF(COUNTIFS($B$2:$B$600,B410,$C$2:$C$600,C410)&gt;1,B410&amp;" ("&amp;C410&amp;") "&amp;A410,B410&amp;" ("&amp;C410&amp;")"))</f>
        <v/>
      </c>
      <c r="F410" s="11">
        <f>IF(B410="","",SUMIFS(Entries!$J$2:$J$3000,Entries!$H$2:$H$3000,A410))</f>
        <v/>
      </c>
      <c r="G410" s="11">
        <f>IF(B410="","",_xlfn.MAXIFS(Prizes!$D$2:$D$3000,Prizes!$E$2:$E$3000,A410,Prizes!$G$2:$G$3000,""))</f>
        <v/>
      </c>
      <c r="H410" s="10">
        <f>IF(B410="","",IF(_xlfn.MAXIFS(Levels!$A$2:$A$30,Levels!$A$2:$A$30,"&lt;="&amp;F410)&gt;G410,INDEX(Levels!$B$2:$B$30,MATCH(_xlfn.MAXIFS(Levels!$A$2:$A$30,Levels!$A$2:$A$30,"&lt;="&amp;F410),Levels!$A$2:$A$30,0)),""))</f>
        <v/>
      </c>
      <c r="I410" s="10">
        <f>IF(B410="","",COUNTIFS(Levels!$A$2:$A$30,"&lt;="&amp;F410,Levels!$A$2:$A$30,"&gt;"&amp;G410))</f>
        <v/>
      </c>
      <c r="J410" s="10">
        <f>IF(OR(B410="",TRIM('Find a child'!$B$3)=""),"",IF(ISNUMBER(SEARCH(TRIM('Find a child'!$B$3),B410&amp;" "&amp;C410)),COUNT(J$1:J409)+1,""))</f>
        <v/>
      </c>
    </row>
    <row r="411">
      <c r="A411" s="10" t="inlineStr">
        <is>
          <t>C0410</t>
        </is>
      </c>
      <c r="B411" s="6" t="n"/>
      <c r="C411" s="6" t="n"/>
      <c r="D411" s="6" t="n"/>
      <c r="E411" s="10">
        <f>IF(B411="","",IF(COUNTIFS($B$2:$B$600,B411,$C$2:$C$600,C411)&gt;1,B411&amp;" ("&amp;C411&amp;") "&amp;A411,B411&amp;" ("&amp;C411&amp;")"))</f>
        <v/>
      </c>
      <c r="F411" s="11">
        <f>IF(B411="","",SUMIFS(Entries!$J$2:$J$3000,Entries!$H$2:$H$3000,A411))</f>
        <v/>
      </c>
      <c r="G411" s="11">
        <f>IF(B411="","",_xlfn.MAXIFS(Prizes!$D$2:$D$3000,Prizes!$E$2:$E$3000,A411,Prizes!$G$2:$G$3000,""))</f>
        <v/>
      </c>
      <c r="H411" s="10">
        <f>IF(B411="","",IF(_xlfn.MAXIFS(Levels!$A$2:$A$30,Levels!$A$2:$A$30,"&lt;="&amp;F411)&gt;G411,INDEX(Levels!$B$2:$B$30,MATCH(_xlfn.MAXIFS(Levels!$A$2:$A$30,Levels!$A$2:$A$30,"&lt;="&amp;F411),Levels!$A$2:$A$30,0)),""))</f>
        <v/>
      </c>
      <c r="I411" s="10">
        <f>IF(B411="","",COUNTIFS(Levels!$A$2:$A$30,"&lt;="&amp;F411,Levels!$A$2:$A$30,"&gt;"&amp;G411))</f>
        <v/>
      </c>
      <c r="J411" s="10">
        <f>IF(OR(B411="",TRIM('Find a child'!$B$3)=""),"",IF(ISNUMBER(SEARCH(TRIM('Find a child'!$B$3),B411&amp;" "&amp;C411)),COUNT(J$1:J410)+1,""))</f>
        <v/>
      </c>
    </row>
    <row r="412">
      <c r="A412" s="10" t="inlineStr">
        <is>
          <t>C0411</t>
        </is>
      </c>
      <c r="B412" s="6" t="n"/>
      <c r="C412" s="6" t="n"/>
      <c r="D412" s="6" t="n"/>
      <c r="E412" s="10">
        <f>IF(B412="","",IF(COUNTIFS($B$2:$B$600,B412,$C$2:$C$600,C412)&gt;1,B412&amp;" ("&amp;C412&amp;") "&amp;A412,B412&amp;" ("&amp;C412&amp;")"))</f>
        <v/>
      </c>
      <c r="F412" s="11">
        <f>IF(B412="","",SUMIFS(Entries!$J$2:$J$3000,Entries!$H$2:$H$3000,A412))</f>
        <v/>
      </c>
      <c r="G412" s="11">
        <f>IF(B412="","",_xlfn.MAXIFS(Prizes!$D$2:$D$3000,Prizes!$E$2:$E$3000,A412,Prizes!$G$2:$G$3000,""))</f>
        <v/>
      </c>
      <c r="H412" s="10">
        <f>IF(B412="","",IF(_xlfn.MAXIFS(Levels!$A$2:$A$30,Levels!$A$2:$A$30,"&lt;="&amp;F412)&gt;G412,INDEX(Levels!$B$2:$B$30,MATCH(_xlfn.MAXIFS(Levels!$A$2:$A$30,Levels!$A$2:$A$30,"&lt;="&amp;F412),Levels!$A$2:$A$30,0)),""))</f>
        <v/>
      </c>
      <c r="I412" s="10">
        <f>IF(B412="","",COUNTIFS(Levels!$A$2:$A$30,"&lt;="&amp;F412,Levels!$A$2:$A$30,"&gt;"&amp;G412))</f>
        <v/>
      </c>
      <c r="J412" s="10">
        <f>IF(OR(B412="",TRIM('Find a child'!$B$3)=""),"",IF(ISNUMBER(SEARCH(TRIM('Find a child'!$B$3),B412&amp;" "&amp;C412)),COUNT(J$1:J411)+1,""))</f>
        <v/>
      </c>
    </row>
    <row r="413">
      <c r="A413" s="10" t="inlineStr">
        <is>
          <t>C0412</t>
        </is>
      </c>
      <c r="B413" s="6" t="n"/>
      <c r="C413" s="6" t="n"/>
      <c r="D413" s="6" t="n"/>
      <c r="E413" s="10">
        <f>IF(B413="","",IF(COUNTIFS($B$2:$B$600,B413,$C$2:$C$600,C413)&gt;1,B413&amp;" ("&amp;C413&amp;") "&amp;A413,B413&amp;" ("&amp;C413&amp;")"))</f>
        <v/>
      </c>
      <c r="F413" s="11">
        <f>IF(B413="","",SUMIFS(Entries!$J$2:$J$3000,Entries!$H$2:$H$3000,A413))</f>
        <v/>
      </c>
      <c r="G413" s="11">
        <f>IF(B413="","",_xlfn.MAXIFS(Prizes!$D$2:$D$3000,Prizes!$E$2:$E$3000,A413,Prizes!$G$2:$G$3000,""))</f>
        <v/>
      </c>
      <c r="H413" s="10">
        <f>IF(B413="","",IF(_xlfn.MAXIFS(Levels!$A$2:$A$30,Levels!$A$2:$A$30,"&lt;="&amp;F413)&gt;G413,INDEX(Levels!$B$2:$B$30,MATCH(_xlfn.MAXIFS(Levels!$A$2:$A$30,Levels!$A$2:$A$30,"&lt;="&amp;F413),Levels!$A$2:$A$30,0)),""))</f>
        <v/>
      </c>
      <c r="I413" s="10">
        <f>IF(B413="","",COUNTIFS(Levels!$A$2:$A$30,"&lt;="&amp;F413,Levels!$A$2:$A$30,"&gt;"&amp;G413))</f>
        <v/>
      </c>
      <c r="J413" s="10">
        <f>IF(OR(B413="",TRIM('Find a child'!$B$3)=""),"",IF(ISNUMBER(SEARCH(TRIM('Find a child'!$B$3),B413&amp;" "&amp;C413)),COUNT(J$1:J412)+1,""))</f>
        <v/>
      </c>
    </row>
    <row r="414">
      <c r="A414" s="10" t="inlineStr">
        <is>
          <t>C0413</t>
        </is>
      </c>
      <c r="B414" s="6" t="n"/>
      <c r="C414" s="6" t="n"/>
      <c r="D414" s="6" t="n"/>
      <c r="E414" s="10">
        <f>IF(B414="","",IF(COUNTIFS($B$2:$B$600,B414,$C$2:$C$600,C414)&gt;1,B414&amp;" ("&amp;C414&amp;") "&amp;A414,B414&amp;" ("&amp;C414&amp;")"))</f>
        <v/>
      </c>
      <c r="F414" s="11">
        <f>IF(B414="","",SUMIFS(Entries!$J$2:$J$3000,Entries!$H$2:$H$3000,A414))</f>
        <v/>
      </c>
      <c r="G414" s="11">
        <f>IF(B414="","",_xlfn.MAXIFS(Prizes!$D$2:$D$3000,Prizes!$E$2:$E$3000,A414,Prizes!$G$2:$G$3000,""))</f>
        <v/>
      </c>
      <c r="H414" s="10">
        <f>IF(B414="","",IF(_xlfn.MAXIFS(Levels!$A$2:$A$30,Levels!$A$2:$A$30,"&lt;="&amp;F414)&gt;G414,INDEX(Levels!$B$2:$B$30,MATCH(_xlfn.MAXIFS(Levels!$A$2:$A$30,Levels!$A$2:$A$30,"&lt;="&amp;F414),Levels!$A$2:$A$30,0)),""))</f>
        <v/>
      </c>
      <c r="I414" s="10">
        <f>IF(B414="","",COUNTIFS(Levels!$A$2:$A$30,"&lt;="&amp;F414,Levels!$A$2:$A$30,"&gt;"&amp;G414))</f>
        <v/>
      </c>
      <c r="J414" s="10">
        <f>IF(OR(B414="",TRIM('Find a child'!$B$3)=""),"",IF(ISNUMBER(SEARCH(TRIM('Find a child'!$B$3),B414&amp;" "&amp;C414)),COUNT(J$1:J413)+1,""))</f>
        <v/>
      </c>
    </row>
    <row r="415">
      <c r="A415" s="10" t="inlineStr">
        <is>
          <t>C0414</t>
        </is>
      </c>
      <c r="B415" s="6" t="n"/>
      <c r="C415" s="6" t="n"/>
      <c r="D415" s="6" t="n"/>
      <c r="E415" s="10">
        <f>IF(B415="","",IF(COUNTIFS($B$2:$B$600,B415,$C$2:$C$600,C415)&gt;1,B415&amp;" ("&amp;C415&amp;") "&amp;A415,B415&amp;" ("&amp;C415&amp;")"))</f>
        <v/>
      </c>
      <c r="F415" s="11">
        <f>IF(B415="","",SUMIFS(Entries!$J$2:$J$3000,Entries!$H$2:$H$3000,A415))</f>
        <v/>
      </c>
      <c r="G415" s="11">
        <f>IF(B415="","",_xlfn.MAXIFS(Prizes!$D$2:$D$3000,Prizes!$E$2:$E$3000,A415,Prizes!$G$2:$G$3000,""))</f>
        <v/>
      </c>
      <c r="H415" s="10">
        <f>IF(B415="","",IF(_xlfn.MAXIFS(Levels!$A$2:$A$30,Levels!$A$2:$A$30,"&lt;="&amp;F415)&gt;G415,INDEX(Levels!$B$2:$B$30,MATCH(_xlfn.MAXIFS(Levels!$A$2:$A$30,Levels!$A$2:$A$30,"&lt;="&amp;F415),Levels!$A$2:$A$30,0)),""))</f>
        <v/>
      </c>
      <c r="I415" s="10">
        <f>IF(B415="","",COUNTIFS(Levels!$A$2:$A$30,"&lt;="&amp;F415,Levels!$A$2:$A$30,"&gt;"&amp;G415))</f>
        <v/>
      </c>
      <c r="J415" s="10">
        <f>IF(OR(B415="",TRIM('Find a child'!$B$3)=""),"",IF(ISNUMBER(SEARCH(TRIM('Find a child'!$B$3),B415&amp;" "&amp;C415)),COUNT(J$1:J414)+1,""))</f>
        <v/>
      </c>
    </row>
    <row r="416">
      <c r="A416" s="10" t="inlineStr">
        <is>
          <t>C0415</t>
        </is>
      </c>
      <c r="B416" s="6" t="n"/>
      <c r="C416" s="6" t="n"/>
      <c r="D416" s="6" t="n"/>
      <c r="E416" s="10">
        <f>IF(B416="","",IF(COUNTIFS($B$2:$B$600,B416,$C$2:$C$600,C416)&gt;1,B416&amp;" ("&amp;C416&amp;") "&amp;A416,B416&amp;" ("&amp;C416&amp;")"))</f>
        <v/>
      </c>
      <c r="F416" s="11">
        <f>IF(B416="","",SUMIFS(Entries!$J$2:$J$3000,Entries!$H$2:$H$3000,A416))</f>
        <v/>
      </c>
      <c r="G416" s="11">
        <f>IF(B416="","",_xlfn.MAXIFS(Prizes!$D$2:$D$3000,Prizes!$E$2:$E$3000,A416,Prizes!$G$2:$G$3000,""))</f>
        <v/>
      </c>
      <c r="H416" s="10">
        <f>IF(B416="","",IF(_xlfn.MAXIFS(Levels!$A$2:$A$30,Levels!$A$2:$A$30,"&lt;="&amp;F416)&gt;G416,INDEX(Levels!$B$2:$B$30,MATCH(_xlfn.MAXIFS(Levels!$A$2:$A$30,Levels!$A$2:$A$30,"&lt;="&amp;F416),Levels!$A$2:$A$30,0)),""))</f>
        <v/>
      </c>
      <c r="I416" s="10">
        <f>IF(B416="","",COUNTIFS(Levels!$A$2:$A$30,"&lt;="&amp;F416,Levels!$A$2:$A$30,"&gt;"&amp;G416))</f>
        <v/>
      </c>
      <c r="J416" s="10">
        <f>IF(OR(B416="",TRIM('Find a child'!$B$3)=""),"",IF(ISNUMBER(SEARCH(TRIM('Find a child'!$B$3),B416&amp;" "&amp;C416)),COUNT(J$1:J415)+1,""))</f>
        <v/>
      </c>
    </row>
    <row r="417">
      <c r="A417" s="10" t="inlineStr">
        <is>
          <t>C0416</t>
        </is>
      </c>
      <c r="B417" s="6" t="n"/>
      <c r="C417" s="6" t="n"/>
      <c r="D417" s="6" t="n"/>
      <c r="E417" s="10">
        <f>IF(B417="","",IF(COUNTIFS($B$2:$B$600,B417,$C$2:$C$600,C417)&gt;1,B417&amp;" ("&amp;C417&amp;") "&amp;A417,B417&amp;" ("&amp;C417&amp;")"))</f>
        <v/>
      </c>
      <c r="F417" s="11">
        <f>IF(B417="","",SUMIFS(Entries!$J$2:$J$3000,Entries!$H$2:$H$3000,A417))</f>
        <v/>
      </c>
      <c r="G417" s="11">
        <f>IF(B417="","",_xlfn.MAXIFS(Prizes!$D$2:$D$3000,Prizes!$E$2:$E$3000,A417,Prizes!$G$2:$G$3000,""))</f>
        <v/>
      </c>
      <c r="H417" s="10">
        <f>IF(B417="","",IF(_xlfn.MAXIFS(Levels!$A$2:$A$30,Levels!$A$2:$A$30,"&lt;="&amp;F417)&gt;G417,INDEX(Levels!$B$2:$B$30,MATCH(_xlfn.MAXIFS(Levels!$A$2:$A$30,Levels!$A$2:$A$30,"&lt;="&amp;F417),Levels!$A$2:$A$30,0)),""))</f>
        <v/>
      </c>
      <c r="I417" s="10">
        <f>IF(B417="","",COUNTIFS(Levels!$A$2:$A$30,"&lt;="&amp;F417,Levels!$A$2:$A$30,"&gt;"&amp;G417))</f>
        <v/>
      </c>
      <c r="J417" s="10">
        <f>IF(OR(B417="",TRIM('Find a child'!$B$3)=""),"",IF(ISNUMBER(SEARCH(TRIM('Find a child'!$B$3),B417&amp;" "&amp;C417)),COUNT(J$1:J416)+1,""))</f>
        <v/>
      </c>
    </row>
    <row r="418">
      <c r="A418" s="10" t="inlineStr">
        <is>
          <t>C0417</t>
        </is>
      </c>
      <c r="B418" s="6" t="n"/>
      <c r="C418" s="6" t="n"/>
      <c r="D418" s="6" t="n"/>
      <c r="E418" s="10">
        <f>IF(B418="","",IF(COUNTIFS($B$2:$B$600,B418,$C$2:$C$600,C418)&gt;1,B418&amp;" ("&amp;C418&amp;") "&amp;A418,B418&amp;" ("&amp;C418&amp;")"))</f>
        <v/>
      </c>
      <c r="F418" s="11">
        <f>IF(B418="","",SUMIFS(Entries!$J$2:$J$3000,Entries!$H$2:$H$3000,A418))</f>
        <v/>
      </c>
      <c r="G418" s="11">
        <f>IF(B418="","",_xlfn.MAXIFS(Prizes!$D$2:$D$3000,Prizes!$E$2:$E$3000,A418,Prizes!$G$2:$G$3000,""))</f>
        <v/>
      </c>
      <c r="H418" s="10">
        <f>IF(B418="","",IF(_xlfn.MAXIFS(Levels!$A$2:$A$30,Levels!$A$2:$A$30,"&lt;="&amp;F418)&gt;G418,INDEX(Levels!$B$2:$B$30,MATCH(_xlfn.MAXIFS(Levels!$A$2:$A$30,Levels!$A$2:$A$30,"&lt;="&amp;F418),Levels!$A$2:$A$30,0)),""))</f>
        <v/>
      </c>
      <c r="I418" s="10">
        <f>IF(B418="","",COUNTIFS(Levels!$A$2:$A$30,"&lt;="&amp;F418,Levels!$A$2:$A$30,"&gt;"&amp;G418))</f>
        <v/>
      </c>
      <c r="J418" s="10">
        <f>IF(OR(B418="",TRIM('Find a child'!$B$3)=""),"",IF(ISNUMBER(SEARCH(TRIM('Find a child'!$B$3),B418&amp;" "&amp;C418)),COUNT(J$1:J417)+1,""))</f>
        <v/>
      </c>
    </row>
    <row r="419">
      <c r="A419" s="10" t="inlineStr">
        <is>
          <t>C0418</t>
        </is>
      </c>
      <c r="B419" s="6" t="n"/>
      <c r="C419" s="6" t="n"/>
      <c r="D419" s="6" t="n"/>
      <c r="E419" s="10">
        <f>IF(B419="","",IF(COUNTIFS($B$2:$B$600,B419,$C$2:$C$600,C419)&gt;1,B419&amp;" ("&amp;C419&amp;") "&amp;A419,B419&amp;" ("&amp;C419&amp;")"))</f>
        <v/>
      </c>
      <c r="F419" s="11">
        <f>IF(B419="","",SUMIFS(Entries!$J$2:$J$3000,Entries!$H$2:$H$3000,A419))</f>
        <v/>
      </c>
      <c r="G419" s="11">
        <f>IF(B419="","",_xlfn.MAXIFS(Prizes!$D$2:$D$3000,Prizes!$E$2:$E$3000,A419,Prizes!$G$2:$G$3000,""))</f>
        <v/>
      </c>
      <c r="H419" s="10">
        <f>IF(B419="","",IF(_xlfn.MAXIFS(Levels!$A$2:$A$30,Levels!$A$2:$A$30,"&lt;="&amp;F419)&gt;G419,INDEX(Levels!$B$2:$B$30,MATCH(_xlfn.MAXIFS(Levels!$A$2:$A$30,Levels!$A$2:$A$30,"&lt;="&amp;F419),Levels!$A$2:$A$30,0)),""))</f>
        <v/>
      </c>
      <c r="I419" s="10">
        <f>IF(B419="","",COUNTIFS(Levels!$A$2:$A$30,"&lt;="&amp;F419,Levels!$A$2:$A$30,"&gt;"&amp;G419))</f>
        <v/>
      </c>
      <c r="J419" s="10">
        <f>IF(OR(B419="",TRIM('Find a child'!$B$3)=""),"",IF(ISNUMBER(SEARCH(TRIM('Find a child'!$B$3),B419&amp;" "&amp;C419)),COUNT(J$1:J418)+1,""))</f>
        <v/>
      </c>
    </row>
    <row r="420">
      <c r="A420" s="10" t="inlineStr">
        <is>
          <t>C0419</t>
        </is>
      </c>
      <c r="B420" s="6" t="n"/>
      <c r="C420" s="6" t="n"/>
      <c r="D420" s="6" t="n"/>
      <c r="E420" s="10">
        <f>IF(B420="","",IF(COUNTIFS($B$2:$B$600,B420,$C$2:$C$600,C420)&gt;1,B420&amp;" ("&amp;C420&amp;") "&amp;A420,B420&amp;" ("&amp;C420&amp;")"))</f>
        <v/>
      </c>
      <c r="F420" s="11">
        <f>IF(B420="","",SUMIFS(Entries!$J$2:$J$3000,Entries!$H$2:$H$3000,A420))</f>
        <v/>
      </c>
      <c r="G420" s="11">
        <f>IF(B420="","",_xlfn.MAXIFS(Prizes!$D$2:$D$3000,Prizes!$E$2:$E$3000,A420,Prizes!$G$2:$G$3000,""))</f>
        <v/>
      </c>
      <c r="H420" s="10">
        <f>IF(B420="","",IF(_xlfn.MAXIFS(Levels!$A$2:$A$30,Levels!$A$2:$A$30,"&lt;="&amp;F420)&gt;G420,INDEX(Levels!$B$2:$B$30,MATCH(_xlfn.MAXIFS(Levels!$A$2:$A$30,Levels!$A$2:$A$30,"&lt;="&amp;F420),Levels!$A$2:$A$30,0)),""))</f>
        <v/>
      </c>
      <c r="I420" s="10">
        <f>IF(B420="","",COUNTIFS(Levels!$A$2:$A$30,"&lt;="&amp;F420,Levels!$A$2:$A$30,"&gt;"&amp;G420))</f>
        <v/>
      </c>
      <c r="J420" s="10">
        <f>IF(OR(B420="",TRIM('Find a child'!$B$3)=""),"",IF(ISNUMBER(SEARCH(TRIM('Find a child'!$B$3),B420&amp;" "&amp;C420)),COUNT(J$1:J419)+1,""))</f>
        <v/>
      </c>
    </row>
    <row r="421">
      <c r="A421" s="10" t="inlineStr">
        <is>
          <t>C0420</t>
        </is>
      </c>
      <c r="B421" s="6" t="n"/>
      <c r="C421" s="6" t="n"/>
      <c r="D421" s="6" t="n"/>
      <c r="E421" s="10">
        <f>IF(B421="","",IF(COUNTIFS($B$2:$B$600,B421,$C$2:$C$600,C421)&gt;1,B421&amp;" ("&amp;C421&amp;") "&amp;A421,B421&amp;" ("&amp;C421&amp;")"))</f>
        <v/>
      </c>
      <c r="F421" s="11">
        <f>IF(B421="","",SUMIFS(Entries!$J$2:$J$3000,Entries!$H$2:$H$3000,A421))</f>
        <v/>
      </c>
      <c r="G421" s="11">
        <f>IF(B421="","",_xlfn.MAXIFS(Prizes!$D$2:$D$3000,Prizes!$E$2:$E$3000,A421,Prizes!$G$2:$G$3000,""))</f>
        <v/>
      </c>
      <c r="H421" s="10">
        <f>IF(B421="","",IF(_xlfn.MAXIFS(Levels!$A$2:$A$30,Levels!$A$2:$A$30,"&lt;="&amp;F421)&gt;G421,INDEX(Levels!$B$2:$B$30,MATCH(_xlfn.MAXIFS(Levels!$A$2:$A$30,Levels!$A$2:$A$30,"&lt;="&amp;F421),Levels!$A$2:$A$30,0)),""))</f>
        <v/>
      </c>
      <c r="I421" s="10">
        <f>IF(B421="","",COUNTIFS(Levels!$A$2:$A$30,"&lt;="&amp;F421,Levels!$A$2:$A$30,"&gt;"&amp;G421))</f>
        <v/>
      </c>
      <c r="J421" s="10">
        <f>IF(OR(B421="",TRIM('Find a child'!$B$3)=""),"",IF(ISNUMBER(SEARCH(TRIM('Find a child'!$B$3),B421&amp;" "&amp;C421)),COUNT(J$1:J420)+1,""))</f>
        <v/>
      </c>
    </row>
    <row r="422">
      <c r="A422" s="10" t="inlineStr">
        <is>
          <t>C0421</t>
        </is>
      </c>
      <c r="B422" s="6" t="n"/>
      <c r="C422" s="6" t="n"/>
      <c r="D422" s="6" t="n"/>
      <c r="E422" s="10">
        <f>IF(B422="","",IF(COUNTIFS($B$2:$B$600,B422,$C$2:$C$600,C422)&gt;1,B422&amp;" ("&amp;C422&amp;") "&amp;A422,B422&amp;" ("&amp;C422&amp;")"))</f>
        <v/>
      </c>
      <c r="F422" s="11">
        <f>IF(B422="","",SUMIFS(Entries!$J$2:$J$3000,Entries!$H$2:$H$3000,A422))</f>
        <v/>
      </c>
      <c r="G422" s="11">
        <f>IF(B422="","",_xlfn.MAXIFS(Prizes!$D$2:$D$3000,Prizes!$E$2:$E$3000,A422,Prizes!$G$2:$G$3000,""))</f>
        <v/>
      </c>
      <c r="H422" s="10">
        <f>IF(B422="","",IF(_xlfn.MAXIFS(Levels!$A$2:$A$30,Levels!$A$2:$A$30,"&lt;="&amp;F422)&gt;G422,INDEX(Levels!$B$2:$B$30,MATCH(_xlfn.MAXIFS(Levels!$A$2:$A$30,Levels!$A$2:$A$30,"&lt;="&amp;F422),Levels!$A$2:$A$30,0)),""))</f>
        <v/>
      </c>
      <c r="I422" s="10">
        <f>IF(B422="","",COUNTIFS(Levels!$A$2:$A$30,"&lt;="&amp;F422,Levels!$A$2:$A$30,"&gt;"&amp;G422))</f>
        <v/>
      </c>
      <c r="J422" s="10">
        <f>IF(OR(B422="",TRIM('Find a child'!$B$3)=""),"",IF(ISNUMBER(SEARCH(TRIM('Find a child'!$B$3),B422&amp;" "&amp;C422)),COUNT(J$1:J421)+1,""))</f>
        <v/>
      </c>
    </row>
    <row r="423">
      <c r="A423" s="10" t="inlineStr">
        <is>
          <t>C0422</t>
        </is>
      </c>
      <c r="B423" s="6" t="n"/>
      <c r="C423" s="6" t="n"/>
      <c r="D423" s="6" t="n"/>
      <c r="E423" s="10">
        <f>IF(B423="","",IF(COUNTIFS($B$2:$B$600,B423,$C$2:$C$600,C423)&gt;1,B423&amp;" ("&amp;C423&amp;") "&amp;A423,B423&amp;" ("&amp;C423&amp;")"))</f>
        <v/>
      </c>
      <c r="F423" s="11">
        <f>IF(B423="","",SUMIFS(Entries!$J$2:$J$3000,Entries!$H$2:$H$3000,A423))</f>
        <v/>
      </c>
      <c r="G423" s="11">
        <f>IF(B423="","",_xlfn.MAXIFS(Prizes!$D$2:$D$3000,Prizes!$E$2:$E$3000,A423,Prizes!$G$2:$G$3000,""))</f>
        <v/>
      </c>
      <c r="H423" s="10">
        <f>IF(B423="","",IF(_xlfn.MAXIFS(Levels!$A$2:$A$30,Levels!$A$2:$A$30,"&lt;="&amp;F423)&gt;G423,INDEX(Levels!$B$2:$B$30,MATCH(_xlfn.MAXIFS(Levels!$A$2:$A$30,Levels!$A$2:$A$30,"&lt;="&amp;F423),Levels!$A$2:$A$30,0)),""))</f>
        <v/>
      </c>
      <c r="I423" s="10">
        <f>IF(B423="","",COUNTIFS(Levels!$A$2:$A$30,"&lt;="&amp;F423,Levels!$A$2:$A$30,"&gt;"&amp;G423))</f>
        <v/>
      </c>
      <c r="J423" s="10">
        <f>IF(OR(B423="",TRIM('Find a child'!$B$3)=""),"",IF(ISNUMBER(SEARCH(TRIM('Find a child'!$B$3),B423&amp;" "&amp;C423)),COUNT(J$1:J422)+1,""))</f>
        <v/>
      </c>
    </row>
    <row r="424">
      <c r="A424" s="10" t="inlineStr">
        <is>
          <t>C0423</t>
        </is>
      </c>
      <c r="B424" s="6" t="n"/>
      <c r="C424" s="6" t="n"/>
      <c r="D424" s="6" t="n"/>
      <c r="E424" s="10">
        <f>IF(B424="","",IF(COUNTIFS($B$2:$B$600,B424,$C$2:$C$600,C424)&gt;1,B424&amp;" ("&amp;C424&amp;") "&amp;A424,B424&amp;" ("&amp;C424&amp;")"))</f>
        <v/>
      </c>
      <c r="F424" s="11">
        <f>IF(B424="","",SUMIFS(Entries!$J$2:$J$3000,Entries!$H$2:$H$3000,A424))</f>
        <v/>
      </c>
      <c r="G424" s="11">
        <f>IF(B424="","",_xlfn.MAXIFS(Prizes!$D$2:$D$3000,Prizes!$E$2:$E$3000,A424,Prizes!$G$2:$G$3000,""))</f>
        <v/>
      </c>
      <c r="H424" s="10">
        <f>IF(B424="","",IF(_xlfn.MAXIFS(Levels!$A$2:$A$30,Levels!$A$2:$A$30,"&lt;="&amp;F424)&gt;G424,INDEX(Levels!$B$2:$B$30,MATCH(_xlfn.MAXIFS(Levels!$A$2:$A$30,Levels!$A$2:$A$30,"&lt;="&amp;F424),Levels!$A$2:$A$30,0)),""))</f>
        <v/>
      </c>
      <c r="I424" s="10">
        <f>IF(B424="","",COUNTIFS(Levels!$A$2:$A$30,"&lt;="&amp;F424,Levels!$A$2:$A$30,"&gt;"&amp;G424))</f>
        <v/>
      </c>
      <c r="J424" s="10">
        <f>IF(OR(B424="",TRIM('Find a child'!$B$3)=""),"",IF(ISNUMBER(SEARCH(TRIM('Find a child'!$B$3),B424&amp;" "&amp;C424)),COUNT(J$1:J423)+1,""))</f>
        <v/>
      </c>
    </row>
    <row r="425">
      <c r="A425" s="10" t="inlineStr">
        <is>
          <t>C0424</t>
        </is>
      </c>
      <c r="B425" s="6" t="n"/>
      <c r="C425" s="6" t="n"/>
      <c r="D425" s="6" t="n"/>
      <c r="E425" s="10">
        <f>IF(B425="","",IF(COUNTIFS($B$2:$B$600,B425,$C$2:$C$600,C425)&gt;1,B425&amp;" ("&amp;C425&amp;") "&amp;A425,B425&amp;" ("&amp;C425&amp;")"))</f>
        <v/>
      </c>
      <c r="F425" s="11">
        <f>IF(B425="","",SUMIFS(Entries!$J$2:$J$3000,Entries!$H$2:$H$3000,A425))</f>
        <v/>
      </c>
      <c r="G425" s="11">
        <f>IF(B425="","",_xlfn.MAXIFS(Prizes!$D$2:$D$3000,Prizes!$E$2:$E$3000,A425,Prizes!$G$2:$G$3000,""))</f>
        <v/>
      </c>
      <c r="H425" s="10">
        <f>IF(B425="","",IF(_xlfn.MAXIFS(Levels!$A$2:$A$30,Levels!$A$2:$A$30,"&lt;="&amp;F425)&gt;G425,INDEX(Levels!$B$2:$B$30,MATCH(_xlfn.MAXIFS(Levels!$A$2:$A$30,Levels!$A$2:$A$30,"&lt;="&amp;F425),Levels!$A$2:$A$30,0)),""))</f>
        <v/>
      </c>
      <c r="I425" s="10">
        <f>IF(B425="","",COUNTIFS(Levels!$A$2:$A$30,"&lt;="&amp;F425,Levels!$A$2:$A$30,"&gt;"&amp;G425))</f>
        <v/>
      </c>
      <c r="J425" s="10">
        <f>IF(OR(B425="",TRIM('Find a child'!$B$3)=""),"",IF(ISNUMBER(SEARCH(TRIM('Find a child'!$B$3),B425&amp;" "&amp;C425)),COUNT(J$1:J424)+1,""))</f>
        <v/>
      </c>
    </row>
    <row r="426">
      <c r="A426" s="10" t="inlineStr">
        <is>
          <t>C0425</t>
        </is>
      </c>
      <c r="B426" s="6" t="n"/>
      <c r="C426" s="6" t="n"/>
      <c r="D426" s="6" t="n"/>
      <c r="E426" s="10">
        <f>IF(B426="","",IF(COUNTIFS($B$2:$B$600,B426,$C$2:$C$600,C426)&gt;1,B426&amp;" ("&amp;C426&amp;") "&amp;A426,B426&amp;" ("&amp;C426&amp;")"))</f>
        <v/>
      </c>
      <c r="F426" s="11">
        <f>IF(B426="","",SUMIFS(Entries!$J$2:$J$3000,Entries!$H$2:$H$3000,A426))</f>
        <v/>
      </c>
      <c r="G426" s="11">
        <f>IF(B426="","",_xlfn.MAXIFS(Prizes!$D$2:$D$3000,Prizes!$E$2:$E$3000,A426,Prizes!$G$2:$G$3000,""))</f>
        <v/>
      </c>
      <c r="H426" s="10">
        <f>IF(B426="","",IF(_xlfn.MAXIFS(Levels!$A$2:$A$30,Levels!$A$2:$A$30,"&lt;="&amp;F426)&gt;G426,INDEX(Levels!$B$2:$B$30,MATCH(_xlfn.MAXIFS(Levels!$A$2:$A$30,Levels!$A$2:$A$30,"&lt;="&amp;F426),Levels!$A$2:$A$30,0)),""))</f>
        <v/>
      </c>
      <c r="I426" s="10">
        <f>IF(B426="","",COUNTIFS(Levels!$A$2:$A$30,"&lt;="&amp;F426,Levels!$A$2:$A$30,"&gt;"&amp;G426))</f>
        <v/>
      </c>
      <c r="J426" s="10">
        <f>IF(OR(B426="",TRIM('Find a child'!$B$3)=""),"",IF(ISNUMBER(SEARCH(TRIM('Find a child'!$B$3),B426&amp;" "&amp;C426)),COUNT(J$1:J425)+1,""))</f>
        <v/>
      </c>
    </row>
    <row r="427">
      <c r="A427" s="10" t="inlineStr">
        <is>
          <t>C0426</t>
        </is>
      </c>
      <c r="B427" s="6" t="n"/>
      <c r="C427" s="6" t="n"/>
      <c r="D427" s="6" t="n"/>
      <c r="E427" s="10">
        <f>IF(B427="","",IF(COUNTIFS($B$2:$B$600,B427,$C$2:$C$600,C427)&gt;1,B427&amp;" ("&amp;C427&amp;") "&amp;A427,B427&amp;" ("&amp;C427&amp;")"))</f>
        <v/>
      </c>
      <c r="F427" s="11">
        <f>IF(B427="","",SUMIFS(Entries!$J$2:$J$3000,Entries!$H$2:$H$3000,A427))</f>
        <v/>
      </c>
      <c r="G427" s="11">
        <f>IF(B427="","",_xlfn.MAXIFS(Prizes!$D$2:$D$3000,Prizes!$E$2:$E$3000,A427,Prizes!$G$2:$G$3000,""))</f>
        <v/>
      </c>
      <c r="H427" s="10">
        <f>IF(B427="","",IF(_xlfn.MAXIFS(Levels!$A$2:$A$30,Levels!$A$2:$A$30,"&lt;="&amp;F427)&gt;G427,INDEX(Levels!$B$2:$B$30,MATCH(_xlfn.MAXIFS(Levels!$A$2:$A$30,Levels!$A$2:$A$30,"&lt;="&amp;F427),Levels!$A$2:$A$30,0)),""))</f>
        <v/>
      </c>
      <c r="I427" s="10">
        <f>IF(B427="","",COUNTIFS(Levels!$A$2:$A$30,"&lt;="&amp;F427,Levels!$A$2:$A$30,"&gt;"&amp;G427))</f>
        <v/>
      </c>
      <c r="J427" s="10">
        <f>IF(OR(B427="",TRIM('Find a child'!$B$3)=""),"",IF(ISNUMBER(SEARCH(TRIM('Find a child'!$B$3),B427&amp;" "&amp;C427)),COUNT(J$1:J426)+1,""))</f>
        <v/>
      </c>
    </row>
    <row r="428">
      <c r="A428" s="10" t="inlineStr">
        <is>
          <t>C0427</t>
        </is>
      </c>
      <c r="B428" s="6" t="n"/>
      <c r="C428" s="6" t="n"/>
      <c r="D428" s="6" t="n"/>
      <c r="E428" s="10">
        <f>IF(B428="","",IF(COUNTIFS($B$2:$B$600,B428,$C$2:$C$600,C428)&gt;1,B428&amp;" ("&amp;C428&amp;") "&amp;A428,B428&amp;" ("&amp;C428&amp;")"))</f>
        <v/>
      </c>
      <c r="F428" s="11">
        <f>IF(B428="","",SUMIFS(Entries!$J$2:$J$3000,Entries!$H$2:$H$3000,A428))</f>
        <v/>
      </c>
      <c r="G428" s="11">
        <f>IF(B428="","",_xlfn.MAXIFS(Prizes!$D$2:$D$3000,Prizes!$E$2:$E$3000,A428,Prizes!$G$2:$G$3000,""))</f>
        <v/>
      </c>
      <c r="H428" s="10">
        <f>IF(B428="","",IF(_xlfn.MAXIFS(Levels!$A$2:$A$30,Levels!$A$2:$A$30,"&lt;="&amp;F428)&gt;G428,INDEX(Levels!$B$2:$B$30,MATCH(_xlfn.MAXIFS(Levels!$A$2:$A$30,Levels!$A$2:$A$30,"&lt;="&amp;F428),Levels!$A$2:$A$30,0)),""))</f>
        <v/>
      </c>
      <c r="I428" s="10">
        <f>IF(B428="","",COUNTIFS(Levels!$A$2:$A$30,"&lt;="&amp;F428,Levels!$A$2:$A$30,"&gt;"&amp;G428))</f>
        <v/>
      </c>
      <c r="J428" s="10">
        <f>IF(OR(B428="",TRIM('Find a child'!$B$3)=""),"",IF(ISNUMBER(SEARCH(TRIM('Find a child'!$B$3),B428&amp;" "&amp;C428)),COUNT(J$1:J427)+1,""))</f>
        <v/>
      </c>
    </row>
    <row r="429">
      <c r="A429" s="10" t="inlineStr">
        <is>
          <t>C0428</t>
        </is>
      </c>
      <c r="B429" s="6" t="n"/>
      <c r="C429" s="6" t="n"/>
      <c r="D429" s="6" t="n"/>
      <c r="E429" s="10">
        <f>IF(B429="","",IF(COUNTIFS($B$2:$B$600,B429,$C$2:$C$600,C429)&gt;1,B429&amp;" ("&amp;C429&amp;") "&amp;A429,B429&amp;" ("&amp;C429&amp;")"))</f>
        <v/>
      </c>
      <c r="F429" s="11">
        <f>IF(B429="","",SUMIFS(Entries!$J$2:$J$3000,Entries!$H$2:$H$3000,A429))</f>
        <v/>
      </c>
      <c r="G429" s="11">
        <f>IF(B429="","",_xlfn.MAXIFS(Prizes!$D$2:$D$3000,Prizes!$E$2:$E$3000,A429,Prizes!$G$2:$G$3000,""))</f>
        <v/>
      </c>
      <c r="H429" s="10">
        <f>IF(B429="","",IF(_xlfn.MAXIFS(Levels!$A$2:$A$30,Levels!$A$2:$A$30,"&lt;="&amp;F429)&gt;G429,INDEX(Levels!$B$2:$B$30,MATCH(_xlfn.MAXIFS(Levels!$A$2:$A$30,Levels!$A$2:$A$30,"&lt;="&amp;F429),Levels!$A$2:$A$30,0)),""))</f>
        <v/>
      </c>
      <c r="I429" s="10">
        <f>IF(B429="","",COUNTIFS(Levels!$A$2:$A$30,"&lt;="&amp;F429,Levels!$A$2:$A$30,"&gt;"&amp;G429))</f>
        <v/>
      </c>
      <c r="J429" s="10">
        <f>IF(OR(B429="",TRIM('Find a child'!$B$3)=""),"",IF(ISNUMBER(SEARCH(TRIM('Find a child'!$B$3),B429&amp;" "&amp;C429)),COUNT(J$1:J428)+1,""))</f>
        <v/>
      </c>
    </row>
    <row r="430">
      <c r="A430" s="10" t="inlineStr">
        <is>
          <t>C0429</t>
        </is>
      </c>
      <c r="B430" s="6" t="n"/>
      <c r="C430" s="6" t="n"/>
      <c r="D430" s="6" t="n"/>
      <c r="E430" s="10">
        <f>IF(B430="","",IF(COUNTIFS($B$2:$B$600,B430,$C$2:$C$600,C430)&gt;1,B430&amp;" ("&amp;C430&amp;") "&amp;A430,B430&amp;" ("&amp;C430&amp;")"))</f>
        <v/>
      </c>
      <c r="F430" s="11">
        <f>IF(B430="","",SUMIFS(Entries!$J$2:$J$3000,Entries!$H$2:$H$3000,A430))</f>
        <v/>
      </c>
      <c r="G430" s="11">
        <f>IF(B430="","",_xlfn.MAXIFS(Prizes!$D$2:$D$3000,Prizes!$E$2:$E$3000,A430,Prizes!$G$2:$G$3000,""))</f>
        <v/>
      </c>
      <c r="H430" s="10">
        <f>IF(B430="","",IF(_xlfn.MAXIFS(Levels!$A$2:$A$30,Levels!$A$2:$A$30,"&lt;="&amp;F430)&gt;G430,INDEX(Levels!$B$2:$B$30,MATCH(_xlfn.MAXIFS(Levels!$A$2:$A$30,Levels!$A$2:$A$30,"&lt;="&amp;F430),Levels!$A$2:$A$30,0)),""))</f>
        <v/>
      </c>
      <c r="I430" s="10">
        <f>IF(B430="","",COUNTIFS(Levels!$A$2:$A$30,"&lt;="&amp;F430,Levels!$A$2:$A$30,"&gt;"&amp;G430))</f>
        <v/>
      </c>
      <c r="J430" s="10">
        <f>IF(OR(B430="",TRIM('Find a child'!$B$3)=""),"",IF(ISNUMBER(SEARCH(TRIM('Find a child'!$B$3),B430&amp;" "&amp;C430)),COUNT(J$1:J429)+1,""))</f>
        <v/>
      </c>
    </row>
    <row r="431">
      <c r="A431" s="10" t="inlineStr">
        <is>
          <t>C0430</t>
        </is>
      </c>
      <c r="B431" s="6" t="n"/>
      <c r="C431" s="6" t="n"/>
      <c r="D431" s="6" t="n"/>
      <c r="E431" s="10">
        <f>IF(B431="","",IF(COUNTIFS($B$2:$B$600,B431,$C$2:$C$600,C431)&gt;1,B431&amp;" ("&amp;C431&amp;") "&amp;A431,B431&amp;" ("&amp;C431&amp;")"))</f>
        <v/>
      </c>
      <c r="F431" s="11">
        <f>IF(B431="","",SUMIFS(Entries!$J$2:$J$3000,Entries!$H$2:$H$3000,A431))</f>
        <v/>
      </c>
      <c r="G431" s="11">
        <f>IF(B431="","",_xlfn.MAXIFS(Prizes!$D$2:$D$3000,Prizes!$E$2:$E$3000,A431,Prizes!$G$2:$G$3000,""))</f>
        <v/>
      </c>
      <c r="H431" s="10">
        <f>IF(B431="","",IF(_xlfn.MAXIFS(Levels!$A$2:$A$30,Levels!$A$2:$A$30,"&lt;="&amp;F431)&gt;G431,INDEX(Levels!$B$2:$B$30,MATCH(_xlfn.MAXIFS(Levels!$A$2:$A$30,Levels!$A$2:$A$30,"&lt;="&amp;F431),Levels!$A$2:$A$30,0)),""))</f>
        <v/>
      </c>
      <c r="I431" s="10">
        <f>IF(B431="","",COUNTIFS(Levels!$A$2:$A$30,"&lt;="&amp;F431,Levels!$A$2:$A$30,"&gt;"&amp;G431))</f>
        <v/>
      </c>
      <c r="J431" s="10">
        <f>IF(OR(B431="",TRIM('Find a child'!$B$3)=""),"",IF(ISNUMBER(SEARCH(TRIM('Find a child'!$B$3),B431&amp;" "&amp;C431)),COUNT(J$1:J430)+1,""))</f>
        <v/>
      </c>
    </row>
    <row r="432">
      <c r="A432" s="10" t="inlineStr">
        <is>
          <t>C0431</t>
        </is>
      </c>
      <c r="B432" s="6" t="n"/>
      <c r="C432" s="6" t="n"/>
      <c r="D432" s="6" t="n"/>
      <c r="E432" s="10">
        <f>IF(B432="","",IF(COUNTIFS($B$2:$B$600,B432,$C$2:$C$600,C432)&gt;1,B432&amp;" ("&amp;C432&amp;") "&amp;A432,B432&amp;" ("&amp;C432&amp;")"))</f>
        <v/>
      </c>
      <c r="F432" s="11">
        <f>IF(B432="","",SUMIFS(Entries!$J$2:$J$3000,Entries!$H$2:$H$3000,A432))</f>
        <v/>
      </c>
      <c r="G432" s="11">
        <f>IF(B432="","",_xlfn.MAXIFS(Prizes!$D$2:$D$3000,Prizes!$E$2:$E$3000,A432,Prizes!$G$2:$G$3000,""))</f>
        <v/>
      </c>
      <c r="H432" s="10">
        <f>IF(B432="","",IF(_xlfn.MAXIFS(Levels!$A$2:$A$30,Levels!$A$2:$A$30,"&lt;="&amp;F432)&gt;G432,INDEX(Levels!$B$2:$B$30,MATCH(_xlfn.MAXIFS(Levels!$A$2:$A$30,Levels!$A$2:$A$30,"&lt;="&amp;F432),Levels!$A$2:$A$30,0)),""))</f>
        <v/>
      </c>
      <c r="I432" s="10">
        <f>IF(B432="","",COUNTIFS(Levels!$A$2:$A$30,"&lt;="&amp;F432,Levels!$A$2:$A$30,"&gt;"&amp;G432))</f>
        <v/>
      </c>
      <c r="J432" s="10">
        <f>IF(OR(B432="",TRIM('Find a child'!$B$3)=""),"",IF(ISNUMBER(SEARCH(TRIM('Find a child'!$B$3),B432&amp;" "&amp;C432)),COUNT(J$1:J431)+1,""))</f>
        <v/>
      </c>
    </row>
    <row r="433">
      <c r="A433" s="10" t="inlineStr">
        <is>
          <t>C0432</t>
        </is>
      </c>
      <c r="B433" s="6" t="n"/>
      <c r="C433" s="6" t="n"/>
      <c r="D433" s="6" t="n"/>
      <c r="E433" s="10">
        <f>IF(B433="","",IF(COUNTIFS($B$2:$B$600,B433,$C$2:$C$600,C433)&gt;1,B433&amp;" ("&amp;C433&amp;") "&amp;A433,B433&amp;" ("&amp;C433&amp;")"))</f>
        <v/>
      </c>
      <c r="F433" s="11">
        <f>IF(B433="","",SUMIFS(Entries!$J$2:$J$3000,Entries!$H$2:$H$3000,A433))</f>
        <v/>
      </c>
      <c r="G433" s="11">
        <f>IF(B433="","",_xlfn.MAXIFS(Prizes!$D$2:$D$3000,Prizes!$E$2:$E$3000,A433,Prizes!$G$2:$G$3000,""))</f>
        <v/>
      </c>
      <c r="H433" s="10">
        <f>IF(B433="","",IF(_xlfn.MAXIFS(Levels!$A$2:$A$30,Levels!$A$2:$A$30,"&lt;="&amp;F433)&gt;G433,INDEX(Levels!$B$2:$B$30,MATCH(_xlfn.MAXIFS(Levels!$A$2:$A$30,Levels!$A$2:$A$30,"&lt;="&amp;F433),Levels!$A$2:$A$30,0)),""))</f>
        <v/>
      </c>
      <c r="I433" s="10">
        <f>IF(B433="","",COUNTIFS(Levels!$A$2:$A$30,"&lt;="&amp;F433,Levels!$A$2:$A$30,"&gt;"&amp;G433))</f>
        <v/>
      </c>
      <c r="J433" s="10">
        <f>IF(OR(B433="",TRIM('Find a child'!$B$3)=""),"",IF(ISNUMBER(SEARCH(TRIM('Find a child'!$B$3),B433&amp;" "&amp;C433)),COUNT(J$1:J432)+1,""))</f>
        <v/>
      </c>
    </row>
    <row r="434">
      <c r="A434" s="10" t="inlineStr">
        <is>
          <t>C0433</t>
        </is>
      </c>
      <c r="B434" s="6" t="n"/>
      <c r="C434" s="6" t="n"/>
      <c r="D434" s="6" t="n"/>
      <c r="E434" s="10">
        <f>IF(B434="","",IF(COUNTIFS($B$2:$B$600,B434,$C$2:$C$600,C434)&gt;1,B434&amp;" ("&amp;C434&amp;") "&amp;A434,B434&amp;" ("&amp;C434&amp;")"))</f>
        <v/>
      </c>
      <c r="F434" s="11">
        <f>IF(B434="","",SUMIFS(Entries!$J$2:$J$3000,Entries!$H$2:$H$3000,A434))</f>
        <v/>
      </c>
      <c r="G434" s="11">
        <f>IF(B434="","",_xlfn.MAXIFS(Prizes!$D$2:$D$3000,Prizes!$E$2:$E$3000,A434,Prizes!$G$2:$G$3000,""))</f>
        <v/>
      </c>
      <c r="H434" s="10">
        <f>IF(B434="","",IF(_xlfn.MAXIFS(Levels!$A$2:$A$30,Levels!$A$2:$A$30,"&lt;="&amp;F434)&gt;G434,INDEX(Levels!$B$2:$B$30,MATCH(_xlfn.MAXIFS(Levels!$A$2:$A$30,Levels!$A$2:$A$30,"&lt;="&amp;F434),Levels!$A$2:$A$30,0)),""))</f>
        <v/>
      </c>
      <c r="I434" s="10">
        <f>IF(B434="","",COUNTIFS(Levels!$A$2:$A$30,"&lt;="&amp;F434,Levels!$A$2:$A$30,"&gt;"&amp;G434))</f>
        <v/>
      </c>
      <c r="J434" s="10">
        <f>IF(OR(B434="",TRIM('Find a child'!$B$3)=""),"",IF(ISNUMBER(SEARCH(TRIM('Find a child'!$B$3),B434&amp;" "&amp;C434)),COUNT(J$1:J433)+1,""))</f>
        <v/>
      </c>
    </row>
    <row r="435">
      <c r="A435" s="10" t="inlineStr">
        <is>
          <t>C0434</t>
        </is>
      </c>
      <c r="B435" s="6" t="n"/>
      <c r="C435" s="6" t="n"/>
      <c r="D435" s="6" t="n"/>
      <c r="E435" s="10">
        <f>IF(B435="","",IF(COUNTIFS($B$2:$B$600,B435,$C$2:$C$600,C435)&gt;1,B435&amp;" ("&amp;C435&amp;") "&amp;A435,B435&amp;" ("&amp;C435&amp;")"))</f>
        <v/>
      </c>
      <c r="F435" s="11">
        <f>IF(B435="","",SUMIFS(Entries!$J$2:$J$3000,Entries!$H$2:$H$3000,A435))</f>
        <v/>
      </c>
      <c r="G435" s="11">
        <f>IF(B435="","",_xlfn.MAXIFS(Prizes!$D$2:$D$3000,Prizes!$E$2:$E$3000,A435,Prizes!$G$2:$G$3000,""))</f>
        <v/>
      </c>
      <c r="H435" s="10">
        <f>IF(B435="","",IF(_xlfn.MAXIFS(Levels!$A$2:$A$30,Levels!$A$2:$A$30,"&lt;="&amp;F435)&gt;G435,INDEX(Levels!$B$2:$B$30,MATCH(_xlfn.MAXIFS(Levels!$A$2:$A$30,Levels!$A$2:$A$30,"&lt;="&amp;F435),Levels!$A$2:$A$30,0)),""))</f>
        <v/>
      </c>
      <c r="I435" s="10">
        <f>IF(B435="","",COUNTIFS(Levels!$A$2:$A$30,"&lt;="&amp;F435,Levels!$A$2:$A$30,"&gt;"&amp;G435))</f>
        <v/>
      </c>
      <c r="J435" s="10">
        <f>IF(OR(B435="",TRIM('Find a child'!$B$3)=""),"",IF(ISNUMBER(SEARCH(TRIM('Find a child'!$B$3),B435&amp;" "&amp;C435)),COUNT(J$1:J434)+1,""))</f>
        <v/>
      </c>
    </row>
    <row r="436">
      <c r="A436" s="10" t="inlineStr">
        <is>
          <t>C0435</t>
        </is>
      </c>
      <c r="B436" s="6" t="n"/>
      <c r="C436" s="6" t="n"/>
      <c r="D436" s="6" t="n"/>
      <c r="E436" s="10">
        <f>IF(B436="","",IF(COUNTIFS($B$2:$B$600,B436,$C$2:$C$600,C436)&gt;1,B436&amp;" ("&amp;C436&amp;") "&amp;A436,B436&amp;" ("&amp;C436&amp;")"))</f>
        <v/>
      </c>
      <c r="F436" s="11">
        <f>IF(B436="","",SUMIFS(Entries!$J$2:$J$3000,Entries!$H$2:$H$3000,A436))</f>
        <v/>
      </c>
      <c r="G436" s="11">
        <f>IF(B436="","",_xlfn.MAXIFS(Prizes!$D$2:$D$3000,Prizes!$E$2:$E$3000,A436,Prizes!$G$2:$G$3000,""))</f>
        <v/>
      </c>
      <c r="H436" s="10">
        <f>IF(B436="","",IF(_xlfn.MAXIFS(Levels!$A$2:$A$30,Levels!$A$2:$A$30,"&lt;="&amp;F436)&gt;G436,INDEX(Levels!$B$2:$B$30,MATCH(_xlfn.MAXIFS(Levels!$A$2:$A$30,Levels!$A$2:$A$30,"&lt;="&amp;F436),Levels!$A$2:$A$30,0)),""))</f>
        <v/>
      </c>
      <c r="I436" s="10">
        <f>IF(B436="","",COUNTIFS(Levels!$A$2:$A$30,"&lt;="&amp;F436,Levels!$A$2:$A$30,"&gt;"&amp;G436))</f>
        <v/>
      </c>
      <c r="J436" s="10">
        <f>IF(OR(B436="",TRIM('Find a child'!$B$3)=""),"",IF(ISNUMBER(SEARCH(TRIM('Find a child'!$B$3),B436&amp;" "&amp;C436)),COUNT(J$1:J435)+1,""))</f>
        <v/>
      </c>
    </row>
    <row r="437">
      <c r="A437" s="10" t="inlineStr">
        <is>
          <t>C0436</t>
        </is>
      </c>
      <c r="B437" s="6" t="n"/>
      <c r="C437" s="6" t="n"/>
      <c r="D437" s="6" t="n"/>
      <c r="E437" s="10">
        <f>IF(B437="","",IF(COUNTIFS($B$2:$B$600,B437,$C$2:$C$600,C437)&gt;1,B437&amp;" ("&amp;C437&amp;") "&amp;A437,B437&amp;" ("&amp;C437&amp;")"))</f>
        <v/>
      </c>
      <c r="F437" s="11">
        <f>IF(B437="","",SUMIFS(Entries!$J$2:$J$3000,Entries!$H$2:$H$3000,A437))</f>
        <v/>
      </c>
      <c r="G437" s="11">
        <f>IF(B437="","",_xlfn.MAXIFS(Prizes!$D$2:$D$3000,Prizes!$E$2:$E$3000,A437,Prizes!$G$2:$G$3000,""))</f>
        <v/>
      </c>
      <c r="H437" s="10">
        <f>IF(B437="","",IF(_xlfn.MAXIFS(Levels!$A$2:$A$30,Levels!$A$2:$A$30,"&lt;="&amp;F437)&gt;G437,INDEX(Levels!$B$2:$B$30,MATCH(_xlfn.MAXIFS(Levels!$A$2:$A$30,Levels!$A$2:$A$30,"&lt;="&amp;F437),Levels!$A$2:$A$30,0)),""))</f>
        <v/>
      </c>
      <c r="I437" s="10">
        <f>IF(B437="","",COUNTIFS(Levels!$A$2:$A$30,"&lt;="&amp;F437,Levels!$A$2:$A$30,"&gt;"&amp;G437))</f>
        <v/>
      </c>
      <c r="J437" s="10">
        <f>IF(OR(B437="",TRIM('Find a child'!$B$3)=""),"",IF(ISNUMBER(SEARCH(TRIM('Find a child'!$B$3),B437&amp;" "&amp;C437)),COUNT(J$1:J436)+1,""))</f>
        <v/>
      </c>
    </row>
    <row r="438">
      <c r="A438" s="10" t="inlineStr">
        <is>
          <t>C0437</t>
        </is>
      </c>
      <c r="B438" s="6" t="n"/>
      <c r="C438" s="6" t="n"/>
      <c r="D438" s="6" t="n"/>
      <c r="E438" s="10">
        <f>IF(B438="","",IF(COUNTIFS($B$2:$B$600,B438,$C$2:$C$600,C438)&gt;1,B438&amp;" ("&amp;C438&amp;") "&amp;A438,B438&amp;" ("&amp;C438&amp;")"))</f>
        <v/>
      </c>
      <c r="F438" s="11">
        <f>IF(B438="","",SUMIFS(Entries!$J$2:$J$3000,Entries!$H$2:$H$3000,A438))</f>
        <v/>
      </c>
      <c r="G438" s="11">
        <f>IF(B438="","",_xlfn.MAXIFS(Prizes!$D$2:$D$3000,Prizes!$E$2:$E$3000,A438,Prizes!$G$2:$G$3000,""))</f>
        <v/>
      </c>
      <c r="H438" s="10">
        <f>IF(B438="","",IF(_xlfn.MAXIFS(Levels!$A$2:$A$30,Levels!$A$2:$A$30,"&lt;="&amp;F438)&gt;G438,INDEX(Levels!$B$2:$B$30,MATCH(_xlfn.MAXIFS(Levels!$A$2:$A$30,Levels!$A$2:$A$30,"&lt;="&amp;F438),Levels!$A$2:$A$30,0)),""))</f>
        <v/>
      </c>
      <c r="I438" s="10">
        <f>IF(B438="","",COUNTIFS(Levels!$A$2:$A$30,"&lt;="&amp;F438,Levels!$A$2:$A$30,"&gt;"&amp;G438))</f>
        <v/>
      </c>
      <c r="J438" s="10">
        <f>IF(OR(B438="",TRIM('Find a child'!$B$3)=""),"",IF(ISNUMBER(SEARCH(TRIM('Find a child'!$B$3),B438&amp;" "&amp;C438)),COUNT(J$1:J437)+1,""))</f>
        <v/>
      </c>
    </row>
    <row r="439">
      <c r="A439" s="10" t="inlineStr">
        <is>
          <t>C0438</t>
        </is>
      </c>
      <c r="B439" s="6" t="n"/>
      <c r="C439" s="6" t="n"/>
      <c r="D439" s="6" t="n"/>
      <c r="E439" s="10">
        <f>IF(B439="","",IF(COUNTIFS($B$2:$B$600,B439,$C$2:$C$600,C439)&gt;1,B439&amp;" ("&amp;C439&amp;") "&amp;A439,B439&amp;" ("&amp;C439&amp;")"))</f>
        <v/>
      </c>
      <c r="F439" s="11">
        <f>IF(B439="","",SUMIFS(Entries!$J$2:$J$3000,Entries!$H$2:$H$3000,A439))</f>
        <v/>
      </c>
      <c r="G439" s="11">
        <f>IF(B439="","",_xlfn.MAXIFS(Prizes!$D$2:$D$3000,Prizes!$E$2:$E$3000,A439,Prizes!$G$2:$G$3000,""))</f>
        <v/>
      </c>
      <c r="H439" s="10">
        <f>IF(B439="","",IF(_xlfn.MAXIFS(Levels!$A$2:$A$30,Levels!$A$2:$A$30,"&lt;="&amp;F439)&gt;G439,INDEX(Levels!$B$2:$B$30,MATCH(_xlfn.MAXIFS(Levels!$A$2:$A$30,Levels!$A$2:$A$30,"&lt;="&amp;F439),Levels!$A$2:$A$30,0)),""))</f>
        <v/>
      </c>
      <c r="I439" s="10">
        <f>IF(B439="","",COUNTIFS(Levels!$A$2:$A$30,"&lt;="&amp;F439,Levels!$A$2:$A$30,"&gt;"&amp;G439))</f>
        <v/>
      </c>
      <c r="J439" s="10">
        <f>IF(OR(B439="",TRIM('Find a child'!$B$3)=""),"",IF(ISNUMBER(SEARCH(TRIM('Find a child'!$B$3),B439&amp;" "&amp;C439)),COUNT(J$1:J438)+1,""))</f>
        <v/>
      </c>
    </row>
    <row r="440">
      <c r="A440" s="10" t="inlineStr">
        <is>
          <t>C0439</t>
        </is>
      </c>
      <c r="B440" s="6" t="n"/>
      <c r="C440" s="6" t="n"/>
      <c r="D440" s="6" t="n"/>
      <c r="E440" s="10">
        <f>IF(B440="","",IF(COUNTIFS($B$2:$B$600,B440,$C$2:$C$600,C440)&gt;1,B440&amp;" ("&amp;C440&amp;") "&amp;A440,B440&amp;" ("&amp;C440&amp;")"))</f>
        <v/>
      </c>
      <c r="F440" s="11">
        <f>IF(B440="","",SUMIFS(Entries!$J$2:$J$3000,Entries!$H$2:$H$3000,A440))</f>
        <v/>
      </c>
      <c r="G440" s="11">
        <f>IF(B440="","",_xlfn.MAXIFS(Prizes!$D$2:$D$3000,Prizes!$E$2:$E$3000,A440,Prizes!$G$2:$G$3000,""))</f>
        <v/>
      </c>
      <c r="H440" s="10">
        <f>IF(B440="","",IF(_xlfn.MAXIFS(Levels!$A$2:$A$30,Levels!$A$2:$A$30,"&lt;="&amp;F440)&gt;G440,INDEX(Levels!$B$2:$B$30,MATCH(_xlfn.MAXIFS(Levels!$A$2:$A$30,Levels!$A$2:$A$30,"&lt;="&amp;F440),Levels!$A$2:$A$30,0)),""))</f>
        <v/>
      </c>
      <c r="I440" s="10">
        <f>IF(B440="","",COUNTIFS(Levels!$A$2:$A$30,"&lt;="&amp;F440,Levels!$A$2:$A$30,"&gt;"&amp;G440))</f>
        <v/>
      </c>
      <c r="J440" s="10">
        <f>IF(OR(B440="",TRIM('Find a child'!$B$3)=""),"",IF(ISNUMBER(SEARCH(TRIM('Find a child'!$B$3),B440&amp;" "&amp;C440)),COUNT(J$1:J439)+1,""))</f>
        <v/>
      </c>
    </row>
    <row r="441">
      <c r="A441" s="10" t="inlineStr">
        <is>
          <t>C0440</t>
        </is>
      </c>
      <c r="B441" s="6" t="n"/>
      <c r="C441" s="6" t="n"/>
      <c r="D441" s="6" t="n"/>
      <c r="E441" s="10">
        <f>IF(B441="","",IF(COUNTIFS($B$2:$B$600,B441,$C$2:$C$600,C441)&gt;1,B441&amp;" ("&amp;C441&amp;") "&amp;A441,B441&amp;" ("&amp;C441&amp;")"))</f>
        <v/>
      </c>
      <c r="F441" s="11">
        <f>IF(B441="","",SUMIFS(Entries!$J$2:$J$3000,Entries!$H$2:$H$3000,A441))</f>
        <v/>
      </c>
      <c r="G441" s="11">
        <f>IF(B441="","",_xlfn.MAXIFS(Prizes!$D$2:$D$3000,Prizes!$E$2:$E$3000,A441,Prizes!$G$2:$G$3000,""))</f>
        <v/>
      </c>
      <c r="H441" s="10">
        <f>IF(B441="","",IF(_xlfn.MAXIFS(Levels!$A$2:$A$30,Levels!$A$2:$A$30,"&lt;="&amp;F441)&gt;G441,INDEX(Levels!$B$2:$B$30,MATCH(_xlfn.MAXIFS(Levels!$A$2:$A$30,Levels!$A$2:$A$30,"&lt;="&amp;F441),Levels!$A$2:$A$30,0)),""))</f>
        <v/>
      </c>
      <c r="I441" s="10">
        <f>IF(B441="","",COUNTIFS(Levels!$A$2:$A$30,"&lt;="&amp;F441,Levels!$A$2:$A$30,"&gt;"&amp;G441))</f>
        <v/>
      </c>
      <c r="J441" s="10">
        <f>IF(OR(B441="",TRIM('Find a child'!$B$3)=""),"",IF(ISNUMBER(SEARCH(TRIM('Find a child'!$B$3),B441&amp;" "&amp;C441)),COUNT(J$1:J440)+1,""))</f>
        <v/>
      </c>
    </row>
    <row r="442">
      <c r="A442" s="10" t="inlineStr">
        <is>
          <t>C0441</t>
        </is>
      </c>
      <c r="B442" s="6" t="n"/>
      <c r="C442" s="6" t="n"/>
      <c r="D442" s="6" t="n"/>
      <c r="E442" s="10">
        <f>IF(B442="","",IF(COUNTIFS($B$2:$B$600,B442,$C$2:$C$600,C442)&gt;1,B442&amp;" ("&amp;C442&amp;") "&amp;A442,B442&amp;" ("&amp;C442&amp;")"))</f>
        <v/>
      </c>
      <c r="F442" s="11">
        <f>IF(B442="","",SUMIFS(Entries!$J$2:$J$3000,Entries!$H$2:$H$3000,A442))</f>
        <v/>
      </c>
      <c r="G442" s="11">
        <f>IF(B442="","",_xlfn.MAXIFS(Prizes!$D$2:$D$3000,Prizes!$E$2:$E$3000,A442,Prizes!$G$2:$G$3000,""))</f>
        <v/>
      </c>
      <c r="H442" s="10">
        <f>IF(B442="","",IF(_xlfn.MAXIFS(Levels!$A$2:$A$30,Levels!$A$2:$A$30,"&lt;="&amp;F442)&gt;G442,INDEX(Levels!$B$2:$B$30,MATCH(_xlfn.MAXIFS(Levels!$A$2:$A$30,Levels!$A$2:$A$30,"&lt;="&amp;F442),Levels!$A$2:$A$30,0)),""))</f>
        <v/>
      </c>
      <c r="I442" s="10">
        <f>IF(B442="","",COUNTIFS(Levels!$A$2:$A$30,"&lt;="&amp;F442,Levels!$A$2:$A$30,"&gt;"&amp;G442))</f>
        <v/>
      </c>
      <c r="J442" s="10">
        <f>IF(OR(B442="",TRIM('Find a child'!$B$3)=""),"",IF(ISNUMBER(SEARCH(TRIM('Find a child'!$B$3),B442&amp;" "&amp;C442)),COUNT(J$1:J441)+1,""))</f>
        <v/>
      </c>
    </row>
    <row r="443">
      <c r="A443" s="10" t="inlineStr">
        <is>
          <t>C0442</t>
        </is>
      </c>
      <c r="B443" s="6" t="n"/>
      <c r="C443" s="6" t="n"/>
      <c r="D443" s="6" t="n"/>
      <c r="E443" s="10">
        <f>IF(B443="","",IF(COUNTIFS($B$2:$B$600,B443,$C$2:$C$600,C443)&gt;1,B443&amp;" ("&amp;C443&amp;") "&amp;A443,B443&amp;" ("&amp;C443&amp;")"))</f>
        <v/>
      </c>
      <c r="F443" s="11">
        <f>IF(B443="","",SUMIFS(Entries!$J$2:$J$3000,Entries!$H$2:$H$3000,A443))</f>
        <v/>
      </c>
      <c r="G443" s="11">
        <f>IF(B443="","",_xlfn.MAXIFS(Prizes!$D$2:$D$3000,Prizes!$E$2:$E$3000,A443,Prizes!$G$2:$G$3000,""))</f>
        <v/>
      </c>
      <c r="H443" s="10">
        <f>IF(B443="","",IF(_xlfn.MAXIFS(Levels!$A$2:$A$30,Levels!$A$2:$A$30,"&lt;="&amp;F443)&gt;G443,INDEX(Levels!$B$2:$B$30,MATCH(_xlfn.MAXIFS(Levels!$A$2:$A$30,Levels!$A$2:$A$30,"&lt;="&amp;F443),Levels!$A$2:$A$30,0)),""))</f>
        <v/>
      </c>
      <c r="I443" s="10">
        <f>IF(B443="","",COUNTIFS(Levels!$A$2:$A$30,"&lt;="&amp;F443,Levels!$A$2:$A$30,"&gt;"&amp;G443))</f>
        <v/>
      </c>
      <c r="J443" s="10">
        <f>IF(OR(B443="",TRIM('Find a child'!$B$3)=""),"",IF(ISNUMBER(SEARCH(TRIM('Find a child'!$B$3),B443&amp;" "&amp;C443)),COUNT(J$1:J442)+1,""))</f>
        <v/>
      </c>
    </row>
    <row r="444">
      <c r="A444" s="10" t="inlineStr">
        <is>
          <t>C0443</t>
        </is>
      </c>
      <c r="B444" s="6" t="n"/>
      <c r="C444" s="6" t="n"/>
      <c r="D444" s="6" t="n"/>
      <c r="E444" s="10">
        <f>IF(B444="","",IF(COUNTIFS($B$2:$B$600,B444,$C$2:$C$600,C444)&gt;1,B444&amp;" ("&amp;C444&amp;") "&amp;A444,B444&amp;" ("&amp;C444&amp;")"))</f>
        <v/>
      </c>
      <c r="F444" s="11">
        <f>IF(B444="","",SUMIFS(Entries!$J$2:$J$3000,Entries!$H$2:$H$3000,A444))</f>
        <v/>
      </c>
      <c r="G444" s="11">
        <f>IF(B444="","",_xlfn.MAXIFS(Prizes!$D$2:$D$3000,Prizes!$E$2:$E$3000,A444,Prizes!$G$2:$G$3000,""))</f>
        <v/>
      </c>
      <c r="H444" s="10">
        <f>IF(B444="","",IF(_xlfn.MAXIFS(Levels!$A$2:$A$30,Levels!$A$2:$A$30,"&lt;="&amp;F444)&gt;G444,INDEX(Levels!$B$2:$B$30,MATCH(_xlfn.MAXIFS(Levels!$A$2:$A$30,Levels!$A$2:$A$30,"&lt;="&amp;F444),Levels!$A$2:$A$30,0)),""))</f>
        <v/>
      </c>
      <c r="I444" s="10">
        <f>IF(B444="","",COUNTIFS(Levels!$A$2:$A$30,"&lt;="&amp;F444,Levels!$A$2:$A$30,"&gt;"&amp;G444))</f>
        <v/>
      </c>
      <c r="J444" s="10">
        <f>IF(OR(B444="",TRIM('Find a child'!$B$3)=""),"",IF(ISNUMBER(SEARCH(TRIM('Find a child'!$B$3),B444&amp;" "&amp;C444)),COUNT(J$1:J443)+1,""))</f>
        <v/>
      </c>
    </row>
    <row r="445">
      <c r="A445" s="10" t="inlineStr">
        <is>
          <t>C0444</t>
        </is>
      </c>
      <c r="B445" s="6" t="n"/>
      <c r="C445" s="6" t="n"/>
      <c r="D445" s="6" t="n"/>
      <c r="E445" s="10">
        <f>IF(B445="","",IF(COUNTIFS($B$2:$B$600,B445,$C$2:$C$600,C445)&gt;1,B445&amp;" ("&amp;C445&amp;") "&amp;A445,B445&amp;" ("&amp;C445&amp;")"))</f>
        <v/>
      </c>
      <c r="F445" s="11">
        <f>IF(B445="","",SUMIFS(Entries!$J$2:$J$3000,Entries!$H$2:$H$3000,A445))</f>
        <v/>
      </c>
      <c r="G445" s="11">
        <f>IF(B445="","",_xlfn.MAXIFS(Prizes!$D$2:$D$3000,Prizes!$E$2:$E$3000,A445,Prizes!$G$2:$G$3000,""))</f>
        <v/>
      </c>
      <c r="H445" s="10">
        <f>IF(B445="","",IF(_xlfn.MAXIFS(Levels!$A$2:$A$30,Levels!$A$2:$A$30,"&lt;="&amp;F445)&gt;G445,INDEX(Levels!$B$2:$B$30,MATCH(_xlfn.MAXIFS(Levels!$A$2:$A$30,Levels!$A$2:$A$30,"&lt;="&amp;F445),Levels!$A$2:$A$30,0)),""))</f>
        <v/>
      </c>
      <c r="I445" s="10">
        <f>IF(B445="","",COUNTIFS(Levels!$A$2:$A$30,"&lt;="&amp;F445,Levels!$A$2:$A$30,"&gt;"&amp;G445))</f>
        <v/>
      </c>
      <c r="J445" s="10">
        <f>IF(OR(B445="",TRIM('Find a child'!$B$3)=""),"",IF(ISNUMBER(SEARCH(TRIM('Find a child'!$B$3),B445&amp;" "&amp;C445)),COUNT(J$1:J444)+1,""))</f>
        <v/>
      </c>
    </row>
    <row r="446">
      <c r="A446" s="10" t="inlineStr">
        <is>
          <t>C0445</t>
        </is>
      </c>
      <c r="B446" s="6" t="n"/>
      <c r="C446" s="6" t="n"/>
      <c r="D446" s="6" t="n"/>
      <c r="E446" s="10">
        <f>IF(B446="","",IF(COUNTIFS($B$2:$B$600,B446,$C$2:$C$600,C446)&gt;1,B446&amp;" ("&amp;C446&amp;") "&amp;A446,B446&amp;" ("&amp;C446&amp;")"))</f>
        <v/>
      </c>
      <c r="F446" s="11">
        <f>IF(B446="","",SUMIFS(Entries!$J$2:$J$3000,Entries!$H$2:$H$3000,A446))</f>
        <v/>
      </c>
      <c r="G446" s="11">
        <f>IF(B446="","",_xlfn.MAXIFS(Prizes!$D$2:$D$3000,Prizes!$E$2:$E$3000,A446,Prizes!$G$2:$G$3000,""))</f>
        <v/>
      </c>
      <c r="H446" s="10">
        <f>IF(B446="","",IF(_xlfn.MAXIFS(Levels!$A$2:$A$30,Levels!$A$2:$A$30,"&lt;="&amp;F446)&gt;G446,INDEX(Levels!$B$2:$B$30,MATCH(_xlfn.MAXIFS(Levels!$A$2:$A$30,Levels!$A$2:$A$30,"&lt;="&amp;F446),Levels!$A$2:$A$30,0)),""))</f>
        <v/>
      </c>
      <c r="I446" s="10">
        <f>IF(B446="","",COUNTIFS(Levels!$A$2:$A$30,"&lt;="&amp;F446,Levels!$A$2:$A$30,"&gt;"&amp;G446))</f>
        <v/>
      </c>
      <c r="J446" s="10">
        <f>IF(OR(B446="",TRIM('Find a child'!$B$3)=""),"",IF(ISNUMBER(SEARCH(TRIM('Find a child'!$B$3),B446&amp;" "&amp;C446)),COUNT(J$1:J445)+1,""))</f>
        <v/>
      </c>
    </row>
    <row r="447">
      <c r="A447" s="10" t="inlineStr">
        <is>
          <t>C0446</t>
        </is>
      </c>
      <c r="B447" s="6" t="n"/>
      <c r="C447" s="6" t="n"/>
      <c r="D447" s="6" t="n"/>
      <c r="E447" s="10">
        <f>IF(B447="","",IF(COUNTIFS($B$2:$B$600,B447,$C$2:$C$600,C447)&gt;1,B447&amp;" ("&amp;C447&amp;") "&amp;A447,B447&amp;" ("&amp;C447&amp;")"))</f>
        <v/>
      </c>
      <c r="F447" s="11">
        <f>IF(B447="","",SUMIFS(Entries!$J$2:$J$3000,Entries!$H$2:$H$3000,A447))</f>
        <v/>
      </c>
      <c r="G447" s="11">
        <f>IF(B447="","",_xlfn.MAXIFS(Prizes!$D$2:$D$3000,Prizes!$E$2:$E$3000,A447,Prizes!$G$2:$G$3000,""))</f>
        <v/>
      </c>
      <c r="H447" s="10">
        <f>IF(B447="","",IF(_xlfn.MAXIFS(Levels!$A$2:$A$30,Levels!$A$2:$A$30,"&lt;="&amp;F447)&gt;G447,INDEX(Levels!$B$2:$B$30,MATCH(_xlfn.MAXIFS(Levels!$A$2:$A$30,Levels!$A$2:$A$30,"&lt;="&amp;F447),Levels!$A$2:$A$30,0)),""))</f>
        <v/>
      </c>
      <c r="I447" s="10">
        <f>IF(B447="","",COUNTIFS(Levels!$A$2:$A$30,"&lt;="&amp;F447,Levels!$A$2:$A$30,"&gt;"&amp;G447))</f>
        <v/>
      </c>
      <c r="J447" s="10">
        <f>IF(OR(B447="",TRIM('Find a child'!$B$3)=""),"",IF(ISNUMBER(SEARCH(TRIM('Find a child'!$B$3),B447&amp;" "&amp;C447)),COUNT(J$1:J446)+1,""))</f>
        <v/>
      </c>
    </row>
    <row r="448">
      <c r="A448" s="10" t="inlineStr">
        <is>
          <t>C0447</t>
        </is>
      </c>
      <c r="B448" s="6" t="n"/>
      <c r="C448" s="6" t="n"/>
      <c r="D448" s="6" t="n"/>
      <c r="E448" s="10">
        <f>IF(B448="","",IF(COUNTIFS($B$2:$B$600,B448,$C$2:$C$600,C448)&gt;1,B448&amp;" ("&amp;C448&amp;") "&amp;A448,B448&amp;" ("&amp;C448&amp;")"))</f>
        <v/>
      </c>
      <c r="F448" s="11">
        <f>IF(B448="","",SUMIFS(Entries!$J$2:$J$3000,Entries!$H$2:$H$3000,A448))</f>
        <v/>
      </c>
      <c r="G448" s="11">
        <f>IF(B448="","",_xlfn.MAXIFS(Prizes!$D$2:$D$3000,Prizes!$E$2:$E$3000,A448,Prizes!$G$2:$G$3000,""))</f>
        <v/>
      </c>
      <c r="H448" s="10">
        <f>IF(B448="","",IF(_xlfn.MAXIFS(Levels!$A$2:$A$30,Levels!$A$2:$A$30,"&lt;="&amp;F448)&gt;G448,INDEX(Levels!$B$2:$B$30,MATCH(_xlfn.MAXIFS(Levels!$A$2:$A$30,Levels!$A$2:$A$30,"&lt;="&amp;F448),Levels!$A$2:$A$30,0)),""))</f>
        <v/>
      </c>
      <c r="I448" s="10">
        <f>IF(B448="","",COUNTIFS(Levels!$A$2:$A$30,"&lt;="&amp;F448,Levels!$A$2:$A$30,"&gt;"&amp;G448))</f>
        <v/>
      </c>
      <c r="J448" s="10">
        <f>IF(OR(B448="",TRIM('Find a child'!$B$3)=""),"",IF(ISNUMBER(SEARCH(TRIM('Find a child'!$B$3),B448&amp;" "&amp;C448)),COUNT(J$1:J447)+1,""))</f>
        <v/>
      </c>
    </row>
    <row r="449">
      <c r="A449" s="10" t="inlineStr">
        <is>
          <t>C0448</t>
        </is>
      </c>
      <c r="B449" s="6" t="n"/>
      <c r="C449" s="6" t="n"/>
      <c r="D449" s="6" t="n"/>
      <c r="E449" s="10">
        <f>IF(B449="","",IF(COUNTIFS($B$2:$B$600,B449,$C$2:$C$600,C449)&gt;1,B449&amp;" ("&amp;C449&amp;") "&amp;A449,B449&amp;" ("&amp;C449&amp;")"))</f>
        <v/>
      </c>
      <c r="F449" s="11">
        <f>IF(B449="","",SUMIFS(Entries!$J$2:$J$3000,Entries!$H$2:$H$3000,A449))</f>
        <v/>
      </c>
      <c r="G449" s="11">
        <f>IF(B449="","",_xlfn.MAXIFS(Prizes!$D$2:$D$3000,Prizes!$E$2:$E$3000,A449,Prizes!$G$2:$G$3000,""))</f>
        <v/>
      </c>
      <c r="H449" s="10">
        <f>IF(B449="","",IF(_xlfn.MAXIFS(Levels!$A$2:$A$30,Levels!$A$2:$A$30,"&lt;="&amp;F449)&gt;G449,INDEX(Levels!$B$2:$B$30,MATCH(_xlfn.MAXIFS(Levels!$A$2:$A$30,Levels!$A$2:$A$30,"&lt;="&amp;F449),Levels!$A$2:$A$30,0)),""))</f>
        <v/>
      </c>
      <c r="I449" s="10">
        <f>IF(B449="","",COUNTIFS(Levels!$A$2:$A$30,"&lt;="&amp;F449,Levels!$A$2:$A$30,"&gt;"&amp;G449))</f>
        <v/>
      </c>
      <c r="J449" s="10">
        <f>IF(OR(B449="",TRIM('Find a child'!$B$3)=""),"",IF(ISNUMBER(SEARCH(TRIM('Find a child'!$B$3),B449&amp;" "&amp;C449)),COUNT(J$1:J448)+1,""))</f>
        <v/>
      </c>
    </row>
    <row r="450">
      <c r="A450" s="10" t="inlineStr">
        <is>
          <t>C0449</t>
        </is>
      </c>
      <c r="B450" s="6" t="n"/>
      <c r="C450" s="6" t="n"/>
      <c r="D450" s="6" t="n"/>
      <c r="E450" s="10">
        <f>IF(B450="","",IF(COUNTIFS($B$2:$B$600,B450,$C$2:$C$600,C450)&gt;1,B450&amp;" ("&amp;C450&amp;") "&amp;A450,B450&amp;" ("&amp;C450&amp;")"))</f>
        <v/>
      </c>
      <c r="F450" s="11">
        <f>IF(B450="","",SUMIFS(Entries!$J$2:$J$3000,Entries!$H$2:$H$3000,A450))</f>
        <v/>
      </c>
      <c r="G450" s="11">
        <f>IF(B450="","",_xlfn.MAXIFS(Prizes!$D$2:$D$3000,Prizes!$E$2:$E$3000,A450,Prizes!$G$2:$G$3000,""))</f>
        <v/>
      </c>
      <c r="H450" s="10">
        <f>IF(B450="","",IF(_xlfn.MAXIFS(Levels!$A$2:$A$30,Levels!$A$2:$A$30,"&lt;="&amp;F450)&gt;G450,INDEX(Levels!$B$2:$B$30,MATCH(_xlfn.MAXIFS(Levels!$A$2:$A$30,Levels!$A$2:$A$30,"&lt;="&amp;F450),Levels!$A$2:$A$30,0)),""))</f>
        <v/>
      </c>
      <c r="I450" s="10">
        <f>IF(B450="","",COUNTIFS(Levels!$A$2:$A$30,"&lt;="&amp;F450,Levels!$A$2:$A$30,"&gt;"&amp;G450))</f>
        <v/>
      </c>
      <c r="J450" s="10">
        <f>IF(OR(B450="",TRIM('Find a child'!$B$3)=""),"",IF(ISNUMBER(SEARCH(TRIM('Find a child'!$B$3),B450&amp;" "&amp;C450)),COUNT(J$1:J449)+1,""))</f>
        <v/>
      </c>
    </row>
    <row r="451">
      <c r="A451" s="10" t="inlineStr">
        <is>
          <t>C0450</t>
        </is>
      </c>
      <c r="B451" s="6" t="n"/>
      <c r="C451" s="6" t="n"/>
      <c r="D451" s="6" t="n"/>
      <c r="E451" s="10">
        <f>IF(B451="","",IF(COUNTIFS($B$2:$B$600,B451,$C$2:$C$600,C451)&gt;1,B451&amp;" ("&amp;C451&amp;") "&amp;A451,B451&amp;" ("&amp;C451&amp;")"))</f>
        <v/>
      </c>
      <c r="F451" s="11">
        <f>IF(B451="","",SUMIFS(Entries!$J$2:$J$3000,Entries!$H$2:$H$3000,A451))</f>
        <v/>
      </c>
      <c r="G451" s="11">
        <f>IF(B451="","",_xlfn.MAXIFS(Prizes!$D$2:$D$3000,Prizes!$E$2:$E$3000,A451,Prizes!$G$2:$G$3000,""))</f>
        <v/>
      </c>
      <c r="H451" s="10">
        <f>IF(B451="","",IF(_xlfn.MAXIFS(Levels!$A$2:$A$30,Levels!$A$2:$A$30,"&lt;="&amp;F451)&gt;G451,INDEX(Levels!$B$2:$B$30,MATCH(_xlfn.MAXIFS(Levels!$A$2:$A$30,Levels!$A$2:$A$30,"&lt;="&amp;F451),Levels!$A$2:$A$30,0)),""))</f>
        <v/>
      </c>
      <c r="I451" s="10">
        <f>IF(B451="","",COUNTIFS(Levels!$A$2:$A$30,"&lt;="&amp;F451,Levels!$A$2:$A$30,"&gt;"&amp;G451))</f>
        <v/>
      </c>
      <c r="J451" s="10">
        <f>IF(OR(B451="",TRIM('Find a child'!$B$3)=""),"",IF(ISNUMBER(SEARCH(TRIM('Find a child'!$B$3),B451&amp;" "&amp;C451)),COUNT(J$1:J450)+1,""))</f>
        <v/>
      </c>
    </row>
    <row r="452">
      <c r="A452" s="10" t="inlineStr">
        <is>
          <t>C0451</t>
        </is>
      </c>
      <c r="B452" s="6" t="n"/>
      <c r="C452" s="6" t="n"/>
      <c r="D452" s="6" t="n"/>
      <c r="E452" s="10">
        <f>IF(B452="","",IF(COUNTIFS($B$2:$B$600,B452,$C$2:$C$600,C452)&gt;1,B452&amp;" ("&amp;C452&amp;") "&amp;A452,B452&amp;" ("&amp;C452&amp;")"))</f>
        <v/>
      </c>
      <c r="F452" s="11">
        <f>IF(B452="","",SUMIFS(Entries!$J$2:$J$3000,Entries!$H$2:$H$3000,A452))</f>
        <v/>
      </c>
      <c r="G452" s="11">
        <f>IF(B452="","",_xlfn.MAXIFS(Prizes!$D$2:$D$3000,Prizes!$E$2:$E$3000,A452,Prizes!$G$2:$G$3000,""))</f>
        <v/>
      </c>
      <c r="H452" s="10">
        <f>IF(B452="","",IF(_xlfn.MAXIFS(Levels!$A$2:$A$30,Levels!$A$2:$A$30,"&lt;="&amp;F452)&gt;G452,INDEX(Levels!$B$2:$B$30,MATCH(_xlfn.MAXIFS(Levels!$A$2:$A$30,Levels!$A$2:$A$30,"&lt;="&amp;F452),Levels!$A$2:$A$30,0)),""))</f>
        <v/>
      </c>
      <c r="I452" s="10">
        <f>IF(B452="","",COUNTIFS(Levels!$A$2:$A$30,"&lt;="&amp;F452,Levels!$A$2:$A$30,"&gt;"&amp;G452))</f>
        <v/>
      </c>
      <c r="J452" s="10">
        <f>IF(OR(B452="",TRIM('Find a child'!$B$3)=""),"",IF(ISNUMBER(SEARCH(TRIM('Find a child'!$B$3),B452&amp;" "&amp;C452)),COUNT(J$1:J451)+1,""))</f>
        <v/>
      </c>
    </row>
    <row r="453">
      <c r="A453" s="10" t="inlineStr">
        <is>
          <t>C0452</t>
        </is>
      </c>
      <c r="B453" s="6" t="n"/>
      <c r="C453" s="6" t="n"/>
      <c r="D453" s="6" t="n"/>
      <c r="E453" s="10">
        <f>IF(B453="","",IF(COUNTIFS($B$2:$B$600,B453,$C$2:$C$600,C453)&gt;1,B453&amp;" ("&amp;C453&amp;") "&amp;A453,B453&amp;" ("&amp;C453&amp;")"))</f>
        <v/>
      </c>
      <c r="F453" s="11">
        <f>IF(B453="","",SUMIFS(Entries!$J$2:$J$3000,Entries!$H$2:$H$3000,A453))</f>
        <v/>
      </c>
      <c r="G453" s="11">
        <f>IF(B453="","",_xlfn.MAXIFS(Prizes!$D$2:$D$3000,Prizes!$E$2:$E$3000,A453,Prizes!$G$2:$G$3000,""))</f>
        <v/>
      </c>
      <c r="H453" s="10">
        <f>IF(B453="","",IF(_xlfn.MAXIFS(Levels!$A$2:$A$30,Levels!$A$2:$A$30,"&lt;="&amp;F453)&gt;G453,INDEX(Levels!$B$2:$B$30,MATCH(_xlfn.MAXIFS(Levels!$A$2:$A$30,Levels!$A$2:$A$30,"&lt;="&amp;F453),Levels!$A$2:$A$30,0)),""))</f>
        <v/>
      </c>
      <c r="I453" s="10">
        <f>IF(B453="","",COUNTIFS(Levels!$A$2:$A$30,"&lt;="&amp;F453,Levels!$A$2:$A$30,"&gt;"&amp;G453))</f>
        <v/>
      </c>
      <c r="J453" s="10">
        <f>IF(OR(B453="",TRIM('Find a child'!$B$3)=""),"",IF(ISNUMBER(SEARCH(TRIM('Find a child'!$B$3),B453&amp;" "&amp;C453)),COUNT(J$1:J452)+1,""))</f>
        <v/>
      </c>
    </row>
    <row r="454">
      <c r="A454" s="10" t="inlineStr">
        <is>
          <t>C0453</t>
        </is>
      </c>
      <c r="B454" s="6" t="n"/>
      <c r="C454" s="6" t="n"/>
      <c r="D454" s="6" t="n"/>
      <c r="E454" s="10">
        <f>IF(B454="","",IF(COUNTIFS($B$2:$B$600,B454,$C$2:$C$600,C454)&gt;1,B454&amp;" ("&amp;C454&amp;") "&amp;A454,B454&amp;" ("&amp;C454&amp;")"))</f>
        <v/>
      </c>
      <c r="F454" s="11">
        <f>IF(B454="","",SUMIFS(Entries!$J$2:$J$3000,Entries!$H$2:$H$3000,A454))</f>
        <v/>
      </c>
      <c r="G454" s="11">
        <f>IF(B454="","",_xlfn.MAXIFS(Prizes!$D$2:$D$3000,Prizes!$E$2:$E$3000,A454,Prizes!$G$2:$G$3000,""))</f>
        <v/>
      </c>
      <c r="H454" s="10">
        <f>IF(B454="","",IF(_xlfn.MAXIFS(Levels!$A$2:$A$30,Levels!$A$2:$A$30,"&lt;="&amp;F454)&gt;G454,INDEX(Levels!$B$2:$B$30,MATCH(_xlfn.MAXIFS(Levels!$A$2:$A$30,Levels!$A$2:$A$30,"&lt;="&amp;F454),Levels!$A$2:$A$30,0)),""))</f>
        <v/>
      </c>
      <c r="I454" s="10">
        <f>IF(B454="","",COUNTIFS(Levels!$A$2:$A$30,"&lt;="&amp;F454,Levels!$A$2:$A$30,"&gt;"&amp;G454))</f>
        <v/>
      </c>
      <c r="J454" s="10">
        <f>IF(OR(B454="",TRIM('Find a child'!$B$3)=""),"",IF(ISNUMBER(SEARCH(TRIM('Find a child'!$B$3),B454&amp;" "&amp;C454)),COUNT(J$1:J453)+1,""))</f>
        <v/>
      </c>
    </row>
    <row r="455">
      <c r="A455" s="10" t="inlineStr">
        <is>
          <t>C0454</t>
        </is>
      </c>
      <c r="B455" s="6" t="n"/>
      <c r="C455" s="6" t="n"/>
      <c r="D455" s="6" t="n"/>
      <c r="E455" s="10">
        <f>IF(B455="","",IF(COUNTIFS($B$2:$B$600,B455,$C$2:$C$600,C455)&gt;1,B455&amp;" ("&amp;C455&amp;") "&amp;A455,B455&amp;" ("&amp;C455&amp;")"))</f>
        <v/>
      </c>
      <c r="F455" s="11">
        <f>IF(B455="","",SUMIFS(Entries!$J$2:$J$3000,Entries!$H$2:$H$3000,A455))</f>
        <v/>
      </c>
      <c r="G455" s="11">
        <f>IF(B455="","",_xlfn.MAXIFS(Prizes!$D$2:$D$3000,Prizes!$E$2:$E$3000,A455,Prizes!$G$2:$G$3000,""))</f>
        <v/>
      </c>
      <c r="H455" s="10">
        <f>IF(B455="","",IF(_xlfn.MAXIFS(Levels!$A$2:$A$30,Levels!$A$2:$A$30,"&lt;="&amp;F455)&gt;G455,INDEX(Levels!$B$2:$B$30,MATCH(_xlfn.MAXIFS(Levels!$A$2:$A$30,Levels!$A$2:$A$30,"&lt;="&amp;F455),Levels!$A$2:$A$30,0)),""))</f>
        <v/>
      </c>
      <c r="I455" s="10">
        <f>IF(B455="","",COUNTIFS(Levels!$A$2:$A$30,"&lt;="&amp;F455,Levels!$A$2:$A$30,"&gt;"&amp;G455))</f>
        <v/>
      </c>
      <c r="J455" s="10">
        <f>IF(OR(B455="",TRIM('Find a child'!$B$3)=""),"",IF(ISNUMBER(SEARCH(TRIM('Find a child'!$B$3),B455&amp;" "&amp;C455)),COUNT(J$1:J454)+1,""))</f>
        <v/>
      </c>
    </row>
    <row r="456">
      <c r="A456" s="10" t="inlineStr">
        <is>
          <t>C0455</t>
        </is>
      </c>
      <c r="B456" s="6" t="n"/>
      <c r="C456" s="6" t="n"/>
      <c r="D456" s="6" t="n"/>
      <c r="E456" s="10">
        <f>IF(B456="","",IF(COUNTIFS($B$2:$B$600,B456,$C$2:$C$600,C456)&gt;1,B456&amp;" ("&amp;C456&amp;") "&amp;A456,B456&amp;" ("&amp;C456&amp;")"))</f>
        <v/>
      </c>
      <c r="F456" s="11">
        <f>IF(B456="","",SUMIFS(Entries!$J$2:$J$3000,Entries!$H$2:$H$3000,A456))</f>
        <v/>
      </c>
      <c r="G456" s="11">
        <f>IF(B456="","",_xlfn.MAXIFS(Prizes!$D$2:$D$3000,Prizes!$E$2:$E$3000,A456,Prizes!$G$2:$G$3000,""))</f>
        <v/>
      </c>
      <c r="H456" s="10">
        <f>IF(B456="","",IF(_xlfn.MAXIFS(Levels!$A$2:$A$30,Levels!$A$2:$A$30,"&lt;="&amp;F456)&gt;G456,INDEX(Levels!$B$2:$B$30,MATCH(_xlfn.MAXIFS(Levels!$A$2:$A$30,Levels!$A$2:$A$30,"&lt;="&amp;F456),Levels!$A$2:$A$30,0)),""))</f>
        <v/>
      </c>
      <c r="I456" s="10">
        <f>IF(B456="","",COUNTIFS(Levels!$A$2:$A$30,"&lt;="&amp;F456,Levels!$A$2:$A$30,"&gt;"&amp;G456))</f>
        <v/>
      </c>
      <c r="J456" s="10">
        <f>IF(OR(B456="",TRIM('Find a child'!$B$3)=""),"",IF(ISNUMBER(SEARCH(TRIM('Find a child'!$B$3),B456&amp;" "&amp;C456)),COUNT(J$1:J455)+1,""))</f>
        <v/>
      </c>
    </row>
    <row r="457">
      <c r="A457" s="10" t="inlineStr">
        <is>
          <t>C0456</t>
        </is>
      </c>
      <c r="B457" s="6" t="n"/>
      <c r="C457" s="6" t="n"/>
      <c r="D457" s="6" t="n"/>
      <c r="E457" s="10">
        <f>IF(B457="","",IF(COUNTIFS($B$2:$B$600,B457,$C$2:$C$600,C457)&gt;1,B457&amp;" ("&amp;C457&amp;") "&amp;A457,B457&amp;" ("&amp;C457&amp;")"))</f>
        <v/>
      </c>
      <c r="F457" s="11">
        <f>IF(B457="","",SUMIFS(Entries!$J$2:$J$3000,Entries!$H$2:$H$3000,A457))</f>
        <v/>
      </c>
      <c r="G457" s="11">
        <f>IF(B457="","",_xlfn.MAXIFS(Prizes!$D$2:$D$3000,Prizes!$E$2:$E$3000,A457,Prizes!$G$2:$G$3000,""))</f>
        <v/>
      </c>
      <c r="H457" s="10">
        <f>IF(B457="","",IF(_xlfn.MAXIFS(Levels!$A$2:$A$30,Levels!$A$2:$A$30,"&lt;="&amp;F457)&gt;G457,INDEX(Levels!$B$2:$B$30,MATCH(_xlfn.MAXIFS(Levels!$A$2:$A$30,Levels!$A$2:$A$30,"&lt;="&amp;F457),Levels!$A$2:$A$30,0)),""))</f>
        <v/>
      </c>
      <c r="I457" s="10">
        <f>IF(B457="","",COUNTIFS(Levels!$A$2:$A$30,"&lt;="&amp;F457,Levels!$A$2:$A$30,"&gt;"&amp;G457))</f>
        <v/>
      </c>
      <c r="J457" s="10">
        <f>IF(OR(B457="",TRIM('Find a child'!$B$3)=""),"",IF(ISNUMBER(SEARCH(TRIM('Find a child'!$B$3),B457&amp;" "&amp;C457)),COUNT(J$1:J456)+1,""))</f>
        <v/>
      </c>
    </row>
    <row r="458">
      <c r="A458" s="10" t="inlineStr">
        <is>
          <t>C0457</t>
        </is>
      </c>
      <c r="B458" s="6" t="n"/>
      <c r="C458" s="6" t="n"/>
      <c r="D458" s="6" t="n"/>
      <c r="E458" s="10">
        <f>IF(B458="","",IF(COUNTIFS($B$2:$B$600,B458,$C$2:$C$600,C458)&gt;1,B458&amp;" ("&amp;C458&amp;") "&amp;A458,B458&amp;" ("&amp;C458&amp;")"))</f>
        <v/>
      </c>
      <c r="F458" s="11">
        <f>IF(B458="","",SUMIFS(Entries!$J$2:$J$3000,Entries!$H$2:$H$3000,A458))</f>
        <v/>
      </c>
      <c r="G458" s="11">
        <f>IF(B458="","",_xlfn.MAXIFS(Prizes!$D$2:$D$3000,Prizes!$E$2:$E$3000,A458,Prizes!$G$2:$G$3000,""))</f>
        <v/>
      </c>
      <c r="H458" s="10">
        <f>IF(B458="","",IF(_xlfn.MAXIFS(Levels!$A$2:$A$30,Levels!$A$2:$A$30,"&lt;="&amp;F458)&gt;G458,INDEX(Levels!$B$2:$B$30,MATCH(_xlfn.MAXIFS(Levels!$A$2:$A$30,Levels!$A$2:$A$30,"&lt;="&amp;F458),Levels!$A$2:$A$30,0)),""))</f>
        <v/>
      </c>
      <c r="I458" s="10">
        <f>IF(B458="","",COUNTIFS(Levels!$A$2:$A$30,"&lt;="&amp;F458,Levels!$A$2:$A$30,"&gt;"&amp;G458))</f>
        <v/>
      </c>
      <c r="J458" s="10">
        <f>IF(OR(B458="",TRIM('Find a child'!$B$3)=""),"",IF(ISNUMBER(SEARCH(TRIM('Find a child'!$B$3),B458&amp;" "&amp;C458)),COUNT(J$1:J457)+1,""))</f>
        <v/>
      </c>
    </row>
    <row r="459">
      <c r="A459" s="10" t="inlineStr">
        <is>
          <t>C0458</t>
        </is>
      </c>
      <c r="B459" s="6" t="n"/>
      <c r="C459" s="6" t="n"/>
      <c r="D459" s="6" t="n"/>
      <c r="E459" s="10">
        <f>IF(B459="","",IF(COUNTIFS($B$2:$B$600,B459,$C$2:$C$600,C459)&gt;1,B459&amp;" ("&amp;C459&amp;") "&amp;A459,B459&amp;" ("&amp;C459&amp;")"))</f>
        <v/>
      </c>
      <c r="F459" s="11">
        <f>IF(B459="","",SUMIFS(Entries!$J$2:$J$3000,Entries!$H$2:$H$3000,A459))</f>
        <v/>
      </c>
      <c r="G459" s="11">
        <f>IF(B459="","",_xlfn.MAXIFS(Prizes!$D$2:$D$3000,Prizes!$E$2:$E$3000,A459,Prizes!$G$2:$G$3000,""))</f>
        <v/>
      </c>
      <c r="H459" s="10">
        <f>IF(B459="","",IF(_xlfn.MAXIFS(Levels!$A$2:$A$30,Levels!$A$2:$A$30,"&lt;="&amp;F459)&gt;G459,INDEX(Levels!$B$2:$B$30,MATCH(_xlfn.MAXIFS(Levels!$A$2:$A$30,Levels!$A$2:$A$30,"&lt;="&amp;F459),Levels!$A$2:$A$30,0)),""))</f>
        <v/>
      </c>
      <c r="I459" s="10">
        <f>IF(B459="","",COUNTIFS(Levels!$A$2:$A$30,"&lt;="&amp;F459,Levels!$A$2:$A$30,"&gt;"&amp;G459))</f>
        <v/>
      </c>
      <c r="J459" s="10">
        <f>IF(OR(B459="",TRIM('Find a child'!$B$3)=""),"",IF(ISNUMBER(SEARCH(TRIM('Find a child'!$B$3),B459&amp;" "&amp;C459)),COUNT(J$1:J458)+1,""))</f>
        <v/>
      </c>
    </row>
    <row r="460">
      <c r="A460" s="10" t="inlineStr">
        <is>
          <t>C0459</t>
        </is>
      </c>
      <c r="B460" s="6" t="n"/>
      <c r="C460" s="6" t="n"/>
      <c r="D460" s="6" t="n"/>
      <c r="E460" s="10">
        <f>IF(B460="","",IF(COUNTIFS($B$2:$B$600,B460,$C$2:$C$600,C460)&gt;1,B460&amp;" ("&amp;C460&amp;") "&amp;A460,B460&amp;" ("&amp;C460&amp;")"))</f>
        <v/>
      </c>
      <c r="F460" s="11">
        <f>IF(B460="","",SUMIFS(Entries!$J$2:$J$3000,Entries!$H$2:$H$3000,A460))</f>
        <v/>
      </c>
      <c r="G460" s="11">
        <f>IF(B460="","",_xlfn.MAXIFS(Prizes!$D$2:$D$3000,Prizes!$E$2:$E$3000,A460,Prizes!$G$2:$G$3000,""))</f>
        <v/>
      </c>
      <c r="H460" s="10">
        <f>IF(B460="","",IF(_xlfn.MAXIFS(Levels!$A$2:$A$30,Levels!$A$2:$A$30,"&lt;="&amp;F460)&gt;G460,INDEX(Levels!$B$2:$B$30,MATCH(_xlfn.MAXIFS(Levels!$A$2:$A$30,Levels!$A$2:$A$30,"&lt;="&amp;F460),Levels!$A$2:$A$30,0)),""))</f>
        <v/>
      </c>
      <c r="I460" s="10">
        <f>IF(B460="","",COUNTIFS(Levels!$A$2:$A$30,"&lt;="&amp;F460,Levels!$A$2:$A$30,"&gt;"&amp;G460))</f>
        <v/>
      </c>
      <c r="J460" s="10">
        <f>IF(OR(B460="",TRIM('Find a child'!$B$3)=""),"",IF(ISNUMBER(SEARCH(TRIM('Find a child'!$B$3),B460&amp;" "&amp;C460)),COUNT(J$1:J459)+1,""))</f>
        <v/>
      </c>
    </row>
    <row r="461">
      <c r="A461" s="10" t="inlineStr">
        <is>
          <t>C0460</t>
        </is>
      </c>
      <c r="B461" s="6" t="n"/>
      <c r="C461" s="6" t="n"/>
      <c r="D461" s="6" t="n"/>
      <c r="E461" s="10">
        <f>IF(B461="","",IF(COUNTIFS($B$2:$B$600,B461,$C$2:$C$600,C461)&gt;1,B461&amp;" ("&amp;C461&amp;") "&amp;A461,B461&amp;" ("&amp;C461&amp;")"))</f>
        <v/>
      </c>
      <c r="F461" s="11">
        <f>IF(B461="","",SUMIFS(Entries!$J$2:$J$3000,Entries!$H$2:$H$3000,A461))</f>
        <v/>
      </c>
      <c r="G461" s="11">
        <f>IF(B461="","",_xlfn.MAXIFS(Prizes!$D$2:$D$3000,Prizes!$E$2:$E$3000,A461,Prizes!$G$2:$G$3000,""))</f>
        <v/>
      </c>
      <c r="H461" s="10">
        <f>IF(B461="","",IF(_xlfn.MAXIFS(Levels!$A$2:$A$30,Levels!$A$2:$A$30,"&lt;="&amp;F461)&gt;G461,INDEX(Levels!$B$2:$B$30,MATCH(_xlfn.MAXIFS(Levels!$A$2:$A$30,Levels!$A$2:$A$30,"&lt;="&amp;F461),Levels!$A$2:$A$30,0)),""))</f>
        <v/>
      </c>
      <c r="I461" s="10">
        <f>IF(B461="","",COUNTIFS(Levels!$A$2:$A$30,"&lt;="&amp;F461,Levels!$A$2:$A$30,"&gt;"&amp;G461))</f>
        <v/>
      </c>
      <c r="J461" s="10">
        <f>IF(OR(B461="",TRIM('Find a child'!$B$3)=""),"",IF(ISNUMBER(SEARCH(TRIM('Find a child'!$B$3),B461&amp;" "&amp;C461)),COUNT(J$1:J460)+1,""))</f>
        <v/>
      </c>
    </row>
    <row r="462">
      <c r="A462" s="10" t="inlineStr">
        <is>
          <t>C0461</t>
        </is>
      </c>
      <c r="B462" s="6" t="n"/>
      <c r="C462" s="6" t="n"/>
      <c r="D462" s="6" t="n"/>
      <c r="E462" s="10">
        <f>IF(B462="","",IF(COUNTIFS($B$2:$B$600,B462,$C$2:$C$600,C462)&gt;1,B462&amp;" ("&amp;C462&amp;") "&amp;A462,B462&amp;" ("&amp;C462&amp;")"))</f>
        <v/>
      </c>
      <c r="F462" s="11">
        <f>IF(B462="","",SUMIFS(Entries!$J$2:$J$3000,Entries!$H$2:$H$3000,A462))</f>
        <v/>
      </c>
      <c r="G462" s="11">
        <f>IF(B462="","",_xlfn.MAXIFS(Prizes!$D$2:$D$3000,Prizes!$E$2:$E$3000,A462,Prizes!$G$2:$G$3000,""))</f>
        <v/>
      </c>
      <c r="H462" s="10">
        <f>IF(B462="","",IF(_xlfn.MAXIFS(Levels!$A$2:$A$30,Levels!$A$2:$A$30,"&lt;="&amp;F462)&gt;G462,INDEX(Levels!$B$2:$B$30,MATCH(_xlfn.MAXIFS(Levels!$A$2:$A$30,Levels!$A$2:$A$30,"&lt;="&amp;F462),Levels!$A$2:$A$30,0)),""))</f>
        <v/>
      </c>
      <c r="I462" s="10">
        <f>IF(B462="","",COUNTIFS(Levels!$A$2:$A$30,"&lt;="&amp;F462,Levels!$A$2:$A$30,"&gt;"&amp;G462))</f>
        <v/>
      </c>
      <c r="J462" s="10">
        <f>IF(OR(B462="",TRIM('Find a child'!$B$3)=""),"",IF(ISNUMBER(SEARCH(TRIM('Find a child'!$B$3),B462&amp;" "&amp;C462)),COUNT(J$1:J461)+1,""))</f>
        <v/>
      </c>
    </row>
    <row r="463">
      <c r="A463" s="10" t="inlineStr">
        <is>
          <t>C0462</t>
        </is>
      </c>
      <c r="B463" s="6" t="n"/>
      <c r="C463" s="6" t="n"/>
      <c r="D463" s="6" t="n"/>
      <c r="E463" s="10">
        <f>IF(B463="","",IF(COUNTIFS($B$2:$B$600,B463,$C$2:$C$600,C463)&gt;1,B463&amp;" ("&amp;C463&amp;") "&amp;A463,B463&amp;" ("&amp;C463&amp;")"))</f>
        <v/>
      </c>
      <c r="F463" s="11">
        <f>IF(B463="","",SUMIFS(Entries!$J$2:$J$3000,Entries!$H$2:$H$3000,A463))</f>
        <v/>
      </c>
      <c r="G463" s="11">
        <f>IF(B463="","",_xlfn.MAXIFS(Prizes!$D$2:$D$3000,Prizes!$E$2:$E$3000,A463,Prizes!$G$2:$G$3000,""))</f>
        <v/>
      </c>
      <c r="H463" s="10">
        <f>IF(B463="","",IF(_xlfn.MAXIFS(Levels!$A$2:$A$30,Levels!$A$2:$A$30,"&lt;="&amp;F463)&gt;G463,INDEX(Levels!$B$2:$B$30,MATCH(_xlfn.MAXIFS(Levels!$A$2:$A$30,Levels!$A$2:$A$30,"&lt;="&amp;F463),Levels!$A$2:$A$30,0)),""))</f>
        <v/>
      </c>
      <c r="I463" s="10">
        <f>IF(B463="","",COUNTIFS(Levels!$A$2:$A$30,"&lt;="&amp;F463,Levels!$A$2:$A$30,"&gt;"&amp;G463))</f>
        <v/>
      </c>
      <c r="J463" s="10">
        <f>IF(OR(B463="",TRIM('Find a child'!$B$3)=""),"",IF(ISNUMBER(SEARCH(TRIM('Find a child'!$B$3),B463&amp;" "&amp;C463)),COUNT(J$1:J462)+1,""))</f>
        <v/>
      </c>
    </row>
    <row r="464">
      <c r="A464" s="10" t="inlineStr">
        <is>
          <t>C0463</t>
        </is>
      </c>
      <c r="B464" s="6" t="n"/>
      <c r="C464" s="6" t="n"/>
      <c r="D464" s="6" t="n"/>
      <c r="E464" s="10">
        <f>IF(B464="","",IF(COUNTIFS($B$2:$B$600,B464,$C$2:$C$600,C464)&gt;1,B464&amp;" ("&amp;C464&amp;") "&amp;A464,B464&amp;" ("&amp;C464&amp;")"))</f>
        <v/>
      </c>
      <c r="F464" s="11">
        <f>IF(B464="","",SUMIFS(Entries!$J$2:$J$3000,Entries!$H$2:$H$3000,A464))</f>
        <v/>
      </c>
      <c r="G464" s="11">
        <f>IF(B464="","",_xlfn.MAXIFS(Prizes!$D$2:$D$3000,Prizes!$E$2:$E$3000,A464,Prizes!$G$2:$G$3000,""))</f>
        <v/>
      </c>
      <c r="H464" s="10">
        <f>IF(B464="","",IF(_xlfn.MAXIFS(Levels!$A$2:$A$30,Levels!$A$2:$A$30,"&lt;="&amp;F464)&gt;G464,INDEX(Levels!$B$2:$B$30,MATCH(_xlfn.MAXIFS(Levels!$A$2:$A$30,Levels!$A$2:$A$30,"&lt;="&amp;F464),Levels!$A$2:$A$30,0)),""))</f>
        <v/>
      </c>
      <c r="I464" s="10">
        <f>IF(B464="","",COUNTIFS(Levels!$A$2:$A$30,"&lt;="&amp;F464,Levels!$A$2:$A$30,"&gt;"&amp;G464))</f>
        <v/>
      </c>
      <c r="J464" s="10">
        <f>IF(OR(B464="",TRIM('Find a child'!$B$3)=""),"",IF(ISNUMBER(SEARCH(TRIM('Find a child'!$B$3),B464&amp;" "&amp;C464)),COUNT(J$1:J463)+1,""))</f>
        <v/>
      </c>
    </row>
    <row r="465">
      <c r="A465" s="10" t="inlineStr">
        <is>
          <t>C0464</t>
        </is>
      </c>
      <c r="B465" s="6" t="n"/>
      <c r="C465" s="6" t="n"/>
      <c r="D465" s="6" t="n"/>
      <c r="E465" s="10">
        <f>IF(B465="","",IF(COUNTIFS($B$2:$B$600,B465,$C$2:$C$600,C465)&gt;1,B465&amp;" ("&amp;C465&amp;") "&amp;A465,B465&amp;" ("&amp;C465&amp;")"))</f>
        <v/>
      </c>
      <c r="F465" s="11">
        <f>IF(B465="","",SUMIFS(Entries!$J$2:$J$3000,Entries!$H$2:$H$3000,A465))</f>
        <v/>
      </c>
      <c r="G465" s="11">
        <f>IF(B465="","",_xlfn.MAXIFS(Prizes!$D$2:$D$3000,Prizes!$E$2:$E$3000,A465,Prizes!$G$2:$G$3000,""))</f>
        <v/>
      </c>
      <c r="H465" s="10">
        <f>IF(B465="","",IF(_xlfn.MAXIFS(Levels!$A$2:$A$30,Levels!$A$2:$A$30,"&lt;="&amp;F465)&gt;G465,INDEX(Levels!$B$2:$B$30,MATCH(_xlfn.MAXIFS(Levels!$A$2:$A$30,Levels!$A$2:$A$30,"&lt;="&amp;F465),Levels!$A$2:$A$30,0)),""))</f>
        <v/>
      </c>
      <c r="I465" s="10">
        <f>IF(B465="","",COUNTIFS(Levels!$A$2:$A$30,"&lt;="&amp;F465,Levels!$A$2:$A$30,"&gt;"&amp;G465))</f>
        <v/>
      </c>
      <c r="J465" s="10">
        <f>IF(OR(B465="",TRIM('Find a child'!$B$3)=""),"",IF(ISNUMBER(SEARCH(TRIM('Find a child'!$B$3),B465&amp;" "&amp;C465)),COUNT(J$1:J464)+1,""))</f>
        <v/>
      </c>
    </row>
    <row r="466">
      <c r="A466" s="10" t="inlineStr">
        <is>
          <t>C0465</t>
        </is>
      </c>
      <c r="B466" s="6" t="n"/>
      <c r="C466" s="6" t="n"/>
      <c r="D466" s="6" t="n"/>
      <c r="E466" s="10">
        <f>IF(B466="","",IF(COUNTIFS($B$2:$B$600,B466,$C$2:$C$600,C466)&gt;1,B466&amp;" ("&amp;C466&amp;") "&amp;A466,B466&amp;" ("&amp;C466&amp;")"))</f>
        <v/>
      </c>
      <c r="F466" s="11">
        <f>IF(B466="","",SUMIFS(Entries!$J$2:$J$3000,Entries!$H$2:$H$3000,A466))</f>
        <v/>
      </c>
      <c r="G466" s="11">
        <f>IF(B466="","",_xlfn.MAXIFS(Prizes!$D$2:$D$3000,Prizes!$E$2:$E$3000,A466,Prizes!$G$2:$G$3000,""))</f>
        <v/>
      </c>
      <c r="H466" s="10">
        <f>IF(B466="","",IF(_xlfn.MAXIFS(Levels!$A$2:$A$30,Levels!$A$2:$A$30,"&lt;="&amp;F466)&gt;G466,INDEX(Levels!$B$2:$B$30,MATCH(_xlfn.MAXIFS(Levels!$A$2:$A$30,Levels!$A$2:$A$30,"&lt;="&amp;F466),Levels!$A$2:$A$30,0)),""))</f>
        <v/>
      </c>
      <c r="I466" s="10">
        <f>IF(B466="","",COUNTIFS(Levels!$A$2:$A$30,"&lt;="&amp;F466,Levels!$A$2:$A$30,"&gt;"&amp;G466))</f>
        <v/>
      </c>
      <c r="J466" s="10">
        <f>IF(OR(B466="",TRIM('Find a child'!$B$3)=""),"",IF(ISNUMBER(SEARCH(TRIM('Find a child'!$B$3),B466&amp;" "&amp;C466)),COUNT(J$1:J465)+1,""))</f>
        <v/>
      </c>
    </row>
    <row r="467">
      <c r="A467" s="10" t="inlineStr">
        <is>
          <t>C0466</t>
        </is>
      </c>
      <c r="B467" s="6" t="n"/>
      <c r="C467" s="6" t="n"/>
      <c r="D467" s="6" t="n"/>
      <c r="E467" s="10">
        <f>IF(B467="","",IF(COUNTIFS($B$2:$B$600,B467,$C$2:$C$600,C467)&gt;1,B467&amp;" ("&amp;C467&amp;") "&amp;A467,B467&amp;" ("&amp;C467&amp;")"))</f>
        <v/>
      </c>
      <c r="F467" s="11">
        <f>IF(B467="","",SUMIFS(Entries!$J$2:$J$3000,Entries!$H$2:$H$3000,A467))</f>
        <v/>
      </c>
      <c r="G467" s="11">
        <f>IF(B467="","",_xlfn.MAXIFS(Prizes!$D$2:$D$3000,Prizes!$E$2:$E$3000,A467,Prizes!$G$2:$G$3000,""))</f>
        <v/>
      </c>
      <c r="H467" s="10">
        <f>IF(B467="","",IF(_xlfn.MAXIFS(Levels!$A$2:$A$30,Levels!$A$2:$A$30,"&lt;="&amp;F467)&gt;G467,INDEX(Levels!$B$2:$B$30,MATCH(_xlfn.MAXIFS(Levels!$A$2:$A$30,Levels!$A$2:$A$30,"&lt;="&amp;F467),Levels!$A$2:$A$30,0)),""))</f>
        <v/>
      </c>
      <c r="I467" s="10">
        <f>IF(B467="","",COUNTIFS(Levels!$A$2:$A$30,"&lt;="&amp;F467,Levels!$A$2:$A$30,"&gt;"&amp;G467))</f>
        <v/>
      </c>
      <c r="J467" s="10">
        <f>IF(OR(B467="",TRIM('Find a child'!$B$3)=""),"",IF(ISNUMBER(SEARCH(TRIM('Find a child'!$B$3),B467&amp;" "&amp;C467)),COUNT(J$1:J466)+1,""))</f>
        <v/>
      </c>
    </row>
    <row r="468">
      <c r="A468" s="10" t="inlineStr">
        <is>
          <t>C0467</t>
        </is>
      </c>
      <c r="B468" s="6" t="n"/>
      <c r="C468" s="6" t="n"/>
      <c r="D468" s="6" t="n"/>
      <c r="E468" s="10">
        <f>IF(B468="","",IF(COUNTIFS($B$2:$B$600,B468,$C$2:$C$600,C468)&gt;1,B468&amp;" ("&amp;C468&amp;") "&amp;A468,B468&amp;" ("&amp;C468&amp;")"))</f>
        <v/>
      </c>
      <c r="F468" s="11">
        <f>IF(B468="","",SUMIFS(Entries!$J$2:$J$3000,Entries!$H$2:$H$3000,A468))</f>
        <v/>
      </c>
      <c r="G468" s="11">
        <f>IF(B468="","",_xlfn.MAXIFS(Prizes!$D$2:$D$3000,Prizes!$E$2:$E$3000,A468,Prizes!$G$2:$G$3000,""))</f>
        <v/>
      </c>
      <c r="H468" s="10">
        <f>IF(B468="","",IF(_xlfn.MAXIFS(Levels!$A$2:$A$30,Levels!$A$2:$A$30,"&lt;="&amp;F468)&gt;G468,INDEX(Levels!$B$2:$B$30,MATCH(_xlfn.MAXIFS(Levels!$A$2:$A$30,Levels!$A$2:$A$30,"&lt;="&amp;F468),Levels!$A$2:$A$30,0)),""))</f>
        <v/>
      </c>
      <c r="I468" s="10">
        <f>IF(B468="","",COUNTIFS(Levels!$A$2:$A$30,"&lt;="&amp;F468,Levels!$A$2:$A$30,"&gt;"&amp;G468))</f>
        <v/>
      </c>
      <c r="J468" s="10">
        <f>IF(OR(B468="",TRIM('Find a child'!$B$3)=""),"",IF(ISNUMBER(SEARCH(TRIM('Find a child'!$B$3),B468&amp;" "&amp;C468)),COUNT(J$1:J467)+1,""))</f>
        <v/>
      </c>
    </row>
    <row r="469">
      <c r="A469" s="10" t="inlineStr">
        <is>
          <t>C0468</t>
        </is>
      </c>
      <c r="B469" s="6" t="n"/>
      <c r="C469" s="6" t="n"/>
      <c r="D469" s="6" t="n"/>
      <c r="E469" s="10">
        <f>IF(B469="","",IF(COUNTIFS($B$2:$B$600,B469,$C$2:$C$600,C469)&gt;1,B469&amp;" ("&amp;C469&amp;") "&amp;A469,B469&amp;" ("&amp;C469&amp;")"))</f>
        <v/>
      </c>
      <c r="F469" s="11">
        <f>IF(B469="","",SUMIFS(Entries!$J$2:$J$3000,Entries!$H$2:$H$3000,A469))</f>
        <v/>
      </c>
      <c r="G469" s="11">
        <f>IF(B469="","",_xlfn.MAXIFS(Prizes!$D$2:$D$3000,Prizes!$E$2:$E$3000,A469,Prizes!$G$2:$G$3000,""))</f>
        <v/>
      </c>
      <c r="H469" s="10">
        <f>IF(B469="","",IF(_xlfn.MAXIFS(Levels!$A$2:$A$30,Levels!$A$2:$A$30,"&lt;="&amp;F469)&gt;G469,INDEX(Levels!$B$2:$B$30,MATCH(_xlfn.MAXIFS(Levels!$A$2:$A$30,Levels!$A$2:$A$30,"&lt;="&amp;F469),Levels!$A$2:$A$30,0)),""))</f>
        <v/>
      </c>
      <c r="I469" s="10">
        <f>IF(B469="","",COUNTIFS(Levels!$A$2:$A$30,"&lt;="&amp;F469,Levels!$A$2:$A$30,"&gt;"&amp;G469))</f>
        <v/>
      </c>
      <c r="J469" s="10">
        <f>IF(OR(B469="",TRIM('Find a child'!$B$3)=""),"",IF(ISNUMBER(SEARCH(TRIM('Find a child'!$B$3),B469&amp;" "&amp;C469)),COUNT(J$1:J468)+1,""))</f>
        <v/>
      </c>
    </row>
    <row r="470">
      <c r="A470" s="10" t="inlineStr">
        <is>
          <t>C0469</t>
        </is>
      </c>
      <c r="B470" s="6" t="n"/>
      <c r="C470" s="6" t="n"/>
      <c r="D470" s="6" t="n"/>
      <c r="E470" s="10">
        <f>IF(B470="","",IF(COUNTIFS($B$2:$B$600,B470,$C$2:$C$600,C470)&gt;1,B470&amp;" ("&amp;C470&amp;") "&amp;A470,B470&amp;" ("&amp;C470&amp;")"))</f>
        <v/>
      </c>
      <c r="F470" s="11">
        <f>IF(B470="","",SUMIFS(Entries!$J$2:$J$3000,Entries!$H$2:$H$3000,A470))</f>
        <v/>
      </c>
      <c r="G470" s="11">
        <f>IF(B470="","",_xlfn.MAXIFS(Prizes!$D$2:$D$3000,Prizes!$E$2:$E$3000,A470,Prizes!$G$2:$G$3000,""))</f>
        <v/>
      </c>
      <c r="H470" s="10">
        <f>IF(B470="","",IF(_xlfn.MAXIFS(Levels!$A$2:$A$30,Levels!$A$2:$A$30,"&lt;="&amp;F470)&gt;G470,INDEX(Levels!$B$2:$B$30,MATCH(_xlfn.MAXIFS(Levels!$A$2:$A$30,Levels!$A$2:$A$30,"&lt;="&amp;F470),Levels!$A$2:$A$30,0)),""))</f>
        <v/>
      </c>
      <c r="I470" s="10">
        <f>IF(B470="","",COUNTIFS(Levels!$A$2:$A$30,"&lt;="&amp;F470,Levels!$A$2:$A$30,"&gt;"&amp;G470))</f>
        <v/>
      </c>
      <c r="J470" s="10">
        <f>IF(OR(B470="",TRIM('Find a child'!$B$3)=""),"",IF(ISNUMBER(SEARCH(TRIM('Find a child'!$B$3),B470&amp;" "&amp;C470)),COUNT(J$1:J469)+1,""))</f>
        <v/>
      </c>
    </row>
    <row r="471">
      <c r="A471" s="10" t="inlineStr">
        <is>
          <t>C0470</t>
        </is>
      </c>
      <c r="B471" s="6" t="n"/>
      <c r="C471" s="6" t="n"/>
      <c r="D471" s="6" t="n"/>
      <c r="E471" s="10">
        <f>IF(B471="","",IF(COUNTIFS($B$2:$B$600,B471,$C$2:$C$600,C471)&gt;1,B471&amp;" ("&amp;C471&amp;") "&amp;A471,B471&amp;" ("&amp;C471&amp;")"))</f>
        <v/>
      </c>
      <c r="F471" s="11">
        <f>IF(B471="","",SUMIFS(Entries!$J$2:$J$3000,Entries!$H$2:$H$3000,A471))</f>
        <v/>
      </c>
      <c r="G471" s="11">
        <f>IF(B471="","",_xlfn.MAXIFS(Prizes!$D$2:$D$3000,Prizes!$E$2:$E$3000,A471,Prizes!$G$2:$G$3000,""))</f>
        <v/>
      </c>
      <c r="H471" s="10">
        <f>IF(B471="","",IF(_xlfn.MAXIFS(Levels!$A$2:$A$30,Levels!$A$2:$A$30,"&lt;="&amp;F471)&gt;G471,INDEX(Levels!$B$2:$B$30,MATCH(_xlfn.MAXIFS(Levels!$A$2:$A$30,Levels!$A$2:$A$30,"&lt;="&amp;F471),Levels!$A$2:$A$30,0)),""))</f>
        <v/>
      </c>
      <c r="I471" s="10">
        <f>IF(B471="","",COUNTIFS(Levels!$A$2:$A$30,"&lt;="&amp;F471,Levels!$A$2:$A$30,"&gt;"&amp;G471))</f>
        <v/>
      </c>
      <c r="J471" s="10">
        <f>IF(OR(B471="",TRIM('Find a child'!$B$3)=""),"",IF(ISNUMBER(SEARCH(TRIM('Find a child'!$B$3),B471&amp;" "&amp;C471)),COUNT(J$1:J470)+1,""))</f>
        <v/>
      </c>
    </row>
    <row r="472">
      <c r="A472" s="10" t="inlineStr">
        <is>
          <t>C0471</t>
        </is>
      </c>
      <c r="B472" s="6" t="n"/>
      <c r="C472" s="6" t="n"/>
      <c r="D472" s="6" t="n"/>
      <c r="E472" s="10">
        <f>IF(B472="","",IF(COUNTIFS($B$2:$B$600,B472,$C$2:$C$600,C472)&gt;1,B472&amp;" ("&amp;C472&amp;") "&amp;A472,B472&amp;" ("&amp;C472&amp;")"))</f>
        <v/>
      </c>
      <c r="F472" s="11">
        <f>IF(B472="","",SUMIFS(Entries!$J$2:$J$3000,Entries!$H$2:$H$3000,A472))</f>
        <v/>
      </c>
      <c r="G472" s="11">
        <f>IF(B472="","",_xlfn.MAXIFS(Prizes!$D$2:$D$3000,Prizes!$E$2:$E$3000,A472,Prizes!$G$2:$G$3000,""))</f>
        <v/>
      </c>
      <c r="H472" s="10">
        <f>IF(B472="","",IF(_xlfn.MAXIFS(Levels!$A$2:$A$30,Levels!$A$2:$A$30,"&lt;="&amp;F472)&gt;G472,INDEX(Levels!$B$2:$B$30,MATCH(_xlfn.MAXIFS(Levels!$A$2:$A$30,Levels!$A$2:$A$30,"&lt;="&amp;F472),Levels!$A$2:$A$30,0)),""))</f>
        <v/>
      </c>
      <c r="I472" s="10">
        <f>IF(B472="","",COUNTIFS(Levels!$A$2:$A$30,"&lt;="&amp;F472,Levels!$A$2:$A$30,"&gt;"&amp;G472))</f>
        <v/>
      </c>
      <c r="J472" s="10">
        <f>IF(OR(B472="",TRIM('Find a child'!$B$3)=""),"",IF(ISNUMBER(SEARCH(TRIM('Find a child'!$B$3),B472&amp;" "&amp;C472)),COUNT(J$1:J471)+1,""))</f>
        <v/>
      </c>
    </row>
    <row r="473">
      <c r="A473" s="10" t="inlineStr">
        <is>
          <t>C0472</t>
        </is>
      </c>
      <c r="B473" s="6" t="n"/>
      <c r="C473" s="6" t="n"/>
      <c r="D473" s="6" t="n"/>
      <c r="E473" s="10">
        <f>IF(B473="","",IF(COUNTIFS($B$2:$B$600,B473,$C$2:$C$600,C473)&gt;1,B473&amp;" ("&amp;C473&amp;") "&amp;A473,B473&amp;" ("&amp;C473&amp;")"))</f>
        <v/>
      </c>
      <c r="F473" s="11">
        <f>IF(B473="","",SUMIFS(Entries!$J$2:$J$3000,Entries!$H$2:$H$3000,A473))</f>
        <v/>
      </c>
      <c r="G473" s="11">
        <f>IF(B473="","",_xlfn.MAXIFS(Prizes!$D$2:$D$3000,Prizes!$E$2:$E$3000,A473,Prizes!$G$2:$G$3000,""))</f>
        <v/>
      </c>
      <c r="H473" s="10">
        <f>IF(B473="","",IF(_xlfn.MAXIFS(Levels!$A$2:$A$30,Levels!$A$2:$A$30,"&lt;="&amp;F473)&gt;G473,INDEX(Levels!$B$2:$B$30,MATCH(_xlfn.MAXIFS(Levels!$A$2:$A$30,Levels!$A$2:$A$30,"&lt;="&amp;F473),Levels!$A$2:$A$30,0)),""))</f>
        <v/>
      </c>
      <c r="I473" s="10">
        <f>IF(B473="","",COUNTIFS(Levels!$A$2:$A$30,"&lt;="&amp;F473,Levels!$A$2:$A$30,"&gt;"&amp;G473))</f>
        <v/>
      </c>
      <c r="J473" s="10">
        <f>IF(OR(B473="",TRIM('Find a child'!$B$3)=""),"",IF(ISNUMBER(SEARCH(TRIM('Find a child'!$B$3),B473&amp;" "&amp;C473)),COUNT(J$1:J472)+1,""))</f>
        <v/>
      </c>
    </row>
    <row r="474">
      <c r="A474" s="10" t="inlineStr">
        <is>
          <t>C0473</t>
        </is>
      </c>
      <c r="B474" s="6" t="n"/>
      <c r="C474" s="6" t="n"/>
      <c r="D474" s="6" t="n"/>
      <c r="E474" s="10">
        <f>IF(B474="","",IF(COUNTIFS($B$2:$B$600,B474,$C$2:$C$600,C474)&gt;1,B474&amp;" ("&amp;C474&amp;") "&amp;A474,B474&amp;" ("&amp;C474&amp;")"))</f>
        <v/>
      </c>
      <c r="F474" s="11">
        <f>IF(B474="","",SUMIFS(Entries!$J$2:$J$3000,Entries!$H$2:$H$3000,A474))</f>
        <v/>
      </c>
      <c r="G474" s="11">
        <f>IF(B474="","",_xlfn.MAXIFS(Prizes!$D$2:$D$3000,Prizes!$E$2:$E$3000,A474,Prizes!$G$2:$G$3000,""))</f>
        <v/>
      </c>
      <c r="H474" s="10">
        <f>IF(B474="","",IF(_xlfn.MAXIFS(Levels!$A$2:$A$30,Levels!$A$2:$A$30,"&lt;="&amp;F474)&gt;G474,INDEX(Levels!$B$2:$B$30,MATCH(_xlfn.MAXIFS(Levels!$A$2:$A$30,Levels!$A$2:$A$30,"&lt;="&amp;F474),Levels!$A$2:$A$30,0)),""))</f>
        <v/>
      </c>
      <c r="I474" s="10">
        <f>IF(B474="","",COUNTIFS(Levels!$A$2:$A$30,"&lt;="&amp;F474,Levels!$A$2:$A$30,"&gt;"&amp;G474))</f>
        <v/>
      </c>
      <c r="J474" s="10">
        <f>IF(OR(B474="",TRIM('Find a child'!$B$3)=""),"",IF(ISNUMBER(SEARCH(TRIM('Find a child'!$B$3),B474&amp;" "&amp;C474)),COUNT(J$1:J473)+1,""))</f>
        <v/>
      </c>
    </row>
    <row r="475">
      <c r="A475" s="10" t="inlineStr">
        <is>
          <t>C0474</t>
        </is>
      </c>
      <c r="B475" s="6" t="n"/>
      <c r="C475" s="6" t="n"/>
      <c r="D475" s="6" t="n"/>
      <c r="E475" s="10">
        <f>IF(B475="","",IF(COUNTIFS($B$2:$B$600,B475,$C$2:$C$600,C475)&gt;1,B475&amp;" ("&amp;C475&amp;") "&amp;A475,B475&amp;" ("&amp;C475&amp;")"))</f>
        <v/>
      </c>
      <c r="F475" s="11">
        <f>IF(B475="","",SUMIFS(Entries!$J$2:$J$3000,Entries!$H$2:$H$3000,A475))</f>
        <v/>
      </c>
      <c r="G475" s="11">
        <f>IF(B475="","",_xlfn.MAXIFS(Prizes!$D$2:$D$3000,Prizes!$E$2:$E$3000,A475,Prizes!$G$2:$G$3000,""))</f>
        <v/>
      </c>
      <c r="H475" s="10">
        <f>IF(B475="","",IF(_xlfn.MAXIFS(Levels!$A$2:$A$30,Levels!$A$2:$A$30,"&lt;="&amp;F475)&gt;G475,INDEX(Levels!$B$2:$B$30,MATCH(_xlfn.MAXIFS(Levels!$A$2:$A$30,Levels!$A$2:$A$30,"&lt;="&amp;F475),Levels!$A$2:$A$30,0)),""))</f>
        <v/>
      </c>
      <c r="I475" s="10">
        <f>IF(B475="","",COUNTIFS(Levels!$A$2:$A$30,"&lt;="&amp;F475,Levels!$A$2:$A$30,"&gt;"&amp;G475))</f>
        <v/>
      </c>
      <c r="J475" s="10">
        <f>IF(OR(B475="",TRIM('Find a child'!$B$3)=""),"",IF(ISNUMBER(SEARCH(TRIM('Find a child'!$B$3),B475&amp;" "&amp;C475)),COUNT(J$1:J474)+1,""))</f>
        <v/>
      </c>
    </row>
    <row r="476">
      <c r="A476" s="10" t="inlineStr">
        <is>
          <t>C0475</t>
        </is>
      </c>
      <c r="B476" s="6" t="n"/>
      <c r="C476" s="6" t="n"/>
      <c r="D476" s="6" t="n"/>
      <c r="E476" s="10">
        <f>IF(B476="","",IF(COUNTIFS($B$2:$B$600,B476,$C$2:$C$600,C476)&gt;1,B476&amp;" ("&amp;C476&amp;") "&amp;A476,B476&amp;" ("&amp;C476&amp;")"))</f>
        <v/>
      </c>
      <c r="F476" s="11">
        <f>IF(B476="","",SUMIFS(Entries!$J$2:$J$3000,Entries!$H$2:$H$3000,A476))</f>
        <v/>
      </c>
      <c r="G476" s="11">
        <f>IF(B476="","",_xlfn.MAXIFS(Prizes!$D$2:$D$3000,Prizes!$E$2:$E$3000,A476,Prizes!$G$2:$G$3000,""))</f>
        <v/>
      </c>
      <c r="H476" s="10">
        <f>IF(B476="","",IF(_xlfn.MAXIFS(Levels!$A$2:$A$30,Levels!$A$2:$A$30,"&lt;="&amp;F476)&gt;G476,INDEX(Levels!$B$2:$B$30,MATCH(_xlfn.MAXIFS(Levels!$A$2:$A$30,Levels!$A$2:$A$30,"&lt;="&amp;F476),Levels!$A$2:$A$30,0)),""))</f>
        <v/>
      </c>
      <c r="I476" s="10">
        <f>IF(B476="","",COUNTIFS(Levels!$A$2:$A$30,"&lt;="&amp;F476,Levels!$A$2:$A$30,"&gt;"&amp;G476))</f>
        <v/>
      </c>
      <c r="J476" s="10">
        <f>IF(OR(B476="",TRIM('Find a child'!$B$3)=""),"",IF(ISNUMBER(SEARCH(TRIM('Find a child'!$B$3),B476&amp;" "&amp;C476)),COUNT(J$1:J475)+1,""))</f>
        <v/>
      </c>
    </row>
    <row r="477">
      <c r="A477" s="10" t="inlineStr">
        <is>
          <t>C0476</t>
        </is>
      </c>
      <c r="B477" s="6" t="n"/>
      <c r="C477" s="6" t="n"/>
      <c r="D477" s="6" t="n"/>
      <c r="E477" s="10">
        <f>IF(B477="","",IF(COUNTIFS($B$2:$B$600,B477,$C$2:$C$600,C477)&gt;1,B477&amp;" ("&amp;C477&amp;") "&amp;A477,B477&amp;" ("&amp;C477&amp;")"))</f>
        <v/>
      </c>
      <c r="F477" s="11">
        <f>IF(B477="","",SUMIFS(Entries!$J$2:$J$3000,Entries!$H$2:$H$3000,A477))</f>
        <v/>
      </c>
      <c r="G477" s="11">
        <f>IF(B477="","",_xlfn.MAXIFS(Prizes!$D$2:$D$3000,Prizes!$E$2:$E$3000,A477,Prizes!$G$2:$G$3000,""))</f>
        <v/>
      </c>
      <c r="H477" s="10">
        <f>IF(B477="","",IF(_xlfn.MAXIFS(Levels!$A$2:$A$30,Levels!$A$2:$A$30,"&lt;="&amp;F477)&gt;G477,INDEX(Levels!$B$2:$B$30,MATCH(_xlfn.MAXIFS(Levels!$A$2:$A$30,Levels!$A$2:$A$30,"&lt;="&amp;F477),Levels!$A$2:$A$30,0)),""))</f>
        <v/>
      </c>
      <c r="I477" s="10">
        <f>IF(B477="","",COUNTIFS(Levels!$A$2:$A$30,"&lt;="&amp;F477,Levels!$A$2:$A$30,"&gt;"&amp;G477))</f>
        <v/>
      </c>
      <c r="J477" s="10">
        <f>IF(OR(B477="",TRIM('Find a child'!$B$3)=""),"",IF(ISNUMBER(SEARCH(TRIM('Find a child'!$B$3),B477&amp;" "&amp;C477)),COUNT(J$1:J476)+1,""))</f>
        <v/>
      </c>
    </row>
    <row r="478">
      <c r="A478" s="10" t="inlineStr">
        <is>
          <t>C0477</t>
        </is>
      </c>
      <c r="B478" s="6" t="n"/>
      <c r="C478" s="6" t="n"/>
      <c r="D478" s="6" t="n"/>
      <c r="E478" s="10">
        <f>IF(B478="","",IF(COUNTIFS($B$2:$B$600,B478,$C$2:$C$600,C478)&gt;1,B478&amp;" ("&amp;C478&amp;") "&amp;A478,B478&amp;" ("&amp;C478&amp;")"))</f>
        <v/>
      </c>
      <c r="F478" s="11">
        <f>IF(B478="","",SUMIFS(Entries!$J$2:$J$3000,Entries!$H$2:$H$3000,A478))</f>
        <v/>
      </c>
      <c r="G478" s="11">
        <f>IF(B478="","",_xlfn.MAXIFS(Prizes!$D$2:$D$3000,Prizes!$E$2:$E$3000,A478,Prizes!$G$2:$G$3000,""))</f>
        <v/>
      </c>
      <c r="H478" s="10">
        <f>IF(B478="","",IF(_xlfn.MAXIFS(Levels!$A$2:$A$30,Levels!$A$2:$A$30,"&lt;="&amp;F478)&gt;G478,INDEX(Levels!$B$2:$B$30,MATCH(_xlfn.MAXIFS(Levels!$A$2:$A$30,Levels!$A$2:$A$30,"&lt;="&amp;F478),Levels!$A$2:$A$30,0)),""))</f>
        <v/>
      </c>
      <c r="I478" s="10">
        <f>IF(B478="","",COUNTIFS(Levels!$A$2:$A$30,"&lt;="&amp;F478,Levels!$A$2:$A$30,"&gt;"&amp;G478))</f>
        <v/>
      </c>
      <c r="J478" s="10">
        <f>IF(OR(B478="",TRIM('Find a child'!$B$3)=""),"",IF(ISNUMBER(SEARCH(TRIM('Find a child'!$B$3),B478&amp;" "&amp;C478)),COUNT(J$1:J477)+1,""))</f>
        <v/>
      </c>
    </row>
    <row r="479">
      <c r="A479" s="10" t="inlineStr">
        <is>
          <t>C0478</t>
        </is>
      </c>
      <c r="B479" s="6" t="n"/>
      <c r="C479" s="6" t="n"/>
      <c r="D479" s="6" t="n"/>
      <c r="E479" s="10">
        <f>IF(B479="","",IF(COUNTIFS($B$2:$B$600,B479,$C$2:$C$600,C479)&gt;1,B479&amp;" ("&amp;C479&amp;") "&amp;A479,B479&amp;" ("&amp;C479&amp;")"))</f>
        <v/>
      </c>
      <c r="F479" s="11">
        <f>IF(B479="","",SUMIFS(Entries!$J$2:$J$3000,Entries!$H$2:$H$3000,A479))</f>
        <v/>
      </c>
      <c r="G479" s="11">
        <f>IF(B479="","",_xlfn.MAXIFS(Prizes!$D$2:$D$3000,Prizes!$E$2:$E$3000,A479,Prizes!$G$2:$G$3000,""))</f>
        <v/>
      </c>
      <c r="H479" s="10">
        <f>IF(B479="","",IF(_xlfn.MAXIFS(Levels!$A$2:$A$30,Levels!$A$2:$A$30,"&lt;="&amp;F479)&gt;G479,INDEX(Levels!$B$2:$B$30,MATCH(_xlfn.MAXIFS(Levels!$A$2:$A$30,Levels!$A$2:$A$30,"&lt;="&amp;F479),Levels!$A$2:$A$30,0)),""))</f>
        <v/>
      </c>
      <c r="I479" s="10">
        <f>IF(B479="","",COUNTIFS(Levels!$A$2:$A$30,"&lt;="&amp;F479,Levels!$A$2:$A$30,"&gt;"&amp;G479))</f>
        <v/>
      </c>
      <c r="J479" s="10">
        <f>IF(OR(B479="",TRIM('Find a child'!$B$3)=""),"",IF(ISNUMBER(SEARCH(TRIM('Find a child'!$B$3),B479&amp;" "&amp;C479)),COUNT(J$1:J478)+1,""))</f>
        <v/>
      </c>
    </row>
    <row r="480">
      <c r="A480" s="10" t="inlineStr">
        <is>
          <t>C0479</t>
        </is>
      </c>
      <c r="B480" s="6" t="n"/>
      <c r="C480" s="6" t="n"/>
      <c r="D480" s="6" t="n"/>
      <c r="E480" s="10">
        <f>IF(B480="","",IF(COUNTIFS($B$2:$B$600,B480,$C$2:$C$600,C480)&gt;1,B480&amp;" ("&amp;C480&amp;") "&amp;A480,B480&amp;" ("&amp;C480&amp;")"))</f>
        <v/>
      </c>
      <c r="F480" s="11">
        <f>IF(B480="","",SUMIFS(Entries!$J$2:$J$3000,Entries!$H$2:$H$3000,A480))</f>
        <v/>
      </c>
      <c r="G480" s="11">
        <f>IF(B480="","",_xlfn.MAXIFS(Prizes!$D$2:$D$3000,Prizes!$E$2:$E$3000,A480,Prizes!$G$2:$G$3000,""))</f>
        <v/>
      </c>
      <c r="H480" s="10">
        <f>IF(B480="","",IF(_xlfn.MAXIFS(Levels!$A$2:$A$30,Levels!$A$2:$A$30,"&lt;="&amp;F480)&gt;G480,INDEX(Levels!$B$2:$B$30,MATCH(_xlfn.MAXIFS(Levels!$A$2:$A$30,Levels!$A$2:$A$30,"&lt;="&amp;F480),Levels!$A$2:$A$30,0)),""))</f>
        <v/>
      </c>
      <c r="I480" s="10">
        <f>IF(B480="","",COUNTIFS(Levels!$A$2:$A$30,"&lt;="&amp;F480,Levels!$A$2:$A$30,"&gt;"&amp;G480))</f>
        <v/>
      </c>
      <c r="J480" s="10">
        <f>IF(OR(B480="",TRIM('Find a child'!$B$3)=""),"",IF(ISNUMBER(SEARCH(TRIM('Find a child'!$B$3),B480&amp;" "&amp;C480)),COUNT(J$1:J479)+1,""))</f>
        <v/>
      </c>
    </row>
    <row r="481">
      <c r="A481" s="10" t="inlineStr">
        <is>
          <t>C0480</t>
        </is>
      </c>
      <c r="B481" s="6" t="n"/>
      <c r="C481" s="6" t="n"/>
      <c r="D481" s="6" t="n"/>
      <c r="E481" s="10">
        <f>IF(B481="","",IF(COUNTIFS($B$2:$B$600,B481,$C$2:$C$600,C481)&gt;1,B481&amp;" ("&amp;C481&amp;") "&amp;A481,B481&amp;" ("&amp;C481&amp;")"))</f>
        <v/>
      </c>
      <c r="F481" s="11">
        <f>IF(B481="","",SUMIFS(Entries!$J$2:$J$3000,Entries!$H$2:$H$3000,A481))</f>
        <v/>
      </c>
      <c r="G481" s="11">
        <f>IF(B481="","",_xlfn.MAXIFS(Prizes!$D$2:$D$3000,Prizes!$E$2:$E$3000,A481,Prizes!$G$2:$G$3000,""))</f>
        <v/>
      </c>
      <c r="H481" s="10">
        <f>IF(B481="","",IF(_xlfn.MAXIFS(Levels!$A$2:$A$30,Levels!$A$2:$A$30,"&lt;="&amp;F481)&gt;G481,INDEX(Levels!$B$2:$B$30,MATCH(_xlfn.MAXIFS(Levels!$A$2:$A$30,Levels!$A$2:$A$30,"&lt;="&amp;F481),Levels!$A$2:$A$30,0)),""))</f>
        <v/>
      </c>
      <c r="I481" s="10">
        <f>IF(B481="","",COUNTIFS(Levels!$A$2:$A$30,"&lt;="&amp;F481,Levels!$A$2:$A$30,"&gt;"&amp;G481))</f>
        <v/>
      </c>
      <c r="J481" s="10">
        <f>IF(OR(B481="",TRIM('Find a child'!$B$3)=""),"",IF(ISNUMBER(SEARCH(TRIM('Find a child'!$B$3),B481&amp;" "&amp;C481)),COUNT(J$1:J480)+1,""))</f>
        <v/>
      </c>
    </row>
    <row r="482">
      <c r="A482" s="10" t="inlineStr">
        <is>
          <t>C0481</t>
        </is>
      </c>
      <c r="B482" s="6" t="n"/>
      <c r="C482" s="6" t="n"/>
      <c r="D482" s="6" t="n"/>
      <c r="E482" s="10">
        <f>IF(B482="","",IF(COUNTIFS($B$2:$B$600,B482,$C$2:$C$600,C482)&gt;1,B482&amp;" ("&amp;C482&amp;") "&amp;A482,B482&amp;" ("&amp;C482&amp;")"))</f>
        <v/>
      </c>
      <c r="F482" s="11">
        <f>IF(B482="","",SUMIFS(Entries!$J$2:$J$3000,Entries!$H$2:$H$3000,A482))</f>
        <v/>
      </c>
      <c r="G482" s="11">
        <f>IF(B482="","",_xlfn.MAXIFS(Prizes!$D$2:$D$3000,Prizes!$E$2:$E$3000,A482,Prizes!$G$2:$G$3000,""))</f>
        <v/>
      </c>
      <c r="H482" s="10">
        <f>IF(B482="","",IF(_xlfn.MAXIFS(Levels!$A$2:$A$30,Levels!$A$2:$A$30,"&lt;="&amp;F482)&gt;G482,INDEX(Levels!$B$2:$B$30,MATCH(_xlfn.MAXIFS(Levels!$A$2:$A$30,Levels!$A$2:$A$30,"&lt;="&amp;F482),Levels!$A$2:$A$30,0)),""))</f>
        <v/>
      </c>
      <c r="I482" s="10">
        <f>IF(B482="","",COUNTIFS(Levels!$A$2:$A$30,"&lt;="&amp;F482,Levels!$A$2:$A$30,"&gt;"&amp;G482))</f>
        <v/>
      </c>
      <c r="J482" s="10">
        <f>IF(OR(B482="",TRIM('Find a child'!$B$3)=""),"",IF(ISNUMBER(SEARCH(TRIM('Find a child'!$B$3),B482&amp;" "&amp;C482)),COUNT(J$1:J481)+1,""))</f>
        <v/>
      </c>
    </row>
    <row r="483">
      <c r="A483" s="10" t="inlineStr">
        <is>
          <t>C0482</t>
        </is>
      </c>
      <c r="B483" s="6" t="n"/>
      <c r="C483" s="6" t="n"/>
      <c r="D483" s="6" t="n"/>
      <c r="E483" s="10">
        <f>IF(B483="","",IF(COUNTIFS($B$2:$B$600,B483,$C$2:$C$600,C483)&gt;1,B483&amp;" ("&amp;C483&amp;") "&amp;A483,B483&amp;" ("&amp;C483&amp;")"))</f>
        <v/>
      </c>
      <c r="F483" s="11">
        <f>IF(B483="","",SUMIFS(Entries!$J$2:$J$3000,Entries!$H$2:$H$3000,A483))</f>
        <v/>
      </c>
      <c r="G483" s="11">
        <f>IF(B483="","",_xlfn.MAXIFS(Prizes!$D$2:$D$3000,Prizes!$E$2:$E$3000,A483,Prizes!$G$2:$G$3000,""))</f>
        <v/>
      </c>
      <c r="H483" s="10">
        <f>IF(B483="","",IF(_xlfn.MAXIFS(Levels!$A$2:$A$30,Levels!$A$2:$A$30,"&lt;="&amp;F483)&gt;G483,INDEX(Levels!$B$2:$B$30,MATCH(_xlfn.MAXIFS(Levels!$A$2:$A$30,Levels!$A$2:$A$30,"&lt;="&amp;F483),Levels!$A$2:$A$30,0)),""))</f>
        <v/>
      </c>
      <c r="I483" s="10">
        <f>IF(B483="","",COUNTIFS(Levels!$A$2:$A$30,"&lt;="&amp;F483,Levels!$A$2:$A$30,"&gt;"&amp;G483))</f>
        <v/>
      </c>
      <c r="J483" s="10">
        <f>IF(OR(B483="",TRIM('Find a child'!$B$3)=""),"",IF(ISNUMBER(SEARCH(TRIM('Find a child'!$B$3),B483&amp;" "&amp;C483)),COUNT(J$1:J482)+1,""))</f>
        <v/>
      </c>
    </row>
    <row r="484">
      <c r="A484" s="10" t="inlineStr">
        <is>
          <t>C0483</t>
        </is>
      </c>
      <c r="B484" s="6" t="n"/>
      <c r="C484" s="6" t="n"/>
      <c r="D484" s="6" t="n"/>
      <c r="E484" s="10">
        <f>IF(B484="","",IF(COUNTIFS($B$2:$B$600,B484,$C$2:$C$600,C484)&gt;1,B484&amp;" ("&amp;C484&amp;") "&amp;A484,B484&amp;" ("&amp;C484&amp;")"))</f>
        <v/>
      </c>
      <c r="F484" s="11">
        <f>IF(B484="","",SUMIFS(Entries!$J$2:$J$3000,Entries!$H$2:$H$3000,A484))</f>
        <v/>
      </c>
      <c r="G484" s="11">
        <f>IF(B484="","",_xlfn.MAXIFS(Prizes!$D$2:$D$3000,Prizes!$E$2:$E$3000,A484,Prizes!$G$2:$G$3000,""))</f>
        <v/>
      </c>
      <c r="H484" s="10">
        <f>IF(B484="","",IF(_xlfn.MAXIFS(Levels!$A$2:$A$30,Levels!$A$2:$A$30,"&lt;="&amp;F484)&gt;G484,INDEX(Levels!$B$2:$B$30,MATCH(_xlfn.MAXIFS(Levels!$A$2:$A$30,Levels!$A$2:$A$30,"&lt;="&amp;F484),Levels!$A$2:$A$30,0)),""))</f>
        <v/>
      </c>
      <c r="I484" s="10">
        <f>IF(B484="","",COUNTIFS(Levels!$A$2:$A$30,"&lt;="&amp;F484,Levels!$A$2:$A$30,"&gt;"&amp;G484))</f>
        <v/>
      </c>
      <c r="J484" s="10">
        <f>IF(OR(B484="",TRIM('Find a child'!$B$3)=""),"",IF(ISNUMBER(SEARCH(TRIM('Find a child'!$B$3),B484&amp;" "&amp;C484)),COUNT(J$1:J483)+1,""))</f>
        <v/>
      </c>
    </row>
    <row r="485">
      <c r="A485" s="10" t="inlineStr">
        <is>
          <t>C0484</t>
        </is>
      </c>
      <c r="B485" s="6" t="n"/>
      <c r="C485" s="6" t="n"/>
      <c r="D485" s="6" t="n"/>
      <c r="E485" s="10">
        <f>IF(B485="","",IF(COUNTIFS($B$2:$B$600,B485,$C$2:$C$600,C485)&gt;1,B485&amp;" ("&amp;C485&amp;") "&amp;A485,B485&amp;" ("&amp;C485&amp;")"))</f>
        <v/>
      </c>
      <c r="F485" s="11">
        <f>IF(B485="","",SUMIFS(Entries!$J$2:$J$3000,Entries!$H$2:$H$3000,A485))</f>
        <v/>
      </c>
      <c r="G485" s="11">
        <f>IF(B485="","",_xlfn.MAXIFS(Prizes!$D$2:$D$3000,Prizes!$E$2:$E$3000,A485,Prizes!$G$2:$G$3000,""))</f>
        <v/>
      </c>
      <c r="H485" s="10">
        <f>IF(B485="","",IF(_xlfn.MAXIFS(Levels!$A$2:$A$30,Levels!$A$2:$A$30,"&lt;="&amp;F485)&gt;G485,INDEX(Levels!$B$2:$B$30,MATCH(_xlfn.MAXIFS(Levels!$A$2:$A$30,Levels!$A$2:$A$30,"&lt;="&amp;F485),Levels!$A$2:$A$30,0)),""))</f>
        <v/>
      </c>
      <c r="I485" s="10">
        <f>IF(B485="","",COUNTIFS(Levels!$A$2:$A$30,"&lt;="&amp;F485,Levels!$A$2:$A$30,"&gt;"&amp;G485))</f>
        <v/>
      </c>
      <c r="J485" s="10">
        <f>IF(OR(B485="",TRIM('Find a child'!$B$3)=""),"",IF(ISNUMBER(SEARCH(TRIM('Find a child'!$B$3),B485&amp;" "&amp;C485)),COUNT(J$1:J484)+1,""))</f>
        <v/>
      </c>
    </row>
    <row r="486">
      <c r="A486" s="10" t="inlineStr">
        <is>
          <t>C0485</t>
        </is>
      </c>
      <c r="B486" s="6" t="n"/>
      <c r="C486" s="6" t="n"/>
      <c r="D486" s="6" t="n"/>
      <c r="E486" s="10">
        <f>IF(B486="","",IF(COUNTIFS($B$2:$B$600,B486,$C$2:$C$600,C486)&gt;1,B486&amp;" ("&amp;C486&amp;") "&amp;A486,B486&amp;" ("&amp;C486&amp;")"))</f>
        <v/>
      </c>
      <c r="F486" s="11">
        <f>IF(B486="","",SUMIFS(Entries!$J$2:$J$3000,Entries!$H$2:$H$3000,A486))</f>
        <v/>
      </c>
      <c r="G486" s="11">
        <f>IF(B486="","",_xlfn.MAXIFS(Prizes!$D$2:$D$3000,Prizes!$E$2:$E$3000,A486,Prizes!$G$2:$G$3000,""))</f>
        <v/>
      </c>
      <c r="H486" s="10">
        <f>IF(B486="","",IF(_xlfn.MAXIFS(Levels!$A$2:$A$30,Levels!$A$2:$A$30,"&lt;="&amp;F486)&gt;G486,INDEX(Levels!$B$2:$B$30,MATCH(_xlfn.MAXIFS(Levels!$A$2:$A$30,Levels!$A$2:$A$30,"&lt;="&amp;F486),Levels!$A$2:$A$30,0)),""))</f>
        <v/>
      </c>
      <c r="I486" s="10">
        <f>IF(B486="","",COUNTIFS(Levels!$A$2:$A$30,"&lt;="&amp;F486,Levels!$A$2:$A$30,"&gt;"&amp;G486))</f>
        <v/>
      </c>
      <c r="J486" s="10">
        <f>IF(OR(B486="",TRIM('Find a child'!$B$3)=""),"",IF(ISNUMBER(SEARCH(TRIM('Find a child'!$B$3),B486&amp;" "&amp;C486)),COUNT(J$1:J485)+1,""))</f>
        <v/>
      </c>
    </row>
    <row r="487">
      <c r="A487" s="10" t="inlineStr">
        <is>
          <t>C0486</t>
        </is>
      </c>
      <c r="B487" s="6" t="n"/>
      <c r="C487" s="6" t="n"/>
      <c r="D487" s="6" t="n"/>
      <c r="E487" s="10">
        <f>IF(B487="","",IF(COUNTIFS($B$2:$B$600,B487,$C$2:$C$600,C487)&gt;1,B487&amp;" ("&amp;C487&amp;") "&amp;A487,B487&amp;" ("&amp;C487&amp;")"))</f>
        <v/>
      </c>
      <c r="F487" s="11">
        <f>IF(B487="","",SUMIFS(Entries!$J$2:$J$3000,Entries!$H$2:$H$3000,A487))</f>
        <v/>
      </c>
      <c r="G487" s="11">
        <f>IF(B487="","",_xlfn.MAXIFS(Prizes!$D$2:$D$3000,Prizes!$E$2:$E$3000,A487,Prizes!$G$2:$G$3000,""))</f>
        <v/>
      </c>
      <c r="H487" s="10">
        <f>IF(B487="","",IF(_xlfn.MAXIFS(Levels!$A$2:$A$30,Levels!$A$2:$A$30,"&lt;="&amp;F487)&gt;G487,INDEX(Levels!$B$2:$B$30,MATCH(_xlfn.MAXIFS(Levels!$A$2:$A$30,Levels!$A$2:$A$30,"&lt;="&amp;F487),Levels!$A$2:$A$30,0)),""))</f>
        <v/>
      </c>
      <c r="I487" s="10">
        <f>IF(B487="","",COUNTIFS(Levels!$A$2:$A$30,"&lt;="&amp;F487,Levels!$A$2:$A$30,"&gt;"&amp;G487))</f>
        <v/>
      </c>
      <c r="J487" s="10">
        <f>IF(OR(B487="",TRIM('Find a child'!$B$3)=""),"",IF(ISNUMBER(SEARCH(TRIM('Find a child'!$B$3),B487&amp;" "&amp;C487)),COUNT(J$1:J486)+1,""))</f>
        <v/>
      </c>
    </row>
    <row r="488">
      <c r="A488" s="10" t="inlineStr">
        <is>
          <t>C0487</t>
        </is>
      </c>
      <c r="B488" s="6" t="n"/>
      <c r="C488" s="6" t="n"/>
      <c r="D488" s="6" t="n"/>
      <c r="E488" s="10">
        <f>IF(B488="","",IF(COUNTIFS($B$2:$B$600,B488,$C$2:$C$600,C488)&gt;1,B488&amp;" ("&amp;C488&amp;") "&amp;A488,B488&amp;" ("&amp;C488&amp;")"))</f>
        <v/>
      </c>
      <c r="F488" s="11">
        <f>IF(B488="","",SUMIFS(Entries!$J$2:$J$3000,Entries!$H$2:$H$3000,A488))</f>
        <v/>
      </c>
      <c r="G488" s="11">
        <f>IF(B488="","",_xlfn.MAXIFS(Prizes!$D$2:$D$3000,Prizes!$E$2:$E$3000,A488,Prizes!$G$2:$G$3000,""))</f>
        <v/>
      </c>
      <c r="H488" s="10">
        <f>IF(B488="","",IF(_xlfn.MAXIFS(Levels!$A$2:$A$30,Levels!$A$2:$A$30,"&lt;="&amp;F488)&gt;G488,INDEX(Levels!$B$2:$B$30,MATCH(_xlfn.MAXIFS(Levels!$A$2:$A$30,Levels!$A$2:$A$30,"&lt;="&amp;F488),Levels!$A$2:$A$30,0)),""))</f>
        <v/>
      </c>
      <c r="I488" s="10">
        <f>IF(B488="","",COUNTIFS(Levels!$A$2:$A$30,"&lt;="&amp;F488,Levels!$A$2:$A$30,"&gt;"&amp;G488))</f>
        <v/>
      </c>
      <c r="J488" s="10">
        <f>IF(OR(B488="",TRIM('Find a child'!$B$3)=""),"",IF(ISNUMBER(SEARCH(TRIM('Find a child'!$B$3),B488&amp;" "&amp;C488)),COUNT(J$1:J487)+1,""))</f>
        <v/>
      </c>
    </row>
    <row r="489">
      <c r="A489" s="10" t="inlineStr">
        <is>
          <t>C0488</t>
        </is>
      </c>
      <c r="B489" s="6" t="n"/>
      <c r="C489" s="6" t="n"/>
      <c r="D489" s="6" t="n"/>
      <c r="E489" s="10">
        <f>IF(B489="","",IF(COUNTIFS($B$2:$B$600,B489,$C$2:$C$600,C489)&gt;1,B489&amp;" ("&amp;C489&amp;") "&amp;A489,B489&amp;" ("&amp;C489&amp;")"))</f>
        <v/>
      </c>
      <c r="F489" s="11">
        <f>IF(B489="","",SUMIFS(Entries!$J$2:$J$3000,Entries!$H$2:$H$3000,A489))</f>
        <v/>
      </c>
      <c r="G489" s="11">
        <f>IF(B489="","",_xlfn.MAXIFS(Prizes!$D$2:$D$3000,Prizes!$E$2:$E$3000,A489,Prizes!$G$2:$G$3000,""))</f>
        <v/>
      </c>
      <c r="H489" s="10">
        <f>IF(B489="","",IF(_xlfn.MAXIFS(Levels!$A$2:$A$30,Levels!$A$2:$A$30,"&lt;="&amp;F489)&gt;G489,INDEX(Levels!$B$2:$B$30,MATCH(_xlfn.MAXIFS(Levels!$A$2:$A$30,Levels!$A$2:$A$30,"&lt;="&amp;F489),Levels!$A$2:$A$30,0)),""))</f>
        <v/>
      </c>
      <c r="I489" s="10">
        <f>IF(B489="","",COUNTIFS(Levels!$A$2:$A$30,"&lt;="&amp;F489,Levels!$A$2:$A$30,"&gt;"&amp;G489))</f>
        <v/>
      </c>
      <c r="J489" s="10">
        <f>IF(OR(B489="",TRIM('Find a child'!$B$3)=""),"",IF(ISNUMBER(SEARCH(TRIM('Find a child'!$B$3),B489&amp;" "&amp;C489)),COUNT(J$1:J488)+1,""))</f>
        <v/>
      </c>
    </row>
    <row r="490">
      <c r="A490" s="10" t="inlineStr">
        <is>
          <t>C0489</t>
        </is>
      </c>
      <c r="B490" s="6" t="n"/>
      <c r="C490" s="6" t="n"/>
      <c r="D490" s="6" t="n"/>
      <c r="E490" s="10">
        <f>IF(B490="","",IF(COUNTIFS($B$2:$B$600,B490,$C$2:$C$600,C490)&gt;1,B490&amp;" ("&amp;C490&amp;") "&amp;A490,B490&amp;" ("&amp;C490&amp;")"))</f>
        <v/>
      </c>
      <c r="F490" s="11">
        <f>IF(B490="","",SUMIFS(Entries!$J$2:$J$3000,Entries!$H$2:$H$3000,A490))</f>
        <v/>
      </c>
      <c r="G490" s="11">
        <f>IF(B490="","",_xlfn.MAXIFS(Prizes!$D$2:$D$3000,Prizes!$E$2:$E$3000,A490,Prizes!$G$2:$G$3000,""))</f>
        <v/>
      </c>
      <c r="H490" s="10">
        <f>IF(B490="","",IF(_xlfn.MAXIFS(Levels!$A$2:$A$30,Levels!$A$2:$A$30,"&lt;="&amp;F490)&gt;G490,INDEX(Levels!$B$2:$B$30,MATCH(_xlfn.MAXIFS(Levels!$A$2:$A$30,Levels!$A$2:$A$30,"&lt;="&amp;F490),Levels!$A$2:$A$30,0)),""))</f>
        <v/>
      </c>
      <c r="I490" s="10">
        <f>IF(B490="","",COUNTIFS(Levels!$A$2:$A$30,"&lt;="&amp;F490,Levels!$A$2:$A$30,"&gt;"&amp;G490))</f>
        <v/>
      </c>
      <c r="J490" s="10">
        <f>IF(OR(B490="",TRIM('Find a child'!$B$3)=""),"",IF(ISNUMBER(SEARCH(TRIM('Find a child'!$B$3),B490&amp;" "&amp;C490)),COUNT(J$1:J489)+1,""))</f>
        <v/>
      </c>
    </row>
    <row r="491">
      <c r="A491" s="10" t="inlineStr">
        <is>
          <t>C0490</t>
        </is>
      </c>
      <c r="B491" s="6" t="n"/>
      <c r="C491" s="6" t="n"/>
      <c r="D491" s="6" t="n"/>
      <c r="E491" s="10">
        <f>IF(B491="","",IF(COUNTIFS($B$2:$B$600,B491,$C$2:$C$600,C491)&gt;1,B491&amp;" ("&amp;C491&amp;") "&amp;A491,B491&amp;" ("&amp;C491&amp;")"))</f>
        <v/>
      </c>
      <c r="F491" s="11">
        <f>IF(B491="","",SUMIFS(Entries!$J$2:$J$3000,Entries!$H$2:$H$3000,A491))</f>
        <v/>
      </c>
      <c r="G491" s="11">
        <f>IF(B491="","",_xlfn.MAXIFS(Prizes!$D$2:$D$3000,Prizes!$E$2:$E$3000,A491,Prizes!$G$2:$G$3000,""))</f>
        <v/>
      </c>
      <c r="H491" s="10">
        <f>IF(B491="","",IF(_xlfn.MAXIFS(Levels!$A$2:$A$30,Levels!$A$2:$A$30,"&lt;="&amp;F491)&gt;G491,INDEX(Levels!$B$2:$B$30,MATCH(_xlfn.MAXIFS(Levels!$A$2:$A$30,Levels!$A$2:$A$30,"&lt;="&amp;F491),Levels!$A$2:$A$30,0)),""))</f>
        <v/>
      </c>
      <c r="I491" s="10">
        <f>IF(B491="","",COUNTIFS(Levels!$A$2:$A$30,"&lt;="&amp;F491,Levels!$A$2:$A$30,"&gt;"&amp;G491))</f>
        <v/>
      </c>
      <c r="J491" s="10">
        <f>IF(OR(B491="",TRIM('Find a child'!$B$3)=""),"",IF(ISNUMBER(SEARCH(TRIM('Find a child'!$B$3),B491&amp;" "&amp;C491)),COUNT(J$1:J490)+1,""))</f>
        <v/>
      </c>
    </row>
    <row r="492">
      <c r="A492" s="10" t="inlineStr">
        <is>
          <t>C0491</t>
        </is>
      </c>
      <c r="B492" s="6" t="n"/>
      <c r="C492" s="6" t="n"/>
      <c r="D492" s="6" t="n"/>
      <c r="E492" s="10">
        <f>IF(B492="","",IF(COUNTIFS($B$2:$B$600,B492,$C$2:$C$600,C492)&gt;1,B492&amp;" ("&amp;C492&amp;") "&amp;A492,B492&amp;" ("&amp;C492&amp;")"))</f>
        <v/>
      </c>
      <c r="F492" s="11">
        <f>IF(B492="","",SUMIFS(Entries!$J$2:$J$3000,Entries!$H$2:$H$3000,A492))</f>
        <v/>
      </c>
      <c r="G492" s="11">
        <f>IF(B492="","",_xlfn.MAXIFS(Prizes!$D$2:$D$3000,Prizes!$E$2:$E$3000,A492,Prizes!$G$2:$G$3000,""))</f>
        <v/>
      </c>
      <c r="H492" s="10">
        <f>IF(B492="","",IF(_xlfn.MAXIFS(Levels!$A$2:$A$30,Levels!$A$2:$A$30,"&lt;="&amp;F492)&gt;G492,INDEX(Levels!$B$2:$B$30,MATCH(_xlfn.MAXIFS(Levels!$A$2:$A$30,Levels!$A$2:$A$30,"&lt;="&amp;F492),Levels!$A$2:$A$30,0)),""))</f>
        <v/>
      </c>
      <c r="I492" s="10">
        <f>IF(B492="","",COUNTIFS(Levels!$A$2:$A$30,"&lt;="&amp;F492,Levels!$A$2:$A$30,"&gt;"&amp;G492))</f>
        <v/>
      </c>
      <c r="J492" s="10">
        <f>IF(OR(B492="",TRIM('Find a child'!$B$3)=""),"",IF(ISNUMBER(SEARCH(TRIM('Find a child'!$B$3),B492&amp;" "&amp;C492)),COUNT(J$1:J491)+1,""))</f>
        <v/>
      </c>
    </row>
    <row r="493">
      <c r="A493" s="10" t="inlineStr">
        <is>
          <t>C0492</t>
        </is>
      </c>
      <c r="B493" s="6" t="n"/>
      <c r="C493" s="6" t="n"/>
      <c r="D493" s="6" t="n"/>
      <c r="E493" s="10">
        <f>IF(B493="","",IF(COUNTIFS($B$2:$B$600,B493,$C$2:$C$600,C493)&gt;1,B493&amp;" ("&amp;C493&amp;") "&amp;A493,B493&amp;" ("&amp;C493&amp;")"))</f>
        <v/>
      </c>
      <c r="F493" s="11">
        <f>IF(B493="","",SUMIFS(Entries!$J$2:$J$3000,Entries!$H$2:$H$3000,A493))</f>
        <v/>
      </c>
      <c r="G493" s="11">
        <f>IF(B493="","",_xlfn.MAXIFS(Prizes!$D$2:$D$3000,Prizes!$E$2:$E$3000,A493,Prizes!$G$2:$G$3000,""))</f>
        <v/>
      </c>
      <c r="H493" s="10">
        <f>IF(B493="","",IF(_xlfn.MAXIFS(Levels!$A$2:$A$30,Levels!$A$2:$A$30,"&lt;="&amp;F493)&gt;G493,INDEX(Levels!$B$2:$B$30,MATCH(_xlfn.MAXIFS(Levels!$A$2:$A$30,Levels!$A$2:$A$30,"&lt;="&amp;F493),Levels!$A$2:$A$30,0)),""))</f>
        <v/>
      </c>
      <c r="I493" s="10">
        <f>IF(B493="","",COUNTIFS(Levels!$A$2:$A$30,"&lt;="&amp;F493,Levels!$A$2:$A$30,"&gt;"&amp;G493))</f>
        <v/>
      </c>
      <c r="J493" s="10">
        <f>IF(OR(B493="",TRIM('Find a child'!$B$3)=""),"",IF(ISNUMBER(SEARCH(TRIM('Find a child'!$B$3),B493&amp;" "&amp;C493)),COUNT(J$1:J492)+1,""))</f>
        <v/>
      </c>
    </row>
    <row r="494">
      <c r="A494" s="10" t="inlineStr">
        <is>
          <t>C0493</t>
        </is>
      </c>
      <c r="B494" s="6" t="n"/>
      <c r="C494" s="6" t="n"/>
      <c r="D494" s="6" t="n"/>
      <c r="E494" s="10">
        <f>IF(B494="","",IF(COUNTIFS($B$2:$B$600,B494,$C$2:$C$600,C494)&gt;1,B494&amp;" ("&amp;C494&amp;") "&amp;A494,B494&amp;" ("&amp;C494&amp;")"))</f>
        <v/>
      </c>
      <c r="F494" s="11">
        <f>IF(B494="","",SUMIFS(Entries!$J$2:$J$3000,Entries!$H$2:$H$3000,A494))</f>
        <v/>
      </c>
      <c r="G494" s="11">
        <f>IF(B494="","",_xlfn.MAXIFS(Prizes!$D$2:$D$3000,Prizes!$E$2:$E$3000,A494,Prizes!$G$2:$G$3000,""))</f>
        <v/>
      </c>
      <c r="H494" s="10">
        <f>IF(B494="","",IF(_xlfn.MAXIFS(Levels!$A$2:$A$30,Levels!$A$2:$A$30,"&lt;="&amp;F494)&gt;G494,INDEX(Levels!$B$2:$B$30,MATCH(_xlfn.MAXIFS(Levels!$A$2:$A$30,Levels!$A$2:$A$30,"&lt;="&amp;F494),Levels!$A$2:$A$30,0)),""))</f>
        <v/>
      </c>
      <c r="I494" s="10">
        <f>IF(B494="","",COUNTIFS(Levels!$A$2:$A$30,"&lt;="&amp;F494,Levels!$A$2:$A$30,"&gt;"&amp;G494))</f>
        <v/>
      </c>
      <c r="J494" s="10">
        <f>IF(OR(B494="",TRIM('Find a child'!$B$3)=""),"",IF(ISNUMBER(SEARCH(TRIM('Find a child'!$B$3),B494&amp;" "&amp;C494)),COUNT(J$1:J493)+1,""))</f>
        <v/>
      </c>
    </row>
    <row r="495">
      <c r="A495" s="10" t="inlineStr">
        <is>
          <t>C0494</t>
        </is>
      </c>
      <c r="B495" s="6" t="n"/>
      <c r="C495" s="6" t="n"/>
      <c r="D495" s="6" t="n"/>
      <c r="E495" s="10">
        <f>IF(B495="","",IF(COUNTIFS($B$2:$B$600,B495,$C$2:$C$600,C495)&gt;1,B495&amp;" ("&amp;C495&amp;") "&amp;A495,B495&amp;" ("&amp;C495&amp;")"))</f>
        <v/>
      </c>
      <c r="F495" s="11">
        <f>IF(B495="","",SUMIFS(Entries!$J$2:$J$3000,Entries!$H$2:$H$3000,A495))</f>
        <v/>
      </c>
      <c r="G495" s="11">
        <f>IF(B495="","",_xlfn.MAXIFS(Prizes!$D$2:$D$3000,Prizes!$E$2:$E$3000,A495,Prizes!$G$2:$G$3000,""))</f>
        <v/>
      </c>
      <c r="H495" s="10">
        <f>IF(B495="","",IF(_xlfn.MAXIFS(Levels!$A$2:$A$30,Levels!$A$2:$A$30,"&lt;="&amp;F495)&gt;G495,INDEX(Levels!$B$2:$B$30,MATCH(_xlfn.MAXIFS(Levels!$A$2:$A$30,Levels!$A$2:$A$30,"&lt;="&amp;F495),Levels!$A$2:$A$30,0)),""))</f>
        <v/>
      </c>
      <c r="I495" s="10">
        <f>IF(B495="","",COUNTIFS(Levels!$A$2:$A$30,"&lt;="&amp;F495,Levels!$A$2:$A$30,"&gt;"&amp;G495))</f>
        <v/>
      </c>
      <c r="J495" s="10">
        <f>IF(OR(B495="",TRIM('Find a child'!$B$3)=""),"",IF(ISNUMBER(SEARCH(TRIM('Find a child'!$B$3),B495&amp;" "&amp;C495)),COUNT(J$1:J494)+1,""))</f>
        <v/>
      </c>
    </row>
    <row r="496">
      <c r="A496" s="10" t="inlineStr">
        <is>
          <t>C0495</t>
        </is>
      </c>
      <c r="B496" s="6" t="n"/>
      <c r="C496" s="6" t="n"/>
      <c r="D496" s="6" t="n"/>
      <c r="E496" s="10">
        <f>IF(B496="","",IF(COUNTIFS($B$2:$B$600,B496,$C$2:$C$600,C496)&gt;1,B496&amp;" ("&amp;C496&amp;") "&amp;A496,B496&amp;" ("&amp;C496&amp;")"))</f>
        <v/>
      </c>
      <c r="F496" s="11">
        <f>IF(B496="","",SUMIFS(Entries!$J$2:$J$3000,Entries!$H$2:$H$3000,A496))</f>
        <v/>
      </c>
      <c r="G496" s="11">
        <f>IF(B496="","",_xlfn.MAXIFS(Prizes!$D$2:$D$3000,Prizes!$E$2:$E$3000,A496,Prizes!$G$2:$G$3000,""))</f>
        <v/>
      </c>
      <c r="H496" s="10">
        <f>IF(B496="","",IF(_xlfn.MAXIFS(Levels!$A$2:$A$30,Levels!$A$2:$A$30,"&lt;="&amp;F496)&gt;G496,INDEX(Levels!$B$2:$B$30,MATCH(_xlfn.MAXIFS(Levels!$A$2:$A$30,Levels!$A$2:$A$30,"&lt;="&amp;F496),Levels!$A$2:$A$30,0)),""))</f>
        <v/>
      </c>
      <c r="I496" s="10">
        <f>IF(B496="","",COUNTIFS(Levels!$A$2:$A$30,"&lt;="&amp;F496,Levels!$A$2:$A$30,"&gt;"&amp;G496))</f>
        <v/>
      </c>
      <c r="J496" s="10">
        <f>IF(OR(B496="",TRIM('Find a child'!$B$3)=""),"",IF(ISNUMBER(SEARCH(TRIM('Find a child'!$B$3),B496&amp;" "&amp;C496)),COUNT(J$1:J495)+1,""))</f>
        <v/>
      </c>
    </row>
    <row r="497">
      <c r="A497" s="10" t="inlineStr">
        <is>
          <t>C0496</t>
        </is>
      </c>
      <c r="B497" s="6" t="n"/>
      <c r="C497" s="6" t="n"/>
      <c r="D497" s="6" t="n"/>
      <c r="E497" s="10">
        <f>IF(B497="","",IF(COUNTIFS($B$2:$B$600,B497,$C$2:$C$600,C497)&gt;1,B497&amp;" ("&amp;C497&amp;") "&amp;A497,B497&amp;" ("&amp;C497&amp;")"))</f>
        <v/>
      </c>
      <c r="F497" s="11">
        <f>IF(B497="","",SUMIFS(Entries!$J$2:$J$3000,Entries!$H$2:$H$3000,A497))</f>
        <v/>
      </c>
      <c r="G497" s="11">
        <f>IF(B497="","",_xlfn.MAXIFS(Prizes!$D$2:$D$3000,Prizes!$E$2:$E$3000,A497,Prizes!$G$2:$G$3000,""))</f>
        <v/>
      </c>
      <c r="H497" s="10">
        <f>IF(B497="","",IF(_xlfn.MAXIFS(Levels!$A$2:$A$30,Levels!$A$2:$A$30,"&lt;="&amp;F497)&gt;G497,INDEX(Levels!$B$2:$B$30,MATCH(_xlfn.MAXIFS(Levels!$A$2:$A$30,Levels!$A$2:$A$30,"&lt;="&amp;F497),Levels!$A$2:$A$30,0)),""))</f>
        <v/>
      </c>
      <c r="I497" s="10">
        <f>IF(B497="","",COUNTIFS(Levels!$A$2:$A$30,"&lt;="&amp;F497,Levels!$A$2:$A$30,"&gt;"&amp;G497))</f>
        <v/>
      </c>
      <c r="J497" s="10">
        <f>IF(OR(B497="",TRIM('Find a child'!$B$3)=""),"",IF(ISNUMBER(SEARCH(TRIM('Find a child'!$B$3),B497&amp;" "&amp;C497)),COUNT(J$1:J496)+1,""))</f>
        <v/>
      </c>
    </row>
    <row r="498">
      <c r="A498" s="10" t="inlineStr">
        <is>
          <t>C0497</t>
        </is>
      </c>
      <c r="B498" s="6" t="n"/>
      <c r="C498" s="6" t="n"/>
      <c r="D498" s="6" t="n"/>
      <c r="E498" s="10">
        <f>IF(B498="","",IF(COUNTIFS($B$2:$B$600,B498,$C$2:$C$600,C498)&gt;1,B498&amp;" ("&amp;C498&amp;") "&amp;A498,B498&amp;" ("&amp;C498&amp;")"))</f>
        <v/>
      </c>
      <c r="F498" s="11">
        <f>IF(B498="","",SUMIFS(Entries!$J$2:$J$3000,Entries!$H$2:$H$3000,A498))</f>
        <v/>
      </c>
      <c r="G498" s="11">
        <f>IF(B498="","",_xlfn.MAXIFS(Prizes!$D$2:$D$3000,Prizes!$E$2:$E$3000,A498,Prizes!$G$2:$G$3000,""))</f>
        <v/>
      </c>
      <c r="H498" s="10">
        <f>IF(B498="","",IF(_xlfn.MAXIFS(Levels!$A$2:$A$30,Levels!$A$2:$A$30,"&lt;="&amp;F498)&gt;G498,INDEX(Levels!$B$2:$B$30,MATCH(_xlfn.MAXIFS(Levels!$A$2:$A$30,Levels!$A$2:$A$30,"&lt;="&amp;F498),Levels!$A$2:$A$30,0)),""))</f>
        <v/>
      </c>
      <c r="I498" s="10">
        <f>IF(B498="","",COUNTIFS(Levels!$A$2:$A$30,"&lt;="&amp;F498,Levels!$A$2:$A$30,"&gt;"&amp;G498))</f>
        <v/>
      </c>
      <c r="J498" s="10">
        <f>IF(OR(B498="",TRIM('Find a child'!$B$3)=""),"",IF(ISNUMBER(SEARCH(TRIM('Find a child'!$B$3),B498&amp;" "&amp;C498)),COUNT(J$1:J497)+1,""))</f>
        <v/>
      </c>
    </row>
    <row r="499">
      <c r="A499" s="10" t="inlineStr">
        <is>
          <t>C0498</t>
        </is>
      </c>
      <c r="B499" s="6" t="n"/>
      <c r="C499" s="6" t="n"/>
      <c r="D499" s="6" t="n"/>
      <c r="E499" s="10">
        <f>IF(B499="","",IF(COUNTIFS($B$2:$B$600,B499,$C$2:$C$600,C499)&gt;1,B499&amp;" ("&amp;C499&amp;") "&amp;A499,B499&amp;" ("&amp;C499&amp;")"))</f>
        <v/>
      </c>
      <c r="F499" s="11">
        <f>IF(B499="","",SUMIFS(Entries!$J$2:$J$3000,Entries!$H$2:$H$3000,A499))</f>
        <v/>
      </c>
      <c r="G499" s="11">
        <f>IF(B499="","",_xlfn.MAXIFS(Prizes!$D$2:$D$3000,Prizes!$E$2:$E$3000,A499,Prizes!$G$2:$G$3000,""))</f>
        <v/>
      </c>
      <c r="H499" s="10">
        <f>IF(B499="","",IF(_xlfn.MAXIFS(Levels!$A$2:$A$30,Levels!$A$2:$A$30,"&lt;="&amp;F499)&gt;G499,INDEX(Levels!$B$2:$B$30,MATCH(_xlfn.MAXIFS(Levels!$A$2:$A$30,Levels!$A$2:$A$30,"&lt;="&amp;F499),Levels!$A$2:$A$30,0)),""))</f>
        <v/>
      </c>
      <c r="I499" s="10">
        <f>IF(B499="","",COUNTIFS(Levels!$A$2:$A$30,"&lt;="&amp;F499,Levels!$A$2:$A$30,"&gt;"&amp;G499))</f>
        <v/>
      </c>
      <c r="J499" s="10">
        <f>IF(OR(B499="",TRIM('Find a child'!$B$3)=""),"",IF(ISNUMBER(SEARCH(TRIM('Find a child'!$B$3),B499&amp;" "&amp;C499)),COUNT(J$1:J498)+1,""))</f>
        <v/>
      </c>
    </row>
    <row r="500">
      <c r="A500" s="10" t="inlineStr">
        <is>
          <t>C0499</t>
        </is>
      </c>
      <c r="B500" s="6" t="n"/>
      <c r="C500" s="6" t="n"/>
      <c r="D500" s="6" t="n"/>
      <c r="E500" s="10">
        <f>IF(B500="","",IF(COUNTIFS($B$2:$B$600,B500,$C$2:$C$600,C500)&gt;1,B500&amp;" ("&amp;C500&amp;") "&amp;A500,B500&amp;" ("&amp;C500&amp;")"))</f>
        <v/>
      </c>
      <c r="F500" s="11">
        <f>IF(B500="","",SUMIFS(Entries!$J$2:$J$3000,Entries!$H$2:$H$3000,A500))</f>
        <v/>
      </c>
      <c r="G500" s="11">
        <f>IF(B500="","",_xlfn.MAXIFS(Prizes!$D$2:$D$3000,Prizes!$E$2:$E$3000,A500,Prizes!$G$2:$G$3000,""))</f>
        <v/>
      </c>
      <c r="H500" s="10">
        <f>IF(B500="","",IF(_xlfn.MAXIFS(Levels!$A$2:$A$30,Levels!$A$2:$A$30,"&lt;="&amp;F500)&gt;G500,INDEX(Levels!$B$2:$B$30,MATCH(_xlfn.MAXIFS(Levels!$A$2:$A$30,Levels!$A$2:$A$30,"&lt;="&amp;F500),Levels!$A$2:$A$30,0)),""))</f>
        <v/>
      </c>
      <c r="I500" s="10">
        <f>IF(B500="","",COUNTIFS(Levels!$A$2:$A$30,"&lt;="&amp;F500,Levels!$A$2:$A$30,"&gt;"&amp;G500))</f>
        <v/>
      </c>
      <c r="J500" s="10">
        <f>IF(OR(B500="",TRIM('Find a child'!$B$3)=""),"",IF(ISNUMBER(SEARCH(TRIM('Find a child'!$B$3),B500&amp;" "&amp;C500)),COUNT(J$1:J499)+1,""))</f>
        <v/>
      </c>
    </row>
    <row r="501">
      <c r="A501" s="10" t="inlineStr">
        <is>
          <t>C0500</t>
        </is>
      </c>
      <c r="B501" s="6" t="n"/>
      <c r="C501" s="6" t="n"/>
      <c r="D501" s="6" t="n"/>
      <c r="E501" s="10">
        <f>IF(B501="","",IF(COUNTIFS($B$2:$B$600,B501,$C$2:$C$600,C501)&gt;1,B501&amp;" ("&amp;C501&amp;") "&amp;A501,B501&amp;" ("&amp;C501&amp;")"))</f>
        <v/>
      </c>
      <c r="F501" s="11">
        <f>IF(B501="","",SUMIFS(Entries!$J$2:$J$3000,Entries!$H$2:$H$3000,A501))</f>
        <v/>
      </c>
      <c r="G501" s="11">
        <f>IF(B501="","",_xlfn.MAXIFS(Prizes!$D$2:$D$3000,Prizes!$E$2:$E$3000,A501,Prizes!$G$2:$G$3000,""))</f>
        <v/>
      </c>
      <c r="H501" s="10">
        <f>IF(B501="","",IF(_xlfn.MAXIFS(Levels!$A$2:$A$30,Levels!$A$2:$A$30,"&lt;="&amp;F501)&gt;G501,INDEX(Levels!$B$2:$B$30,MATCH(_xlfn.MAXIFS(Levels!$A$2:$A$30,Levels!$A$2:$A$30,"&lt;="&amp;F501),Levels!$A$2:$A$30,0)),""))</f>
        <v/>
      </c>
      <c r="I501" s="10">
        <f>IF(B501="","",COUNTIFS(Levels!$A$2:$A$30,"&lt;="&amp;F501,Levels!$A$2:$A$30,"&gt;"&amp;G501))</f>
        <v/>
      </c>
      <c r="J501" s="10">
        <f>IF(OR(B501="",TRIM('Find a child'!$B$3)=""),"",IF(ISNUMBER(SEARCH(TRIM('Find a child'!$B$3),B501&amp;" "&amp;C501)),COUNT(J$1:J500)+1,""))</f>
        <v/>
      </c>
    </row>
    <row r="502">
      <c r="A502" s="10" t="inlineStr">
        <is>
          <t>C0501</t>
        </is>
      </c>
      <c r="B502" s="6" t="n"/>
      <c r="C502" s="6" t="n"/>
      <c r="D502" s="6" t="n"/>
      <c r="E502" s="10">
        <f>IF(B502="","",IF(COUNTIFS($B$2:$B$600,B502,$C$2:$C$600,C502)&gt;1,B502&amp;" ("&amp;C502&amp;") "&amp;A502,B502&amp;" ("&amp;C502&amp;")"))</f>
        <v/>
      </c>
      <c r="F502" s="11">
        <f>IF(B502="","",SUMIFS(Entries!$J$2:$J$3000,Entries!$H$2:$H$3000,A502))</f>
        <v/>
      </c>
      <c r="G502" s="11">
        <f>IF(B502="","",_xlfn.MAXIFS(Prizes!$D$2:$D$3000,Prizes!$E$2:$E$3000,A502,Prizes!$G$2:$G$3000,""))</f>
        <v/>
      </c>
      <c r="H502" s="10">
        <f>IF(B502="","",IF(_xlfn.MAXIFS(Levels!$A$2:$A$30,Levels!$A$2:$A$30,"&lt;="&amp;F502)&gt;G502,INDEX(Levels!$B$2:$B$30,MATCH(_xlfn.MAXIFS(Levels!$A$2:$A$30,Levels!$A$2:$A$30,"&lt;="&amp;F502),Levels!$A$2:$A$30,0)),""))</f>
        <v/>
      </c>
      <c r="I502" s="10">
        <f>IF(B502="","",COUNTIFS(Levels!$A$2:$A$30,"&lt;="&amp;F502,Levels!$A$2:$A$30,"&gt;"&amp;G502))</f>
        <v/>
      </c>
      <c r="J502" s="10">
        <f>IF(OR(B502="",TRIM('Find a child'!$B$3)=""),"",IF(ISNUMBER(SEARCH(TRIM('Find a child'!$B$3),B502&amp;" "&amp;C502)),COUNT(J$1:J501)+1,""))</f>
        <v/>
      </c>
    </row>
    <row r="503">
      <c r="A503" s="10" t="inlineStr">
        <is>
          <t>C0502</t>
        </is>
      </c>
      <c r="B503" s="6" t="n"/>
      <c r="C503" s="6" t="n"/>
      <c r="D503" s="6" t="n"/>
      <c r="E503" s="10">
        <f>IF(B503="","",IF(COUNTIFS($B$2:$B$600,B503,$C$2:$C$600,C503)&gt;1,B503&amp;" ("&amp;C503&amp;") "&amp;A503,B503&amp;" ("&amp;C503&amp;")"))</f>
        <v/>
      </c>
      <c r="F503" s="11">
        <f>IF(B503="","",SUMIFS(Entries!$J$2:$J$3000,Entries!$H$2:$H$3000,A503))</f>
        <v/>
      </c>
      <c r="G503" s="11">
        <f>IF(B503="","",_xlfn.MAXIFS(Prizes!$D$2:$D$3000,Prizes!$E$2:$E$3000,A503,Prizes!$G$2:$G$3000,""))</f>
        <v/>
      </c>
      <c r="H503" s="10">
        <f>IF(B503="","",IF(_xlfn.MAXIFS(Levels!$A$2:$A$30,Levels!$A$2:$A$30,"&lt;="&amp;F503)&gt;G503,INDEX(Levels!$B$2:$B$30,MATCH(_xlfn.MAXIFS(Levels!$A$2:$A$30,Levels!$A$2:$A$30,"&lt;="&amp;F503),Levels!$A$2:$A$30,0)),""))</f>
        <v/>
      </c>
      <c r="I503" s="10">
        <f>IF(B503="","",COUNTIFS(Levels!$A$2:$A$30,"&lt;="&amp;F503,Levels!$A$2:$A$30,"&gt;"&amp;G503))</f>
        <v/>
      </c>
      <c r="J503" s="10">
        <f>IF(OR(B503="",TRIM('Find a child'!$B$3)=""),"",IF(ISNUMBER(SEARCH(TRIM('Find a child'!$B$3),B503&amp;" "&amp;C503)),COUNT(J$1:J502)+1,""))</f>
        <v/>
      </c>
    </row>
    <row r="504">
      <c r="A504" s="10" t="inlineStr">
        <is>
          <t>C0503</t>
        </is>
      </c>
      <c r="B504" s="6" t="n"/>
      <c r="C504" s="6" t="n"/>
      <c r="D504" s="6" t="n"/>
      <c r="E504" s="10">
        <f>IF(B504="","",IF(COUNTIFS($B$2:$B$600,B504,$C$2:$C$600,C504)&gt;1,B504&amp;" ("&amp;C504&amp;") "&amp;A504,B504&amp;" ("&amp;C504&amp;")"))</f>
        <v/>
      </c>
      <c r="F504" s="11">
        <f>IF(B504="","",SUMIFS(Entries!$J$2:$J$3000,Entries!$H$2:$H$3000,A504))</f>
        <v/>
      </c>
      <c r="G504" s="11">
        <f>IF(B504="","",_xlfn.MAXIFS(Prizes!$D$2:$D$3000,Prizes!$E$2:$E$3000,A504,Prizes!$G$2:$G$3000,""))</f>
        <v/>
      </c>
      <c r="H504" s="10">
        <f>IF(B504="","",IF(_xlfn.MAXIFS(Levels!$A$2:$A$30,Levels!$A$2:$A$30,"&lt;="&amp;F504)&gt;G504,INDEX(Levels!$B$2:$B$30,MATCH(_xlfn.MAXIFS(Levels!$A$2:$A$30,Levels!$A$2:$A$30,"&lt;="&amp;F504),Levels!$A$2:$A$30,0)),""))</f>
        <v/>
      </c>
      <c r="I504" s="10">
        <f>IF(B504="","",COUNTIFS(Levels!$A$2:$A$30,"&lt;="&amp;F504,Levels!$A$2:$A$30,"&gt;"&amp;G504))</f>
        <v/>
      </c>
      <c r="J504" s="10">
        <f>IF(OR(B504="",TRIM('Find a child'!$B$3)=""),"",IF(ISNUMBER(SEARCH(TRIM('Find a child'!$B$3),B504&amp;" "&amp;C504)),COUNT(J$1:J503)+1,""))</f>
        <v/>
      </c>
    </row>
    <row r="505">
      <c r="A505" s="10" t="inlineStr">
        <is>
          <t>C0504</t>
        </is>
      </c>
      <c r="B505" s="6" t="n"/>
      <c r="C505" s="6" t="n"/>
      <c r="D505" s="6" t="n"/>
      <c r="E505" s="10">
        <f>IF(B505="","",IF(COUNTIFS($B$2:$B$600,B505,$C$2:$C$600,C505)&gt;1,B505&amp;" ("&amp;C505&amp;") "&amp;A505,B505&amp;" ("&amp;C505&amp;")"))</f>
        <v/>
      </c>
      <c r="F505" s="11">
        <f>IF(B505="","",SUMIFS(Entries!$J$2:$J$3000,Entries!$H$2:$H$3000,A505))</f>
        <v/>
      </c>
      <c r="G505" s="11">
        <f>IF(B505="","",_xlfn.MAXIFS(Prizes!$D$2:$D$3000,Prizes!$E$2:$E$3000,A505,Prizes!$G$2:$G$3000,""))</f>
        <v/>
      </c>
      <c r="H505" s="10">
        <f>IF(B505="","",IF(_xlfn.MAXIFS(Levels!$A$2:$A$30,Levels!$A$2:$A$30,"&lt;="&amp;F505)&gt;G505,INDEX(Levels!$B$2:$B$30,MATCH(_xlfn.MAXIFS(Levels!$A$2:$A$30,Levels!$A$2:$A$30,"&lt;="&amp;F505),Levels!$A$2:$A$30,0)),""))</f>
        <v/>
      </c>
      <c r="I505" s="10">
        <f>IF(B505="","",COUNTIFS(Levels!$A$2:$A$30,"&lt;="&amp;F505,Levels!$A$2:$A$30,"&gt;"&amp;G505))</f>
        <v/>
      </c>
      <c r="J505" s="10">
        <f>IF(OR(B505="",TRIM('Find a child'!$B$3)=""),"",IF(ISNUMBER(SEARCH(TRIM('Find a child'!$B$3),B505&amp;" "&amp;C505)),COUNT(J$1:J504)+1,""))</f>
        <v/>
      </c>
    </row>
    <row r="506">
      <c r="A506" s="10" t="inlineStr">
        <is>
          <t>C0505</t>
        </is>
      </c>
      <c r="B506" s="6" t="n"/>
      <c r="C506" s="6" t="n"/>
      <c r="D506" s="6" t="n"/>
      <c r="E506" s="10">
        <f>IF(B506="","",IF(COUNTIFS($B$2:$B$600,B506,$C$2:$C$600,C506)&gt;1,B506&amp;" ("&amp;C506&amp;") "&amp;A506,B506&amp;" ("&amp;C506&amp;")"))</f>
        <v/>
      </c>
      <c r="F506" s="11">
        <f>IF(B506="","",SUMIFS(Entries!$J$2:$J$3000,Entries!$H$2:$H$3000,A506))</f>
        <v/>
      </c>
      <c r="G506" s="11">
        <f>IF(B506="","",_xlfn.MAXIFS(Prizes!$D$2:$D$3000,Prizes!$E$2:$E$3000,A506,Prizes!$G$2:$G$3000,""))</f>
        <v/>
      </c>
      <c r="H506" s="10">
        <f>IF(B506="","",IF(_xlfn.MAXIFS(Levels!$A$2:$A$30,Levels!$A$2:$A$30,"&lt;="&amp;F506)&gt;G506,INDEX(Levels!$B$2:$B$30,MATCH(_xlfn.MAXIFS(Levels!$A$2:$A$30,Levels!$A$2:$A$30,"&lt;="&amp;F506),Levels!$A$2:$A$30,0)),""))</f>
        <v/>
      </c>
      <c r="I506" s="10">
        <f>IF(B506="","",COUNTIFS(Levels!$A$2:$A$30,"&lt;="&amp;F506,Levels!$A$2:$A$30,"&gt;"&amp;G506))</f>
        <v/>
      </c>
      <c r="J506" s="10">
        <f>IF(OR(B506="",TRIM('Find a child'!$B$3)=""),"",IF(ISNUMBER(SEARCH(TRIM('Find a child'!$B$3),B506&amp;" "&amp;C506)),COUNT(J$1:J505)+1,""))</f>
        <v/>
      </c>
    </row>
    <row r="507">
      <c r="A507" s="10" t="inlineStr">
        <is>
          <t>C0506</t>
        </is>
      </c>
      <c r="B507" s="6" t="n"/>
      <c r="C507" s="6" t="n"/>
      <c r="D507" s="6" t="n"/>
      <c r="E507" s="10">
        <f>IF(B507="","",IF(COUNTIFS($B$2:$B$600,B507,$C$2:$C$600,C507)&gt;1,B507&amp;" ("&amp;C507&amp;") "&amp;A507,B507&amp;" ("&amp;C507&amp;")"))</f>
        <v/>
      </c>
      <c r="F507" s="11">
        <f>IF(B507="","",SUMIFS(Entries!$J$2:$J$3000,Entries!$H$2:$H$3000,A507))</f>
        <v/>
      </c>
      <c r="G507" s="11">
        <f>IF(B507="","",_xlfn.MAXIFS(Prizes!$D$2:$D$3000,Prizes!$E$2:$E$3000,A507,Prizes!$G$2:$G$3000,""))</f>
        <v/>
      </c>
      <c r="H507" s="10">
        <f>IF(B507="","",IF(_xlfn.MAXIFS(Levels!$A$2:$A$30,Levels!$A$2:$A$30,"&lt;="&amp;F507)&gt;G507,INDEX(Levels!$B$2:$B$30,MATCH(_xlfn.MAXIFS(Levels!$A$2:$A$30,Levels!$A$2:$A$30,"&lt;="&amp;F507),Levels!$A$2:$A$30,0)),""))</f>
        <v/>
      </c>
      <c r="I507" s="10">
        <f>IF(B507="","",COUNTIFS(Levels!$A$2:$A$30,"&lt;="&amp;F507,Levels!$A$2:$A$30,"&gt;"&amp;G507))</f>
        <v/>
      </c>
      <c r="J507" s="10">
        <f>IF(OR(B507="",TRIM('Find a child'!$B$3)=""),"",IF(ISNUMBER(SEARCH(TRIM('Find a child'!$B$3),B507&amp;" "&amp;C507)),COUNT(J$1:J506)+1,""))</f>
        <v/>
      </c>
    </row>
    <row r="508">
      <c r="A508" s="10" t="inlineStr">
        <is>
          <t>C0507</t>
        </is>
      </c>
      <c r="B508" s="6" t="n"/>
      <c r="C508" s="6" t="n"/>
      <c r="D508" s="6" t="n"/>
      <c r="E508" s="10">
        <f>IF(B508="","",IF(COUNTIFS($B$2:$B$600,B508,$C$2:$C$600,C508)&gt;1,B508&amp;" ("&amp;C508&amp;") "&amp;A508,B508&amp;" ("&amp;C508&amp;")"))</f>
        <v/>
      </c>
      <c r="F508" s="11">
        <f>IF(B508="","",SUMIFS(Entries!$J$2:$J$3000,Entries!$H$2:$H$3000,A508))</f>
        <v/>
      </c>
      <c r="G508" s="11">
        <f>IF(B508="","",_xlfn.MAXIFS(Prizes!$D$2:$D$3000,Prizes!$E$2:$E$3000,A508,Prizes!$G$2:$G$3000,""))</f>
        <v/>
      </c>
      <c r="H508" s="10">
        <f>IF(B508="","",IF(_xlfn.MAXIFS(Levels!$A$2:$A$30,Levels!$A$2:$A$30,"&lt;="&amp;F508)&gt;G508,INDEX(Levels!$B$2:$B$30,MATCH(_xlfn.MAXIFS(Levels!$A$2:$A$30,Levels!$A$2:$A$30,"&lt;="&amp;F508),Levels!$A$2:$A$30,0)),""))</f>
        <v/>
      </c>
      <c r="I508" s="10">
        <f>IF(B508="","",COUNTIFS(Levels!$A$2:$A$30,"&lt;="&amp;F508,Levels!$A$2:$A$30,"&gt;"&amp;G508))</f>
        <v/>
      </c>
      <c r="J508" s="10">
        <f>IF(OR(B508="",TRIM('Find a child'!$B$3)=""),"",IF(ISNUMBER(SEARCH(TRIM('Find a child'!$B$3),B508&amp;" "&amp;C508)),COUNT(J$1:J507)+1,""))</f>
        <v/>
      </c>
    </row>
    <row r="509">
      <c r="A509" s="10" t="inlineStr">
        <is>
          <t>C0508</t>
        </is>
      </c>
      <c r="B509" s="6" t="n"/>
      <c r="C509" s="6" t="n"/>
      <c r="D509" s="6" t="n"/>
      <c r="E509" s="10">
        <f>IF(B509="","",IF(COUNTIFS($B$2:$B$600,B509,$C$2:$C$600,C509)&gt;1,B509&amp;" ("&amp;C509&amp;") "&amp;A509,B509&amp;" ("&amp;C509&amp;")"))</f>
        <v/>
      </c>
      <c r="F509" s="11">
        <f>IF(B509="","",SUMIFS(Entries!$J$2:$J$3000,Entries!$H$2:$H$3000,A509))</f>
        <v/>
      </c>
      <c r="G509" s="11">
        <f>IF(B509="","",_xlfn.MAXIFS(Prizes!$D$2:$D$3000,Prizes!$E$2:$E$3000,A509,Prizes!$G$2:$G$3000,""))</f>
        <v/>
      </c>
      <c r="H509" s="10">
        <f>IF(B509="","",IF(_xlfn.MAXIFS(Levels!$A$2:$A$30,Levels!$A$2:$A$30,"&lt;="&amp;F509)&gt;G509,INDEX(Levels!$B$2:$B$30,MATCH(_xlfn.MAXIFS(Levels!$A$2:$A$30,Levels!$A$2:$A$30,"&lt;="&amp;F509),Levels!$A$2:$A$30,0)),""))</f>
        <v/>
      </c>
      <c r="I509" s="10">
        <f>IF(B509="","",COUNTIFS(Levels!$A$2:$A$30,"&lt;="&amp;F509,Levels!$A$2:$A$30,"&gt;"&amp;G509))</f>
        <v/>
      </c>
      <c r="J509" s="10">
        <f>IF(OR(B509="",TRIM('Find a child'!$B$3)=""),"",IF(ISNUMBER(SEARCH(TRIM('Find a child'!$B$3),B509&amp;" "&amp;C509)),COUNT(J$1:J508)+1,""))</f>
        <v/>
      </c>
    </row>
    <row r="510">
      <c r="A510" s="10" t="inlineStr">
        <is>
          <t>C0509</t>
        </is>
      </c>
      <c r="B510" s="6" t="n"/>
      <c r="C510" s="6" t="n"/>
      <c r="D510" s="6" t="n"/>
      <c r="E510" s="10">
        <f>IF(B510="","",IF(COUNTIFS($B$2:$B$600,B510,$C$2:$C$600,C510)&gt;1,B510&amp;" ("&amp;C510&amp;") "&amp;A510,B510&amp;" ("&amp;C510&amp;")"))</f>
        <v/>
      </c>
      <c r="F510" s="11">
        <f>IF(B510="","",SUMIFS(Entries!$J$2:$J$3000,Entries!$H$2:$H$3000,A510))</f>
        <v/>
      </c>
      <c r="G510" s="11">
        <f>IF(B510="","",_xlfn.MAXIFS(Prizes!$D$2:$D$3000,Prizes!$E$2:$E$3000,A510,Prizes!$G$2:$G$3000,""))</f>
        <v/>
      </c>
      <c r="H510" s="10">
        <f>IF(B510="","",IF(_xlfn.MAXIFS(Levels!$A$2:$A$30,Levels!$A$2:$A$30,"&lt;="&amp;F510)&gt;G510,INDEX(Levels!$B$2:$B$30,MATCH(_xlfn.MAXIFS(Levels!$A$2:$A$30,Levels!$A$2:$A$30,"&lt;="&amp;F510),Levels!$A$2:$A$30,0)),""))</f>
        <v/>
      </c>
      <c r="I510" s="10">
        <f>IF(B510="","",COUNTIFS(Levels!$A$2:$A$30,"&lt;="&amp;F510,Levels!$A$2:$A$30,"&gt;"&amp;G510))</f>
        <v/>
      </c>
      <c r="J510" s="10">
        <f>IF(OR(B510="",TRIM('Find a child'!$B$3)=""),"",IF(ISNUMBER(SEARCH(TRIM('Find a child'!$B$3),B510&amp;" "&amp;C510)),COUNT(J$1:J509)+1,""))</f>
        <v/>
      </c>
    </row>
    <row r="511">
      <c r="A511" s="10" t="inlineStr">
        <is>
          <t>C0510</t>
        </is>
      </c>
      <c r="B511" s="6" t="n"/>
      <c r="C511" s="6" t="n"/>
      <c r="D511" s="6" t="n"/>
      <c r="E511" s="10">
        <f>IF(B511="","",IF(COUNTIFS($B$2:$B$600,B511,$C$2:$C$600,C511)&gt;1,B511&amp;" ("&amp;C511&amp;") "&amp;A511,B511&amp;" ("&amp;C511&amp;")"))</f>
        <v/>
      </c>
      <c r="F511" s="11">
        <f>IF(B511="","",SUMIFS(Entries!$J$2:$J$3000,Entries!$H$2:$H$3000,A511))</f>
        <v/>
      </c>
      <c r="G511" s="11">
        <f>IF(B511="","",_xlfn.MAXIFS(Prizes!$D$2:$D$3000,Prizes!$E$2:$E$3000,A511,Prizes!$G$2:$G$3000,""))</f>
        <v/>
      </c>
      <c r="H511" s="10">
        <f>IF(B511="","",IF(_xlfn.MAXIFS(Levels!$A$2:$A$30,Levels!$A$2:$A$30,"&lt;="&amp;F511)&gt;G511,INDEX(Levels!$B$2:$B$30,MATCH(_xlfn.MAXIFS(Levels!$A$2:$A$30,Levels!$A$2:$A$30,"&lt;="&amp;F511),Levels!$A$2:$A$30,0)),""))</f>
        <v/>
      </c>
      <c r="I511" s="10">
        <f>IF(B511="","",COUNTIFS(Levels!$A$2:$A$30,"&lt;="&amp;F511,Levels!$A$2:$A$30,"&gt;"&amp;G511))</f>
        <v/>
      </c>
      <c r="J511" s="10">
        <f>IF(OR(B511="",TRIM('Find a child'!$B$3)=""),"",IF(ISNUMBER(SEARCH(TRIM('Find a child'!$B$3),B511&amp;" "&amp;C511)),COUNT(J$1:J510)+1,""))</f>
        <v/>
      </c>
    </row>
    <row r="512">
      <c r="A512" s="10" t="inlineStr">
        <is>
          <t>C0511</t>
        </is>
      </c>
      <c r="B512" s="6" t="n"/>
      <c r="C512" s="6" t="n"/>
      <c r="D512" s="6" t="n"/>
      <c r="E512" s="10">
        <f>IF(B512="","",IF(COUNTIFS($B$2:$B$600,B512,$C$2:$C$600,C512)&gt;1,B512&amp;" ("&amp;C512&amp;") "&amp;A512,B512&amp;" ("&amp;C512&amp;")"))</f>
        <v/>
      </c>
      <c r="F512" s="11">
        <f>IF(B512="","",SUMIFS(Entries!$J$2:$J$3000,Entries!$H$2:$H$3000,A512))</f>
        <v/>
      </c>
      <c r="G512" s="11">
        <f>IF(B512="","",_xlfn.MAXIFS(Prizes!$D$2:$D$3000,Prizes!$E$2:$E$3000,A512,Prizes!$G$2:$G$3000,""))</f>
        <v/>
      </c>
      <c r="H512" s="10">
        <f>IF(B512="","",IF(_xlfn.MAXIFS(Levels!$A$2:$A$30,Levels!$A$2:$A$30,"&lt;="&amp;F512)&gt;G512,INDEX(Levels!$B$2:$B$30,MATCH(_xlfn.MAXIFS(Levels!$A$2:$A$30,Levels!$A$2:$A$30,"&lt;="&amp;F512),Levels!$A$2:$A$30,0)),""))</f>
        <v/>
      </c>
      <c r="I512" s="10">
        <f>IF(B512="","",COUNTIFS(Levels!$A$2:$A$30,"&lt;="&amp;F512,Levels!$A$2:$A$30,"&gt;"&amp;G512))</f>
        <v/>
      </c>
      <c r="J512" s="10">
        <f>IF(OR(B512="",TRIM('Find a child'!$B$3)=""),"",IF(ISNUMBER(SEARCH(TRIM('Find a child'!$B$3),B512&amp;" "&amp;C512)),COUNT(J$1:J511)+1,""))</f>
        <v/>
      </c>
    </row>
    <row r="513">
      <c r="A513" s="10" t="inlineStr">
        <is>
          <t>C0512</t>
        </is>
      </c>
      <c r="B513" s="6" t="n"/>
      <c r="C513" s="6" t="n"/>
      <c r="D513" s="6" t="n"/>
      <c r="E513" s="10">
        <f>IF(B513="","",IF(COUNTIFS($B$2:$B$600,B513,$C$2:$C$600,C513)&gt;1,B513&amp;" ("&amp;C513&amp;") "&amp;A513,B513&amp;" ("&amp;C513&amp;")"))</f>
        <v/>
      </c>
      <c r="F513" s="11">
        <f>IF(B513="","",SUMIFS(Entries!$J$2:$J$3000,Entries!$H$2:$H$3000,A513))</f>
        <v/>
      </c>
      <c r="G513" s="11">
        <f>IF(B513="","",_xlfn.MAXIFS(Prizes!$D$2:$D$3000,Prizes!$E$2:$E$3000,A513,Prizes!$G$2:$G$3000,""))</f>
        <v/>
      </c>
      <c r="H513" s="10">
        <f>IF(B513="","",IF(_xlfn.MAXIFS(Levels!$A$2:$A$30,Levels!$A$2:$A$30,"&lt;="&amp;F513)&gt;G513,INDEX(Levels!$B$2:$B$30,MATCH(_xlfn.MAXIFS(Levels!$A$2:$A$30,Levels!$A$2:$A$30,"&lt;="&amp;F513),Levels!$A$2:$A$30,0)),""))</f>
        <v/>
      </c>
      <c r="I513" s="10">
        <f>IF(B513="","",COUNTIFS(Levels!$A$2:$A$30,"&lt;="&amp;F513,Levels!$A$2:$A$30,"&gt;"&amp;G513))</f>
        <v/>
      </c>
      <c r="J513" s="10">
        <f>IF(OR(B513="",TRIM('Find a child'!$B$3)=""),"",IF(ISNUMBER(SEARCH(TRIM('Find a child'!$B$3),B513&amp;" "&amp;C513)),COUNT(J$1:J512)+1,""))</f>
        <v/>
      </c>
    </row>
    <row r="514">
      <c r="A514" s="10" t="inlineStr">
        <is>
          <t>C0513</t>
        </is>
      </c>
      <c r="B514" s="6" t="n"/>
      <c r="C514" s="6" t="n"/>
      <c r="D514" s="6" t="n"/>
      <c r="E514" s="10">
        <f>IF(B514="","",IF(COUNTIFS($B$2:$B$600,B514,$C$2:$C$600,C514)&gt;1,B514&amp;" ("&amp;C514&amp;") "&amp;A514,B514&amp;" ("&amp;C514&amp;")"))</f>
        <v/>
      </c>
      <c r="F514" s="11">
        <f>IF(B514="","",SUMIFS(Entries!$J$2:$J$3000,Entries!$H$2:$H$3000,A514))</f>
        <v/>
      </c>
      <c r="G514" s="11">
        <f>IF(B514="","",_xlfn.MAXIFS(Prizes!$D$2:$D$3000,Prizes!$E$2:$E$3000,A514,Prizes!$G$2:$G$3000,""))</f>
        <v/>
      </c>
      <c r="H514" s="10">
        <f>IF(B514="","",IF(_xlfn.MAXIFS(Levels!$A$2:$A$30,Levels!$A$2:$A$30,"&lt;="&amp;F514)&gt;G514,INDEX(Levels!$B$2:$B$30,MATCH(_xlfn.MAXIFS(Levels!$A$2:$A$30,Levels!$A$2:$A$30,"&lt;="&amp;F514),Levels!$A$2:$A$30,0)),""))</f>
        <v/>
      </c>
      <c r="I514" s="10">
        <f>IF(B514="","",COUNTIFS(Levels!$A$2:$A$30,"&lt;="&amp;F514,Levels!$A$2:$A$30,"&gt;"&amp;G514))</f>
        <v/>
      </c>
      <c r="J514" s="10">
        <f>IF(OR(B514="",TRIM('Find a child'!$B$3)=""),"",IF(ISNUMBER(SEARCH(TRIM('Find a child'!$B$3),B514&amp;" "&amp;C514)),COUNT(J$1:J513)+1,""))</f>
        <v/>
      </c>
    </row>
    <row r="515">
      <c r="A515" s="10" t="inlineStr">
        <is>
          <t>C0514</t>
        </is>
      </c>
      <c r="B515" s="6" t="n"/>
      <c r="C515" s="6" t="n"/>
      <c r="D515" s="6" t="n"/>
      <c r="E515" s="10">
        <f>IF(B515="","",IF(COUNTIFS($B$2:$B$600,B515,$C$2:$C$600,C515)&gt;1,B515&amp;" ("&amp;C515&amp;") "&amp;A515,B515&amp;" ("&amp;C515&amp;")"))</f>
        <v/>
      </c>
      <c r="F515" s="11">
        <f>IF(B515="","",SUMIFS(Entries!$J$2:$J$3000,Entries!$H$2:$H$3000,A515))</f>
        <v/>
      </c>
      <c r="G515" s="11">
        <f>IF(B515="","",_xlfn.MAXIFS(Prizes!$D$2:$D$3000,Prizes!$E$2:$E$3000,A515,Prizes!$G$2:$G$3000,""))</f>
        <v/>
      </c>
      <c r="H515" s="10">
        <f>IF(B515="","",IF(_xlfn.MAXIFS(Levels!$A$2:$A$30,Levels!$A$2:$A$30,"&lt;="&amp;F515)&gt;G515,INDEX(Levels!$B$2:$B$30,MATCH(_xlfn.MAXIFS(Levels!$A$2:$A$30,Levels!$A$2:$A$30,"&lt;="&amp;F515),Levels!$A$2:$A$30,0)),""))</f>
        <v/>
      </c>
      <c r="I515" s="10">
        <f>IF(B515="","",COUNTIFS(Levels!$A$2:$A$30,"&lt;="&amp;F515,Levels!$A$2:$A$30,"&gt;"&amp;G515))</f>
        <v/>
      </c>
      <c r="J515" s="10">
        <f>IF(OR(B515="",TRIM('Find a child'!$B$3)=""),"",IF(ISNUMBER(SEARCH(TRIM('Find a child'!$B$3),B515&amp;" "&amp;C515)),COUNT(J$1:J514)+1,""))</f>
        <v/>
      </c>
    </row>
    <row r="516">
      <c r="A516" s="10" t="inlineStr">
        <is>
          <t>C0515</t>
        </is>
      </c>
      <c r="B516" s="6" t="n"/>
      <c r="C516" s="6" t="n"/>
      <c r="D516" s="6" t="n"/>
      <c r="E516" s="10">
        <f>IF(B516="","",IF(COUNTIFS($B$2:$B$600,B516,$C$2:$C$600,C516)&gt;1,B516&amp;" ("&amp;C516&amp;") "&amp;A516,B516&amp;" ("&amp;C516&amp;")"))</f>
        <v/>
      </c>
      <c r="F516" s="11">
        <f>IF(B516="","",SUMIFS(Entries!$J$2:$J$3000,Entries!$H$2:$H$3000,A516))</f>
        <v/>
      </c>
      <c r="G516" s="11">
        <f>IF(B516="","",_xlfn.MAXIFS(Prizes!$D$2:$D$3000,Prizes!$E$2:$E$3000,A516,Prizes!$G$2:$G$3000,""))</f>
        <v/>
      </c>
      <c r="H516" s="10">
        <f>IF(B516="","",IF(_xlfn.MAXIFS(Levels!$A$2:$A$30,Levels!$A$2:$A$30,"&lt;="&amp;F516)&gt;G516,INDEX(Levels!$B$2:$B$30,MATCH(_xlfn.MAXIFS(Levels!$A$2:$A$30,Levels!$A$2:$A$30,"&lt;="&amp;F516),Levels!$A$2:$A$30,0)),""))</f>
        <v/>
      </c>
      <c r="I516" s="10">
        <f>IF(B516="","",COUNTIFS(Levels!$A$2:$A$30,"&lt;="&amp;F516,Levels!$A$2:$A$30,"&gt;"&amp;G516))</f>
        <v/>
      </c>
      <c r="J516" s="10">
        <f>IF(OR(B516="",TRIM('Find a child'!$B$3)=""),"",IF(ISNUMBER(SEARCH(TRIM('Find a child'!$B$3),B516&amp;" "&amp;C516)),COUNT(J$1:J515)+1,""))</f>
        <v/>
      </c>
    </row>
    <row r="517">
      <c r="A517" s="10" t="inlineStr">
        <is>
          <t>C0516</t>
        </is>
      </c>
      <c r="B517" s="6" t="n"/>
      <c r="C517" s="6" t="n"/>
      <c r="D517" s="6" t="n"/>
      <c r="E517" s="10">
        <f>IF(B517="","",IF(COUNTIFS($B$2:$B$600,B517,$C$2:$C$600,C517)&gt;1,B517&amp;" ("&amp;C517&amp;") "&amp;A517,B517&amp;" ("&amp;C517&amp;")"))</f>
        <v/>
      </c>
      <c r="F517" s="11">
        <f>IF(B517="","",SUMIFS(Entries!$J$2:$J$3000,Entries!$H$2:$H$3000,A517))</f>
        <v/>
      </c>
      <c r="G517" s="11">
        <f>IF(B517="","",_xlfn.MAXIFS(Prizes!$D$2:$D$3000,Prizes!$E$2:$E$3000,A517,Prizes!$G$2:$G$3000,""))</f>
        <v/>
      </c>
      <c r="H517" s="10">
        <f>IF(B517="","",IF(_xlfn.MAXIFS(Levels!$A$2:$A$30,Levels!$A$2:$A$30,"&lt;="&amp;F517)&gt;G517,INDEX(Levels!$B$2:$B$30,MATCH(_xlfn.MAXIFS(Levels!$A$2:$A$30,Levels!$A$2:$A$30,"&lt;="&amp;F517),Levels!$A$2:$A$30,0)),""))</f>
        <v/>
      </c>
      <c r="I517" s="10">
        <f>IF(B517="","",COUNTIFS(Levels!$A$2:$A$30,"&lt;="&amp;F517,Levels!$A$2:$A$30,"&gt;"&amp;G517))</f>
        <v/>
      </c>
      <c r="J517" s="10">
        <f>IF(OR(B517="",TRIM('Find a child'!$B$3)=""),"",IF(ISNUMBER(SEARCH(TRIM('Find a child'!$B$3),B517&amp;" "&amp;C517)),COUNT(J$1:J516)+1,""))</f>
        <v/>
      </c>
    </row>
    <row r="518">
      <c r="A518" s="10" t="inlineStr">
        <is>
          <t>C0517</t>
        </is>
      </c>
      <c r="B518" s="6" t="n"/>
      <c r="C518" s="6" t="n"/>
      <c r="D518" s="6" t="n"/>
      <c r="E518" s="10">
        <f>IF(B518="","",IF(COUNTIFS($B$2:$B$600,B518,$C$2:$C$600,C518)&gt;1,B518&amp;" ("&amp;C518&amp;") "&amp;A518,B518&amp;" ("&amp;C518&amp;")"))</f>
        <v/>
      </c>
      <c r="F518" s="11">
        <f>IF(B518="","",SUMIFS(Entries!$J$2:$J$3000,Entries!$H$2:$H$3000,A518))</f>
        <v/>
      </c>
      <c r="G518" s="11">
        <f>IF(B518="","",_xlfn.MAXIFS(Prizes!$D$2:$D$3000,Prizes!$E$2:$E$3000,A518,Prizes!$G$2:$G$3000,""))</f>
        <v/>
      </c>
      <c r="H518" s="10">
        <f>IF(B518="","",IF(_xlfn.MAXIFS(Levels!$A$2:$A$30,Levels!$A$2:$A$30,"&lt;="&amp;F518)&gt;G518,INDEX(Levels!$B$2:$B$30,MATCH(_xlfn.MAXIFS(Levels!$A$2:$A$30,Levels!$A$2:$A$30,"&lt;="&amp;F518),Levels!$A$2:$A$30,0)),""))</f>
        <v/>
      </c>
      <c r="I518" s="10">
        <f>IF(B518="","",COUNTIFS(Levels!$A$2:$A$30,"&lt;="&amp;F518,Levels!$A$2:$A$30,"&gt;"&amp;G518))</f>
        <v/>
      </c>
      <c r="J518" s="10">
        <f>IF(OR(B518="",TRIM('Find a child'!$B$3)=""),"",IF(ISNUMBER(SEARCH(TRIM('Find a child'!$B$3),B518&amp;" "&amp;C518)),COUNT(J$1:J517)+1,""))</f>
        <v/>
      </c>
    </row>
    <row r="519">
      <c r="A519" s="10" t="inlineStr">
        <is>
          <t>C0518</t>
        </is>
      </c>
      <c r="B519" s="6" t="n"/>
      <c r="C519" s="6" t="n"/>
      <c r="D519" s="6" t="n"/>
      <c r="E519" s="10">
        <f>IF(B519="","",IF(COUNTIFS($B$2:$B$600,B519,$C$2:$C$600,C519)&gt;1,B519&amp;" ("&amp;C519&amp;") "&amp;A519,B519&amp;" ("&amp;C519&amp;")"))</f>
        <v/>
      </c>
      <c r="F519" s="11">
        <f>IF(B519="","",SUMIFS(Entries!$J$2:$J$3000,Entries!$H$2:$H$3000,A519))</f>
        <v/>
      </c>
      <c r="G519" s="11">
        <f>IF(B519="","",_xlfn.MAXIFS(Prizes!$D$2:$D$3000,Prizes!$E$2:$E$3000,A519,Prizes!$G$2:$G$3000,""))</f>
        <v/>
      </c>
      <c r="H519" s="10">
        <f>IF(B519="","",IF(_xlfn.MAXIFS(Levels!$A$2:$A$30,Levels!$A$2:$A$30,"&lt;="&amp;F519)&gt;G519,INDEX(Levels!$B$2:$B$30,MATCH(_xlfn.MAXIFS(Levels!$A$2:$A$30,Levels!$A$2:$A$30,"&lt;="&amp;F519),Levels!$A$2:$A$30,0)),""))</f>
        <v/>
      </c>
      <c r="I519" s="10">
        <f>IF(B519="","",COUNTIFS(Levels!$A$2:$A$30,"&lt;="&amp;F519,Levels!$A$2:$A$30,"&gt;"&amp;G519))</f>
        <v/>
      </c>
      <c r="J519" s="10">
        <f>IF(OR(B519="",TRIM('Find a child'!$B$3)=""),"",IF(ISNUMBER(SEARCH(TRIM('Find a child'!$B$3),B519&amp;" "&amp;C519)),COUNT(J$1:J518)+1,""))</f>
        <v/>
      </c>
    </row>
    <row r="520">
      <c r="A520" s="10" t="inlineStr">
        <is>
          <t>C0519</t>
        </is>
      </c>
      <c r="B520" s="6" t="n"/>
      <c r="C520" s="6" t="n"/>
      <c r="D520" s="6" t="n"/>
      <c r="E520" s="10">
        <f>IF(B520="","",IF(COUNTIFS($B$2:$B$600,B520,$C$2:$C$600,C520)&gt;1,B520&amp;" ("&amp;C520&amp;") "&amp;A520,B520&amp;" ("&amp;C520&amp;")"))</f>
        <v/>
      </c>
      <c r="F520" s="11">
        <f>IF(B520="","",SUMIFS(Entries!$J$2:$J$3000,Entries!$H$2:$H$3000,A520))</f>
        <v/>
      </c>
      <c r="G520" s="11">
        <f>IF(B520="","",_xlfn.MAXIFS(Prizes!$D$2:$D$3000,Prizes!$E$2:$E$3000,A520,Prizes!$G$2:$G$3000,""))</f>
        <v/>
      </c>
      <c r="H520" s="10">
        <f>IF(B520="","",IF(_xlfn.MAXIFS(Levels!$A$2:$A$30,Levels!$A$2:$A$30,"&lt;="&amp;F520)&gt;G520,INDEX(Levels!$B$2:$B$30,MATCH(_xlfn.MAXIFS(Levels!$A$2:$A$30,Levels!$A$2:$A$30,"&lt;="&amp;F520),Levels!$A$2:$A$30,0)),""))</f>
        <v/>
      </c>
      <c r="I520" s="10">
        <f>IF(B520="","",COUNTIFS(Levels!$A$2:$A$30,"&lt;="&amp;F520,Levels!$A$2:$A$30,"&gt;"&amp;G520))</f>
        <v/>
      </c>
      <c r="J520" s="10">
        <f>IF(OR(B520="",TRIM('Find a child'!$B$3)=""),"",IF(ISNUMBER(SEARCH(TRIM('Find a child'!$B$3),B520&amp;" "&amp;C520)),COUNT(J$1:J519)+1,""))</f>
        <v/>
      </c>
    </row>
    <row r="521">
      <c r="A521" s="10" t="inlineStr">
        <is>
          <t>C0520</t>
        </is>
      </c>
      <c r="B521" s="6" t="n"/>
      <c r="C521" s="6" t="n"/>
      <c r="D521" s="6" t="n"/>
      <c r="E521" s="10">
        <f>IF(B521="","",IF(COUNTIFS($B$2:$B$600,B521,$C$2:$C$600,C521)&gt;1,B521&amp;" ("&amp;C521&amp;") "&amp;A521,B521&amp;" ("&amp;C521&amp;")"))</f>
        <v/>
      </c>
      <c r="F521" s="11">
        <f>IF(B521="","",SUMIFS(Entries!$J$2:$J$3000,Entries!$H$2:$H$3000,A521))</f>
        <v/>
      </c>
      <c r="G521" s="11">
        <f>IF(B521="","",_xlfn.MAXIFS(Prizes!$D$2:$D$3000,Prizes!$E$2:$E$3000,A521,Prizes!$G$2:$G$3000,""))</f>
        <v/>
      </c>
      <c r="H521" s="10">
        <f>IF(B521="","",IF(_xlfn.MAXIFS(Levels!$A$2:$A$30,Levels!$A$2:$A$30,"&lt;="&amp;F521)&gt;G521,INDEX(Levels!$B$2:$B$30,MATCH(_xlfn.MAXIFS(Levels!$A$2:$A$30,Levels!$A$2:$A$30,"&lt;="&amp;F521),Levels!$A$2:$A$30,0)),""))</f>
        <v/>
      </c>
      <c r="I521" s="10">
        <f>IF(B521="","",COUNTIFS(Levels!$A$2:$A$30,"&lt;="&amp;F521,Levels!$A$2:$A$30,"&gt;"&amp;G521))</f>
        <v/>
      </c>
      <c r="J521" s="10">
        <f>IF(OR(B521="",TRIM('Find a child'!$B$3)=""),"",IF(ISNUMBER(SEARCH(TRIM('Find a child'!$B$3),B521&amp;" "&amp;C521)),COUNT(J$1:J520)+1,""))</f>
        <v/>
      </c>
    </row>
    <row r="522">
      <c r="A522" s="10" t="inlineStr">
        <is>
          <t>C0521</t>
        </is>
      </c>
      <c r="B522" s="6" t="n"/>
      <c r="C522" s="6" t="n"/>
      <c r="D522" s="6" t="n"/>
      <c r="E522" s="10">
        <f>IF(B522="","",IF(COUNTIFS($B$2:$B$600,B522,$C$2:$C$600,C522)&gt;1,B522&amp;" ("&amp;C522&amp;") "&amp;A522,B522&amp;" ("&amp;C522&amp;")"))</f>
        <v/>
      </c>
      <c r="F522" s="11">
        <f>IF(B522="","",SUMIFS(Entries!$J$2:$J$3000,Entries!$H$2:$H$3000,A522))</f>
        <v/>
      </c>
      <c r="G522" s="11">
        <f>IF(B522="","",_xlfn.MAXIFS(Prizes!$D$2:$D$3000,Prizes!$E$2:$E$3000,A522,Prizes!$G$2:$G$3000,""))</f>
        <v/>
      </c>
      <c r="H522" s="10">
        <f>IF(B522="","",IF(_xlfn.MAXIFS(Levels!$A$2:$A$30,Levels!$A$2:$A$30,"&lt;="&amp;F522)&gt;G522,INDEX(Levels!$B$2:$B$30,MATCH(_xlfn.MAXIFS(Levels!$A$2:$A$30,Levels!$A$2:$A$30,"&lt;="&amp;F522),Levels!$A$2:$A$30,0)),""))</f>
        <v/>
      </c>
      <c r="I522" s="10">
        <f>IF(B522="","",COUNTIFS(Levels!$A$2:$A$30,"&lt;="&amp;F522,Levels!$A$2:$A$30,"&gt;"&amp;G522))</f>
        <v/>
      </c>
      <c r="J522" s="10">
        <f>IF(OR(B522="",TRIM('Find a child'!$B$3)=""),"",IF(ISNUMBER(SEARCH(TRIM('Find a child'!$B$3),B522&amp;" "&amp;C522)),COUNT(J$1:J521)+1,""))</f>
        <v/>
      </c>
    </row>
    <row r="523">
      <c r="A523" s="10" t="inlineStr">
        <is>
          <t>C0522</t>
        </is>
      </c>
      <c r="B523" s="6" t="n"/>
      <c r="C523" s="6" t="n"/>
      <c r="D523" s="6" t="n"/>
      <c r="E523" s="10">
        <f>IF(B523="","",IF(COUNTIFS($B$2:$B$600,B523,$C$2:$C$600,C523)&gt;1,B523&amp;" ("&amp;C523&amp;") "&amp;A523,B523&amp;" ("&amp;C523&amp;")"))</f>
        <v/>
      </c>
      <c r="F523" s="11">
        <f>IF(B523="","",SUMIFS(Entries!$J$2:$J$3000,Entries!$H$2:$H$3000,A523))</f>
        <v/>
      </c>
      <c r="G523" s="11">
        <f>IF(B523="","",_xlfn.MAXIFS(Prizes!$D$2:$D$3000,Prizes!$E$2:$E$3000,A523,Prizes!$G$2:$G$3000,""))</f>
        <v/>
      </c>
      <c r="H523" s="10">
        <f>IF(B523="","",IF(_xlfn.MAXIFS(Levels!$A$2:$A$30,Levels!$A$2:$A$30,"&lt;="&amp;F523)&gt;G523,INDEX(Levels!$B$2:$B$30,MATCH(_xlfn.MAXIFS(Levels!$A$2:$A$30,Levels!$A$2:$A$30,"&lt;="&amp;F523),Levels!$A$2:$A$30,0)),""))</f>
        <v/>
      </c>
      <c r="I523" s="10">
        <f>IF(B523="","",COUNTIFS(Levels!$A$2:$A$30,"&lt;="&amp;F523,Levels!$A$2:$A$30,"&gt;"&amp;G523))</f>
        <v/>
      </c>
      <c r="J523" s="10">
        <f>IF(OR(B523="",TRIM('Find a child'!$B$3)=""),"",IF(ISNUMBER(SEARCH(TRIM('Find a child'!$B$3),B523&amp;" "&amp;C523)),COUNT(J$1:J522)+1,""))</f>
        <v/>
      </c>
    </row>
    <row r="524">
      <c r="A524" s="10" t="inlineStr">
        <is>
          <t>C0523</t>
        </is>
      </c>
      <c r="B524" s="6" t="n"/>
      <c r="C524" s="6" t="n"/>
      <c r="D524" s="6" t="n"/>
      <c r="E524" s="10">
        <f>IF(B524="","",IF(COUNTIFS($B$2:$B$600,B524,$C$2:$C$600,C524)&gt;1,B524&amp;" ("&amp;C524&amp;") "&amp;A524,B524&amp;" ("&amp;C524&amp;")"))</f>
        <v/>
      </c>
      <c r="F524" s="11">
        <f>IF(B524="","",SUMIFS(Entries!$J$2:$J$3000,Entries!$H$2:$H$3000,A524))</f>
        <v/>
      </c>
      <c r="G524" s="11">
        <f>IF(B524="","",_xlfn.MAXIFS(Prizes!$D$2:$D$3000,Prizes!$E$2:$E$3000,A524,Prizes!$G$2:$G$3000,""))</f>
        <v/>
      </c>
      <c r="H524" s="10">
        <f>IF(B524="","",IF(_xlfn.MAXIFS(Levels!$A$2:$A$30,Levels!$A$2:$A$30,"&lt;="&amp;F524)&gt;G524,INDEX(Levels!$B$2:$B$30,MATCH(_xlfn.MAXIFS(Levels!$A$2:$A$30,Levels!$A$2:$A$30,"&lt;="&amp;F524),Levels!$A$2:$A$30,0)),""))</f>
        <v/>
      </c>
      <c r="I524" s="10">
        <f>IF(B524="","",COUNTIFS(Levels!$A$2:$A$30,"&lt;="&amp;F524,Levels!$A$2:$A$30,"&gt;"&amp;G524))</f>
        <v/>
      </c>
      <c r="J524" s="10">
        <f>IF(OR(B524="",TRIM('Find a child'!$B$3)=""),"",IF(ISNUMBER(SEARCH(TRIM('Find a child'!$B$3),B524&amp;" "&amp;C524)),COUNT(J$1:J523)+1,""))</f>
        <v/>
      </c>
    </row>
    <row r="525">
      <c r="A525" s="10" t="inlineStr">
        <is>
          <t>C0524</t>
        </is>
      </c>
      <c r="B525" s="6" t="n"/>
      <c r="C525" s="6" t="n"/>
      <c r="D525" s="6" t="n"/>
      <c r="E525" s="10">
        <f>IF(B525="","",IF(COUNTIFS($B$2:$B$600,B525,$C$2:$C$600,C525)&gt;1,B525&amp;" ("&amp;C525&amp;") "&amp;A525,B525&amp;" ("&amp;C525&amp;")"))</f>
        <v/>
      </c>
      <c r="F525" s="11">
        <f>IF(B525="","",SUMIFS(Entries!$J$2:$J$3000,Entries!$H$2:$H$3000,A525))</f>
        <v/>
      </c>
      <c r="G525" s="11">
        <f>IF(B525="","",_xlfn.MAXIFS(Prizes!$D$2:$D$3000,Prizes!$E$2:$E$3000,A525,Prizes!$G$2:$G$3000,""))</f>
        <v/>
      </c>
      <c r="H525" s="10">
        <f>IF(B525="","",IF(_xlfn.MAXIFS(Levels!$A$2:$A$30,Levels!$A$2:$A$30,"&lt;="&amp;F525)&gt;G525,INDEX(Levels!$B$2:$B$30,MATCH(_xlfn.MAXIFS(Levels!$A$2:$A$30,Levels!$A$2:$A$30,"&lt;="&amp;F525),Levels!$A$2:$A$30,0)),""))</f>
        <v/>
      </c>
      <c r="I525" s="10">
        <f>IF(B525="","",COUNTIFS(Levels!$A$2:$A$30,"&lt;="&amp;F525,Levels!$A$2:$A$30,"&gt;"&amp;G525))</f>
        <v/>
      </c>
      <c r="J525" s="10">
        <f>IF(OR(B525="",TRIM('Find a child'!$B$3)=""),"",IF(ISNUMBER(SEARCH(TRIM('Find a child'!$B$3),B525&amp;" "&amp;C525)),COUNT(J$1:J524)+1,""))</f>
        <v/>
      </c>
    </row>
    <row r="526">
      <c r="A526" s="10" t="inlineStr">
        <is>
          <t>C0525</t>
        </is>
      </c>
      <c r="B526" s="6" t="n"/>
      <c r="C526" s="6" t="n"/>
      <c r="D526" s="6" t="n"/>
      <c r="E526" s="10">
        <f>IF(B526="","",IF(COUNTIFS($B$2:$B$600,B526,$C$2:$C$600,C526)&gt;1,B526&amp;" ("&amp;C526&amp;") "&amp;A526,B526&amp;" ("&amp;C526&amp;")"))</f>
        <v/>
      </c>
      <c r="F526" s="11">
        <f>IF(B526="","",SUMIFS(Entries!$J$2:$J$3000,Entries!$H$2:$H$3000,A526))</f>
        <v/>
      </c>
      <c r="G526" s="11">
        <f>IF(B526="","",_xlfn.MAXIFS(Prizes!$D$2:$D$3000,Prizes!$E$2:$E$3000,A526,Prizes!$G$2:$G$3000,""))</f>
        <v/>
      </c>
      <c r="H526" s="10">
        <f>IF(B526="","",IF(_xlfn.MAXIFS(Levels!$A$2:$A$30,Levels!$A$2:$A$30,"&lt;="&amp;F526)&gt;G526,INDEX(Levels!$B$2:$B$30,MATCH(_xlfn.MAXIFS(Levels!$A$2:$A$30,Levels!$A$2:$A$30,"&lt;="&amp;F526),Levels!$A$2:$A$30,0)),""))</f>
        <v/>
      </c>
      <c r="I526" s="10">
        <f>IF(B526="","",COUNTIFS(Levels!$A$2:$A$30,"&lt;="&amp;F526,Levels!$A$2:$A$30,"&gt;"&amp;G526))</f>
        <v/>
      </c>
      <c r="J526" s="10">
        <f>IF(OR(B526="",TRIM('Find a child'!$B$3)=""),"",IF(ISNUMBER(SEARCH(TRIM('Find a child'!$B$3),B526&amp;" "&amp;C526)),COUNT(J$1:J525)+1,""))</f>
        <v/>
      </c>
    </row>
    <row r="527">
      <c r="A527" s="10" t="inlineStr">
        <is>
          <t>C0526</t>
        </is>
      </c>
      <c r="B527" s="6" t="n"/>
      <c r="C527" s="6" t="n"/>
      <c r="D527" s="6" t="n"/>
      <c r="E527" s="10">
        <f>IF(B527="","",IF(COUNTIFS($B$2:$B$600,B527,$C$2:$C$600,C527)&gt;1,B527&amp;" ("&amp;C527&amp;") "&amp;A527,B527&amp;" ("&amp;C527&amp;")"))</f>
        <v/>
      </c>
      <c r="F527" s="11">
        <f>IF(B527="","",SUMIFS(Entries!$J$2:$J$3000,Entries!$H$2:$H$3000,A527))</f>
        <v/>
      </c>
      <c r="G527" s="11">
        <f>IF(B527="","",_xlfn.MAXIFS(Prizes!$D$2:$D$3000,Prizes!$E$2:$E$3000,A527,Prizes!$G$2:$G$3000,""))</f>
        <v/>
      </c>
      <c r="H527" s="10">
        <f>IF(B527="","",IF(_xlfn.MAXIFS(Levels!$A$2:$A$30,Levels!$A$2:$A$30,"&lt;="&amp;F527)&gt;G527,INDEX(Levels!$B$2:$B$30,MATCH(_xlfn.MAXIFS(Levels!$A$2:$A$30,Levels!$A$2:$A$30,"&lt;="&amp;F527),Levels!$A$2:$A$30,0)),""))</f>
        <v/>
      </c>
      <c r="I527" s="10">
        <f>IF(B527="","",COUNTIFS(Levels!$A$2:$A$30,"&lt;="&amp;F527,Levels!$A$2:$A$30,"&gt;"&amp;G527))</f>
        <v/>
      </c>
      <c r="J527" s="10">
        <f>IF(OR(B527="",TRIM('Find a child'!$B$3)=""),"",IF(ISNUMBER(SEARCH(TRIM('Find a child'!$B$3),B527&amp;" "&amp;C527)),COUNT(J$1:J526)+1,""))</f>
        <v/>
      </c>
    </row>
    <row r="528">
      <c r="A528" s="10" t="inlineStr">
        <is>
          <t>C0527</t>
        </is>
      </c>
      <c r="B528" s="6" t="n"/>
      <c r="C528" s="6" t="n"/>
      <c r="D528" s="6" t="n"/>
      <c r="E528" s="10">
        <f>IF(B528="","",IF(COUNTIFS($B$2:$B$600,B528,$C$2:$C$600,C528)&gt;1,B528&amp;" ("&amp;C528&amp;") "&amp;A528,B528&amp;" ("&amp;C528&amp;")"))</f>
        <v/>
      </c>
      <c r="F528" s="11">
        <f>IF(B528="","",SUMIFS(Entries!$J$2:$J$3000,Entries!$H$2:$H$3000,A528))</f>
        <v/>
      </c>
      <c r="G528" s="11">
        <f>IF(B528="","",_xlfn.MAXIFS(Prizes!$D$2:$D$3000,Prizes!$E$2:$E$3000,A528,Prizes!$G$2:$G$3000,""))</f>
        <v/>
      </c>
      <c r="H528" s="10">
        <f>IF(B528="","",IF(_xlfn.MAXIFS(Levels!$A$2:$A$30,Levels!$A$2:$A$30,"&lt;="&amp;F528)&gt;G528,INDEX(Levels!$B$2:$B$30,MATCH(_xlfn.MAXIFS(Levels!$A$2:$A$30,Levels!$A$2:$A$30,"&lt;="&amp;F528),Levels!$A$2:$A$30,0)),""))</f>
        <v/>
      </c>
      <c r="I528" s="10">
        <f>IF(B528="","",COUNTIFS(Levels!$A$2:$A$30,"&lt;="&amp;F528,Levels!$A$2:$A$30,"&gt;"&amp;G528))</f>
        <v/>
      </c>
      <c r="J528" s="10">
        <f>IF(OR(B528="",TRIM('Find a child'!$B$3)=""),"",IF(ISNUMBER(SEARCH(TRIM('Find a child'!$B$3),B528&amp;" "&amp;C528)),COUNT(J$1:J527)+1,""))</f>
        <v/>
      </c>
    </row>
    <row r="529">
      <c r="A529" s="10" t="inlineStr">
        <is>
          <t>C0528</t>
        </is>
      </c>
      <c r="B529" s="6" t="n"/>
      <c r="C529" s="6" t="n"/>
      <c r="D529" s="6" t="n"/>
      <c r="E529" s="10">
        <f>IF(B529="","",IF(COUNTIFS($B$2:$B$600,B529,$C$2:$C$600,C529)&gt;1,B529&amp;" ("&amp;C529&amp;") "&amp;A529,B529&amp;" ("&amp;C529&amp;")"))</f>
        <v/>
      </c>
      <c r="F529" s="11">
        <f>IF(B529="","",SUMIFS(Entries!$J$2:$J$3000,Entries!$H$2:$H$3000,A529))</f>
        <v/>
      </c>
      <c r="G529" s="11">
        <f>IF(B529="","",_xlfn.MAXIFS(Prizes!$D$2:$D$3000,Prizes!$E$2:$E$3000,A529,Prizes!$G$2:$G$3000,""))</f>
        <v/>
      </c>
      <c r="H529" s="10">
        <f>IF(B529="","",IF(_xlfn.MAXIFS(Levels!$A$2:$A$30,Levels!$A$2:$A$30,"&lt;="&amp;F529)&gt;G529,INDEX(Levels!$B$2:$B$30,MATCH(_xlfn.MAXIFS(Levels!$A$2:$A$30,Levels!$A$2:$A$30,"&lt;="&amp;F529),Levels!$A$2:$A$30,0)),""))</f>
        <v/>
      </c>
      <c r="I529" s="10">
        <f>IF(B529="","",COUNTIFS(Levels!$A$2:$A$30,"&lt;="&amp;F529,Levels!$A$2:$A$30,"&gt;"&amp;G529))</f>
        <v/>
      </c>
      <c r="J529" s="10">
        <f>IF(OR(B529="",TRIM('Find a child'!$B$3)=""),"",IF(ISNUMBER(SEARCH(TRIM('Find a child'!$B$3),B529&amp;" "&amp;C529)),COUNT(J$1:J528)+1,""))</f>
        <v/>
      </c>
    </row>
    <row r="530">
      <c r="A530" s="10" t="inlineStr">
        <is>
          <t>C0529</t>
        </is>
      </c>
      <c r="B530" s="6" t="n"/>
      <c r="C530" s="6" t="n"/>
      <c r="D530" s="6" t="n"/>
      <c r="E530" s="10">
        <f>IF(B530="","",IF(COUNTIFS($B$2:$B$600,B530,$C$2:$C$600,C530)&gt;1,B530&amp;" ("&amp;C530&amp;") "&amp;A530,B530&amp;" ("&amp;C530&amp;")"))</f>
        <v/>
      </c>
      <c r="F530" s="11">
        <f>IF(B530="","",SUMIFS(Entries!$J$2:$J$3000,Entries!$H$2:$H$3000,A530))</f>
        <v/>
      </c>
      <c r="G530" s="11">
        <f>IF(B530="","",_xlfn.MAXIFS(Prizes!$D$2:$D$3000,Prizes!$E$2:$E$3000,A530,Prizes!$G$2:$G$3000,""))</f>
        <v/>
      </c>
      <c r="H530" s="10">
        <f>IF(B530="","",IF(_xlfn.MAXIFS(Levels!$A$2:$A$30,Levels!$A$2:$A$30,"&lt;="&amp;F530)&gt;G530,INDEX(Levels!$B$2:$B$30,MATCH(_xlfn.MAXIFS(Levels!$A$2:$A$30,Levels!$A$2:$A$30,"&lt;="&amp;F530),Levels!$A$2:$A$30,0)),""))</f>
        <v/>
      </c>
      <c r="I530" s="10">
        <f>IF(B530="","",COUNTIFS(Levels!$A$2:$A$30,"&lt;="&amp;F530,Levels!$A$2:$A$30,"&gt;"&amp;G530))</f>
        <v/>
      </c>
      <c r="J530" s="10">
        <f>IF(OR(B530="",TRIM('Find a child'!$B$3)=""),"",IF(ISNUMBER(SEARCH(TRIM('Find a child'!$B$3),B530&amp;" "&amp;C530)),COUNT(J$1:J529)+1,""))</f>
        <v/>
      </c>
    </row>
    <row r="531">
      <c r="A531" s="10" t="inlineStr">
        <is>
          <t>C0530</t>
        </is>
      </c>
      <c r="B531" s="6" t="n"/>
      <c r="C531" s="6" t="n"/>
      <c r="D531" s="6" t="n"/>
      <c r="E531" s="10">
        <f>IF(B531="","",IF(COUNTIFS($B$2:$B$600,B531,$C$2:$C$600,C531)&gt;1,B531&amp;" ("&amp;C531&amp;") "&amp;A531,B531&amp;" ("&amp;C531&amp;")"))</f>
        <v/>
      </c>
      <c r="F531" s="11">
        <f>IF(B531="","",SUMIFS(Entries!$J$2:$J$3000,Entries!$H$2:$H$3000,A531))</f>
        <v/>
      </c>
      <c r="G531" s="11">
        <f>IF(B531="","",_xlfn.MAXIFS(Prizes!$D$2:$D$3000,Prizes!$E$2:$E$3000,A531,Prizes!$G$2:$G$3000,""))</f>
        <v/>
      </c>
      <c r="H531" s="10">
        <f>IF(B531="","",IF(_xlfn.MAXIFS(Levels!$A$2:$A$30,Levels!$A$2:$A$30,"&lt;="&amp;F531)&gt;G531,INDEX(Levels!$B$2:$B$30,MATCH(_xlfn.MAXIFS(Levels!$A$2:$A$30,Levels!$A$2:$A$30,"&lt;="&amp;F531),Levels!$A$2:$A$30,0)),""))</f>
        <v/>
      </c>
      <c r="I531" s="10">
        <f>IF(B531="","",COUNTIFS(Levels!$A$2:$A$30,"&lt;="&amp;F531,Levels!$A$2:$A$30,"&gt;"&amp;G531))</f>
        <v/>
      </c>
      <c r="J531" s="10">
        <f>IF(OR(B531="",TRIM('Find a child'!$B$3)=""),"",IF(ISNUMBER(SEARCH(TRIM('Find a child'!$B$3),B531&amp;" "&amp;C531)),COUNT(J$1:J530)+1,""))</f>
        <v/>
      </c>
    </row>
    <row r="532">
      <c r="A532" s="10" t="inlineStr">
        <is>
          <t>C0531</t>
        </is>
      </c>
      <c r="B532" s="6" t="n"/>
      <c r="C532" s="6" t="n"/>
      <c r="D532" s="6" t="n"/>
      <c r="E532" s="10">
        <f>IF(B532="","",IF(COUNTIFS($B$2:$B$600,B532,$C$2:$C$600,C532)&gt;1,B532&amp;" ("&amp;C532&amp;") "&amp;A532,B532&amp;" ("&amp;C532&amp;")"))</f>
        <v/>
      </c>
      <c r="F532" s="11">
        <f>IF(B532="","",SUMIFS(Entries!$J$2:$J$3000,Entries!$H$2:$H$3000,A532))</f>
        <v/>
      </c>
      <c r="G532" s="11">
        <f>IF(B532="","",_xlfn.MAXIFS(Prizes!$D$2:$D$3000,Prizes!$E$2:$E$3000,A532,Prizes!$G$2:$G$3000,""))</f>
        <v/>
      </c>
      <c r="H532" s="10">
        <f>IF(B532="","",IF(_xlfn.MAXIFS(Levels!$A$2:$A$30,Levels!$A$2:$A$30,"&lt;="&amp;F532)&gt;G532,INDEX(Levels!$B$2:$B$30,MATCH(_xlfn.MAXIFS(Levels!$A$2:$A$30,Levels!$A$2:$A$30,"&lt;="&amp;F532),Levels!$A$2:$A$30,0)),""))</f>
        <v/>
      </c>
      <c r="I532" s="10">
        <f>IF(B532="","",COUNTIFS(Levels!$A$2:$A$30,"&lt;="&amp;F532,Levels!$A$2:$A$30,"&gt;"&amp;G532))</f>
        <v/>
      </c>
      <c r="J532" s="10">
        <f>IF(OR(B532="",TRIM('Find a child'!$B$3)=""),"",IF(ISNUMBER(SEARCH(TRIM('Find a child'!$B$3),B532&amp;" "&amp;C532)),COUNT(J$1:J531)+1,""))</f>
        <v/>
      </c>
    </row>
    <row r="533">
      <c r="A533" s="10" t="inlineStr">
        <is>
          <t>C0532</t>
        </is>
      </c>
      <c r="B533" s="6" t="n"/>
      <c r="C533" s="6" t="n"/>
      <c r="D533" s="6" t="n"/>
      <c r="E533" s="10">
        <f>IF(B533="","",IF(COUNTIFS($B$2:$B$600,B533,$C$2:$C$600,C533)&gt;1,B533&amp;" ("&amp;C533&amp;") "&amp;A533,B533&amp;" ("&amp;C533&amp;")"))</f>
        <v/>
      </c>
      <c r="F533" s="11">
        <f>IF(B533="","",SUMIFS(Entries!$J$2:$J$3000,Entries!$H$2:$H$3000,A533))</f>
        <v/>
      </c>
      <c r="G533" s="11">
        <f>IF(B533="","",_xlfn.MAXIFS(Prizes!$D$2:$D$3000,Prizes!$E$2:$E$3000,A533,Prizes!$G$2:$G$3000,""))</f>
        <v/>
      </c>
      <c r="H533" s="10">
        <f>IF(B533="","",IF(_xlfn.MAXIFS(Levels!$A$2:$A$30,Levels!$A$2:$A$30,"&lt;="&amp;F533)&gt;G533,INDEX(Levels!$B$2:$B$30,MATCH(_xlfn.MAXIFS(Levels!$A$2:$A$30,Levels!$A$2:$A$30,"&lt;="&amp;F533),Levels!$A$2:$A$30,0)),""))</f>
        <v/>
      </c>
      <c r="I533" s="10">
        <f>IF(B533="","",COUNTIFS(Levels!$A$2:$A$30,"&lt;="&amp;F533,Levels!$A$2:$A$30,"&gt;"&amp;G533))</f>
        <v/>
      </c>
      <c r="J533" s="10">
        <f>IF(OR(B533="",TRIM('Find a child'!$B$3)=""),"",IF(ISNUMBER(SEARCH(TRIM('Find a child'!$B$3),B533&amp;" "&amp;C533)),COUNT(J$1:J532)+1,""))</f>
        <v/>
      </c>
    </row>
    <row r="534">
      <c r="A534" s="10" t="inlineStr">
        <is>
          <t>C0533</t>
        </is>
      </c>
      <c r="B534" s="6" t="n"/>
      <c r="C534" s="6" t="n"/>
      <c r="D534" s="6" t="n"/>
      <c r="E534" s="10">
        <f>IF(B534="","",IF(COUNTIFS($B$2:$B$600,B534,$C$2:$C$600,C534)&gt;1,B534&amp;" ("&amp;C534&amp;") "&amp;A534,B534&amp;" ("&amp;C534&amp;")"))</f>
        <v/>
      </c>
      <c r="F534" s="11">
        <f>IF(B534="","",SUMIFS(Entries!$J$2:$J$3000,Entries!$H$2:$H$3000,A534))</f>
        <v/>
      </c>
      <c r="G534" s="11">
        <f>IF(B534="","",_xlfn.MAXIFS(Prizes!$D$2:$D$3000,Prizes!$E$2:$E$3000,A534,Prizes!$G$2:$G$3000,""))</f>
        <v/>
      </c>
      <c r="H534" s="10">
        <f>IF(B534="","",IF(_xlfn.MAXIFS(Levels!$A$2:$A$30,Levels!$A$2:$A$30,"&lt;="&amp;F534)&gt;G534,INDEX(Levels!$B$2:$B$30,MATCH(_xlfn.MAXIFS(Levels!$A$2:$A$30,Levels!$A$2:$A$30,"&lt;="&amp;F534),Levels!$A$2:$A$30,0)),""))</f>
        <v/>
      </c>
      <c r="I534" s="10">
        <f>IF(B534="","",COUNTIFS(Levels!$A$2:$A$30,"&lt;="&amp;F534,Levels!$A$2:$A$30,"&gt;"&amp;G534))</f>
        <v/>
      </c>
      <c r="J534" s="10">
        <f>IF(OR(B534="",TRIM('Find a child'!$B$3)=""),"",IF(ISNUMBER(SEARCH(TRIM('Find a child'!$B$3),B534&amp;" "&amp;C534)),COUNT(J$1:J533)+1,""))</f>
        <v/>
      </c>
    </row>
    <row r="535">
      <c r="A535" s="10" t="inlineStr">
        <is>
          <t>C0534</t>
        </is>
      </c>
      <c r="B535" s="6" t="n"/>
      <c r="C535" s="6" t="n"/>
      <c r="D535" s="6" t="n"/>
      <c r="E535" s="10">
        <f>IF(B535="","",IF(COUNTIFS($B$2:$B$600,B535,$C$2:$C$600,C535)&gt;1,B535&amp;" ("&amp;C535&amp;") "&amp;A535,B535&amp;" ("&amp;C535&amp;")"))</f>
        <v/>
      </c>
      <c r="F535" s="11">
        <f>IF(B535="","",SUMIFS(Entries!$J$2:$J$3000,Entries!$H$2:$H$3000,A535))</f>
        <v/>
      </c>
      <c r="G535" s="11">
        <f>IF(B535="","",_xlfn.MAXIFS(Prizes!$D$2:$D$3000,Prizes!$E$2:$E$3000,A535,Prizes!$G$2:$G$3000,""))</f>
        <v/>
      </c>
      <c r="H535" s="10">
        <f>IF(B535="","",IF(_xlfn.MAXIFS(Levels!$A$2:$A$30,Levels!$A$2:$A$30,"&lt;="&amp;F535)&gt;G535,INDEX(Levels!$B$2:$B$30,MATCH(_xlfn.MAXIFS(Levels!$A$2:$A$30,Levels!$A$2:$A$30,"&lt;="&amp;F535),Levels!$A$2:$A$30,0)),""))</f>
        <v/>
      </c>
      <c r="I535" s="10">
        <f>IF(B535="","",COUNTIFS(Levels!$A$2:$A$30,"&lt;="&amp;F535,Levels!$A$2:$A$30,"&gt;"&amp;G535))</f>
        <v/>
      </c>
      <c r="J535" s="10">
        <f>IF(OR(B535="",TRIM('Find a child'!$B$3)=""),"",IF(ISNUMBER(SEARCH(TRIM('Find a child'!$B$3),B535&amp;" "&amp;C535)),COUNT(J$1:J534)+1,""))</f>
        <v/>
      </c>
    </row>
    <row r="536">
      <c r="A536" s="10" t="inlineStr">
        <is>
          <t>C0535</t>
        </is>
      </c>
      <c r="B536" s="6" t="n"/>
      <c r="C536" s="6" t="n"/>
      <c r="D536" s="6" t="n"/>
      <c r="E536" s="10">
        <f>IF(B536="","",IF(COUNTIFS($B$2:$B$600,B536,$C$2:$C$600,C536)&gt;1,B536&amp;" ("&amp;C536&amp;") "&amp;A536,B536&amp;" ("&amp;C536&amp;")"))</f>
        <v/>
      </c>
      <c r="F536" s="11">
        <f>IF(B536="","",SUMIFS(Entries!$J$2:$J$3000,Entries!$H$2:$H$3000,A536))</f>
        <v/>
      </c>
      <c r="G536" s="11">
        <f>IF(B536="","",_xlfn.MAXIFS(Prizes!$D$2:$D$3000,Prizes!$E$2:$E$3000,A536,Prizes!$G$2:$G$3000,""))</f>
        <v/>
      </c>
      <c r="H536" s="10">
        <f>IF(B536="","",IF(_xlfn.MAXIFS(Levels!$A$2:$A$30,Levels!$A$2:$A$30,"&lt;="&amp;F536)&gt;G536,INDEX(Levels!$B$2:$B$30,MATCH(_xlfn.MAXIFS(Levels!$A$2:$A$30,Levels!$A$2:$A$30,"&lt;="&amp;F536),Levels!$A$2:$A$30,0)),""))</f>
        <v/>
      </c>
      <c r="I536" s="10">
        <f>IF(B536="","",COUNTIFS(Levels!$A$2:$A$30,"&lt;="&amp;F536,Levels!$A$2:$A$30,"&gt;"&amp;G536))</f>
        <v/>
      </c>
      <c r="J536" s="10">
        <f>IF(OR(B536="",TRIM('Find a child'!$B$3)=""),"",IF(ISNUMBER(SEARCH(TRIM('Find a child'!$B$3),B536&amp;" "&amp;C536)),COUNT(J$1:J535)+1,""))</f>
        <v/>
      </c>
    </row>
    <row r="537">
      <c r="A537" s="10" t="inlineStr">
        <is>
          <t>C0536</t>
        </is>
      </c>
      <c r="B537" s="6" t="n"/>
      <c r="C537" s="6" t="n"/>
      <c r="D537" s="6" t="n"/>
      <c r="E537" s="10">
        <f>IF(B537="","",IF(COUNTIFS($B$2:$B$600,B537,$C$2:$C$600,C537)&gt;1,B537&amp;" ("&amp;C537&amp;") "&amp;A537,B537&amp;" ("&amp;C537&amp;")"))</f>
        <v/>
      </c>
      <c r="F537" s="11">
        <f>IF(B537="","",SUMIFS(Entries!$J$2:$J$3000,Entries!$H$2:$H$3000,A537))</f>
        <v/>
      </c>
      <c r="G537" s="11">
        <f>IF(B537="","",_xlfn.MAXIFS(Prizes!$D$2:$D$3000,Prizes!$E$2:$E$3000,A537,Prizes!$G$2:$G$3000,""))</f>
        <v/>
      </c>
      <c r="H537" s="10">
        <f>IF(B537="","",IF(_xlfn.MAXIFS(Levels!$A$2:$A$30,Levels!$A$2:$A$30,"&lt;="&amp;F537)&gt;G537,INDEX(Levels!$B$2:$B$30,MATCH(_xlfn.MAXIFS(Levels!$A$2:$A$30,Levels!$A$2:$A$30,"&lt;="&amp;F537),Levels!$A$2:$A$30,0)),""))</f>
        <v/>
      </c>
      <c r="I537" s="10">
        <f>IF(B537="","",COUNTIFS(Levels!$A$2:$A$30,"&lt;="&amp;F537,Levels!$A$2:$A$30,"&gt;"&amp;G537))</f>
        <v/>
      </c>
      <c r="J537" s="10">
        <f>IF(OR(B537="",TRIM('Find a child'!$B$3)=""),"",IF(ISNUMBER(SEARCH(TRIM('Find a child'!$B$3),B537&amp;" "&amp;C537)),COUNT(J$1:J536)+1,""))</f>
        <v/>
      </c>
    </row>
    <row r="538">
      <c r="A538" s="10" t="inlineStr">
        <is>
          <t>C0537</t>
        </is>
      </c>
      <c r="B538" s="6" t="n"/>
      <c r="C538" s="6" t="n"/>
      <c r="D538" s="6" t="n"/>
      <c r="E538" s="10">
        <f>IF(B538="","",IF(COUNTIFS($B$2:$B$600,B538,$C$2:$C$600,C538)&gt;1,B538&amp;" ("&amp;C538&amp;") "&amp;A538,B538&amp;" ("&amp;C538&amp;")"))</f>
        <v/>
      </c>
      <c r="F538" s="11">
        <f>IF(B538="","",SUMIFS(Entries!$J$2:$J$3000,Entries!$H$2:$H$3000,A538))</f>
        <v/>
      </c>
      <c r="G538" s="11">
        <f>IF(B538="","",_xlfn.MAXIFS(Prizes!$D$2:$D$3000,Prizes!$E$2:$E$3000,A538,Prizes!$G$2:$G$3000,""))</f>
        <v/>
      </c>
      <c r="H538" s="10">
        <f>IF(B538="","",IF(_xlfn.MAXIFS(Levels!$A$2:$A$30,Levels!$A$2:$A$30,"&lt;="&amp;F538)&gt;G538,INDEX(Levels!$B$2:$B$30,MATCH(_xlfn.MAXIFS(Levels!$A$2:$A$30,Levels!$A$2:$A$30,"&lt;="&amp;F538),Levels!$A$2:$A$30,0)),""))</f>
        <v/>
      </c>
      <c r="I538" s="10">
        <f>IF(B538="","",COUNTIFS(Levels!$A$2:$A$30,"&lt;="&amp;F538,Levels!$A$2:$A$30,"&gt;"&amp;G538))</f>
        <v/>
      </c>
      <c r="J538" s="10">
        <f>IF(OR(B538="",TRIM('Find a child'!$B$3)=""),"",IF(ISNUMBER(SEARCH(TRIM('Find a child'!$B$3),B538&amp;" "&amp;C538)),COUNT(J$1:J537)+1,""))</f>
        <v/>
      </c>
    </row>
    <row r="539">
      <c r="A539" s="10" t="inlineStr">
        <is>
          <t>C0538</t>
        </is>
      </c>
      <c r="B539" s="6" t="n"/>
      <c r="C539" s="6" t="n"/>
      <c r="D539" s="6" t="n"/>
      <c r="E539" s="10">
        <f>IF(B539="","",IF(COUNTIFS($B$2:$B$600,B539,$C$2:$C$600,C539)&gt;1,B539&amp;" ("&amp;C539&amp;") "&amp;A539,B539&amp;" ("&amp;C539&amp;")"))</f>
        <v/>
      </c>
      <c r="F539" s="11">
        <f>IF(B539="","",SUMIFS(Entries!$J$2:$J$3000,Entries!$H$2:$H$3000,A539))</f>
        <v/>
      </c>
      <c r="G539" s="11">
        <f>IF(B539="","",_xlfn.MAXIFS(Prizes!$D$2:$D$3000,Prizes!$E$2:$E$3000,A539,Prizes!$G$2:$G$3000,""))</f>
        <v/>
      </c>
      <c r="H539" s="10">
        <f>IF(B539="","",IF(_xlfn.MAXIFS(Levels!$A$2:$A$30,Levels!$A$2:$A$30,"&lt;="&amp;F539)&gt;G539,INDEX(Levels!$B$2:$B$30,MATCH(_xlfn.MAXIFS(Levels!$A$2:$A$30,Levels!$A$2:$A$30,"&lt;="&amp;F539),Levels!$A$2:$A$30,0)),""))</f>
        <v/>
      </c>
      <c r="I539" s="10">
        <f>IF(B539="","",COUNTIFS(Levels!$A$2:$A$30,"&lt;="&amp;F539,Levels!$A$2:$A$30,"&gt;"&amp;G539))</f>
        <v/>
      </c>
      <c r="J539" s="10">
        <f>IF(OR(B539="",TRIM('Find a child'!$B$3)=""),"",IF(ISNUMBER(SEARCH(TRIM('Find a child'!$B$3),B539&amp;" "&amp;C539)),COUNT(J$1:J538)+1,""))</f>
        <v/>
      </c>
    </row>
    <row r="540">
      <c r="A540" s="10" t="inlineStr">
        <is>
          <t>C0539</t>
        </is>
      </c>
      <c r="B540" s="6" t="n"/>
      <c r="C540" s="6" t="n"/>
      <c r="D540" s="6" t="n"/>
      <c r="E540" s="10">
        <f>IF(B540="","",IF(COUNTIFS($B$2:$B$600,B540,$C$2:$C$600,C540)&gt;1,B540&amp;" ("&amp;C540&amp;") "&amp;A540,B540&amp;" ("&amp;C540&amp;")"))</f>
        <v/>
      </c>
      <c r="F540" s="11">
        <f>IF(B540="","",SUMIFS(Entries!$J$2:$J$3000,Entries!$H$2:$H$3000,A540))</f>
        <v/>
      </c>
      <c r="G540" s="11">
        <f>IF(B540="","",_xlfn.MAXIFS(Prizes!$D$2:$D$3000,Prizes!$E$2:$E$3000,A540,Prizes!$G$2:$G$3000,""))</f>
        <v/>
      </c>
      <c r="H540" s="10">
        <f>IF(B540="","",IF(_xlfn.MAXIFS(Levels!$A$2:$A$30,Levels!$A$2:$A$30,"&lt;="&amp;F540)&gt;G540,INDEX(Levels!$B$2:$B$30,MATCH(_xlfn.MAXIFS(Levels!$A$2:$A$30,Levels!$A$2:$A$30,"&lt;="&amp;F540),Levels!$A$2:$A$30,0)),""))</f>
        <v/>
      </c>
      <c r="I540" s="10">
        <f>IF(B540="","",COUNTIFS(Levels!$A$2:$A$30,"&lt;="&amp;F540,Levels!$A$2:$A$30,"&gt;"&amp;G540))</f>
        <v/>
      </c>
      <c r="J540" s="10">
        <f>IF(OR(B540="",TRIM('Find a child'!$B$3)=""),"",IF(ISNUMBER(SEARCH(TRIM('Find a child'!$B$3),B540&amp;" "&amp;C540)),COUNT(J$1:J539)+1,""))</f>
        <v/>
      </c>
    </row>
    <row r="541">
      <c r="A541" s="10" t="inlineStr">
        <is>
          <t>C0540</t>
        </is>
      </c>
      <c r="B541" s="6" t="n"/>
      <c r="C541" s="6" t="n"/>
      <c r="D541" s="6" t="n"/>
      <c r="E541" s="10">
        <f>IF(B541="","",IF(COUNTIFS($B$2:$B$600,B541,$C$2:$C$600,C541)&gt;1,B541&amp;" ("&amp;C541&amp;") "&amp;A541,B541&amp;" ("&amp;C541&amp;")"))</f>
        <v/>
      </c>
      <c r="F541" s="11">
        <f>IF(B541="","",SUMIFS(Entries!$J$2:$J$3000,Entries!$H$2:$H$3000,A541))</f>
        <v/>
      </c>
      <c r="G541" s="11">
        <f>IF(B541="","",_xlfn.MAXIFS(Prizes!$D$2:$D$3000,Prizes!$E$2:$E$3000,A541,Prizes!$G$2:$G$3000,""))</f>
        <v/>
      </c>
      <c r="H541" s="10">
        <f>IF(B541="","",IF(_xlfn.MAXIFS(Levels!$A$2:$A$30,Levels!$A$2:$A$30,"&lt;="&amp;F541)&gt;G541,INDEX(Levels!$B$2:$B$30,MATCH(_xlfn.MAXIFS(Levels!$A$2:$A$30,Levels!$A$2:$A$30,"&lt;="&amp;F541),Levels!$A$2:$A$30,0)),""))</f>
        <v/>
      </c>
      <c r="I541" s="10">
        <f>IF(B541="","",COUNTIFS(Levels!$A$2:$A$30,"&lt;="&amp;F541,Levels!$A$2:$A$30,"&gt;"&amp;G541))</f>
        <v/>
      </c>
      <c r="J541" s="10">
        <f>IF(OR(B541="",TRIM('Find a child'!$B$3)=""),"",IF(ISNUMBER(SEARCH(TRIM('Find a child'!$B$3),B541&amp;" "&amp;C541)),COUNT(J$1:J540)+1,""))</f>
        <v/>
      </c>
    </row>
    <row r="542">
      <c r="A542" s="10" t="inlineStr">
        <is>
          <t>C0541</t>
        </is>
      </c>
      <c r="B542" s="6" t="n"/>
      <c r="C542" s="6" t="n"/>
      <c r="D542" s="6" t="n"/>
      <c r="E542" s="10">
        <f>IF(B542="","",IF(COUNTIFS($B$2:$B$600,B542,$C$2:$C$600,C542)&gt;1,B542&amp;" ("&amp;C542&amp;") "&amp;A542,B542&amp;" ("&amp;C542&amp;")"))</f>
        <v/>
      </c>
      <c r="F542" s="11">
        <f>IF(B542="","",SUMIFS(Entries!$J$2:$J$3000,Entries!$H$2:$H$3000,A542))</f>
        <v/>
      </c>
      <c r="G542" s="11">
        <f>IF(B542="","",_xlfn.MAXIFS(Prizes!$D$2:$D$3000,Prizes!$E$2:$E$3000,A542,Prizes!$G$2:$G$3000,""))</f>
        <v/>
      </c>
      <c r="H542" s="10">
        <f>IF(B542="","",IF(_xlfn.MAXIFS(Levels!$A$2:$A$30,Levels!$A$2:$A$30,"&lt;="&amp;F542)&gt;G542,INDEX(Levels!$B$2:$B$30,MATCH(_xlfn.MAXIFS(Levels!$A$2:$A$30,Levels!$A$2:$A$30,"&lt;="&amp;F542),Levels!$A$2:$A$30,0)),""))</f>
        <v/>
      </c>
      <c r="I542" s="10">
        <f>IF(B542="","",COUNTIFS(Levels!$A$2:$A$30,"&lt;="&amp;F542,Levels!$A$2:$A$30,"&gt;"&amp;G542))</f>
        <v/>
      </c>
      <c r="J542" s="10">
        <f>IF(OR(B542="",TRIM('Find a child'!$B$3)=""),"",IF(ISNUMBER(SEARCH(TRIM('Find a child'!$B$3),B542&amp;" "&amp;C542)),COUNT(J$1:J541)+1,""))</f>
        <v/>
      </c>
    </row>
    <row r="543">
      <c r="A543" s="10" t="inlineStr">
        <is>
          <t>C0542</t>
        </is>
      </c>
      <c r="B543" s="6" t="n"/>
      <c r="C543" s="6" t="n"/>
      <c r="D543" s="6" t="n"/>
      <c r="E543" s="10">
        <f>IF(B543="","",IF(COUNTIFS($B$2:$B$600,B543,$C$2:$C$600,C543)&gt;1,B543&amp;" ("&amp;C543&amp;") "&amp;A543,B543&amp;" ("&amp;C543&amp;")"))</f>
        <v/>
      </c>
      <c r="F543" s="11">
        <f>IF(B543="","",SUMIFS(Entries!$J$2:$J$3000,Entries!$H$2:$H$3000,A543))</f>
        <v/>
      </c>
      <c r="G543" s="11">
        <f>IF(B543="","",_xlfn.MAXIFS(Prizes!$D$2:$D$3000,Prizes!$E$2:$E$3000,A543,Prizes!$G$2:$G$3000,""))</f>
        <v/>
      </c>
      <c r="H543" s="10">
        <f>IF(B543="","",IF(_xlfn.MAXIFS(Levels!$A$2:$A$30,Levels!$A$2:$A$30,"&lt;="&amp;F543)&gt;G543,INDEX(Levels!$B$2:$B$30,MATCH(_xlfn.MAXIFS(Levels!$A$2:$A$30,Levels!$A$2:$A$30,"&lt;="&amp;F543),Levels!$A$2:$A$30,0)),""))</f>
        <v/>
      </c>
      <c r="I543" s="10">
        <f>IF(B543="","",COUNTIFS(Levels!$A$2:$A$30,"&lt;="&amp;F543,Levels!$A$2:$A$30,"&gt;"&amp;G543))</f>
        <v/>
      </c>
      <c r="J543" s="10">
        <f>IF(OR(B543="",TRIM('Find a child'!$B$3)=""),"",IF(ISNUMBER(SEARCH(TRIM('Find a child'!$B$3),B543&amp;" "&amp;C543)),COUNT(J$1:J542)+1,""))</f>
        <v/>
      </c>
    </row>
    <row r="544">
      <c r="A544" s="10" t="inlineStr">
        <is>
          <t>C0543</t>
        </is>
      </c>
      <c r="B544" s="6" t="n"/>
      <c r="C544" s="6" t="n"/>
      <c r="D544" s="6" t="n"/>
      <c r="E544" s="10">
        <f>IF(B544="","",IF(COUNTIFS($B$2:$B$600,B544,$C$2:$C$600,C544)&gt;1,B544&amp;" ("&amp;C544&amp;") "&amp;A544,B544&amp;" ("&amp;C544&amp;")"))</f>
        <v/>
      </c>
      <c r="F544" s="11">
        <f>IF(B544="","",SUMIFS(Entries!$J$2:$J$3000,Entries!$H$2:$H$3000,A544))</f>
        <v/>
      </c>
      <c r="G544" s="11">
        <f>IF(B544="","",_xlfn.MAXIFS(Prizes!$D$2:$D$3000,Prizes!$E$2:$E$3000,A544,Prizes!$G$2:$G$3000,""))</f>
        <v/>
      </c>
      <c r="H544" s="10">
        <f>IF(B544="","",IF(_xlfn.MAXIFS(Levels!$A$2:$A$30,Levels!$A$2:$A$30,"&lt;="&amp;F544)&gt;G544,INDEX(Levels!$B$2:$B$30,MATCH(_xlfn.MAXIFS(Levels!$A$2:$A$30,Levels!$A$2:$A$30,"&lt;="&amp;F544),Levels!$A$2:$A$30,0)),""))</f>
        <v/>
      </c>
      <c r="I544" s="10">
        <f>IF(B544="","",COUNTIFS(Levels!$A$2:$A$30,"&lt;="&amp;F544,Levels!$A$2:$A$30,"&gt;"&amp;G544))</f>
        <v/>
      </c>
      <c r="J544" s="10">
        <f>IF(OR(B544="",TRIM('Find a child'!$B$3)=""),"",IF(ISNUMBER(SEARCH(TRIM('Find a child'!$B$3),B544&amp;" "&amp;C544)),COUNT(J$1:J543)+1,""))</f>
        <v/>
      </c>
    </row>
    <row r="545">
      <c r="A545" s="10" t="inlineStr">
        <is>
          <t>C0544</t>
        </is>
      </c>
      <c r="B545" s="6" t="n"/>
      <c r="C545" s="6" t="n"/>
      <c r="D545" s="6" t="n"/>
      <c r="E545" s="10">
        <f>IF(B545="","",IF(COUNTIFS($B$2:$B$600,B545,$C$2:$C$600,C545)&gt;1,B545&amp;" ("&amp;C545&amp;") "&amp;A545,B545&amp;" ("&amp;C545&amp;")"))</f>
        <v/>
      </c>
      <c r="F545" s="11">
        <f>IF(B545="","",SUMIFS(Entries!$J$2:$J$3000,Entries!$H$2:$H$3000,A545))</f>
        <v/>
      </c>
      <c r="G545" s="11">
        <f>IF(B545="","",_xlfn.MAXIFS(Prizes!$D$2:$D$3000,Prizes!$E$2:$E$3000,A545,Prizes!$G$2:$G$3000,""))</f>
        <v/>
      </c>
      <c r="H545" s="10">
        <f>IF(B545="","",IF(_xlfn.MAXIFS(Levels!$A$2:$A$30,Levels!$A$2:$A$30,"&lt;="&amp;F545)&gt;G545,INDEX(Levels!$B$2:$B$30,MATCH(_xlfn.MAXIFS(Levels!$A$2:$A$30,Levels!$A$2:$A$30,"&lt;="&amp;F545),Levels!$A$2:$A$30,0)),""))</f>
        <v/>
      </c>
      <c r="I545" s="10">
        <f>IF(B545="","",COUNTIFS(Levels!$A$2:$A$30,"&lt;="&amp;F545,Levels!$A$2:$A$30,"&gt;"&amp;G545))</f>
        <v/>
      </c>
      <c r="J545" s="10">
        <f>IF(OR(B545="",TRIM('Find a child'!$B$3)=""),"",IF(ISNUMBER(SEARCH(TRIM('Find a child'!$B$3),B545&amp;" "&amp;C545)),COUNT(J$1:J544)+1,""))</f>
        <v/>
      </c>
    </row>
    <row r="546">
      <c r="A546" s="10" t="inlineStr">
        <is>
          <t>C0545</t>
        </is>
      </c>
      <c r="B546" s="6" t="n"/>
      <c r="C546" s="6" t="n"/>
      <c r="D546" s="6" t="n"/>
      <c r="E546" s="10">
        <f>IF(B546="","",IF(COUNTIFS($B$2:$B$600,B546,$C$2:$C$600,C546)&gt;1,B546&amp;" ("&amp;C546&amp;") "&amp;A546,B546&amp;" ("&amp;C546&amp;")"))</f>
        <v/>
      </c>
      <c r="F546" s="11">
        <f>IF(B546="","",SUMIFS(Entries!$J$2:$J$3000,Entries!$H$2:$H$3000,A546))</f>
        <v/>
      </c>
      <c r="G546" s="11">
        <f>IF(B546="","",_xlfn.MAXIFS(Prizes!$D$2:$D$3000,Prizes!$E$2:$E$3000,A546,Prizes!$G$2:$G$3000,""))</f>
        <v/>
      </c>
      <c r="H546" s="10">
        <f>IF(B546="","",IF(_xlfn.MAXIFS(Levels!$A$2:$A$30,Levels!$A$2:$A$30,"&lt;="&amp;F546)&gt;G546,INDEX(Levels!$B$2:$B$30,MATCH(_xlfn.MAXIFS(Levels!$A$2:$A$30,Levels!$A$2:$A$30,"&lt;="&amp;F546),Levels!$A$2:$A$30,0)),""))</f>
        <v/>
      </c>
      <c r="I546" s="10">
        <f>IF(B546="","",COUNTIFS(Levels!$A$2:$A$30,"&lt;="&amp;F546,Levels!$A$2:$A$30,"&gt;"&amp;G546))</f>
        <v/>
      </c>
      <c r="J546" s="10">
        <f>IF(OR(B546="",TRIM('Find a child'!$B$3)=""),"",IF(ISNUMBER(SEARCH(TRIM('Find a child'!$B$3),B546&amp;" "&amp;C546)),COUNT(J$1:J545)+1,""))</f>
        <v/>
      </c>
    </row>
    <row r="547">
      <c r="A547" s="10" t="inlineStr">
        <is>
          <t>C0546</t>
        </is>
      </c>
      <c r="B547" s="6" t="n"/>
      <c r="C547" s="6" t="n"/>
      <c r="D547" s="6" t="n"/>
      <c r="E547" s="10">
        <f>IF(B547="","",IF(COUNTIFS($B$2:$B$600,B547,$C$2:$C$600,C547)&gt;1,B547&amp;" ("&amp;C547&amp;") "&amp;A547,B547&amp;" ("&amp;C547&amp;")"))</f>
        <v/>
      </c>
      <c r="F547" s="11">
        <f>IF(B547="","",SUMIFS(Entries!$J$2:$J$3000,Entries!$H$2:$H$3000,A547))</f>
        <v/>
      </c>
      <c r="G547" s="11">
        <f>IF(B547="","",_xlfn.MAXIFS(Prizes!$D$2:$D$3000,Prizes!$E$2:$E$3000,A547,Prizes!$G$2:$G$3000,""))</f>
        <v/>
      </c>
      <c r="H547" s="10">
        <f>IF(B547="","",IF(_xlfn.MAXIFS(Levels!$A$2:$A$30,Levels!$A$2:$A$30,"&lt;="&amp;F547)&gt;G547,INDEX(Levels!$B$2:$B$30,MATCH(_xlfn.MAXIFS(Levels!$A$2:$A$30,Levels!$A$2:$A$30,"&lt;="&amp;F547),Levels!$A$2:$A$30,0)),""))</f>
        <v/>
      </c>
      <c r="I547" s="10">
        <f>IF(B547="","",COUNTIFS(Levels!$A$2:$A$30,"&lt;="&amp;F547,Levels!$A$2:$A$30,"&gt;"&amp;G547))</f>
        <v/>
      </c>
      <c r="J547" s="10">
        <f>IF(OR(B547="",TRIM('Find a child'!$B$3)=""),"",IF(ISNUMBER(SEARCH(TRIM('Find a child'!$B$3),B547&amp;" "&amp;C547)),COUNT(J$1:J546)+1,""))</f>
        <v/>
      </c>
    </row>
    <row r="548">
      <c r="A548" s="10" t="inlineStr">
        <is>
          <t>C0547</t>
        </is>
      </c>
      <c r="B548" s="6" t="n"/>
      <c r="C548" s="6" t="n"/>
      <c r="D548" s="6" t="n"/>
      <c r="E548" s="10">
        <f>IF(B548="","",IF(COUNTIFS($B$2:$B$600,B548,$C$2:$C$600,C548)&gt;1,B548&amp;" ("&amp;C548&amp;") "&amp;A548,B548&amp;" ("&amp;C548&amp;")"))</f>
        <v/>
      </c>
      <c r="F548" s="11">
        <f>IF(B548="","",SUMIFS(Entries!$J$2:$J$3000,Entries!$H$2:$H$3000,A548))</f>
        <v/>
      </c>
      <c r="G548" s="11">
        <f>IF(B548="","",_xlfn.MAXIFS(Prizes!$D$2:$D$3000,Prizes!$E$2:$E$3000,A548,Prizes!$G$2:$G$3000,""))</f>
        <v/>
      </c>
      <c r="H548" s="10">
        <f>IF(B548="","",IF(_xlfn.MAXIFS(Levels!$A$2:$A$30,Levels!$A$2:$A$30,"&lt;="&amp;F548)&gt;G548,INDEX(Levels!$B$2:$B$30,MATCH(_xlfn.MAXIFS(Levels!$A$2:$A$30,Levels!$A$2:$A$30,"&lt;="&amp;F548),Levels!$A$2:$A$30,0)),""))</f>
        <v/>
      </c>
      <c r="I548" s="10">
        <f>IF(B548="","",COUNTIFS(Levels!$A$2:$A$30,"&lt;="&amp;F548,Levels!$A$2:$A$30,"&gt;"&amp;G548))</f>
        <v/>
      </c>
      <c r="J548" s="10">
        <f>IF(OR(B548="",TRIM('Find a child'!$B$3)=""),"",IF(ISNUMBER(SEARCH(TRIM('Find a child'!$B$3),B548&amp;" "&amp;C548)),COUNT(J$1:J547)+1,""))</f>
        <v/>
      </c>
    </row>
    <row r="549">
      <c r="A549" s="10" t="inlineStr">
        <is>
          <t>C0548</t>
        </is>
      </c>
      <c r="B549" s="6" t="n"/>
      <c r="C549" s="6" t="n"/>
      <c r="D549" s="6" t="n"/>
      <c r="E549" s="10">
        <f>IF(B549="","",IF(COUNTIFS($B$2:$B$600,B549,$C$2:$C$600,C549)&gt;1,B549&amp;" ("&amp;C549&amp;") "&amp;A549,B549&amp;" ("&amp;C549&amp;")"))</f>
        <v/>
      </c>
      <c r="F549" s="11">
        <f>IF(B549="","",SUMIFS(Entries!$J$2:$J$3000,Entries!$H$2:$H$3000,A549))</f>
        <v/>
      </c>
      <c r="G549" s="11">
        <f>IF(B549="","",_xlfn.MAXIFS(Prizes!$D$2:$D$3000,Prizes!$E$2:$E$3000,A549,Prizes!$G$2:$G$3000,""))</f>
        <v/>
      </c>
      <c r="H549" s="10">
        <f>IF(B549="","",IF(_xlfn.MAXIFS(Levels!$A$2:$A$30,Levels!$A$2:$A$30,"&lt;="&amp;F549)&gt;G549,INDEX(Levels!$B$2:$B$30,MATCH(_xlfn.MAXIFS(Levels!$A$2:$A$30,Levels!$A$2:$A$30,"&lt;="&amp;F549),Levels!$A$2:$A$30,0)),""))</f>
        <v/>
      </c>
      <c r="I549" s="10">
        <f>IF(B549="","",COUNTIFS(Levels!$A$2:$A$30,"&lt;="&amp;F549,Levels!$A$2:$A$30,"&gt;"&amp;G549))</f>
        <v/>
      </c>
      <c r="J549" s="10">
        <f>IF(OR(B549="",TRIM('Find a child'!$B$3)=""),"",IF(ISNUMBER(SEARCH(TRIM('Find a child'!$B$3),B549&amp;" "&amp;C549)),COUNT(J$1:J548)+1,""))</f>
        <v/>
      </c>
    </row>
    <row r="550">
      <c r="A550" s="10" t="inlineStr">
        <is>
          <t>C0549</t>
        </is>
      </c>
      <c r="B550" s="6" t="n"/>
      <c r="C550" s="6" t="n"/>
      <c r="D550" s="6" t="n"/>
      <c r="E550" s="10">
        <f>IF(B550="","",IF(COUNTIFS($B$2:$B$600,B550,$C$2:$C$600,C550)&gt;1,B550&amp;" ("&amp;C550&amp;") "&amp;A550,B550&amp;" ("&amp;C550&amp;")"))</f>
        <v/>
      </c>
      <c r="F550" s="11">
        <f>IF(B550="","",SUMIFS(Entries!$J$2:$J$3000,Entries!$H$2:$H$3000,A550))</f>
        <v/>
      </c>
      <c r="G550" s="11">
        <f>IF(B550="","",_xlfn.MAXIFS(Prizes!$D$2:$D$3000,Prizes!$E$2:$E$3000,A550,Prizes!$G$2:$G$3000,""))</f>
        <v/>
      </c>
      <c r="H550" s="10">
        <f>IF(B550="","",IF(_xlfn.MAXIFS(Levels!$A$2:$A$30,Levels!$A$2:$A$30,"&lt;="&amp;F550)&gt;G550,INDEX(Levels!$B$2:$B$30,MATCH(_xlfn.MAXIFS(Levels!$A$2:$A$30,Levels!$A$2:$A$30,"&lt;="&amp;F550),Levels!$A$2:$A$30,0)),""))</f>
        <v/>
      </c>
      <c r="I550" s="10">
        <f>IF(B550="","",COUNTIFS(Levels!$A$2:$A$30,"&lt;="&amp;F550,Levels!$A$2:$A$30,"&gt;"&amp;G550))</f>
        <v/>
      </c>
      <c r="J550" s="10">
        <f>IF(OR(B550="",TRIM('Find a child'!$B$3)=""),"",IF(ISNUMBER(SEARCH(TRIM('Find a child'!$B$3),B550&amp;" "&amp;C550)),COUNT(J$1:J549)+1,""))</f>
        <v/>
      </c>
    </row>
    <row r="551">
      <c r="A551" s="10" t="inlineStr">
        <is>
          <t>C0550</t>
        </is>
      </c>
      <c r="B551" s="6" t="n"/>
      <c r="C551" s="6" t="n"/>
      <c r="D551" s="6" t="n"/>
      <c r="E551" s="10">
        <f>IF(B551="","",IF(COUNTIFS($B$2:$B$600,B551,$C$2:$C$600,C551)&gt;1,B551&amp;" ("&amp;C551&amp;") "&amp;A551,B551&amp;" ("&amp;C551&amp;")"))</f>
        <v/>
      </c>
      <c r="F551" s="11">
        <f>IF(B551="","",SUMIFS(Entries!$J$2:$J$3000,Entries!$H$2:$H$3000,A551))</f>
        <v/>
      </c>
      <c r="G551" s="11">
        <f>IF(B551="","",_xlfn.MAXIFS(Prizes!$D$2:$D$3000,Prizes!$E$2:$E$3000,A551,Prizes!$G$2:$G$3000,""))</f>
        <v/>
      </c>
      <c r="H551" s="10">
        <f>IF(B551="","",IF(_xlfn.MAXIFS(Levels!$A$2:$A$30,Levels!$A$2:$A$30,"&lt;="&amp;F551)&gt;G551,INDEX(Levels!$B$2:$B$30,MATCH(_xlfn.MAXIFS(Levels!$A$2:$A$30,Levels!$A$2:$A$30,"&lt;="&amp;F551),Levels!$A$2:$A$30,0)),""))</f>
        <v/>
      </c>
      <c r="I551" s="10">
        <f>IF(B551="","",COUNTIFS(Levels!$A$2:$A$30,"&lt;="&amp;F551,Levels!$A$2:$A$30,"&gt;"&amp;G551))</f>
        <v/>
      </c>
      <c r="J551" s="10">
        <f>IF(OR(B551="",TRIM('Find a child'!$B$3)=""),"",IF(ISNUMBER(SEARCH(TRIM('Find a child'!$B$3),B551&amp;" "&amp;C551)),COUNT(J$1:J550)+1,""))</f>
        <v/>
      </c>
    </row>
    <row r="552">
      <c r="A552" s="10" t="inlineStr">
        <is>
          <t>C0551</t>
        </is>
      </c>
      <c r="B552" s="6" t="n"/>
      <c r="C552" s="6" t="n"/>
      <c r="D552" s="6" t="n"/>
      <c r="E552" s="10">
        <f>IF(B552="","",IF(COUNTIFS($B$2:$B$600,B552,$C$2:$C$600,C552)&gt;1,B552&amp;" ("&amp;C552&amp;") "&amp;A552,B552&amp;" ("&amp;C552&amp;")"))</f>
        <v/>
      </c>
      <c r="F552" s="11">
        <f>IF(B552="","",SUMIFS(Entries!$J$2:$J$3000,Entries!$H$2:$H$3000,A552))</f>
        <v/>
      </c>
      <c r="G552" s="11">
        <f>IF(B552="","",_xlfn.MAXIFS(Prizes!$D$2:$D$3000,Prizes!$E$2:$E$3000,A552,Prizes!$G$2:$G$3000,""))</f>
        <v/>
      </c>
      <c r="H552" s="10">
        <f>IF(B552="","",IF(_xlfn.MAXIFS(Levels!$A$2:$A$30,Levels!$A$2:$A$30,"&lt;="&amp;F552)&gt;G552,INDEX(Levels!$B$2:$B$30,MATCH(_xlfn.MAXIFS(Levels!$A$2:$A$30,Levels!$A$2:$A$30,"&lt;="&amp;F552),Levels!$A$2:$A$30,0)),""))</f>
        <v/>
      </c>
      <c r="I552" s="10">
        <f>IF(B552="","",COUNTIFS(Levels!$A$2:$A$30,"&lt;="&amp;F552,Levels!$A$2:$A$30,"&gt;"&amp;G552))</f>
        <v/>
      </c>
      <c r="J552" s="10">
        <f>IF(OR(B552="",TRIM('Find a child'!$B$3)=""),"",IF(ISNUMBER(SEARCH(TRIM('Find a child'!$B$3),B552&amp;" "&amp;C552)),COUNT(J$1:J551)+1,""))</f>
        <v/>
      </c>
    </row>
    <row r="553">
      <c r="A553" s="10" t="inlineStr">
        <is>
          <t>C0552</t>
        </is>
      </c>
      <c r="B553" s="6" t="n"/>
      <c r="C553" s="6" t="n"/>
      <c r="D553" s="6" t="n"/>
      <c r="E553" s="10">
        <f>IF(B553="","",IF(COUNTIFS($B$2:$B$600,B553,$C$2:$C$600,C553)&gt;1,B553&amp;" ("&amp;C553&amp;") "&amp;A553,B553&amp;" ("&amp;C553&amp;")"))</f>
        <v/>
      </c>
      <c r="F553" s="11">
        <f>IF(B553="","",SUMIFS(Entries!$J$2:$J$3000,Entries!$H$2:$H$3000,A553))</f>
        <v/>
      </c>
      <c r="G553" s="11">
        <f>IF(B553="","",_xlfn.MAXIFS(Prizes!$D$2:$D$3000,Prizes!$E$2:$E$3000,A553,Prizes!$G$2:$G$3000,""))</f>
        <v/>
      </c>
      <c r="H553" s="10">
        <f>IF(B553="","",IF(_xlfn.MAXIFS(Levels!$A$2:$A$30,Levels!$A$2:$A$30,"&lt;="&amp;F553)&gt;G553,INDEX(Levels!$B$2:$B$30,MATCH(_xlfn.MAXIFS(Levels!$A$2:$A$30,Levels!$A$2:$A$30,"&lt;="&amp;F553),Levels!$A$2:$A$30,0)),""))</f>
        <v/>
      </c>
      <c r="I553" s="10">
        <f>IF(B553="","",COUNTIFS(Levels!$A$2:$A$30,"&lt;="&amp;F553,Levels!$A$2:$A$30,"&gt;"&amp;G553))</f>
        <v/>
      </c>
      <c r="J553" s="10">
        <f>IF(OR(B553="",TRIM('Find a child'!$B$3)=""),"",IF(ISNUMBER(SEARCH(TRIM('Find a child'!$B$3),B553&amp;" "&amp;C553)),COUNT(J$1:J552)+1,""))</f>
        <v/>
      </c>
    </row>
    <row r="554">
      <c r="A554" s="10" t="inlineStr">
        <is>
          <t>C0553</t>
        </is>
      </c>
      <c r="B554" s="6" t="n"/>
      <c r="C554" s="6" t="n"/>
      <c r="D554" s="6" t="n"/>
      <c r="E554" s="10">
        <f>IF(B554="","",IF(COUNTIFS($B$2:$B$600,B554,$C$2:$C$600,C554)&gt;1,B554&amp;" ("&amp;C554&amp;") "&amp;A554,B554&amp;" ("&amp;C554&amp;")"))</f>
        <v/>
      </c>
      <c r="F554" s="11">
        <f>IF(B554="","",SUMIFS(Entries!$J$2:$J$3000,Entries!$H$2:$H$3000,A554))</f>
        <v/>
      </c>
      <c r="G554" s="11">
        <f>IF(B554="","",_xlfn.MAXIFS(Prizes!$D$2:$D$3000,Prizes!$E$2:$E$3000,A554,Prizes!$G$2:$G$3000,""))</f>
        <v/>
      </c>
      <c r="H554" s="10">
        <f>IF(B554="","",IF(_xlfn.MAXIFS(Levels!$A$2:$A$30,Levels!$A$2:$A$30,"&lt;="&amp;F554)&gt;G554,INDEX(Levels!$B$2:$B$30,MATCH(_xlfn.MAXIFS(Levels!$A$2:$A$30,Levels!$A$2:$A$30,"&lt;="&amp;F554),Levels!$A$2:$A$30,0)),""))</f>
        <v/>
      </c>
      <c r="I554" s="10">
        <f>IF(B554="","",COUNTIFS(Levels!$A$2:$A$30,"&lt;="&amp;F554,Levels!$A$2:$A$30,"&gt;"&amp;G554))</f>
        <v/>
      </c>
      <c r="J554" s="10">
        <f>IF(OR(B554="",TRIM('Find a child'!$B$3)=""),"",IF(ISNUMBER(SEARCH(TRIM('Find a child'!$B$3),B554&amp;" "&amp;C554)),COUNT(J$1:J553)+1,""))</f>
        <v/>
      </c>
    </row>
    <row r="555">
      <c r="A555" s="10" t="inlineStr">
        <is>
          <t>C0554</t>
        </is>
      </c>
      <c r="B555" s="6" t="n"/>
      <c r="C555" s="6" t="n"/>
      <c r="D555" s="6" t="n"/>
      <c r="E555" s="10">
        <f>IF(B555="","",IF(COUNTIFS($B$2:$B$600,B555,$C$2:$C$600,C555)&gt;1,B555&amp;" ("&amp;C555&amp;") "&amp;A555,B555&amp;" ("&amp;C555&amp;")"))</f>
        <v/>
      </c>
      <c r="F555" s="11">
        <f>IF(B555="","",SUMIFS(Entries!$J$2:$J$3000,Entries!$H$2:$H$3000,A555))</f>
        <v/>
      </c>
      <c r="G555" s="11">
        <f>IF(B555="","",_xlfn.MAXIFS(Prizes!$D$2:$D$3000,Prizes!$E$2:$E$3000,A555,Prizes!$G$2:$G$3000,""))</f>
        <v/>
      </c>
      <c r="H555" s="10">
        <f>IF(B555="","",IF(_xlfn.MAXIFS(Levels!$A$2:$A$30,Levels!$A$2:$A$30,"&lt;="&amp;F555)&gt;G555,INDEX(Levels!$B$2:$B$30,MATCH(_xlfn.MAXIFS(Levels!$A$2:$A$30,Levels!$A$2:$A$30,"&lt;="&amp;F555),Levels!$A$2:$A$30,0)),""))</f>
        <v/>
      </c>
      <c r="I555" s="10">
        <f>IF(B555="","",COUNTIFS(Levels!$A$2:$A$30,"&lt;="&amp;F555,Levels!$A$2:$A$30,"&gt;"&amp;G555))</f>
        <v/>
      </c>
      <c r="J555" s="10">
        <f>IF(OR(B555="",TRIM('Find a child'!$B$3)=""),"",IF(ISNUMBER(SEARCH(TRIM('Find a child'!$B$3),B555&amp;" "&amp;C555)),COUNT(J$1:J554)+1,""))</f>
        <v/>
      </c>
    </row>
    <row r="556">
      <c r="A556" s="10" t="inlineStr">
        <is>
          <t>C0555</t>
        </is>
      </c>
      <c r="B556" s="6" t="n"/>
      <c r="C556" s="6" t="n"/>
      <c r="D556" s="6" t="n"/>
      <c r="E556" s="10">
        <f>IF(B556="","",IF(COUNTIFS($B$2:$B$600,B556,$C$2:$C$600,C556)&gt;1,B556&amp;" ("&amp;C556&amp;") "&amp;A556,B556&amp;" ("&amp;C556&amp;")"))</f>
        <v/>
      </c>
      <c r="F556" s="11">
        <f>IF(B556="","",SUMIFS(Entries!$J$2:$J$3000,Entries!$H$2:$H$3000,A556))</f>
        <v/>
      </c>
      <c r="G556" s="11">
        <f>IF(B556="","",_xlfn.MAXIFS(Prizes!$D$2:$D$3000,Prizes!$E$2:$E$3000,A556,Prizes!$G$2:$G$3000,""))</f>
        <v/>
      </c>
      <c r="H556" s="10">
        <f>IF(B556="","",IF(_xlfn.MAXIFS(Levels!$A$2:$A$30,Levels!$A$2:$A$30,"&lt;="&amp;F556)&gt;G556,INDEX(Levels!$B$2:$B$30,MATCH(_xlfn.MAXIFS(Levels!$A$2:$A$30,Levels!$A$2:$A$30,"&lt;="&amp;F556),Levels!$A$2:$A$30,0)),""))</f>
        <v/>
      </c>
      <c r="I556" s="10">
        <f>IF(B556="","",COUNTIFS(Levels!$A$2:$A$30,"&lt;="&amp;F556,Levels!$A$2:$A$30,"&gt;"&amp;G556))</f>
        <v/>
      </c>
      <c r="J556" s="10">
        <f>IF(OR(B556="",TRIM('Find a child'!$B$3)=""),"",IF(ISNUMBER(SEARCH(TRIM('Find a child'!$B$3),B556&amp;" "&amp;C556)),COUNT(J$1:J555)+1,""))</f>
        <v/>
      </c>
    </row>
    <row r="557">
      <c r="A557" s="10" t="inlineStr">
        <is>
          <t>C0556</t>
        </is>
      </c>
      <c r="B557" s="6" t="n"/>
      <c r="C557" s="6" t="n"/>
      <c r="D557" s="6" t="n"/>
      <c r="E557" s="10">
        <f>IF(B557="","",IF(COUNTIFS($B$2:$B$600,B557,$C$2:$C$600,C557)&gt;1,B557&amp;" ("&amp;C557&amp;") "&amp;A557,B557&amp;" ("&amp;C557&amp;")"))</f>
        <v/>
      </c>
      <c r="F557" s="11">
        <f>IF(B557="","",SUMIFS(Entries!$J$2:$J$3000,Entries!$H$2:$H$3000,A557))</f>
        <v/>
      </c>
      <c r="G557" s="11">
        <f>IF(B557="","",_xlfn.MAXIFS(Prizes!$D$2:$D$3000,Prizes!$E$2:$E$3000,A557,Prizes!$G$2:$G$3000,""))</f>
        <v/>
      </c>
      <c r="H557" s="10">
        <f>IF(B557="","",IF(_xlfn.MAXIFS(Levels!$A$2:$A$30,Levels!$A$2:$A$30,"&lt;="&amp;F557)&gt;G557,INDEX(Levels!$B$2:$B$30,MATCH(_xlfn.MAXIFS(Levels!$A$2:$A$30,Levels!$A$2:$A$30,"&lt;="&amp;F557),Levels!$A$2:$A$30,0)),""))</f>
        <v/>
      </c>
      <c r="I557" s="10">
        <f>IF(B557="","",COUNTIFS(Levels!$A$2:$A$30,"&lt;="&amp;F557,Levels!$A$2:$A$30,"&gt;"&amp;G557))</f>
        <v/>
      </c>
      <c r="J557" s="10">
        <f>IF(OR(B557="",TRIM('Find a child'!$B$3)=""),"",IF(ISNUMBER(SEARCH(TRIM('Find a child'!$B$3),B557&amp;" "&amp;C557)),COUNT(J$1:J556)+1,""))</f>
        <v/>
      </c>
    </row>
    <row r="558">
      <c r="A558" s="10" t="inlineStr">
        <is>
          <t>C0557</t>
        </is>
      </c>
      <c r="B558" s="6" t="n"/>
      <c r="C558" s="6" t="n"/>
      <c r="D558" s="6" t="n"/>
      <c r="E558" s="10">
        <f>IF(B558="","",IF(COUNTIFS($B$2:$B$600,B558,$C$2:$C$600,C558)&gt;1,B558&amp;" ("&amp;C558&amp;") "&amp;A558,B558&amp;" ("&amp;C558&amp;")"))</f>
        <v/>
      </c>
      <c r="F558" s="11">
        <f>IF(B558="","",SUMIFS(Entries!$J$2:$J$3000,Entries!$H$2:$H$3000,A558))</f>
        <v/>
      </c>
      <c r="G558" s="11">
        <f>IF(B558="","",_xlfn.MAXIFS(Prizes!$D$2:$D$3000,Prizes!$E$2:$E$3000,A558,Prizes!$G$2:$G$3000,""))</f>
        <v/>
      </c>
      <c r="H558" s="10">
        <f>IF(B558="","",IF(_xlfn.MAXIFS(Levels!$A$2:$A$30,Levels!$A$2:$A$30,"&lt;="&amp;F558)&gt;G558,INDEX(Levels!$B$2:$B$30,MATCH(_xlfn.MAXIFS(Levels!$A$2:$A$30,Levels!$A$2:$A$30,"&lt;="&amp;F558),Levels!$A$2:$A$30,0)),""))</f>
        <v/>
      </c>
      <c r="I558" s="10">
        <f>IF(B558="","",COUNTIFS(Levels!$A$2:$A$30,"&lt;="&amp;F558,Levels!$A$2:$A$30,"&gt;"&amp;G558))</f>
        <v/>
      </c>
      <c r="J558" s="10">
        <f>IF(OR(B558="",TRIM('Find a child'!$B$3)=""),"",IF(ISNUMBER(SEARCH(TRIM('Find a child'!$B$3),B558&amp;" "&amp;C558)),COUNT(J$1:J557)+1,""))</f>
        <v/>
      </c>
    </row>
    <row r="559">
      <c r="A559" s="10" t="inlineStr">
        <is>
          <t>C0558</t>
        </is>
      </c>
      <c r="B559" s="6" t="n"/>
      <c r="C559" s="6" t="n"/>
      <c r="D559" s="6" t="n"/>
      <c r="E559" s="10">
        <f>IF(B559="","",IF(COUNTIFS($B$2:$B$600,B559,$C$2:$C$600,C559)&gt;1,B559&amp;" ("&amp;C559&amp;") "&amp;A559,B559&amp;" ("&amp;C559&amp;")"))</f>
        <v/>
      </c>
      <c r="F559" s="11">
        <f>IF(B559="","",SUMIFS(Entries!$J$2:$J$3000,Entries!$H$2:$H$3000,A559))</f>
        <v/>
      </c>
      <c r="G559" s="11">
        <f>IF(B559="","",_xlfn.MAXIFS(Prizes!$D$2:$D$3000,Prizes!$E$2:$E$3000,A559,Prizes!$G$2:$G$3000,""))</f>
        <v/>
      </c>
      <c r="H559" s="10">
        <f>IF(B559="","",IF(_xlfn.MAXIFS(Levels!$A$2:$A$30,Levels!$A$2:$A$30,"&lt;="&amp;F559)&gt;G559,INDEX(Levels!$B$2:$B$30,MATCH(_xlfn.MAXIFS(Levels!$A$2:$A$30,Levels!$A$2:$A$30,"&lt;="&amp;F559),Levels!$A$2:$A$30,0)),""))</f>
        <v/>
      </c>
      <c r="I559" s="10">
        <f>IF(B559="","",COUNTIFS(Levels!$A$2:$A$30,"&lt;="&amp;F559,Levels!$A$2:$A$30,"&gt;"&amp;G559))</f>
        <v/>
      </c>
      <c r="J559" s="10">
        <f>IF(OR(B559="",TRIM('Find a child'!$B$3)=""),"",IF(ISNUMBER(SEARCH(TRIM('Find a child'!$B$3),B559&amp;" "&amp;C559)),COUNT(J$1:J558)+1,""))</f>
        <v/>
      </c>
    </row>
    <row r="560">
      <c r="A560" s="10" t="inlineStr">
        <is>
          <t>C0559</t>
        </is>
      </c>
      <c r="B560" s="6" t="n"/>
      <c r="C560" s="6" t="n"/>
      <c r="D560" s="6" t="n"/>
      <c r="E560" s="10">
        <f>IF(B560="","",IF(COUNTIFS($B$2:$B$600,B560,$C$2:$C$600,C560)&gt;1,B560&amp;" ("&amp;C560&amp;") "&amp;A560,B560&amp;" ("&amp;C560&amp;")"))</f>
        <v/>
      </c>
      <c r="F560" s="11">
        <f>IF(B560="","",SUMIFS(Entries!$J$2:$J$3000,Entries!$H$2:$H$3000,A560))</f>
        <v/>
      </c>
      <c r="G560" s="11">
        <f>IF(B560="","",_xlfn.MAXIFS(Prizes!$D$2:$D$3000,Prizes!$E$2:$E$3000,A560,Prizes!$G$2:$G$3000,""))</f>
        <v/>
      </c>
      <c r="H560" s="10">
        <f>IF(B560="","",IF(_xlfn.MAXIFS(Levels!$A$2:$A$30,Levels!$A$2:$A$30,"&lt;="&amp;F560)&gt;G560,INDEX(Levels!$B$2:$B$30,MATCH(_xlfn.MAXIFS(Levels!$A$2:$A$30,Levels!$A$2:$A$30,"&lt;="&amp;F560),Levels!$A$2:$A$30,0)),""))</f>
        <v/>
      </c>
      <c r="I560" s="10">
        <f>IF(B560="","",COUNTIFS(Levels!$A$2:$A$30,"&lt;="&amp;F560,Levels!$A$2:$A$30,"&gt;"&amp;G560))</f>
        <v/>
      </c>
      <c r="J560" s="10">
        <f>IF(OR(B560="",TRIM('Find a child'!$B$3)=""),"",IF(ISNUMBER(SEARCH(TRIM('Find a child'!$B$3),B560&amp;" "&amp;C560)),COUNT(J$1:J559)+1,""))</f>
        <v/>
      </c>
    </row>
    <row r="561">
      <c r="A561" s="10" t="inlineStr">
        <is>
          <t>C0560</t>
        </is>
      </c>
      <c r="B561" s="6" t="n"/>
      <c r="C561" s="6" t="n"/>
      <c r="D561" s="6" t="n"/>
      <c r="E561" s="10">
        <f>IF(B561="","",IF(COUNTIFS($B$2:$B$600,B561,$C$2:$C$600,C561)&gt;1,B561&amp;" ("&amp;C561&amp;") "&amp;A561,B561&amp;" ("&amp;C561&amp;")"))</f>
        <v/>
      </c>
      <c r="F561" s="11">
        <f>IF(B561="","",SUMIFS(Entries!$J$2:$J$3000,Entries!$H$2:$H$3000,A561))</f>
        <v/>
      </c>
      <c r="G561" s="11">
        <f>IF(B561="","",_xlfn.MAXIFS(Prizes!$D$2:$D$3000,Prizes!$E$2:$E$3000,A561,Prizes!$G$2:$G$3000,""))</f>
        <v/>
      </c>
      <c r="H561" s="10">
        <f>IF(B561="","",IF(_xlfn.MAXIFS(Levels!$A$2:$A$30,Levels!$A$2:$A$30,"&lt;="&amp;F561)&gt;G561,INDEX(Levels!$B$2:$B$30,MATCH(_xlfn.MAXIFS(Levels!$A$2:$A$30,Levels!$A$2:$A$30,"&lt;="&amp;F561),Levels!$A$2:$A$30,0)),""))</f>
        <v/>
      </c>
      <c r="I561" s="10">
        <f>IF(B561="","",COUNTIFS(Levels!$A$2:$A$30,"&lt;="&amp;F561,Levels!$A$2:$A$30,"&gt;"&amp;G561))</f>
        <v/>
      </c>
      <c r="J561" s="10">
        <f>IF(OR(B561="",TRIM('Find a child'!$B$3)=""),"",IF(ISNUMBER(SEARCH(TRIM('Find a child'!$B$3),B561&amp;" "&amp;C561)),COUNT(J$1:J560)+1,""))</f>
        <v/>
      </c>
    </row>
    <row r="562">
      <c r="A562" s="10" t="inlineStr">
        <is>
          <t>C0561</t>
        </is>
      </c>
      <c r="B562" s="6" t="n"/>
      <c r="C562" s="6" t="n"/>
      <c r="D562" s="6" t="n"/>
      <c r="E562" s="10">
        <f>IF(B562="","",IF(COUNTIFS($B$2:$B$600,B562,$C$2:$C$600,C562)&gt;1,B562&amp;" ("&amp;C562&amp;") "&amp;A562,B562&amp;" ("&amp;C562&amp;")"))</f>
        <v/>
      </c>
      <c r="F562" s="11">
        <f>IF(B562="","",SUMIFS(Entries!$J$2:$J$3000,Entries!$H$2:$H$3000,A562))</f>
        <v/>
      </c>
      <c r="G562" s="11">
        <f>IF(B562="","",_xlfn.MAXIFS(Prizes!$D$2:$D$3000,Prizes!$E$2:$E$3000,A562,Prizes!$G$2:$G$3000,""))</f>
        <v/>
      </c>
      <c r="H562" s="10">
        <f>IF(B562="","",IF(_xlfn.MAXIFS(Levels!$A$2:$A$30,Levels!$A$2:$A$30,"&lt;="&amp;F562)&gt;G562,INDEX(Levels!$B$2:$B$30,MATCH(_xlfn.MAXIFS(Levels!$A$2:$A$30,Levels!$A$2:$A$30,"&lt;="&amp;F562),Levels!$A$2:$A$30,0)),""))</f>
        <v/>
      </c>
      <c r="I562" s="10">
        <f>IF(B562="","",COUNTIFS(Levels!$A$2:$A$30,"&lt;="&amp;F562,Levels!$A$2:$A$30,"&gt;"&amp;G562))</f>
        <v/>
      </c>
      <c r="J562" s="10">
        <f>IF(OR(B562="",TRIM('Find a child'!$B$3)=""),"",IF(ISNUMBER(SEARCH(TRIM('Find a child'!$B$3),B562&amp;" "&amp;C562)),COUNT(J$1:J561)+1,""))</f>
        <v/>
      </c>
    </row>
    <row r="563">
      <c r="A563" s="10" t="inlineStr">
        <is>
          <t>C0562</t>
        </is>
      </c>
      <c r="B563" s="6" t="n"/>
      <c r="C563" s="6" t="n"/>
      <c r="D563" s="6" t="n"/>
      <c r="E563" s="10">
        <f>IF(B563="","",IF(COUNTIFS($B$2:$B$600,B563,$C$2:$C$600,C563)&gt;1,B563&amp;" ("&amp;C563&amp;") "&amp;A563,B563&amp;" ("&amp;C563&amp;")"))</f>
        <v/>
      </c>
      <c r="F563" s="11">
        <f>IF(B563="","",SUMIFS(Entries!$J$2:$J$3000,Entries!$H$2:$H$3000,A563))</f>
        <v/>
      </c>
      <c r="G563" s="11">
        <f>IF(B563="","",_xlfn.MAXIFS(Prizes!$D$2:$D$3000,Prizes!$E$2:$E$3000,A563,Prizes!$G$2:$G$3000,""))</f>
        <v/>
      </c>
      <c r="H563" s="10">
        <f>IF(B563="","",IF(_xlfn.MAXIFS(Levels!$A$2:$A$30,Levels!$A$2:$A$30,"&lt;="&amp;F563)&gt;G563,INDEX(Levels!$B$2:$B$30,MATCH(_xlfn.MAXIFS(Levels!$A$2:$A$30,Levels!$A$2:$A$30,"&lt;="&amp;F563),Levels!$A$2:$A$30,0)),""))</f>
        <v/>
      </c>
      <c r="I563" s="10">
        <f>IF(B563="","",COUNTIFS(Levels!$A$2:$A$30,"&lt;="&amp;F563,Levels!$A$2:$A$30,"&gt;"&amp;G563))</f>
        <v/>
      </c>
      <c r="J563" s="10">
        <f>IF(OR(B563="",TRIM('Find a child'!$B$3)=""),"",IF(ISNUMBER(SEARCH(TRIM('Find a child'!$B$3),B563&amp;" "&amp;C563)),COUNT(J$1:J562)+1,""))</f>
        <v/>
      </c>
    </row>
    <row r="564">
      <c r="A564" s="10" t="inlineStr">
        <is>
          <t>C0563</t>
        </is>
      </c>
      <c r="B564" s="6" t="n"/>
      <c r="C564" s="6" t="n"/>
      <c r="D564" s="6" t="n"/>
      <c r="E564" s="10">
        <f>IF(B564="","",IF(COUNTIFS($B$2:$B$600,B564,$C$2:$C$600,C564)&gt;1,B564&amp;" ("&amp;C564&amp;") "&amp;A564,B564&amp;" ("&amp;C564&amp;")"))</f>
        <v/>
      </c>
      <c r="F564" s="11">
        <f>IF(B564="","",SUMIFS(Entries!$J$2:$J$3000,Entries!$H$2:$H$3000,A564))</f>
        <v/>
      </c>
      <c r="G564" s="11">
        <f>IF(B564="","",_xlfn.MAXIFS(Prizes!$D$2:$D$3000,Prizes!$E$2:$E$3000,A564,Prizes!$G$2:$G$3000,""))</f>
        <v/>
      </c>
      <c r="H564" s="10">
        <f>IF(B564="","",IF(_xlfn.MAXIFS(Levels!$A$2:$A$30,Levels!$A$2:$A$30,"&lt;="&amp;F564)&gt;G564,INDEX(Levels!$B$2:$B$30,MATCH(_xlfn.MAXIFS(Levels!$A$2:$A$30,Levels!$A$2:$A$30,"&lt;="&amp;F564),Levels!$A$2:$A$30,0)),""))</f>
        <v/>
      </c>
      <c r="I564" s="10">
        <f>IF(B564="","",COUNTIFS(Levels!$A$2:$A$30,"&lt;="&amp;F564,Levels!$A$2:$A$30,"&gt;"&amp;G564))</f>
        <v/>
      </c>
      <c r="J564" s="10">
        <f>IF(OR(B564="",TRIM('Find a child'!$B$3)=""),"",IF(ISNUMBER(SEARCH(TRIM('Find a child'!$B$3),B564&amp;" "&amp;C564)),COUNT(J$1:J563)+1,""))</f>
        <v/>
      </c>
    </row>
    <row r="565">
      <c r="A565" s="10" t="inlineStr">
        <is>
          <t>C0564</t>
        </is>
      </c>
      <c r="B565" s="6" t="n"/>
      <c r="C565" s="6" t="n"/>
      <c r="D565" s="6" t="n"/>
      <c r="E565" s="10">
        <f>IF(B565="","",IF(COUNTIFS($B$2:$B$600,B565,$C$2:$C$600,C565)&gt;1,B565&amp;" ("&amp;C565&amp;") "&amp;A565,B565&amp;" ("&amp;C565&amp;")"))</f>
        <v/>
      </c>
      <c r="F565" s="11">
        <f>IF(B565="","",SUMIFS(Entries!$J$2:$J$3000,Entries!$H$2:$H$3000,A565))</f>
        <v/>
      </c>
      <c r="G565" s="11">
        <f>IF(B565="","",_xlfn.MAXIFS(Prizes!$D$2:$D$3000,Prizes!$E$2:$E$3000,A565,Prizes!$G$2:$G$3000,""))</f>
        <v/>
      </c>
      <c r="H565" s="10">
        <f>IF(B565="","",IF(_xlfn.MAXIFS(Levels!$A$2:$A$30,Levels!$A$2:$A$30,"&lt;="&amp;F565)&gt;G565,INDEX(Levels!$B$2:$B$30,MATCH(_xlfn.MAXIFS(Levels!$A$2:$A$30,Levels!$A$2:$A$30,"&lt;="&amp;F565),Levels!$A$2:$A$30,0)),""))</f>
        <v/>
      </c>
      <c r="I565" s="10">
        <f>IF(B565="","",COUNTIFS(Levels!$A$2:$A$30,"&lt;="&amp;F565,Levels!$A$2:$A$30,"&gt;"&amp;G565))</f>
        <v/>
      </c>
      <c r="J565" s="10">
        <f>IF(OR(B565="",TRIM('Find a child'!$B$3)=""),"",IF(ISNUMBER(SEARCH(TRIM('Find a child'!$B$3),B565&amp;" "&amp;C565)),COUNT(J$1:J564)+1,""))</f>
        <v/>
      </c>
    </row>
    <row r="566">
      <c r="A566" s="10" t="inlineStr">
        <is>
          <t>C0565</t>
        </is>
      </c>
      <c r="B566" s="6" t="n"/>
      <c r="C566" s="6" t="n"/>
      <c r="D566" s="6" t="n"/>
      <c r="E566" s="10">
        <f>IF(B566="","",IF(COUNTIFS($B$2:$B$600,B566,$C$2:$C$600,C566)&gt;1,B566&amp;" ("&amp;C566&amp;") "&amp;A566,B566&amp;" ("&amp;C566&amp;")"))</f>
        <v/>
      </c>
      <c r="F566" s="11">
        <f>IF(B566="","",SUMIFS(Entries!$J$2:$J$3000,Entries!$H$2:$H$3000,A566))</f>
        <v/>
      </c>
      <c r="G566" s="11">
        <f>IF(B566="","",_xlfn.MAXIFS(Prizes!$D$2:$D$3000,Prizes!$E$2:$E$3000,A566,Prizes!$G$2:$G$3000,""))</f>
        <v/>
      </c>
      <c r="H566" s="10">
        <f>IF(B566="","",IF(_xlfn.MAXIFS(Levels!$A$2:$A$30,Levels!$A$2:$A$30,"&lt;="&amp;F566)&gt;G566,INDEX(Levels!$B$2:$B$30,MATCH(_xlfn.MAXIFS(Levels!$A$2:$A$30,Levels!$A$2:$A$30,"&lt;="&amp;F566),Levels!$A$2:$A$30,0)),""))</f>
        <v/>
      </c>
      <c r="I566" s="10">
        <f>IF(B566="","",COUNTIFS(Levels!$A$2:$A$30,"&lt;="&amp;F566,Levels!$A$2:$A$30,"&gt;"&amp;G566))</f>
        <v/>
      </c>
      <c r="J566" s="10">
        <f>IF(OR(B566="",TRIM('Find a child'!$B$3)=""),"",IF(ISNUMBER(SEARCH(TRIM('Find a child'!$B$3),B566&amp;" "&amp;C566)),COUNT(J$1:J565)+1,""))</f>
        <v/>
      </c>
    </row>
    <row r="567">
      <c r="A567" s="10" t="inlineStr">
        <is>
          <t>C0566</t>
        </is>
      </c>
      <c r="B567" s="6" t="n"/>
      <c r="C567" s="6" t="n"/>
      <c r="D567" s="6" t="n"/>
      <c r="E567" s="10">
        <f>IF(B567="","",IF(COUNTIFS($B$2:$B$600,B567,$C$2:$C$600,C567)&gt;1,B567&amp;" ("&amp;C567&amp;") "&amp;A567,B567&amp;" ("&amp;C567&amp;")"))</f>
        <v/>
      </c>
      <c r="F567" s="11">
        <f>IF(B567="","",SUMIFS(Entries!$J$2:$J$3000,Entries!$H$2:$H$3000,A567))</f>
        <v/>
      </c>
      <c r="G567" s="11">
        <f>IF(B567="","",_xlfn.MAXIFS(Prizes!$D$2:$D$3000,Prizes!$E$2:$E$3000,A567,Prizes!$G$2:$G$3000,""))</f>
        <v/>
      </c>
      <c r="H567" s="10">
        <f>IF(B567="","",IF(_xlfn.MAXIFS(Levels!$A$2:$A$30,Levels!$A$2:$A$30,"&lt;="&amp;F567)&gt;G567,INDEX(Levels!$B$2:$B$30,MATCH(_xlfn.MAXIFS(Levels!$A$2:$A$30,Levels!$A$2:$A$30,"&lt;="&amp;F567),Levels!$A$2:$A$30,0)),""))</f>
        <v/>
      </c>
      <c r="I567" s="10">
        <f>IF(B567="","",COUNTIFS(Levels!$A$2:$A$30,"&lt;="&amp;F567,Levels!$A$2:$A$30,"&gt;"&amp;G567))</f>
        <v/>
      </c>
      <c r="J567" s="10">
        <f>IF(OR(B567="",TRIM('Find a child'!$B$3)=""),"",IF(ISNUMBER(SEARCH(TRIM('Find a child'!$B$3),B567&amp;" "&amp;C567)),COUNT(J$1:J566)+1,""))</f>
        <v/>
      </c>
    </row>
    <row r="568">
      <c r="A568" s="10" t="inlineStr">
        <is>
          <t>C0567</t>
        </is>
      </c>
      <c r="B568" s="6" t="n"/>
      <c r="C568" s="6" t="n"/>
      <c r="D568" s="6" t="n"/>
      <c r="E568" s="10">
        <f>IF(B568="","",IF(COUNTIFS($B$2:$B$600,B568,$C$2:$C$600,C568)&gt;1,B568&amp;" ("&amp;C568&amp;") "&amp;A568,B568&amp;" ("&amp;C568&amp;")"))</f>
        <v/>
      </c>
      <c r="F568" s="11">
        <f>IF(B568="","",SUMIFS(Entries!$J$2:$J$3000,Entries!$H$2:$H$3000,A568))</f>
        <v/>
      </c>
      <c r="G568" s="11">
        <f>IF(B568="","",_xlfn.MAXIFS(Prizes!$D$2:$D$3000,Prizes!$E$2:$E$3000,A568,Prizes!$G$2:$G$3000,""))</f>
        <v/>
      </c>
      <c r="H568" s="10">
        <f>IF(B568="","",IF(_xlfn.MAXIFS(Levels!$A$2:$A$30,Levels!$A$2:$A$30,"&lt;="&amp;F568)&gt;G568,INDEX(Levels!$B$2:$B$30,MATCH(_xlfn.MAXIFS(Levels!$A$2:$A$30,Levels!$A$2:$A$30,"&lt;="&amp;F568),Levels!$A$2:$A$30,0)),""))</f>
        <v/>
      </c>
      <c r="I568" s="10">
        <f>IF(B568="","",COUNTIFS(Levels!$A$2:$A$30,"&lt;="&amp;F568,Levels!$A$2:$A$30,"&gt;"&amp;G568))</f>
        <v/>
      </c>
      <c r="J568" s="10">
        <f>IF(OR(B568="",TRIM('Find a child'!$B$3)=""),"",IF(ISNUMBER(SEARCH(TRIM('Find a child'!$B$3),B568&amp;" "&amp;C568)),COUNT(J$1:J567)+1,""))</f>
        <v/>
      </c>
    </row>
    <row r="569">
      <c r="A569" s="10" t="inlineStr">
        <is>
          <t>C0568</t>
        </is>
      </c>
      <c r="B569" s="6" t="n"/>
      <c r="C569" s="6" t="n"/>
      <c r="D569" s="6" t="n"/>
      <c r="E569" s="10">
        <f>IF(B569="","",IF(COUNTIFS($B$2:$B$600,B569,$C$2:$C$600,C569)&gt;1,B569&amp;" ("&amp;C569&amp;") "&amp;A569,B569&amp;" ("&amp;C569&amp;")"))</f>
        <v/>
      </c>
      <c r="F569" s="11">
        <f>IF(B569="","",SUMIFS(Entries!$J$2:$J$3000,Entries!$H$2:$H$3000,A569))</f>
        <v/>
      </c>
      <c r="G569" s="11">
        <f>IF(B569="","",_xlfn.MAXIFS(Prizes!$D$2:$D$3000,Prizes!$E$2:$E$3000,A569,Prizes!$G$2:$G$3000,""))</f>
        <v/>
      </c>
      <c r="H569" s="10">
        <f>IF(B569="","",IF(_xlfn.MAXIFS(Levels!$A$2:$A$30,Levels!$A$2:$A$30,"&lt;="&amp;F569)&gt;G569,INDEX(Levels!$B$2:$B$30,MATCH(_xlfn.MAXIFS(Levels!$A$2:$A$30,Levels!$A$2:$A$30,"&lt;="&amp;F569),Levels!$A$2:$A$30,0)),""))</f>
        <v/>
      </c>
      <c r="I569" s="10">
        <f>IF(B569="","",COUNTIFS(Levels!$A$2:$A$30,"&lt;="&amp;F569,Levels!$A$2:$A$30,"&gt;"&amp;G569))</f>
        <v/>
      </c>
      <c r="J569" s="10">
        <f>IF(OR(B569="",TRIM('Find a child'!$B$3)=""),"",IF(ISNUMBER(SEARCH(TRIM('Find a child'!$B$3),B569&amp;" "&amp;C569)),COUNT(J$1:J568)+1,""))</f>
        <v/>
      </c>
    </row>
    <row r="570">
      <c r="A570" s="10" t="inlineStr">
        <is>
          <t>C0569</t>
        </is>
      </c>
      <c r="B570" s="6" t="n"/>
      <c r="C570" s="6" t="n"/>
      <c r="D570" s="6" t="n"/>
      <c r="E570" s="10">
        <f>IF(B570="","",IF(COUNTIFS($B$2:$B$600,B570,$C$2:$C$600,C570)&gt;1,B570&amp;" ("&amp;C570&amp;") "&amp;A570,B570&amp;" ("&amp;C570&amp;")"))</f>
        <v/>
      </c>
      <c r="F570" s="11">
        <f>IF(B570="","",SUMIFS(Entries!$J$2:$J$3000,Entries!$H$2:$H$3000,A570))</f>
        <v/>
      </c>
      <c r="G570" s="11">
        <f>IF(B570="","",_xlfn.MAXIFS(Prizes!$D$2:$D$3000,Prizes!$E$2:$E$3000,A570,Prizes!$G$2:$G$3000,""))</f>
        <v/>
      </c>
      <c r="H570" s="10">
        <f>IF(B570="","",IF(_xlfn.MAXIFS(Levels!$A$2:$A$30,Levels!$A$2:$A$30,"&lt;="&amp;F570)&gt;G570,INDEX(Levels!$B$2:$B$30,MATCH(_xlfn.MAXIFS(Levels!$A$2:$A$30,Levels!$A$2:$A$30,"&lt;="&amp;F570),Levels!$A$2:$A$30,0)),""))</f>
        <v/>
      </c>
      <c r="I570" s="10">
        <f>IF(B570="","",COUNTIFS(Levels!$A$2:$A$30,"&lt;="&amp;F570,Levels!$A$2:$A$30,"&gt;"&amp;G570))</f>
        <v/>
      </c>
      <c r="J570" s="10">
        <f>IF(OR(B570="",TRIM('Find a child'!$B$3)=""),"",IF(ISNUMBER(SEARCH(TRIM('Find a child'!$B$3),B570&amp;" "&amp;C570)),COUNT(J$1:J569)+1,""))</f>
        <v/>
      </c>
    </row>
    <row r="571">
      <c r="A571" s="10" t="inlineStr">
        <is>
          <t>C0570</t>
        </is>
      </c>
      <c r="B571" s="6" t="n"/>
      <c r="C571" s="6" t="n"/>
      <c r="D571" s="6" t="n"/>
      <c r="E571" s="10">
        <f>IF(B571="","",IF(COUNTIFS($B$2:$B$600,B571,$C$2:$C$600,C571)&gt;1,B571&amp;" ("&amp;C571&amp;") "&amp;A571,B571&amp;" ("&amp;C571&amp;")"))</f>
        <v/>
      </c>
      <c r="F571" s="11">
        <f>IF(B571="","",SUMIFS(Entries!$J$2:$J$3000,Entries!$H$2:$H$3000,A571))</f>
        <v/>
      </c>
      <c r="G571" s="11">
        <f>IF(B571="","",_xlfn.MAXIFS(Prizes!$D$2:$D$3000,Prizes!$E$2:$E$3000,A571,Prizes!$G$2:$G$3000,""))</f>
        <v/>
      </c>
      <c r="H571" s="10">
        <f>IF(B571="","",IF(_xlfn.MAXIFS(Levels!$A$2:$A$30,Levels!$A$2:$A$30,"&lt;="&amp;F571)&gt;G571,INDEX(Levels!$B$2:$B$30,MATCH(_xlfn.MAXIFS(Levels!$A$2:$A$30,Levels!$A$2:$A$30,"&lt;="&amp;F571),Levels!$A$2:$A$30,0)),""))</f>
        <v/>
      </c>
      <c r="I571" s="10">
        <f>IF(B571="","",COUNTIFS(Levels!$A$2:$A$30,"&lt;="&amp;F571,Levels!$A$2:$A$30,"&gt;"&amp;G571))</f>
        <v/>
      </c>
      <c r="J571" s="10">
        <f>IF(OR(B571="",TRIM('Find a child'!$B$3)=""),"",IF(ISNUMBER(SEARCH(TRIM('Find a child'!$B$3),B571&amp;" "&amp;C571)),COUNT(J$1:J570)+1,""))</f>
        <v/>
      </c>
    </row>
    <row r="572">
      <c r="A572" s="10" t="inlineStr">
        <is>
          <t>C0571</t>
        </is>
      </c>
      <c r="B572" s="6" t="n"/>
      <c r="C572" s="6" t="n"/>
      <c r="D572" s="6" t="n"/>
      <c r="E572" s="10">
        <f>IF(B572="","",IF(COUNTIFS($B$2:$B$600,B572,$C$2:$C$600,C572)&gt;1,B572&amp;" ("&amp;C572&amp;") "&amp;A572,B572&amp;" ("&amp;C572&amp;")"))</f>
        <v/>
      </c>
      <c r="F572" s="11">
        <f>IF(B572="","",SUMIFS(Entries!$J$2:$J$3000,Entries!$H$2:$H$3000,A572))</f>
        <v/>
      </c>
      <c r="G572" s="11">
        <f>IF(B572="","",_xlfn.MAXIFS(Prizes!$D$2:$D$3000,Prizes!$E$2:$E$3000,A572,Prizes!$G$2:$G$3000,""))</f>
        <v/>
      </c>
      <c r="H572" s="10">
        <f>IF(B572="","",IF(_xlfn.MAXIFS(Levels!$A$2:$A$30,Levels!$A$2:$A$30,"&lt;="&amp;F572)&gt;G572,INDEX(Levels!$B$2:$B$30,MATCH(_xlfn.MAXIFS(Levels!$A$2:$A$30,Levels!$A$2:$A$30,"&lt;="&amp;F572),Levels!$A$2:$A$30,0)),""))</f>
        <v/>
      </c>
      <c r="I572" s="10">
        <f>IF(B572="","",COUNTIFS(Levels!$A$2:$A$30,"&lt;="&amp;F572,Levels!$A$2:$A$30,"&gt;"&amp;G572))</f>
        <v/>
      </c>
      <c r="J572" s="10">
        <f>IF(OR(B572="",TRIM('Find a child'!$B$3)=""),"",IF(ISNUMBER(SEARCH(TRIM('Find a child'!$B$3),B572&amp;" "&amp;C572)),COUNT(J$1:J571)+1,""))</f>
        <v/>
      </c>
    </row>
    <row r="573">
      <c r="A573" s="10" t="inlineStr">
        <is>
          <t>C0572</t>
        </is>
      </c>
      <c r="B573" s="6" t="n"/>
      <c r="C573" s="6" t="n"/>
      <c r="D573" s="6" t="n"/>
      <c r="E573" s="10">
        <f>IF(B573="","",IF(COUNTIFS($B$2:$B$600,B573,$C$2:$C$600,C573)&gt;1,B573&amp;" ("&amp;C573&amp;") "&amp;A573,B573&amp;" ("&amp;C573&amp;")"))</f>
        <v/>
      </c>
      <c r="F573" s="11">
        <f>IF(B573="","",SUMIFS(Entries!$J$2:$J$3000,Entries!$H$2:$H$3000,A573))</f>
        <v/>
      </c>
      <c r="G573" s="11">
        <f>IF(B573="","",_xlfn.MAXIFS(Prizes!$D$2:$D$3000,Prizes!$E$2:$E$3000,A573,Prizes!$G$2:$G$3000,""))</f>
        <v/>
      </c>
      <c r="H573" s="10">
        <f>IF(B573="","",IF(_xlfn.MAXIFS(Levels!$A$2:$A$30,Levels!$A$2:$A$30,"&lt;="&amp;F573)&gt;G573,INDEX(Levels!$B$2:$B$30,MATCH(_xlfn.MAXIFS(Levels!$A$2:$A$30,Levels!$A$2:$A$30,"&lt;="&amp;F573),Levels!$A$2:$A$30,0)),""))</f>
        <v/>
      </c>
      <c r="I573" s="10">
        <f>IF(B573="","",COUNTIFS(Levels!$A$2:$A$30,"&lt;="&amp;F573,Levels!$A$2:$A$30,"&gt;"&amp;G573))</f>
        <v/>
      </c>
      <c r="J573" s="10">
        <f>IF(OR(B573="",TRIM('Find a child'!$B$3)=""),"",IF(ISNUMBER(SEARCH(TRIM('Find a child'!$B$3),B573&amp;" "&amp;C573)),COUNT(J$1:J572)+1,""))</f>
        <v/>
      </c>
    </row>
    <row r="574">
      <c r="A574" s="10" t="inlineStr">
        <is>
          <t>C0573</t>
        </is>
      </c>
      <c r="B574" s="6" t="n"/>
      <c r="C574" s="6" t="n"/>
      <c r="D574" s="6" t="n"/>
      <c r="E574" s="10">
        <f>IF(B574="","",IF(COUNTIFS($B$2:$B$600,B574,$C$2:$C$600,C574)&gt;1,B574&amp;" ("&amp;C574&amp;") "&amp;A574,B574&amp;" ("&amp;C574&amp;")"))</f>
        <v/>
      </c>
      <c r="F574" s="11">
        <f>IF(B574="","",SUMIFS(Entries!$J$2:$J$3000,Entries!$H$2:$H$3000,A574))</f>
        <v/>
      </c>
      <c r="G574" s="11">
        <f>IF(B574="","",_xlfn.MAXIFS(Prizes!$D$2:$D$3000,Prizes!$E$2:$E$3000,A574,Prizes!$G$2:$G$3000,""))</f>
        <v/>
      </c>
      <c r="H574" s="10">
        <f>IF(B574="","",IF(_xlfn.MAXIFS(Levels!$A$2:$A$30,Levels!$A$2:$A$30,"&lt;="&amp;F574)&gt;G574,INDEX(Levels!$B$2:$B$30,MATCH(_xlfn.MAXIFS(Levels!$A$2:$A$30,Levels!$A$2:$A$30,"&lt;="&amp;F574),Levels!$A$2:$A$30,0)),""))</f>
        <v/>
      </c>
      <c r="I574" s="10">
        <f>IF(B574="","",COUNTIFS(Levels!$A$2:$A$30,"&lt;="&amp;F574,Levels!$A$2:$A$30,"&gt;"&amp;G574))</f>
        <v/>
      </c>
      <c r="J574" s="10">
        <f>IF(OR(B574="",TRIM('Find a child'!$B$3)=""),"",IF(ISNUMBER(SEARCH(TRIM('Find a child'!$B$3),B574&amp;" "&amp;C574)),COUNT(J$1:J573)+1,""))</f>
        <v/>
      </c>
    </row>
    <row r="575">
      <c r="A575" s="10" t="inlineStr">
        <is>
          <t>C0574</t>
        </is>
      </c>
      <c r="B575" s="6" t="n"/>
      <c r="C575" s="6" t="n"/>
      <c r="D575" s="6" t="n"/>
      <c r="E575" s="10">
        <f>IF(B575="","",IF(COUNTIFS($B$2:$B$600,B575,$C$2:$C$600,C575)&gt;1,B575&amp;" ("&amp;C575&amp;") "&amp;A575,B575&amp;" ("&amp;C575&amp;")"))</f>
        <v/>
      </c>
      <c r="F575" s="11">
        <f>IF(B575="","",SUMIFS(Entries!$J$2:$J$3000,Entries!$H$2:$H$3000,A575))</f>
        <v/>
      </c>
      <c r="G575" s="11">
        <f>IF(B575="","",_xlfn.MAXIFS(Prizes!$D$2:$D$3000,Prizes!$E$2:$E$3000,A575,Prizes!$G$2:$G$3000,""))</f>
        <v/>
      </c>
      <c r="H575" s="10">
        <f>IF(B575="","",IF(_xlfn.MAXIFS(Levels!$A$2:$A$30,Levels!$A$2:$A$30,"&lt;="&amp;F575)&gt;G575,INDEX(Levels!$B$2:$B$30,MATCH(_xlfn.MAXIFS(Levels!$A$2:$A$30,Levels!$A$2:$A$30,"&lt;="&amp;F575),Levels!$A$2:$A$30,0)),""))</f>
        <v/>
      </c>
      <c r="I575" s="10">
        <f>IF(B575="","",COUNTIFS(Levels!$A$2:$A$30,"&lt;="&amp;F575,Levels!$A$2:$A$30,"&gt;"&amp;G575))</f>
        <v/>
      </c>
      <c r="J575" s="10">
        <f>IF(OR(B575="",TRIM('Find a child'!$B$3)=""),"",IF(ISNUMBER(SEARCH(TRIM('Find a child'!$B$3),B575&amp;" "&amp;C575)),COUNT(J$1:J574)+1,""))</f>
        <v/>
      </c>
    </row>
    <row r="576">
      <c r="A576" s="10" t="inlineStr">
        <is>
          <t>C0575</t>
        </is>
      </c>
      <c r="B576" s="6" t="n"/>
      <c r="C576" s="6" t="n"/>
      <c r="D576" s="6" t="n"/>
      <c r="E576" s="10">
        <f>IF(B576="","",IF(COUNTIFS($B$2:$B$600,B576,$C$2:$C$600,C576)&gt;1,B576&amp;" ("&amp;C576&amp;") "&amp;A576,B576&amp;" ("&amp;C576&amp;")"))</f>
        <v/>
      </c>
      <c r="F576" s="11">
        <f>IF(B576="","",SUMIFS(Entries!$J$2:$J$3000,Entries!$H$2:$H$3000,A576))</f>
        <v/>
      </c>
      <c r="G576" s="11">
        <f>IF(B576="","",_xlfn.MAXIFS(Prizes!$D$2:$D$3000,Prizes!$E$2:$E$3000,A576,Prizes!$G$2:$G$3000,""))</f>
        <v/>
      </c>
      <c r="H576" s="10">
        <f>IF(B576="","",IF(_xlfn.MAXIFS(Levels!$A$2:$A$30,Levels!$A$2:$A$30,"&lt;="&amp;F576)&gt;G576,INDEX(Levels!$B$2:$B$30,MATCH(_xlfn.MAXIFS(Levels!$A$2:$A$30,Levels!$A$2:$A$30,"&lt;="&amp;F576),Levels!$A$2:$A$30,0)),""))</f>
        <v/>
      </c>
      <c r="I576" s="10">
        <f>IF(B576="","",COUNTIFS(Levels!$A$2:$A$30,"&lt;="&amp;F576,Levels!$A$2:$A$30,"&gt;"&amp;G576))</f>
        <v/>
      </c>
      <c r="J576" s="10">
        <f>IF(OR(B576="",TRIM('Find a child'!$B$3)=""),"",IF(ISNUMBER(SEARCH(TRIM('Find a child'!$B$3),B576&amp;" "&amp;C576)),COUNT(J$1:J575)+1,""))</f>
        <v/>
      </c>
    </row>
    <row r="577">
      <c r="A577" s="10" t="inlineStr">
        <is>
          <t>C0576</t>
        </is>
      </c>
      <c r="B577" s="6" t="n"/>
      <c r="C577" s="6" t="n"/>
      <c r="D577" s="6" t="n"/>
      <c r="E577" s="10">
        <f>IF(B577="","",IF(COUNTIFS($B$2:$B$600,B577,$C$2:$C$600,C577)&gt;1,B577&amp;" ("&amp;C577&amp;") "&amp;A577,B577&amp;" ("&amp;C577&amp;")"))</f>
        <v/>
      </c>
      <c r="F577" s="11">
        <f>IF(B577="","",SUMIFS(Entries!$J$2:$J$3000,Entries!$H$2:$H$3000,A577))</f>
        <v/>
      </c>
      <c r="G577" s="11">
        <f>IF(B577="","",_xlfn.MAXIFS(Prizes!$D$2:$D$3000,Prizes!$E$2:$E$3000,A577,Prizes!$G$2:$G$3000,""))</f>
        <v/>
      </c>
      <c r="H577" s="10">
        <f>IF(B577="","",IF(_xlfn.MAXIFS(Levels!$A$2:$A$30,Levels!$A$2:$A$30,"&lt;="&amp;F577)&gt;G577,INDEX(Levels!$B$2:$B$30,MATCH(_xlfn.MAXIFS(Levels!$A$2:$A$30,Levels!$A$2:$A$30,"&lt;="&amp;F577),Levels!$A$2:$A$30,0)),""))</f>
        <v/>
      </c>
      <c r="I577" s="10">
        <f>IF(B577="","",COUNTIFS(Levels!$A$2:$A$30,"&lt;="&amp;F577,Levels!$A$2:$A$30,"&gt;"&amp;G577))</f>
        <v/>
      </c>
      <c r="J577" s="10">
        <f>IF(OR(B577="",TRIM('Find a child'!$B$3)=""),"",IF(ISNUMBER(SEARCH(TRIM('Find a child'!$B$3),B577&amp;" "&amp;C577)),COUNT(J$1:J576)+1,""))</f>
        <v/>
      </c>
    </row>
    <row r="578">
      <c r="A578" s="10" t="inlineStr">
        <is>
          <t>C0577</t>
        </is>
      </c>
      <c r="B578" s="6" t="n"/>
      <c r="C578" s="6" t="n"/>
      <c r="D578" s="6" t="n"/>
      <c r="E578" s="10">
        <f>IF(B578="","",IF(COUNTIFS($B$2:$B$600,B578,$C$2:$C$600,C578)&gt;1,B578&amp;" ("&amp;C578&amp;") "&amp;A578,B578&amp;" ("&amp;C578&amp;")"))</f>
        <v/>
      </c>
      <c r="F578" s="11">
        <f>IF(B578="","",SUMIFS(Entries!$J$2:$J$3000,Entries!$H$2:$H$3000,A578))</f>
        <v/>
      </c>
      <c r="G578" s="11">
        <f>IF(B578="","",_xlfn.MAXIFS(Prizes!$D$2:$D$3000,Prizes!$E$2:$E$3000,A578,Prizes!$G$2:$G$3000,""))</f>
        <v/>
      </c>
      <c r="H578" s="10">
        <f>IF(B578="","",IF(_xlfn.MAXIFS(Levels!$A$2:$A$30,Levels!$A$2:$A$30,"&lt;="&amp;F578)&gt;G578,INDEX(Levels!$B$2:$B$30,MATCH(_xlfn.MAXIFS(Levels!$A$2:$A$30,Levels!$A$2:$A$30,"&lt;="&amp;F578),Levels!$A$2:$A$30,0)),""))</f>
        <v/>
      </c>
      <c r="I578" s="10">
        <f>IF(B578="","",COUNTIFS(Levels!$A$2:$A$30,"&lt;="&amp;F578,Levels!$A$2:$A$30,"&gt;"&amp;G578))</f>
        <v/>
      </c>
      <c r="J578" s="10">
        <f>IF(OR(B578="",TRIM('Find a child'!$B$3)=""),"",IF(ISNUMBER(SEARCH(TRIM('Find a child'!$B$3),B578&amp;" "&amp;C578)),COUNT(J$1:J577)+1,""))</f>
        <v/>
      </c>
    </row>
    <row r="579">
      <c r="A579" s="10" t="inlineStr">
        <is>
          <t>C0578</t>
        </is>
      </c>
      <c r="B579" s="6" t="n"/>
      <c r="C579" s="6" t="n"/>
      <c r="D579" s="6" t="n"/>
      <c r="E579" s="10">
        <f>IF(B579="","",IF(COUNTIFS($B$2:$B$600,B579,$C$2:$C$600,C579)&gt;1,B579&amp;" ("&amp;C579&amp;") "&amp;A579,B579&amp;" ("&amp;C579&amp;")"))</f>
        <v/>
      </c>
      <c r="F579" s="11">
        <f>IF(B579="","",SUMIFS(Entries!$J$2:$J$3000,Entries!$H$2:$H$3000,A579))</f>
        <v/>
      </c>
      <c r="G579" s="11">
        <f>IF(B579="","",_xlfn.MAXIFS(Prizes!$D$2:$D$3000,Prizes!$E$2:$E$3000,A579,Prizes!$G$2:$G$3000,""))</f>
        <v/>
      </c>
      <c r="H579" s="10">
        <f>IF(B579="","",IF(_xlfn.MAXIFS(Levels!$A$2:$A$30,Levels!$A$2:$A$30,"&lt;="&amp;F579)&gt;G579,INDEX(Levels!$B$2:$B$30,MATCH(_xlfn.MAXIFS(Levels!$A$2:$A$30,Levels!$A$2:$A$30,"&lt;="&amp;F579),Levels!$A$2:$A$30,0)),""))</f>
        <v/>
      </c>
      <c r="I579" s="10">
        <f>IF(B579="","",COUNTIFS(Levels!$A$2:$A$30,"&lt;="&amp;F579,Levels!$A$2:$A$30,"&gt;"&amp;G579))</f>
        <v/>
      </c>
      <c r="J579" s="10">
        <f>IF(OR(B579="",TRIM('Find a child'!$B$3)=""),"",IF(ISNUMBER(SEARCH(TRIM('Find a child'!$B$3),B579&amp;" "&amp;C579)),COUNT(J$1:J578)+1,""))</f>
        <v/>
      </c>
    </row>
    <row r="580">
      <c r="A580" s="10" t="inlineStr">
        <is>
          <t>C0579</t>
        </is>
      </c>
      <c r="B580" s="6" t="n"/>
      <c r="C580" s="6" t="n"/>
      <c r="D580" s="6" t="n"/>
      <c r="E580" s="10">
        <f>IF(B580="","",IF(COUNTIFS($B$2:$B$600,B580,$C$2:$C$600,C580)&gt;1,B580&amp;" ("&amp;C580&amp;") "&amp;A580,B580&amp;" ("&amp;C580&amp;")"))</f>
        <v/>
      </c>
      <c r="F580" s="11">
        <f>IF(B580="","",SUMIFS(Entries!$J$2:$J$3000,Entries!$H$2:$H$3000,A580))</f>
        <v/>
      </c>
      <c r="G580" s="11">
        <f>IF(B580="","",_xlfn.MAXIFS(Prizes!$D$2:$D$3000,Prizes!$E$2:$E$3000,A580,Prizes!$G$2:$G$3000,""))</f>
        <v/>
      </c>
      <c r="H580" s="10">
        <f>IF(B580="","",IF(_xlfn.MAXIFS(Levels!$A$2:$A$30,Levels!$A$2:$A$30,"&lt;="&amp;F580)&gt;G580,INDEX(Levels!$B$2:$B$30,MATCH(_xlfn.MAXIFS(Levels!$A$2:$A$30,Levels!$A$2:$A$30,"&lt;="&amp;F580),Levels!$A$2:$A$30,0)),""))</f>
        <v/>
      </c>
      <c r="I580" s="10">
        <f>IF(B580="","",COUNTIFS(Levels!$A$2:$A$30,"&lt;="&amp;F580,Levels!$A$2:$A$30,"&gt;"&amp;G580))</f>
        <v/>
      </c>
      <c r="J580" s="10">
        <f>IF(OR(B580="",TRIM('Find a child'!$B$3)=""),"",IF(ISNUMBER(SEARCH(TRIM('Find a child'!$B$3),B580&amp;" "&amp;C580)),COUNT(J$1:J579)+1,""))</f>
        <v/>
      </c>
    </row>
    <row r="581">
      <c r="A581" s="10" t="inlineStr">
        <is>
          <t>C0580</t>
        </is>
      </c>
      <c r="B581" s="6" t="n"/>
      <c r="C581" s="6" t="n"/>
      <c r="D581" s="6" t="n"/>
      <c r="E581" s="10">
        <f>IF(B581="","",IF(COUNTIFS($B$2:$B$600,B581,$C$2:$C$600,C581)&gt;1,B581&amp;" ("&amp;C581&amp;") "&amp;A581,B581&amp;" ("&amp;C581&amp;")"))</f>
        <v/>
      </c>
      <c r="F581" s="11">
        <f>IF(B581="","",SUMIFS(Entries!$J$2:$J$3000,Entries!$H$2:$H$3000,A581))</f>
        <v/>
      </c>
      <c r="G581" s="11">
        <f>IF(B581="","",_xlfn.MAXIFS(Prizes!$D$2:$D$3000,Prizes!$E$2:$E$3000,A581,Prizes!$G$2:$G$3000,""))</f>
        <v/>
      </c>
      <c r="H581" s="10">
        <f>IF(B581="","",IF(_xlfn.MAXIFS(Levels!$A$2:$A$30,Levels!$A$2:$A$30,"&lt;="&amp;F581)&gt;G581,INDEX(Levels!$B$2:$B$30,MATCH(_xlfn.MAXIFS(Levels!$A$2:$A$30,Levels!$A$2:$A$30,"&lt;="&amp;F581),Levels!$A$2:$A$30,0)),""))</f>
        <v/>
      </c>
      <c r="I581" s="10">
        <f>IF(B581="","",COUNTIFS(Levels!$A$2:$A$30,"&lt;="&amp;F581,Levels!$A$2:$A$30,"&gt;"&amp;G581))</f>
        <v/>
      </c>
      <c r="J581" s="10">
        <f>IF(OR(B581="",TRIM('Find a child'!$B$3)=""),"",IF(ISNUMBER(SEARCH(TRIM('Find a child'!$B$3),B581&amp;" "&amp;C581)),COUNT(J$1:J580)+1,""))</f>
        <v/>
      </c>
    </row>
    <row r="582">
      <c r="A582" s="10" t="inlineStr">
        <is>
          <t>C0581</t>
        </is>
      </c>
      <c r="B582" s="6" t="n"/>
      <c r="C582" s="6" t="n"/>
      <c r="D582" s="6" t="n"/>
      <c r="E582" s="10">
        <f>IF(B582="","",IF(COUNTIFS($B$2:$B$600,B582,$C$2:$C$600,C582)&gt;1,B582&amp;" ("&amp;C582&amp;") "&amp;A582,B582&amp;" ("&amp;C582&amp;")"))</f>
        <v/>
      </c>
      <c r="F582" s="11">
        <f>IF(B582="","",SUMIFS(Entries!$J$2:$J$3000,Entries!$H$2:$H$3000,A582))</f>
        <v/>
      </c>
      <c r="G582" s="11">
        <f>IF(B582="","",_xlfn.MAXIFS(Prizes!$D$2:$D$3000,Prizes!$E$2:$E$3000,A582,Prizes!$G$2:$G$3000,""))</f>
        <v/>
      </c>
      <c r="H582" s="10">
        <f>IF(B582="","",IF(_xlfn.MAXIFS(Levels!$A$2:$A$30,Levels!$A$2:$A$30,"&lt;="&amp;F582)&gt;G582,INDEX(Levels!$B$2:$B$30,MATCH(_xlfn.MAXIFS(Levels!$A$2:$A$30,Levels!$A$2:$A$30,"&lt;="&amp;F582),Levels!$A$2:$A$30,0)),""))</f>
        <v/>
      </c>
      <c r="I582" s="10">
        <f>IF(B582="","",COUNTIFS(Levels!$A$2:$A$30,"&lt;="&amp;F582,Levels!$A$2:$A$30,"&gt;"&amp;G582))</f>
        <v/>
      </c>
      <c r="J582" s="10">
        <f>IF(OR(B582="",TRIM('Find a child'!$B$3)=""),"",IF(ISNUMBER(SEARCH(TRIM('Find a child'!$B$3),B582&amp;" "&amp;C582)),COUNT(J$1:J581)+1,""))</f>
        <v/>
      </c>
    </row>
    <row r="583">
      <c r="A583" s="10" t="inlineStr">
        <is>
          <t>C0582</t>
        </is>
      </c>
      <c r="B583" s="6" t="n"/>
      <c r="C583" s="6" t="n"/>
      <c r="D583" s="6" t="n"/>
      <c r="E583" s="10">
        <f>IF(B583="","",IF(COUNTIFS($B$2:$B$600,B583,$C$2:$C$600,C583)&gt;1,B583&amp;" ("&amp;C583&amp;") "&amp;A583,B583&amp;" ("&amp;C583&amp;")"))</f>
        <v/>
      </c>
      <c r="F583" s="11">
        <f>IF(B583="","",SUMIFS(Entries!$J$2:$J$3000,Entries!$H$2:$H$3000,A583))</f>
        <v/>
      </c>
      <c r="G583" s="11">
        <f>IF(B583="","",_xlfn.MAXIFS(Prizes!$D$2:$D$3000,Prizes!$E$2:$E$3000,A583,Prizes!$G$2:$G$3000,""))</f>
        <v/>
      </c>
      <c r="H583" s="10">
        <f>IF(B583="","",IF(_xlfn.MAXIFS(Levels!$A$2:$A$30,Levels!$A$2:$A$30,"&lt;="&amp;F583)&gt;G583,INDEX(Levels!$B$2:$B$30,MATCH(_xlfn.MAXIFS(Levels!$A$2:$A$30,Levels!$A$2:$A$30,"&lt;="&amp;F583),Levels!$A$2:$A$30,0)),""))</f>
        <v/>
      </c>
      <c r="I583" s="10">
        <f>IF(B583="","",COUNTIFS(Levels!$A$2:$A$30,"&lt;="&amp;F583,Levels!$A$2:$A$30,"&gt;"&amp;G583))</f>
        <v/>
      </c>
      <c r="J583" s="10">
        <f>IF(OR(B583="",TRIM('Find a child'!$B$3)=""),"",IF(ISNUMBER(SEARCH(TRIM('Find a child'!$B$3),B583&amp;" "&amp;C583)),COUNT(J$1:J582)+1,""))</f>
        <v/>
      </c>
    </row>
    <row r="584">
      <c r="A584" s="10" t="inlineStr">
        <is>
          <t>C0583</t>
        </is>
      </c>
      <c r="B584" s="6" t="n"/>
      <c r="C584" s="6" t="n"/>
      <c r="D584" s="6" t="n"/>
      <c r="E584" s="10">
        <f>IF(B584="","",IF(COUNTIFS($B$2:$B$600,B584,$C$2:$C$600,C584)&gt;1,B584&amp;" ("&amp;C584&amp;") "&amp;A584,B584&amp;" ("&amp;C584&amp;")"))</f>
        <v/>
      </c>
      <c r="F584" s="11">
        <f>IF(B584="","",SUMIFS(Entries!$J$2:$J$3000,Entries!$H$2:$H$3000,A584))</f>
        <v/>
      </c>
      <c r="G584" s="11">
        <f>IF(B584="","",_xlfn.MAXIFS(Prizes!$D$2:$D$3000,Prizes!$E$2:$E$3000,A584,Prizes!$G$2:$G$3000,""))</f>
        <v/>
      </c>
      <c r="H584" s="10">
        <f>IF(B584="","",IF(_xlfn.MAXIFS(Levels!$A$2:$A$30,Levels!$A$2:$A$30,"&lt;="&amp;F584)&gt;G584,INDEX(Levels!$B$2:$B$30,MATCH(_xlfn.MAXIFS(Levels!$A$2:$A$30,Levels!$A$2:$A$30,"&lt;="&amp;F584),Levels!$A$2:$A$30,0)),""))</f>
        <v/>
      </c>
      <c r="I584" s="10">
        <f>IF(B584="","",COUNTIFS(Levels!$A$2:$A$30,"&lt;="&amp;F584,Levels!$A$2:$A$30,"&gt;"&amp;G584))</f>
        <v/>
      </c>
      <c r="J584" s="10">
        <f>IF(OR(B584="",TRIM('Find a child'!$B$3)=""),"",IF(ISNUMBER(SEARCH(TRIM('Find a child'!$B$3),B584&amp;" "&amp;C584)),COUNT(J$1:J583)+1,""))</f>
        <v/>
      </c>
    </row>
    <row r="585">
      <c r="A585" s="10" t="inlineStr">
        <is>
          <t>C0584</t>
        </is>
      </c>
      <c r="B585" s="6" t="n"/>
      <c r="C585" s="6" t="n"/>
      <c r="D585" s="6" t="n"/>
      <c r="E585" s="10">
        <f>IF(B585="","",IF(COUNTIFS($B$2:$B$600,B585,$C$2:$C$600,C585)&gt;1,B585&amp;" ("&amp;C585&amp;") "&amp;A585,B585&amp;" ("&amp;C585&amp;")"))</f>
        <v/>
      </c>
      <c r="F585" s="11">
        <f>IF(B585="","",SUMIFS(Entries!$J$2:$J$3000,Entries!$H$2:$H$3000,A585))</f>
        <v/>
      </c>
      <c r="G585" s="11">
        <f>IF(B585="","",_xlfn.MAXIFS(Prizes!$D$2:$D$3000,Prizes!$E$2:$E$3000,A585,Prizes!$G$2:$G$3000,""))</f>
        <v/>
      </c>
      <c r="H585" s="10">
        <f>IF(B585="","",IF(_xlfn.MAXIFS(Levels!$A$2:$A$30,Levels!$A$2:$A$30,"&lt;="&amp;F585)&gt;G585,INDEX(Levels!$B$2:$B$30,MATCH(_xlfn.MAXIFS(Levels!$A$2:$A$30,Levels!$A$2:$A$30,"&lt;="&amp;F585),Levels!$A$2:$A$30,0)),""))</f>
        <v/>
      </c>
      <c r="I585" s="10">
        <f>IF(B585="","",COUNTIFS(Levels!$A$2:$A$30,"&lt;="&amp;F585,Levels!$A$2:$A$30,"&gt;"&amp;G585))</f>
        <v/>
      </c>
      <c r="J585" s="10">
        <f>IF(OR(B585="",TRIM('Find a child'!$B$3)=""),"",IF(ISNUMBER(SEARCH(TRIM('Find a child'!$B$3),B585&amp;" "&amp;C585)),COUNT(J$1:J584)+1,""))</f>
        <v/>
      </c>
    </row>
    <row r="586">
      <c r="A586" s="10" t="inlineStr">
        <is>
          <t>C0585</t>
        </is>
      </c>
      <c r="B586" s="6" t="n"/>
      <c r="C586" s="6" t="n"/>
      <c r="D586" s="6" t="n"/>
      <c r="E586" s="10">
        <f>IF(B586="","",IF(COUNTIFS($B$2:$B$600,B586,$C$2:$C$600,C586)&gt;1,B586&amp;" ("&amp;C586&amp;") "&amp;A586,B586&amp;" ("&amp;C586&amp;")"))</f>
        <v/>
      </c>
      <c r="F586" s="11">
        <f>IF(B586="","",SUMIFS(Entries!$J$2:$J$3000,Entries!$H$2:$H$3000,A586))</f>
        <v/>
      </c>
      <c r="G586" s="11">
        <f>IF(B586="","",_xlfn.MAXIFS(Prizes!$D$2:$D$3000,Prizes!$E$2:$E$3000,A586,Prizes!$G$2:$G$3000,""))</f>
        <v/>
      </c>
      <c r="H586" s="10">
        <f>IF(B586="","",IF(_xlfn.MAXIFS(Levels!$A$2:$A$30,Levels!$A$2:$A$30,"&lt;="&amp;F586)&gt;G586,INDEX(Levels!$B$2:$B$30,MATCH(_xlfn.MAXIFS(Levels!$A$2:$A$30,Levels!$A$2:$A$30,"&lt;="&amp;F586),Levels!$A$2:$A$30,0)),""))</f>
        <v/>
      </c>
      <c r="I586" s="10">
        <f>IF(B586="","",COUNTIFS(Levels!$A$2:$A$30,"&lt;="&amp;F586,Levels!$A$2:$A$30,"&gt;"&amp;G586))</f>
        <v/>
      </c>
      <c r="J586" s="10">
        <f>IF(OR(B586="",TRIM('Find a child'!$B$3)=""),"",IF(ISNUMBER(SEARCH(TRIM('Find a child'!$B$3),B586&amp;" "&amp;C586)),COUNT(J$1:J585)+1,""))</f>
        <v/>
      </c>
    </row>
    <row r="587">
      <c r="A587" s="10" t="inlineStr">
        <is>
          <t>C0586</t>
        </is>
      </c>
      <c r="B587" s="6" t="n"/>
      <c r="C587" s="6" t="n"/>
      <c r="D587" s="6" t="n"/>
      <c r="E587" s="10">
        <f>IF(B587="","",IF(COUNTIFS($B$2:$B$600,B587,$C$2:$C$600,C587)&gt;1,B587&amp;" ("&amp;C587&amp;") "&amp;A587,B587&amp;" ("&amp;C587&amp;")"))</f>
        <v/>
      </c>
      <c r="F587" s="11">
        <f>IF(B587="","",SUMIFS(Entries!$J$2:$J$3000,Entries!$H$2:$H$3000,A587))</f>
        <v/>
      </c>
      <c r="G587" s="11">
        <f>IF(B587="","",_xlfn.MAXIFS(Prizes!$D$2:$D$3000,Prizes!$E$2:$E$3000,A587,Prizes!$G$2:$G$3000,""))</f>
        <v/>
      </c>
      <c r="H587" s="10">
        <f>IF(B587="","",IF(_xlfn.MAXIFS(Levels!$A$2:$A$30,Levels!$A$2:$A$30,"&lt;="&amp;F587)&gt;G587,INDEX(Levels!$B$2:$B$30,MATCH(_xlfn.MAXIFS(Levels!$A$2:$A$30,Levels!$A$2:$A$30,"&lt;="&amp;F587),Levels!$A$2:$A$30,0)),""))</f>
        <v/>
      </c>
      <c r="I587" s="10">
        <f>IF(B587="","",COUNTIFS(Levels!$A$2:$A$30,"&lt;="&amp;F587,Levels!$A$2:$A$30,"&gt;"&amp;G587))</f>
        <v/>
      </c>
      <c r="J587" s="10">
        <f>IF(OR(B587="",TRIM('Find a child'!$B$3)=""),"",IF(ISNUMBER(SEARCH(TRIM('Find a child'!$B$3),B587&amp;" "&amp;C587)),COUNT(J$1:J586)+1,""))</f>
        <v/>
      </c>
    </row>
    <row r="588">
      <c r="A588" s="10" t="inlineStr">
        <is>
          <t>C0587</t>
        </is>
      </c>
      <c r="B588" s="6" t="n"/>
      <c r="C588" s="6" t="n"/>
      <c r="D588" s="6" t="n"/>
      <c r="E588" s="10">
        <f>IF(B588="","",IF(COUNTIFS($B$2:$B$600,B588,$C$2:$C$600,C588)&gt;1,B588&amp;" ("&amp;C588&amp;") "&amp;A588,B588&amp;" ("&amp;C588&amp;")"))</f>
        <v/>
      </c>
      <c r="F588" s="11">
        <f>IF(B588="","",SUMIFS(Entries!$J$2:$J$3000,Entries!$H$2:$H$3000,A588))</f>
        <v/>
      </c>
      <c r="G588" s="11">
        <f>IF(B588="","",_xlfn.MAXIFS(Prizes!$D$2:$D$3000,Prizes!$E$2:$E$3000,A588,Prizes!$G$2:$G$3000,""))</f>
        <v/>
      </c>
      <c r="H588" s="10">
        <f>IF(B588="","",IF(_xlfn.MAXIFS(Levels!$A$2:$A$30,Levels!$A$2:$A$30,"&lt;="&amp;F588)&gt;G588,INDEX(Levels!$B$2:$B$30,MATCH(_xlfn.MAXIFS(Levels!$A$2:$A$30,Levels!$A$2:$A$30,"&lt;="&amp;F588),Levels!$A$2:$A$30,0)),""))</f>
        <v/>
      </c>
      <c r="I588" s="10">
        <f>IF(B588="","",COUNTIFS(Levels!$A$2:$A$30,"&lt;="&amp;F588,Levels!$A$2:$A$30,"&gt;"&amp;G588))</f>
        <v/>
      </c>
      <c r="J588" s="10">
        <f>IF(OR(B588="",TRIM('Find a child'!$B$3)=""),"",IF(ISNUMBER(SEARCH(TRIM('Find a child'!$B$3),B588&amp;" "&amp;C588)),COUNT(J$1:J587)+1,""))</f>
        <v/>
      </c>
    </row>
    <row r="589">
      <c r="A589" s="10" t="inlineStr">
        <is>
          <t>C0588</t>
        </is>
      </c>
      <c r="B589" s="6" t="n"/>
      <c r="C589" s="6" t="n"/>
      <c r="D589" s="6" t="n"/>
      <c r="E589" s="10">
        <f>IF(B589="","",IF(COUNTIFS($B$2:$B$600,B589,$C$2:$C$600,C589)&gt;1,B589&amp;" ("&amp;C589&amp;") "&amp;A589,B589&amp;" ("&amp;C589&amp;")"))</f>
        <v/>
      </c>
      <c r="F589" s="11">
        <f>IF(B589="","",SUMIFS(Entries!$J$2:$J$3000,Entries!$H$2:$H$3000,A589))</f>
        <v/>
      </c>
      <c r="G589" s="11">
        <f>IF(B589="","",_xlfn.MAXIFS(Prizes!$D$2:$D$3000,Prizes!$E$2:$E$3000,A589,Prizes!$G$2:$G$3000,""))</f>
        <v/>
      </c>
      <c r="H589" s="10">
        <f>IF(B589="","",IF(_xlfn.MAXIFS(Levels!$A$2:$A$30,Levels!$A$2:$A$30,"&lt;="&amp;F589)&gt;G589,INDEX(Levels!$B$2:$B$30,MATCH(_xlfn.MAXIFS(Levels!$A$2:$A$30,Levels!$A$2:$A$30,"&lt;="&amp;F589),Levels!$A$2:$A$30,0)),""))</f>
        <v/>
      </c>
      <c r="I589" s="10">
        <f>IF(B589="","",COUNTIFS(Levels!$A$2:$A$30,"&lt;="&amp;F589,Levels!$A$2:$A$30,"&gt;"&amp;G589))</f>
        <v/>
      </c>
      <c r="J589" s="10">
        <f>IF(OR(B589="",TRIM('Find a child'!$B$3)=""),"",IF(ISNUMBER(SEARCH(TRIM('Find a child'!$B$3),B589&amp;" "&amp;C589)),COUNT(J$1:J588)+1,""))</f>
        <v/>
      </c>
    </row>
    <row r="590">
      <c r="A590" s="10" t="inlineStr">
        <is>
          <t>C0589</t>
        </is>
      </c>
      <c r="B590" s="6" t="n"/>
      <c r="C590" s="6" t="n"/>
      <c r="D590" s="6" t="n"/>
      <c r="E590" s="10">
        <f>IF(B590="","",IF(COUNTIFS($B$2:$B$600,B590,$C$2:$C$600,C590)&gt;1,B590&amp;" ("&amp;C590&amp;") "&amp;A590,B590&amp;" ("&amp;C590&amp;")"))</f>
        <v/>
      </c>
      <c r="F590" s="11">
        <f>IF(B590="","",SUMIFS(Entries!$J$2:$J$3000,Entries!$H$2:$H$3000,A590))</f>
        <v/>
      </c>
      <c r="G590" s="11">
        <f>IF(B590="","",_xlfn.MAXIFS(Prizes!$D$2:$D$3000,Prizes!$E$2:$E$3000,A590,Prizes!$G$2:$G$3000,""))</f>
        <v/>
      </c>
      <c r="H590" s="10">
        <f>IF(B590="","",IF(_xlfn.MAXIFS(Levels!$A$2:$A$30,Levels!$A$2:$A$30,"&lt;="&amp;F590)&gt;G590,INDEX(Levels!$B$2:$B$30,MATCH(_xlfn.MAXIFS(Levels!$A$2:$A$30,Levels!$A$2:$A$30,"&lt;="&amp;F590),Levels!$A$2:$A$30,0)),""))</f>
        <v/>
      </c>
      <c r="I590" s="10">
        <f>IF(B590="","",COUNTIFS(Levels!$A$2:$A$30,"&lt;="&amp;F590,Levels!$A$2:$A$30,"&gt;"&amp;G590))</f>
        <v/>
      </c>
      <c r="J590" s="10">
        <f>IF(OR(B590="",TRIM('Find a child'!$B$3)=""),"",IF(ISNUMBER(SEARCH(TRIM('Find a child'!$B$3),B590&amp;" "&amp;C590)),COUNT(J$1:J589)+1,""))</f>
        <v/>
      </c>
    </row>
    <row r="591">
      <c r="A591" s="10" t="inlineStr">
        <is>
          <t>C0590</t>
        </is>
      </c>
      <c r="B591" s="6" t="n"/>
      <c r="C591" s="6" t="n"/>
      <c r="D591" s="6" t="n"/>
      <c r="E591" s="10">
        <f>IF(B591="","",IF(COUNTIFS($B$2:$B$600,B591,$C$2:$C$600,C591)&gt;1,B591&amp;" ("&amp;C591&amp;") "&amp;A591,B591&amp;" ("&amp;C591&amp;")"))</f>
        <v/>
      </c>
      <c r="F591" s="11">
        <f>IF(B591="","",SUMIFS(Entries!$J$2:$J$3000,Entries!$H$2:$H$3000,A591))</f>
        <v/>
      </c>
      <c r="G591" s="11">
        <f>IF(B591="","",_xlfn.MAXIFS(Prizes!$D$2:$D$3000,Prizes!$E$2:$E$3000,A591,Prizes!$G$2:$G$3000,""))</f>
        <v/>
      </c>
      <c r="H591" s="10">
        <f>IF(B591="","",IF(_xlfn.MAXIFS(Levels!$A$2:$A$30,Levels!$A$2:$A$30,"&lt;="&amp;F591)&gt;G591,INDEX(Levels!$B$2:$B$30,MATCH(_xlfn.MAXIFS(Levels!$A$2:$A$30,Levels!$A$2:$A$30,"&lt;="&amp;F591),Levels!$A$2:$A$30,0)),""))</f>
        <v/>
      </c>
      <c r="I591" s="10">
        <f>IF(B591="","",COUNTIFS(Levels!$A$2:$A$30,"&lt;="&amp;F591,Levels!$A$2:$A$30,"&gt;"&amp;G591))</f>
        <v/>
      </c>
      <c r="J591" s="10">
        <f>IF(OR(B591="",TRIM('Find a child'!$B$3)=""),"",IF(ISNUMBER(SEARCH(TRIM('Find a child'!$B$3),B591&amp;" "&amp;C591)),COUNT(J$1:J590)+1,""))</f>
        <v/>
      </c>
    </row>
    <row r="592">
      <c r="A592" s="10" t="inlineStr">
        <is>
          <t>C0591</t>
        </is>
      </c>
      <c r="B592" s="6" t="n"/>
      <c r="C592" s="6" t="n"/>
      <c r="D592" s="6" t="n"/>
      <c r="E592" s="10">
        <f>IF(B592="","",IF(COUNTIFS($B$2:$B$600,B592,$C$2:$C$600,C592)&gt;1,B592&amp;" ("&amp;C592&amp;") "&amp;A592,B592&amp;" ("&amp;C592&amp;")"))</f>
        <v/>
      </c>
      <c r="F592" s="11">
        <f>IF(B592="","",SUMIFS(Entries!$J$2:$J$3000,Entries!$H$2:$H$3000,A592))</f>
        <v/>
      </c>
      <c r="G592" s="11">
        <f>IF(B592="","",_xlfn.MAXIFS(Prizes!$D$2:$D$3000,Prizes!$E$2:$E$3000,A592,Prizes!$G$2:$G$3000,""))</f>
        <v/>
      </c>
      <c r="H592" s="10">
        <f>IF(B592="","",IF(_xlfn.MAXIFS(Levels!$A$2:$A$30,Levels!$A$2:$A$30,"&lt;="&amp;F592)&gt;G592,INDEX(Levels!$B$2:$B$30,MATCH(_xlfn.MAXIFS(Levels!$A$2:$A$30,Levels!$A$2:$A$30,"&lt;="&amp;F592),Levels!$A$2:$A$30,0)),""))</f>
        <v/>
      </c>
      <c r="I592" s="10">
        <f>IF(B592="","",COUNTIFS(Levels!$A$2:$A$30,"&lt;="&amp;F592,Levels!$A$2:$A$30,"&gt;"&amp;G592))</f>
        <v/>
      </c>
      <c r="J592" s="10">
        <f>IF(OR(B592="",TRIM('Find a child'!$B$3)=""),"",IF(ISNUMBER(SEARCH(TRIM('Find a child'!$B$3),B592&amp;" "&amp;C592)),COUNT(J$1:J591)+1,""))</f>
        <v/>
      </c>
    </row>
    <row r="593">
      <c r="A593" s="10" t="inlineStr">
        <is>
          <t>C0592</t>
        </is>
      </c>
      <c r="B593" s="6" t="n"/>
      <c r="C593" s="6" t="n"/>
      <c r="D593" s="6" t="n"/>
      <c r="E593" s="10">
        <f>IF(B593="","",IF(COUNTIFS($B$2:$B$600,B593,$C$2:$C$600,C593)&gt;1,B593&amp;" ("&amp;C593&amp;") "&amp;A593,B593&amp;" ("&amp;C593&amp;")"))</f>
        <v/>
      </c>
      <c r="F593" s="11">
        <f>IF(B593="","",SUMIFS(Entries!$J$2:$J$3000,Entries!$H$2:$H$3000,A593))</f>
        <v/>
      </c>
      <c r="G593" s="11">
        <f>IF(B593="","",_xlfn.MAXIFS(Prizes!$D$2:$D$3000,Prizes!$E$2:$E$3000,A593,Prizes!$G$2:$G$3000,""))</f>
        <v/>
      </c>
      <c r="H593" s="10">
        <f>IF(B593="","",IF(_xlfn.MAXIFS(Levels!$A$2:$A$30,Levels!$A$2:$A$30,"&lt;="&amp;F593)&gt;G593,INDEX(Levels!$B$2:$B$30,MATCH(_xlfn.MAXIFS(Levels!$A$2:$A$30,Levels!$A$2:$A$30,"&lt;="&amp;F593),Levels!$A$2:$A$30,0)),""))</f>
        <v/>
      </c>
      <c r="I593" s="10">
        <f>IF(B593="","",COUNTIFS(Levels!$A$2:$A$30,"&lt;="&amp;F593,Levels!$A$2:$A$30,"&gt;"&amp;G593))</f>
        <v/>
      </c>
      <c r="J593" s="10">
        <f>IF(OR(B593="",TRIM('Find a child'!$B$3)=""),"",IF(ISNUMBER(SEARCH(TRIM('Find a child'!$B$3),B593&amp;" "&amp;C593)),COUNT(J$1:J592)+1,""))</f>
        <v/>
      </c>
    </row>
    <row r="594">
      <c r="A594" s="10" t="inlineStr">
        <is>
          <t>C0593</t>
        </is>
      </c>
      <c r="B594" s="6" t="n"/>
      <c r="C594" s="6" t="n"/>
      <c r="D594" s="6" t="n"/>
      <c r="E594" s="10">
        <f>IF(B594="","",IF(COUNTIFS($B$2:$B$600,B594,$C$2:$C$600,C594)&gt;1,B594&amp;" ("&amp;C594&amp;") "&amp;A594,B594&amp;" ("&amp;C594&amp;")"))</f>
        <v/>
      </c>
      <c r="F594" s="11">
        <f>IF(B594="","",SUMIFS(Entries!$J$2:$J$3000,Entries!$H$2:$H$3000,A594))</f>
        <v/>
      </c>
      <c r="G594" s="11">
        <f>IF(B594="","",_xlfn.MAXIFS(Prizes!$D$2:$D$3000,Prizes!$E$2:$E$3000,A594,Prizes!$G$2:$G$3000,""))</f>
        <v/>
      </c>
      <c r="H594" s="10">
        <f>IF(B594="","",IF(_xlfn.MAXIFS(Levels!$A$2:$A$30,Levels!$A$2:$A$30,"&lt;="&amp;F594)&gt;G594,INDEX(Levels!$B$2:$B$30,MATCH(_xlfn.MAXIFS(Levels!$A$2:$A$30,Levels!$A$2:$A$30,"&lt;="&amp;F594),Levels!$A$2:$A$30,0)),""))</f>
        <v/>
      </c>
      <c r="I594" s="10">
        <f>IF(B594="","",COUNTIFS(Levels!$A$2:$A$30,"&lt;="&amp;F594,Levels!$A$2:$A$30,"&gt;"&amp;G594))</f>
        <v/>
      </c>
      <c r="J594" s="10">
        <f>IF(OR(B594="",TRIM('Find a child'!$B$3)=""),"",IF(ISNUMBER(SEARCH(TRIM('Find a child'!$B$3),B594&amp;" "&amp;C594)),COUNT(J$1:J593)+1,""))</f>
        <v/>
      </c>
    </row>
    <row r="595">
      <c r="A595" s="10" t="inlineStr">
        <is>
          <t>C0594</t>
        </is>
      </c>
      <c r="B595" s="6" t="n"/>
      <c r="C595" s="6" t="n"/>
      <c r="D595" s="6" t="n"/>
      <c r="E595" s="10">
        <f>IF(B595="","",IF(COUNTIFS($B$2:$B$600,B595,$C$2:$C$600,C595)&gt;1,B595&amp;" ("&amp;C595&amp;") "&amp;A595,B595&amp;" ("&amp;C595&amp;")"))</f>
        <v/>
      </c>
      <c r="F595" s="11">
        <f>IF(B595="","",SUMIFS(Entries!$J$2:$J$3000,Entries!$H$2:$H$3000,A595))</f>
        <v/>
      </c>
      <c r="G595" s="11">
        <f>IF(B595="","",_xlfn.MAXIFS(Prizes!$D$2:$D$3000,Prizes!$E$2:$E$3000,A595,Prizes!$G$2:$G$3000,""))</f>
        <v/>
      </c>
      <c r="H595" s="10">
        <f>IF(B595="","",IF(_xlfn.MAXIFS(Levels!$A$2:$A$30,Levels!$A$2:$A$30,"&lt;="&amp;F595)&gt;G595,INDEX(Levels!$B$2:$B$30,MATCH(_xlfn.MAXIFS(Levels!$A$2:$A$30,Levels!$A$2:$A$30,"&lt;="&amp;F595),Levels!$A$2:$A$30,0)),""))</f>
        <v/>
      </c>
      <c r="I595" s="10">
        <f>IF(B595="","",COUNTIFS(Levels!$A$2:$A$30,"&lt;="&amp;F595,Levels!$A$2:$A$30,"&gt;"&amp;G595))</f>
        <v/>
      </c>
      <c r="J595" s="10">
        <f>IF(OR(B595="",TRIM('Find a child'!$B$3)=""),"",IF(ISNUMBER(SEARCH(TRIM('Find a child'!$B$3),B595&amp;" "&amp;C595)),COUNT(J$1:J594)+1,""))</f>
        <v/>
      </c>
    </row>
    <row r="596">
      <c r="A596" s="10" t="inlineStr">
        <is>
          <t>C0595</t>
        </is>
      </c>
      <c r="B596" s="6" t="n"/>
      <c r="C596" s="6" t="n"/>
      <c r="D596" s="6" t="n"/>
      <c r="E596" s="10">
        <f>IF(B596="","",IF(COUNTIFS($B$2:$B$600,B596,$C$2:$C$600,C596)&gt;1,B596&amp;" ("&amp;C596&amp;") "&amp;A596,B596&amp;" ("&amp;C596&amp;")"))</f>
        <v/>
      </c>
      <c r="F596" s="11">
        <f>IF(B596="","",SUMIFS(Entries!$J$2:$J$3000,Entries!$H$2:$H$3000,A596))</f>
        <v/>
      </c>
      <c r="G596" s="11">
        <f>IF(B596="","",_xlfn.MAXIFS(Prizes!$D$2:$D$3000,Prizes!$E$2:$E$3000,A596,Prizes!$G$2:$G$3000,""))</f>
        <v/>
      </c>
      <c r="H596" s="10">
        <f>IF(B596="","",IF(_xlfn.MAXIFS(Levels!$A$2:$A$30,Levels!$A$2:$A$30,"&lt;="&amp;F596)&gt;G596,INDEX(Levels!$B$2:$B$30,MATCH(_xlfn.MAXIFS(Levels!$A$2:$A$30,Levels!$A$2:$A$30,"&lt;="&amp;F596),Levels!$A$2:$A$30,0)),""))</f>
        <v/>
      </c>
      <c r="I596" s="10">
        <f>IF(B596="","",COUNTIFS(Levels!$A$2:$A$30,"&lt;="&amp;F596,Levels!$A$2:$A$30,"&gt;"&amp;G596))</f>
        <v/>
      </c>
      <c r="J596" s="10">
        <f>IF(OR(B596="",TRIM('Find a child'!$B$3)=""),"",IF(ISNUMBER(SEARCH(TRIM('Find a child'!$B$3),B596&amp;" "&amp;C596)),COUNT(J$1:J595)+1,""))</f>
        <v/>
      </c>
    </row>
    <row r="597">
      <c r="A597" s="10" t="inlineStr">
        <is>
          <t>C0596</t>
        </is>
      </c>
      <c r="B597" s="6" t="n"/>
      <c r="C597" s="6" t="n"/>
      <c r="D597" s="6" t="n"/>
      <c r="E597" s="10">
        <f>IF(B597="","",IF(COUNTIFS($B$2:$B$600,B597,$C$2:$C$600,C597)&gt;1,B597&amp;" ("&amp;C597&amp;") "&amp;A597,B597&amp;" ("&amp;C597&amp;")"))</f>
        <v/>
      </c>
      <c r="F597" s="11">
        <f>IF(B597="","",SUMIFS(Entries!$J$2:$J$3000,Entries!$H$2:$H$3000,A597))</f>
        <v/>
      </c>
      <c r="G597" s="11">
        <f>IF(B597="","",_xlfn.MAXIFS(Prizes!$D$2:$D$3000,Prizes!$E$2:$E$3000,A597,Prizes!$G$2:$G$3000,""))</f>
        <v/>
      </c>
      <c r="H597" s="10">
        <f>IF(B597="","",IF(_xlfn.MAXIFS(Levels!$A$2:$A$30,Levels!$A$2:$A$30,"&lt;="&amp;F597)&gt;G597,INDEX(Levels!$B$2:$B$30,MATCH(_xlfn.MAXIFS(Levels!$A$2:$A$30,Levels!$A$2:$A$30,"&lt;="&amp;F597),Levels!$A$2:$A$30,0)),""))</f>
        <v/>
      </c>
      <c r="I597" s="10">
        <f>IF(B597="","",COUNTIFS(Levels!$A$2:$A$30,"&lt;="&amp;F597,Levels!$A$2:$A$30,"&gt;"&amp;G597))</f>
        <v/>
      </c>
      <c r="J597" s="10">
        <f>IF(OR(B597="",TRIM('Find a child'!$B$3)=""),"",IF(ISNUMBER(SEARCH(TRIM('Find a child'!$B$3),B597&amp;" "&amp;C597)),COUNT(J$1:J596)+1,""))</f>
        <v/>
      </c>
    </row>
    <row r="598">
      <c r="A598" s="10" t="inlineStr">
        <is>
          <t>C0597</t>
        </is>
      </c>
      <c r="B598" s="6" t="n"/>
      <c r="C598" s="6" t="n"/>
      <c r="D598" s="6" t="n"/>
      <c r="E598" s="10">
        <f>IF(B598="","",IF(COUNTIFS($B$2:$B$600,B598,$C$2:$C$600,C598)&gt;1,B598&amp;" ("&amp;C598&amp;") "&amp;A598,B598&amp;" ("&amp;C598&amp;")"))</f>
        <v/>
      </c>
      <c r="F598" s="11">
        <f>IF(B598="","",SUMIFS(Entries!$J$2:$J$3000,Entries!$H$2:$H$3000,A598))</f>
        <v/>
      </c>
      <c r="G598" s="11">
        <f>IF(B598="","",_xlfn.MAXIFS(Prizes!$D$2:$D$3000,Prizes!$E$2:$E$3000,A598,Prizes!$G$2:$G$3000,""))</f>
        <v/>
      </c>
      <c r="H598" s="10">
        <f>IF(B598="","",IF(_xlfn.MAXIFS(Levels!$A$2:$A$30,Levels!$A$2:$A$30,"&lt;="&amp;F598)&gt;G598,INDEX(Levels!$B$2:$B$30,MATCH(_xlfn.MAXIFS(Levels!$A$2:$A$30,Levels!$A$2:$A$30,"&lt;="&amp;F598),Levels!$A$2:$A$30,0)),""))</f>
        <v/>
      </c>
      <c r="I598" s="10">
        <f>IF(B598="","",COUNTIFS(Levels!$A$2:$A$30,"&lt;="&amp;F598,Levels!$A$2:$A$30,"&gt;"&amp;G598))</f>
        <v/>
      </c>
      <c r="J598" s="10">
        <f>IF(OR(B598="",TRIM('Find a child'!$B$3)=""),"",IF(ISNUMBER(SEARCH(TRIM('Find a child'!$B$3),B598&amp;" "&amp;C598)),COUNT(J$1:J597)+1,""))</f>
        <v/>
      </c>
    </row>
    <row r="599">
      <c r="A599" s="10" t="inlineStr">
        <is>
          <t>C0598</t>
        </is>
      </c>
      <c r="B599" s="6" t="n"/>
      <c r="C599" s="6" t="n"/>
      <c r="D599" s="6" t="n"/>
      <c r="E599" s="10">
        <f>IF(B599="","",IF(COUNTIFS($B$2:$B$600,B599,$C$2:$C$600,C599)&gt;1,B599&amp;" ("&amp;C599&amp;") "&amp;A599,B599&amp;" ("&amp;C599&amp;")"))</f>
        <v/>
      </c>
      <c r="F599" s="11">
        <f>IF(B599="","",SUMIFS(Entries!$J$2:$J$3000,Entries!$H$2:$H$3000,A599))</f>
        <v/>
      </c>
      <c r="G599" s="11">
        <f>IF(B599="","",_xlfn.MAXIFS(Prizes!$D$2:$D$3000,Prizes!$E$2:$E$3000,A599,Prizes!$G$2:$G$3000,""))</f>
        <v/>
      </c>
      <c r="H599" s="10">
        <f>IF(B599="","",IF(_xlfn.MAXIFS(Levels!$A$2:$A$30,Levels!$A$2:$A$30,"&lt;="&amp;F599)&gt;G599,INDEX(Levels!$B$2:$B$30,MATCH(_xlfn.MAXIFS(Levels!$A$2:$A$30,Levels!$A$2:$A$30,"&lt;="&amp;F599),Levels!$A$2:$A$30,0)),""))</f>
        <v/>
      </c>
      <c r="I599" s="10">
        <f>IF(B599="","",COUNTIFS(Levels!$A$2:$A$30,"&lt;="&amp;F599,Levels!$A$2:$A$30,"&gt;"&amp;G599))</f>
        <v/>
      </c>
      <c r="J599" s="10">
        <f>IF(OR(B599="",TRIM('Find a child'!$B$3)=""),"",IF(ISNUMBER(SEARCH(TRIM('Find a child'!$B$3),B599&amp;" "&amp;C599)),COUNT(J$1:J598)+1,""))</f>
        <v/>
      </c>
    </row>
    <row r="600">
      <c r="A600" s="10" t="inlineStr">
        <is>
          <t>C0599</t>
        </is>
      </c>
      <c r="B600" s="6" t="n"/>
      <c r="C600" s="6" t="n"/>
      <c r="D600" s="6" t="n"/>
      <c r="E600" s="10">
        <f>IF(B600="","",IF(COUNTIFS($B$2:$B$600,B600,$C$2:$C$600,C600)&gt;1,B600&amp;" ("&amp;C600&amp;") "&amp;A600,B600&amp;" ("&amp;C600&amp;")"))</f>
        <v/>
      </c>
      <c r="F600" s="11">
        <f>IF(B600="","",SUMIFS(Entries!$J$2:$J$3000,Entries!$H$2:$H$3000,A600))</f>
        <v/>
      </c>
      <c r="G600" s="11">
        <f>IF(B600="","",_xlfn.MAXIFS(Prizes!$D$2:$D$3000,Prizes!$E$2:$E$3000,A600,Prizes!$G$2:$G$3000,""))</f>
        <v/>
      </c>
      <c r="H600" s="10">
        <f>IF(B600="","",IF(_xlfn.MAXIFS(Levels!$A$2:$A$30,Levels!$A$2:$A$30,"&lt;="&amp;F600)&gt;G600,INDEX(Levels!$B$2:$B$30,MATCH(_xlfn.MAXIFS(Levels!$A$2:$A$30,Levels!$A$2:$A$30,"&lt;="&amp;F600),Levels!$A$2:$A$30,0)),""))</f>
        <v/>
      </c>
      <c r="I600" s="10">
        <f>IF(B600="","",COUNTIFS(Levels!$A$2:$A$30,"&lt;="&amp;F600,Levels!$A$2:$A$30,"&gt;"&amp;G600))</f>
        <v/>
      </c>
      <c r="J600" s="10">
        <f>IF(OR(B600="",TRIM('Find a child'!$B$3)=""),"",IF(ISNUMBER(SEARCH(TRIM('Find a child'!$B$3),B600&amp;" "&amp;C600)),COUNT(J$1:J599)+1,""))</f>
        <v/>
      </c>
    </row>
  </sheetData>
  <conditionalFormatting sqref="H2:I600">
    <cfRule type="expression" priority="1" dxfId="2">
      <formula>AND($I2&lt;&gt;"",$I2&gt;0)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6" customWidth="1" min="3" max="3"/>
  </cols>
  <sheetData>
    <row r="1" ht="32" customHeight="1">
      <c r="A1" s="8" t="inlineStr">
        <is>
          <t>Threshold (pages)</t>
        </is>
      </c>
      <c r="B1" s="8" t="inlineStr">
        <is>
          <t>Level</t>
        </is>
      </c>
      <c r="C1" s="8" t="inlineStr">
        <is>
          <t>Prize</t>
        </is>
      </c>
    </row>
    <row r="2">
      <c r="A2" s="14" t="n">
        <v>1</v>
      </c>
      <c r="B2" s="6" t="inlineStr">
        <is>
          <t>First Pages</t>
        </is>
      </c>
      <c r="C2" s="6" t="inlineStr">
        <is>
          <t>Bookmark</t>
        </is>
      </c>
    </row>
    <row r="3">
      <c r="A3" s="14" t="n">
        <v>100</v>
      </c>
      <c r="B3" s="6" t="inlineStr">
        <is>
          <t>100 Pages</t>
        </is>
      </c>
      <c r="C3" s="6" t="inlineStr">
        <is>
          <t>Pencil and Stickers</t>
        </is>
      </c>
    </row>
    <row r="4">
      <c r="A4" s="14" t="n">
        <v>500</v>
      </c>
      <c r="B4" s="6" t="inlineStr">
        <is>
          <t>500 Pages</t>
        </is>
      </c>
      <c r="C4" s="6" t="inlineStr">
        <is>
          <t>Ribbon</t>
        </is>
      </c>
    </row>
    <row r="5">
      <c r="A5" s="14" t="n">
        <v>1000</v>
      </c>
      <c r="B5" s="6" t="inlineStr">
        <is>
          <t>1,000 Pages</t>
        </is>
      </c>
      <c r="C5" s="6" t="inlineStr">
        <is>
          <t>BCS Waterbottle</t>
        </is>
      </c>
    </row>
    <row r="6">
      <c r="A6" s="14" t="n">
        <v>2500</v>
      </c>
      <c r="B6" s="6" t="inlineStr">
        <is>
          <t>2,500 Pages</t>
        </is>
      </c>
      <c r="C6" s="6" t="inlineStr">
        <is>
          <t>Pen</t>
        </is>
      </c>
    </row>
    <row r="7">
      <c r="A7" s="14" t="n">
        <v>5000</v>
      </c>
      <c r="B7" s="6" t="inlineStr">
        <is>
          <t>5,000 Pages</t>
        </is>
      </c>
      <c r="C7" s="6" t="inlineStr">
        <is>
          <t>Metal Bookmark</t>
        </is>
      </c>
    </row>
    <row r="8">
      <c r="A8" s="14" t="n">
        <v>7500</v>
      </c>
      <c r="B8" s="6" t="inlineStr">
        <is>
          <t>7,500 Pages</t>
        </is>
      </c>
      <c r="C8" s="6" t="inlineStr">
        <is>
          <t>Baskin Robbin’s Ice Cream Scoop Giftcard</t>
        </is>
      </c>
    </row>
    <row r="9">
      <c r="A9" s="14" t="n">
        <v>10000</v>
      </c>
      <c r="B9" s="6" t="inlineStr">
        <is>
          <t>10,000 Pages</t>
        </is>
      </c>
      <c r="C9" s="6" t="inlineStr">
        <is>
          <t>BCS T-Shirt</t>
        </is>
      </c>
    </row>
    <row r="10">
      <c r="A10" s="14" t="n">
        <v>12500</v>
      </c>
      <c r="B10" s="6" t="inlineStr">
        <is>
          <t>12,500 Pages</t>
        </is>
      </c>
      <c r="C10" s="6" t="inlineStr">
        <is>
          <t>$5 Children’s Place Giftcard</t>
        </is>
      </c>
    </row>
    <row r="11">
      <c r="A11" s="14" t="n">
        <v>15000</v>
      </c>
      <c r="B11" s="6" t="inlineStr">
        <is>
          <t>15,000 Pages</t>
        </is>
      </c>
      <c r="C11" s="6" t="inlineStr">
        <is>
          <t>Fidget Toy</t>
        </is>
      </c>
    </row>
    <row r="12">
      <c r="A12" s="14" t="n">
        <v>20000</v>
      </c>
      <c r="B12" s="6" t="inlineStr">
        <is>
          <t>20,000 Pages</t>
        </is>
      </c>
      <c r="C12" s="6" t="inlineStr">
        <is>
          <t>Stickers</t>
        </is>
      </c>
    </row>
    <row r="13">
      <c r="A13" s="14" t="n">
        <v>25000</v>
      </c>
      <c r="B13" s="6" t="inlineStr">
        <is>
          <t>25,000 Pages</t>
        </is>
      </c>
      <c r="C13" s="6" t="inlineStr">
        <is>
          <t>Enamel Pin</t>
        </is>
      </c>
    </row>
    <row r="14">
      <c r="A14" s="14" t="n">
        <v>30000</v>
      </c>
      <c r="B14" s="6" t="inlineStr">
        <is>
          <t>30,000 Pages</t>
        </is>
      </c>
      <c r="C14" s="6" t="inlineStr">
        <is>
          <t>$5 Puddletown Games Giftcard</t>
        </is>
      </c>
    </row>
    <row r="15">
      <c r="A15" s="14" t="n">
        <v>40000</v>
      </c>
      <c r="B15" s="6" t="inlineStr">
        <is>
          <t>40,000 Pages</t>
        </is>
      </c>
      <c r="C15" s="6" t="inlineStr">
        <is>
          <t>Book</t>
        </is>
      </c>
    </row>
    <row r="16">
      <c r="A16" s="14" t="n">
        <v>55000</v>
      </c>
      <c r="B16" s="6" t="inlineStr">
        <is>
          <t>55,000 Pages</t>
        </is>
      </c>
      <c r="C16" s="6" t="inlineStr">
        <is>
          <t>Medal</t>
        </is>
      </c>
    </row>
    <row r="17">
      <c r="A17" s="14" t="n">
        <v>70000</v>
      </c>
      <c r="B17" s="6" t="inlineStr">
        <is>
          <t>70,000 Pages</t>
        </is>
      </c>
      <c r="C17" s="6" t="inlineStr">
        <is>
          <t>Engraved Bookmark</t>
        </is>
      </c>
    </row>
    <row r="18">
      <c r="A18" s="14" t="n">
        <v>85000</v>
      </c>
      <c r="B18" s="6" t="inlineStr">
        <is>
          <t>85,000 Pages</t>
        </is>
      </c>
      <c r="C18" s="6" t="inlineStr">
        <is>
          <t>$10 Powell’s Giftcard</t>
        </is>
      </c>
    </row>
    <row r="19">
      <c r="A19" s="14" t="n">
        <v>90000</v>
      </c>
      <c r="B19" s="6" t="inlineStr">
        <is>
          <t>90,000 Pages</t>
        </is>
      </c>
      <c r="C19" s="6" t="inlineStr">
        <is>
          <t>Lunch w/Principal Presely</t>
        </is>
      </c>
    </row>
    <row r="20">
      <c r="A20" s="14" t="n">
        <v>100000</v>
      </c>
      <c r="B20" s="6" t="inlineStr">
        <is>
          <t>100,000 Pages</t>
        </is>
      </c>
      <c r="C20" s="6" t="inlineStr">
        <is>
          <t>Trophy</t>
        </is>
      </c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2">
      <c r="A32" s="7" t="inlineStr">
        <is>
          <t>Copy of levels.csv. Keep the two in sync; the certificate program reads levels.csv.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2026-10-07T05:03:21Z</dcterms:created>
  <dcterms:modified xmlns:dcterms="http://purl.org/dc/terms/" xmlns:xsi="http://www.w3.org/2001/XMLSchema-instance" xsi:type="dcterms:W3CDTF">2026-10-07T05:03:23Z</dcterms:modified>
</cp:coreProperties>
</file>